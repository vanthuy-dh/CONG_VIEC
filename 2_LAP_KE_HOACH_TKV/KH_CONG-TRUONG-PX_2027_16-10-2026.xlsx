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E:\Dropbox\KH PX 2027 Hùng(11-10-2026)\KH PX 2027 Hùng(11-10-2026)\"/>
    </mc:Choice>
  </mc:AlternateContent>
  <xr:revisionPtr revIDLastSave="0" documentId="13_ncr:1_{C9D5F2E9-D029-4AFC-B0AB-E15E49A71AC4}" xr6:coauthVersionLast="47" xr6:coauthVersionMax="47" xr10:uidLastSave="{00000000-0000-0000-0000-000000000000}"/>
  <bookViews>
    <workbookView xWindow="-120" yWindow="-120" windowWidth="29040" windowHeight="15840" tabRatio="711" firstSheet="1" activeTab="5" xr2:uid="{00000000-000D-0000-FFFF-FFFF00000000}"/>
  </bookViews>
  <sheets>
    <sheet name="Kangatang" sheetId="52" state="veryHidden" r:id="rId1"/>
    <sheet name="BIA" sheetId="48" r:id="rId2"/>
    <sheet name="TONG_HOP" sheetId="51" r:id="rId3"/>
    <sheet name="TH_PX2027" sheetId="43" r:id="rId4"/>
    <sheet name="KH_ĐL" sheetId="37" r:id="rId5"/>
    <sheet name="KH_LC" sheetId="44" r:id="rId6"/>
    <sheet name="TH_G.KHOAN" sheetId="45" r:id="rId7"/>
    <sheet name="DIEN_DP" sheetId="50" r:id="rId8"/>
    <sheet name="TH" sheetId="39" state="hidden" r:id="rId9"/>
    <sheet name="Tinh SL" sheetId="31" state="hidden" r:id="rId10"/>
    <sheet name="Mẫu BB ĐC LC" sheetId="34" state="hidden" r:id="rId11"/>
    <sheet name="Mẫu BB ĐC ĐL" sheetId="35" state="hidden" r:id="rId12"/>
  </sheets>
  <definedNames>
    <definedName name="_xlnm._FilterDatabase" localSheetId="4" hidden="1">KH_ĐL!$A$18:$CI$841</definedName>
    <definedName name="_xlnm._FilterDatabase" localSheetId="5" hidden="1">KH_LC!$B$18:$AQ$240</definedName>
    <definedName name="_xlnm._FilterDatabase" localSheetId="2" hidden="1">TONG_HOP!$A$4:$XEV$110</definedName>
    <definedName name="_xlnm.Print_Area" localSheetId="1">BIA!$A$1:$P$30</definedName>
    <definedName name="_xlnm.Print_Area" localSheetId="5">KH_LC!$B$1:$AS$243</definedName>
    <definedName name="_xlnm.Print_Area" localSheetId="11">'Mẫu BB ĐC ĐL'!$A$1:$M$40</definedName>
    <definedName name="_xlnm.Print_Area" localSheetId="10">'Mẫu BB ĐC LC'!$A$1:$M$53</definedName>
    <definedName name="_xlnm.Print_Area" localSheetId="8">TH!$A$1:$AP$45</definedName>
    <definedName name="_xlnm.Print_Area" localSheetId="6">TH_G.KHOAN!$A$6:$X$164</definedName>
    <definedName name="_xlnm.Print_Area" localSheetId="3">TH_PX2027!$A$1:$AM$34</definedName>
    <definedName name="_xlnm.Print_Area">#REF!</definedName>
    <definedName name="_xlnm.Print_Titles" localSheetId="5">KH_LC!$15:$16</definedName>
    <definedName name="_xlnm.Print_Titles" localSheetId="6">TH_G.KHOAN!$9:$10</definedName>
    <definedName name="_xlnm.Print_Titles">#N/A</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3" i="37" l="1"/>
  <c r="AI103" i="37"/>
  <c r="AH103" i="37"/>
  <c r="S139" i="37"/>
  <c r="E20" i="50"/>
  <c r="E10" i="50"/>
  <c r="E11" i="50"/>
  <c r="E8" i="50"/>
  <c r="E9" i="50"/>
  <c r="E19" i="50"/>
  <c r="E21" i="50"/>
  <c r="E16" i="50"/>
  <c r="AU306" i="37"/>
  <c r="AT306" i="37"/>
  <c r="AU305" i="37"/>
  <c r="AT305" i="37"/>
  <c r="AL146" i="44"/>
  <c r="AL143" i="44" s="1"/>
  <c r="AL112" i="44"/>
  <c r="AH71" i="44"/>
  <c r="AG71" i="44"/>
  <c r="AF71" i="44"/>
  <c r="AH39" i="44"/>
  <c r="AG39" i="44"/>
  <c r="AF39" i="44"/>
  <c r="AH26" i="44"/>
  <c r="AG26" i="44"/>
  <c r="AF26" i="44"/>
  <c r="W144" i="37"/>
  <c r="V144" i="37"/>
  <c r="AB37" i="44"/>
  <c r="Z100" i="44"/>
  <c r="J77" i="44"/>
  <c r="J65" i="44"/>
  <c r="AG51" i="44"/>
  <c r="J51" i="44"/>
  <c r="J48" i="44"/>
  <c r="J47" i="44"/>
  <c r="J37" i="44"/>
  <c r="CE174" i="37" l="1"/>
  <c r="BJ174" i="37"/>
  <c r="BG174" i="37"/>
  <c r="BF174" i="37"/>
  <c r="BE174" i="37"/>
  <c r="BY174" i="37" s="1"/>
  <c r="BB174" i="37"/>
  <c r="BX174" i="37" s="1"/>
  <c r="AY174" i="37"/>
  <c r="BW174" i="37" s="1"/>
  <c r="AU174" i="37"/>
  <c r="AT174" i="37"/>
  <c r="AS174" i="37"/>
  <c r="BU174" i="37" s="1"/>
  <c r="AP174" i="37"/>
  <c r="BT174" i="37" s="1"/>
  <c r="AM174" i="37"/>
  <c r="AJ174" i="37"/>
  <c r="BR174" i="37" s="1"/>
  <c r="AG174" i="37"/>
  <c r="BQ174" i="37" s="1"/>
  <c r="AD174" i="37"/>
  <c r="BP174" i="37" s="1"/>
  <c r="AA174" i="37"/>
  <c r="BO174" i="37" s="1"/>
  <c r="X174" i="37"/>
  <c r="BN174" i="37" s="1"/>
  <c r="U174" i="37"/>
  <c r="BM174" i="37" s="1"/>
  <c r="R174" i="37"/>
  <c r="BL174" i="37" s="1"/>
  <c r="O174" i="37"/>
  <c r="BK174" i="37" s="1"/>
  <c r="AK103" i="44"/>
  <c r="AB100" i="44"/>
  <c r="J100" i="44"/>
  <c r="C15" i="50" s="1"/>
  <c r="AB111" i="44"/>
  <c r="AB89" i="44"/>
  <c r="AI384" i="37"/>
  <c r="AH384" i="37"/>
  <c r="W385" i="37"/>
  <c r="V385" i="37"/>
  <c r="J174" i="37" l="1"/>
  <c r="AV174" i="37"/>
  <c r="BV174" i="37" s="1"/>
  <c r="I174" i="37"/>
  <c r="BS174" i="37"/>
  <c r="BH174" i="37"/>
  <c r="BZ174" i="37" s="1"/>
  <c r="Z145" i="44"/>
  <c r="Z134" i="44"/>
  <c r="Z120" i="44"/>
  <c r="Z89" i="44"/>
  <c r="Z76" i="44"/>
  <c r="Z65" i="44"/>
  <c r="Z26" i="44"/>
  <c r="L174" i="37" l="1"/>
  <c r="K174" i="37"/>
  <c r="AJ112" i="44"/>
  <c r="AH112" i="44"/>
  <c r="AG112" i="44"/>
  <c r="Z110" i="44"/>
  <c r="X110" i="44"/>
  <c r="Y110" i="44"/>
  <c r="AL90" i="44"/>
  <c r="AK90" i="44"/>
  <c r="AL91" i="44"/>
  <c r="AJ102" i="44"/>
  <c r="AH102" i="44"/>
  <c r="AG102" i="44"/>
  <c r="AF102" i="44"/>
  <c r="AF111" i="44"/>
  <c r="AD111" i="44"/>
  <c r="AC111" i="44"/>
  <c r="AD102" i="44"/>
  <c r="AC102" i="44"/>
  <c r="AJ90" i="44"/>
  <c r="AG90" i="44"/>
  <c r="AG89" i="44"/>
  <c r="AF89" i="44"/>
  <c r="AF51" i="44"/>
  <c r="AD48" i="44"/>
  <c r="AC48" i="44"/>
  <c r="AB48" i="44"/>
  <c r="Z50" i="44"/>
  <c r="Y50" i="44"/>
  <c r="X47" i="44"/>
  <c r="AK39" i="44"/>
  <c r="AK26" i="44"/>
  <c r="BB251" i="37"/>
  <c r="AU27" i="37"/>
  <c r="AT27" i="37"/>
  <c r="Q207" i="37"/>
  <c r="P207" i="37"/>
  <c r="N207" i="37"/>
  <c r="M207" i="37"/>
  <c r="CB174" i="37" l="1"/>
  <c r="AO15" i="44"/>
  <c r="AO11" i="44" s="1"/>
  <c r="X120" i="44"/>
  <c r="X26" i="44"/>
  <c r="AL103" i="44"/>
  <c r="AL26" i="44"/>
  <c r="J76" i="44"/>
  <c r="Y76" i="44"/>
  <c r="V383" i="37"/>
  <c r="W383" i="37"/>
  <c r="X383" i="37"/>
  <c r="BN383" i="37" s="1"/>
  <c r="AL71" i="44"/>
  <c r="AC120" i="44"/>
  <c r="AB120" i="44"/>
  <c r="AC145" i="44"/>
  <c r="BG55" i="37"/>
  <c r="BF55" i="37"/>
  <c r="AB46" i="44"/>
  <c r="AF46" i="44"/>
  <c r="AG46" i="44"/>
  <c r="AL46" i="44"/>
  <c r="CE322" i="37"/>
  <c r="BJ383" i="37"/>
  <c r="BK383" i="37"/>
  <c r="BL383" i="37"/>
  <c r="BM383" i="37"/>
  <c r="BO383" i="37"/>
  <c r="BP383" i="37"/>
  <c r="BQ383" i="37"/>
  <c r="BR383" i="37"/>
  <c r="BW383" i="37"/>
  <c r="BX383" i="37"/>
  <c r="BY383" i="37"/>
  <c r="BF383" i="37"/>
  <c r="BG383" i="37"/>
  <c r="BJ200" i="37"/>
  <c r="BK200" i="37"/>
  <c r="BL200" i="37"/>
  <c r="BM200" i="37"/>
  <c r="BO200" i="37"/>
  <c r="BP200" i="37"/>
  <c r="BQ200" i="37"/>
  <c r="BS200" i="37"/>
  <c r="BT200" i="37"/>
  <c r="BU200" i="37"/>
  <c r="BW200" i="37"/>
  <c r="BX200" i="37"/>
  <c r="BY200" i="37"/>
  <c r="BJ176" i="37"/>
  <c r="BK176" i="37"/>
  <c r="BL176" i="37"/>
  <c r="BM176" i="37"/>
  <c r="BN176" i="37"/>
  <c r="BO176" i="37"/>
  <c r="BP176" i="37"/>
  <c r="BQ176" i="37"/>
  <c r="BR176" i="37"/>
  <c r="BS176" i="37"/>
  <c r="BT176" i="37"/>
  <c r="BU176" i="37"/>
  <c r="BY176" i="37"/>
  <c r="AH151" i="37"/>
  <c r="AI151" i="37"/>
  <c r="BJ245" i="37"/>
  <c r="BJ246" i="37"/>
  <c r="BJ247" i="37"/>
  <c r="BJ248" i="37"/>
  <c r="BJ249" i="37"/>
  <c r="BJ250" i="37"/>
  <c r="BJ251" i="37"/>
  <c r="BJ252" i="37"/>
  <c r="BF249" i="37"/>
  <c r="BG249" i="37"/>
  <c r="BF250" i="37"/>
  <c r="BG250" i="37"/>
  <c r="BF251" i="37"/>
  <c r="BG251" i="37"/>
  <c r="BF252" i="37"/>
  <c r="BG252" i="37"/>
  <c r="BF253" i="37"/>
  <c r="BG253" i="37"/>
  <c r="AT249" i="37"/>
  <c r="AU249" i="37"/>
  <c r="AT250" i="37"/>
  <c r="AU250" i="37"/>
  <c r="AT251" i="37"/>
  <c r="AU251" i="37"/>
  <c r="AV251" i="37"/>
  <c r="BV251" i="37" s="1"/>
  <c r="AT252" i="37"/>
  <c r="AU252" i="37"/>
  <c r="AT253" i="37"/>
  <c r="AU253" i="37"/>
  <c r="AH249" i="37"/>
  <c r="AI249" i="37"/>
  <c r="AH250" i="37"/>
  <c r="AI250" i="37"/>
  <c r="AJ250" i="37"/>
  <c r="BR250" i="37" s="1"/>
  <c r="AH251" i="37"/>
  <c r="AI251" i="37"/>
  <c r="AJ251" i="37"/>
  <c r="BR251" i="37" s="1"/>
  <c r="AH252" i="37"/>
  <c r="AI252" i="37"/>
  <c r="AH253" i="37"/>
  <c r="AI253" i="37"/>
  <c r="V248" i="37"/>
  <c r="W248" i="37"/>
  <c r="V249" i="37"/>
  <c r="W249" i="37"/>
  <c r="V250" i="37"/>
  <c r="W250" i="37"/>
  <c r="X250" i="37"/>
  <c r="BN250" i="37" s="1"/>
  <c r="V251" i="37"/>
  <c r="W251" i="37"/>
  <c r="X251" i="37"/>
  <c r="BN251" i="37" s="1"/>
  <c r="V252" i="37"/>
  <c r="W252" i="37"/>
  <c r="V253" i="37"/>
  <c r="W253" i="37"/>
  <c r="BZ245" i="37"/>
  <c r="BM247" i="37"/>
  <c r="BO247" i="37"/>
  <c r="BP247" i="37"/>
  <c r="BQ247" i="37"/>
  <c r="BR247" i="37"/>
  <c r="BS247" i="37"/>
  <c r="BT247" i="37"/>
  <c r="BU247" i="37"/>
  <c r="BV247" i="37"/>
  <c r="BW247" i="37"/>
  <c r="BX247" i="37"/>
  <c r="BY247" i="37"/>
  <c r="BZ247" i="37"/>
  <c r="BK250" i="37"/>
  <c r="BL250" i="37"/>
  <c r="BM250" i="37"/>
  <c r="BO250" i="37"/>
  <c r="BP250" i="37"/>
  <c r="BQ250" i="37"/>
  <c r="BS250" i="37"/>
  <c r="BT250" i="37"/>
  <c r="BK251" i="37"/>
  <c r="BL251" i="37"/>
  <c r="BM251" i="37"/>
  <c r="BO251" i="37"/>
  <c r="BP251" i="37"/>
  <c r="BQ251" i="37"/>
  <c r="BS251" i="37"/>
  <c r="BT251" i="37"/>
  <c r="BU251" i="37"/>
  <c r="BW251" i="37"/>
  <c r="BX251" i="37"/>
  <c r="CD243" i="37"/>
  <c r="CE243" i="37"/>
  <c r="CF243" i="37" s="1"/>
  <c r="CD244" i="37"/>
  <c r="CE244" i="37"/>
  <c r="CF244" i="37" s="1"/>
  <c r="CD245" i="37"/>
  <c r="CE245" i="37"/>
  <c r="CF245" i="37" s="1"/>
  <c r="CD246" i="37"/>
  <c r="CE246" i="37"/>
  <c r="CF246" i="37" s="1"/>
  <c r="CD247" i="37"/>
  <c r="CE247" i="37"/>
  <c r="CF247" i="37" s="1"/>
  <c r="CD248" i="37"/>
  <c r="CE248" i="37"/>
  <c r="CF248" i="37" s="1"/>
  <c r="CD249" i="37"/>
  <c r="CE249" i="37"/>
  <c r="CF249" i="37" s="1"/>
  <c r="CD250" i="37"/>
  <c r="CE250" i="37"/>
  <c r="CF250" i="37" s="1"/>
  <c r="CD251" i="37"/>
  <c r="CE251" i="37"/>
  <c r="CF251" i="37" s="1"/>
  <c r="CD252" i="37"/>
  <c r="CE252" i="37"/>
  <c r="CF252" i="37" s="1"/>
  <c r="CD253" i="37"/>
  <c r="CE253" i="37"/>
  <c r="CF253" i="37" s="1"/>
  <c r="CD254" i="37"/>
  <c r="CE254" i="37"/>
  <c r="CF254" i="37" s="1"/>
  <c r="CD255" i="37"/>
  <c r="CE255" i="37"/>
  <c r="CF255" i="37" s="1"/>
  <c r="CD256" i="37"/>
  <c r="CE256" i="37"/>
  <c r="CF256" i="37" s="1"/>
  <c r="CD257" i="37"/>
  <c r="CE257" i="37"/>
  <c r="CF257" i="37" s="1"/>
  <c r="CD258" i="37"/>
  <c r="CE258" i="37"/>
  <c r="CF258" i="37" s="1"/>
  <c r="CD259" i="37"/>
  <c r="CE259" i="37"/>
  <c r="CF259" i="37" s="1"/>
  <c r="CD260" i="37"/>
  <c r="CE260" i="37"/>
  <c r="CF260" i="37" s="1"/>
  <c r="CD261" i="37"/>
  <c r="CE261" i="37"/>
  <c r="CF261" i="37" s="1"/>
  <c r="CD262" i="37"/>
  <c r="CE262" i="37"/>
  <c r="CF262" i="37" s="1"/>
  <c r="CD263" i="37"/>
  <c r="CE263" i="37"/>
  <c r="CF263" i="37" s="1"/>
  <c r="CD264" i="37"/>
  <c r="CE264" i="37"/>
  <c r="CF264" i="37" s="1"/>
  <c r="CD265" i="37"/>
  <c r="CE265" i="37"/>
  <c r="CF265" i="37" s="1"/>
  <c r="BE251" i="37"/>
  <c r="BY251" i="37" s="1"/>
  <c r="BB250" i="37"/>
  <c r="BX250" i="37" s="1"/>
  <c r="BE250" i="37"/>
  <c r="BY250" i="37" s="1"/>
  <c r="AY250" i="37"/>
  <c r="AS250" i="37"/>
  <c r="BU250" i="37" s="1"/>
  <c r="W247" i="37"/>
  <c r="J247" i="37" s="1"/>
  <c r="V247" i="37"/>
  <c r="I247" i="37" s="1"/>
  <c r="O247" i="37"/>
  <c r="BK247" i="37" s="1"/>
  <c r="R247" i="37"/>
  <c r="BL247" i="37" s="1"/>
  <c r="BF298" i="37"/>
  <c r="BG298" i="37"/>
  <c r="AY52" i="37"/>
  <c r="AY53" i="37"/>
  <c r="AY54" i="37"/>
  <c r="AY55" i="37"/>
  <c r="BH55" i="37" s="1"/>
  <c r="BZ55" i="37" s="1"/>
  <c r="CE60" i="37"/>
  <c r="BJ60" i="37"/>
  <c r="BG60" i="37"/>
  <c r="BF60" i="37"/>
  <c r="BE60" i="37"/>
  <c r="BY60" i="37" s="1"/>
  <c r="BB60" i="37"/>
  <c r="BX60" i="37" s="1"/>
  <c r="AY60" i="37"/>
  <c r="BW60" i="37" s="1"/>
  <c r="AU60" i="37"/>
  <c r="AT60" i="37"/>
  <c r="AS60" i="37"/>
  <c r="BU60" i="37" s="1"/>
  <c r="AP60" i="37"/>
  <c r="BT60" i="37" s="1"/>
  <c r="AM60" i="37"/>
  <c r="AI60" i="37"/>
  <c r="AH60" i="37"/>
  <c r="AG60" i="37"/>
  <c r="BQ60" i="37" s="1"/>
  <c r="AD60" i="37"/>
  <c r="BP60" i="37" s="1"/>
  <c r="AA60" i="37"/>
  <c r="BO60" i="37" s="1"/>
  <c r="W60" i="37"/>
  <c r="V60" i="37"/>
  <c r="U60" i="37"/>
  <c r="BM60" i="37" s="1"/>
  <c r="R60" i="37"/>
  <c r="BL60" i="37" s="1"/>
  <c r="O60" i="37"/>
  <c r="BK60" i="37" s="1"/>
  <c r="BG393" i="37"/>
  <c r="BF393" i="37"/>
  <c r="BG391" i="37"/>
  <c r="BF391" i="37"/>
  <c r="BG392" i="37"/>
  <c r="BF392" i="37"/>
  <c r="CE393" i="37"/>
  <c r="BJ393" i="37"/>
  <c r="BE393" i="37"/>
  <c r="BY393" i="37" s="1"/>
  <c r="BB393" i="37"/>
  <c r="BX393" i="37" s="1"/>
  <c r="AY393" i="37"/>
  <c r="BW393" i="37" s="1"/>
  <c r="AU393" i="37"/>
  <c r="AT393" i="37"/>
  <c r="AS393" i="37"/>
  <c r="BU393" i="37" s="1"/>
  <c r="AP393" i="37"/>
  <c r="BT393" i="37" s="1"/>
  <c r="AM393" i="37"/>
  <c r="AI393" i="37"/>
  <c r="AH393" i="37"/>
  <c r="AG393" i="37"/>
  <c r="BQ393" i="37" s="1"/>
  <c r="AD393" i="37"/>
  <c r="BP393" i="37" s="1"/>
  <c r="AA393" i="37"/>
  <c r="W393" i="37"/>
  <c r="V393" i="37"/>
  <c r="U393" i="37"/>
  <c r="BM393" i="37" s="1"/>
  <c r="R393" i="37"/>
  <c r="BL393" i="37" s="1"/>
  <c r="O393" i="37"/>
  <c r="BK393" i="37" s="1"/>
  <c r="CE409" i="37"/>
  <c r="BJ409" i="37"/>
  <c r="BG409" i="37"/>
  <c r="BF409" i="37"/>
  <c r="BE409" i="37"/>
  <c r="BY409" i="37" s="1"/>
  <c r="BB409" i="37"/>
  <c r="BX409" i="37" s="1"/>
  <c r="AY409" i="37"/>
  <c r="BW409" i="37" s="1"/>
  <c r="AU409" i="37"/>
  <c r="AT409" i="37"/>
  <c r="AS409" i="37"/>
  <c r="BU409" i="37" s="1"/>
  <c r="AP409" i="37"/>
  <c r="BT409" i="37" s="1"/>
  <c r="AM409" i="37"/>
  <c r="BS409" i="37" s="1"/>
  <c r="AI409" i="37"/>
  <c r="AH409" i="37"/>
  <c r="AG409" i="37"/>
  <c r="BQ409" i="37" s="1"/>
  <c r="AD409" i="37"/>
  <c r="BP409" i="37" s="1"/>
  <c r="AA409" i="37"/>
  <c r="W409" i="37"/>
  <c r="V409" i="37"/>
  <c r="U409" i="37"/>
  <c r="BM409" i="37" s="1"/>
  <c r="R409" i="37"/>
  <c r="BL409" i="37" s="1"/>
  <c r="O409" i="37"/>
  <c r="BK409" i="37" s="1"/>
  <c r="BH393" i="37" l="1"/>
  <c r="AV60" i="37"/>
  <c r="BV60" i="37" s="1"/>
  <c r="AJ409" i="37"/>
  <c r="BR409" i="37" s="1"/>
  <c r="AJ393" i="37"/>
  <c r="BR393" i="37" s="1"/>
  <c r="BH250" i="37"/>
  <c r="BZ250" i="37" s="1"/>
  <c r="J251" i="37"/>
  <c r="I251" i="37"/>
  <c r="AV250" i="37"/>
  <c r="BV250" i="37" s="1"/>
  <c r="BH251" i="37"/>
  <c r="BZ251" i="37" s="1"/>
  <c r="L251" i="37" s="1"/>
  <c r="BW250" i="37"/>
  <c r="AV409" i="37"/>
  <c r="BV409" i="37" s="1"/>
  <c r="BH383" i="37"/>
  <c r="BZ383" i="37" s="1"/>
  <c r="I250" i="37"/>
  <c r="J250" i="37"/>
  <c r="AJ60" i="37"/>
  <c r="BR60" i="37" s="1"/>
  <c r="AV393" i="37"/>
  <c r="BV393" i="37" s="1"/>
  <c r="X247" i="37"/>
  <c r="BO393" i="37"/>
  <c r="X393" i="37"/>
  <c r="BN393" i="37" s="1"/>
  <c r="I393" i="37"/>
  <c r="BS60" i="37"/>
  <c r="X60" i="37"/>
  <c r="BN60" i="37" s="1"/>
  <c r="J60" i="37"/>
  <c r="I60" i="37"/>
  <c r="BH60" i="37"/>
  <c r="BZ60" i="37" s="1"/>
  <c r="BS393" i="37"/>
  <c r="X409" i="37"/>
  <c r="BN409" i="37" s="1"/>
  <c r="BH391" i="37"/>
  <c r="J393" i="37"/>
  <c r="BH392" i="37"/>
  <c r="BZ393" i="37"/>
  <c r="BO409" i="37"/>
  <c r="J409" i="37"/>
  <c r="I409" i="37"/>
  <c r="BH409" i="37"/>
  <c r="BZ409" i="37" s="1"/>
  <c r="L250" i="37" l="1"/>
  <c r="K251" i="37"/>
  <c r="CB251" i="37" s="1"/>
  <c r="K250" i="37"/>
  <c r="K247" i="37"/>
  <c r="CB247" i="37" s="1"/>
  <c r="BN247" i="37"/>
  <c r="L60" i="37"/>
  <c r="K60" i="37"/>
  <c r="K393" i="37"/>
  <c r="L393" i="37"/>
  <c r="L409" i="37"/>
  <c r="K409" i="37"/>
  <c r="CB409" i="37" s="1"/>
  <c r="CB250" i="37" l="1"/>
  <c r="CB60" i="37"/>
  <c r="CB393" i="37"/>
  <c r="AM53" i="44" l="1"/>
  <c r="AM54" i="44"/>
  <c r="AM55" i="44"/>
  <c r="AM56" i="44"/>
  <c r="AM57" i="44"/>
  <c r="AM58" i="44"/>
  <c r="AM59" i="44"/>
  <c r="V59" i="44" s="1"/>
  <c r="T59" i="44" s="1"/>
  <c r="AM60" i="44"/>
  <c r="V60" i="44" s="1"/>
  <c r="L53" i="44"/>
  <c r="M53" i="44"/>
  <c r="O53" i="44"/>
  <c r="P53" i="44"/>
  <c r="R53" i="44" s="1"/>
  <c r="S53" i="44"/>
  <c r="L54" i="44"/>
  <c r="M54" i="44"/>
  <c r="O54" i="44"/>
  <c r="P54" i="44"/>
  <c r="R54" i="44" s="1"/>
  <c r="S54" i="44"/>
  <c r="L55" i="44"/>
  <c r="M55" i="44"/>
  <c r="O55" i="44"/>
  <c r="P55" i="44"/>
  <c r="R55" i="44" s="1"/>
  <c r="S55" i="44"/>
  <c r="L56" i="44"/>
  <c r="M56" i="44"/>
  <c r="O56" i="44"/>
  <c r="P56" i="44"/>
  <c r="R56" i="44" s="1"/>
  <c r="S56" i="44"/>
  <c r="L57" i="44"/>
  <c r="M57" i="44"/>
  <c r="O57" i="44"/>
  <c r="P57" i="44"/>
  <c r="R57" i="44"/>
  <c r="S57" i="44"/>
  <c r="L58" i="44"/>
  <c r="M58" i="44"/>
  <c r="O58" i="44"/>
  <c r="P58" i="44"/>
  <c r="R58" i="44"/>
  <c r="S58" i="44"/>
  <c r="L59" i="44"/>
  <c r="M59" i="44"/>
  <c r="O59" i="44"/>
  <c r="P59" i="44"/>
  <c r="R59" i="44" s="1"/>
  <c r="S59" i="44"/>
  <c r="L60" i="44"/>
  <c r="M60" i="44"/>
  <c r="O60" i="44"/>
  <c r="P60" i="44"/>
  <c r="R60" i="44" s="1"/>
  <c r="S60" i="44"/>
  <c r="J53" i="44"/>
  <c r="J54" i="44"/>
  <c r="J55" i="44"/>
  <c r="J56" i="44"/>
  <c r="J57" i="44"/>
  <c r="J58" i="44"/>
  <c r="J59" i="44"/>
  <c r="J60" i="44"/>
  <c r="F53" i="44"/>
  <c r="F54" i="44"/>
  <c r="F55" i="44"/>
  <c r="F56" i="44"/>
  <c r="F57" i="44"/>
  <c r="F58" i="44"/>
  <c r="F59" i="44"/>
  <c r="F60" i="44"/>
  <c r="AK52" i="44"/>
  <c r="AK46" i="44" s="1"/>
  <c r="F88" i="44"/>
  <c r="S91" i="44"/>
  <c r="P91" i="44"/>
  <c r="R91" i="44" s="1"/>
  <c r="O91" i="44"/>
  <c r="M91" i="44"/>
  <c r="J91" i="44"/>
  <c r="F91" i="44"/>
  <c r="S90" i="44"/>
  <c r="P90" i="44"/>
  <c r="R90" i="44" s="1"/>
  <c r="O90" i="44"/>
  <c r="M90" i="44"/>
  <c r="AH90" i="44"/>
  <c r="J90" i="44"/>
  <c r="X89" i="44"/>
  <c r="Y89" i="44"/>
  <c r="J88" i="44"/>
  <c r="J99" i="44"/>
  <c r="F99" i="44"/>
  <c r="Y145" i="44"/>
  <c r="X145" i="44"/>
  <c r="X143" i="44" s="1"/>
  <c r="AA144" i="44"/>
  <c r="V144" i="44"/>
  <c r="S144" i="44"/>
  <c r="P144" i="44"/>
  <c r="R144" i="44" s="1"/>
  <c r="O144" i="44"/>
  <c r="M144" i="44"/>
  <c r="L144" i="44"/>
  <c r="J144" i="44"/>
  <c r="F144" i="44"/>
  <c r="F135" i="44"/>
  <c r="AL135" i="44"/>
  <c r="AK135" i="44"/>
  <c r="AC135" i="44"/>
  <c r="AD135" i="44"/>
  <c r="AF135" i="44"/>
  <c r="AG135" i="44"/>
  <c r="AH135" i="44"/>
  <c r="AJ135" i="44"/>
  <c r="AB135" i="44"/>
  <c r="AB134" i="44"/>
  <c r="AD70" i="44"/>
  <c r="AC70" i="44"/>
  <c r="AC66" i="44"/>
  <c r="AB65" i="44"/>
  <c r="Y64" i="44"/>
  <c r="J25" i="44"/>
  <c r="W59" i="44" l="1"/>
  <c r="W60" i="44"/>
  <c r="W144" i="44"/>
  <c r="N60" i="44"/>
  <c r="N59" i="44"/>
  <c r="T60" i="44"/>
  <c r="N144" i="44"/>
  <c r="U144" i="44" s="1"/>
  <c r="T144" i="44" s="1"/>
  <c r="J135" i="44" l="1"/>
  <c r="AD89" i="44"/>
  <c r="AC89" i="44"/>
  <c r="X64" i="44"/>
  <c r="AL39" i="44"/>
  <c r="AJ39" i="44"/>
  <c r="BG273" i="37"/>
  <c r="BF273" i="37"/>
  <c r="BG272" i="37"/>
  <c r="BF272" i="37"/>
  <c r="AM53" i="37"/>
  <c r="AI245" i="37"/>
  <c r="AH245" i="37"/>
  <c r="CE383" i="37"/>
  <c r="CE200" i="37"/>
  <c r="CE194" i="37"/>
  <c r="CE195" i="37"/>
  <c r="CE176" i="37"/>
  <c r="CE177" i="37"/>
  <c r="CE52" i="37"/>
  <c r="CE53" i="37"/>
  <c r="CE54" i="37"/>
  <c r="CE55" i="37"/>
  <c r="CE163" i="37"/>
  <c r="M92" i="37"/>
  <c r="N92" i="37"/>
  <c r="P92" i="37"/>
  <c r="Q92" i="37"/>
  <c r="S92" i="37"/>
  <c r="T92" i="37"/>
  <c r="Y92" i="37"/>
  <c r="Z92" i="37"/>
  <c r="AB92" i="37"/>
  <c r="AC92" i="37"/>
  <c r="AE92" i="37"/>
  <c r="AF92" i="37"/>
  <c r="J52" i="44"/>
  <c r="AU42" i="37"/>
  <c r="AL24" i="44"/>
  <c r="AF24" i="44"/>
  <c r="AK121" i="44"/>
  <c r="AJ121" i="44"/>
  <c r="J64" i="44"/>
  <c r="O381" i="37" l="1"/>
  <c r="AJ52" i="44"/>
  <c r="AJ46" i="44" s="1"/>
  <c r="AD120" i="44"/>
  <c r="AJ146" i="44"/>
  <c r="AF146" i="44"/>
  <c r="AH146" i="44"/>
  <c r="AF121" i="44"/>
  <c r="AH121" i="44"/>
  <c r="AT383" i="37"/>
  <c r="AU383" i="37"/>
  <c r="J383" i="37" s="1"/>
  <c r="AS383" i="37"/>
  <c r="BU383" i="37" s="1"/>
  <c r="AP383" i="37"/>
  <c r="BT383" i="37" s="1"/>
  <c r="AM383" i="37"/>
  <c r="BS383" i="37" s="1"/>
  <c r="W381" i="37"/>
  <c r="V381" i="37"/>
  <c r="T31" i="37"/>
  <c r="BG288" i="37"/>
  <c r="BF288" i="37"/>
  <c r="BG237" i="37"/>
  <c r="BF237" i="37"/>
  <c r="AU237" i="37"/>
  <c r="AT237" i="37"/>
  <c r="AI113" i="37"/>
  <c r="AH113" i="37"/>
  <c r="AU113" i="37"/>
  <c r="AT113" i="37"/>
  <c r="BG88" i="37"/>
  <c r="BF88" i="37"/>
  <c r="BG87" i="37"/>
  <c r="BF87" i="37"/>
  <c r="AU187" i="37"/>
  <c r="AT187" i="37"/>
  <c r="AU186" i="37"/>
  <c r="AT186" i="37"/>
  <c r="AI399" i="37"/>
  <c r="AH399" i="37"/>
  <c r="AI400" i="37"/>
  <c r="AH400" i="37"/>
  <c r="W399" i="37"/>
  <c r="V399" i="37"/>
  <c r="M397" i="37"/>
  <c r="N397" i="37"/>
  <c r="P397" i="37"/>
  <c r="Q397" i="37"/>
  <c r="S397" i="37"/>
  <c r="T397" i="37"/>
  <c r="Y397" i="37"/>
  <c r="Z397" i="37"/>
  <c r="AB397" i="37"/>
  <c r="AC397" i="37"/>
  <c r="AE397" i="37"/>
  <c r="AF397" i="37"/>
  <c r="AK397" i="37"/>
  <c r="AL397" i="37"/>
  <c r="AN397" i="37"/>
  <c r="AO397" i="37"/>
  <c r="AQ397" i="37"/>
  <c r="AR397" i="37"/>
  <c r="AW397" i="37"/>
  <c r="AX397" i="37"/>
  <c r="AZ397" i="37"/>
  <c r="BA397" i="37"/>
  <c r="BC397" i="37"/>
  <c r="BD397" i="37"/>
  <c r="CE411" i="37"/>
  <c r="BJ411" i="37"/>
  <c r="BG411" i="37"/>
  <c r="BF411" i="37"/>
  <c r="BE411" i="37"/>
  <c r="BY411" i="37" s="1"/>
  <c r="BB411" i="37"/>
  <c r="BX411" i="37" s="1"/>
  <c r="AY411" i="37"/>
  <c r="BW411" i="37" s="1"/>
  <c r="AU411" i="37"/>
  <c r="AT411" i="37"/>
  <c r="AS411" i="37"/>
  <c r="BU411" i="37" s="1"/>
  <c r="AP411" i="37"/>
  <c r="BT411" i="37" s="1"/>
  <c r="AM411" i="37"/>
  <c r="BS411" i="37" s="1"/>
  <c r="AI411" i="37"/>
  <c r="AH411" i="37"/>
  <c r="AG411" i="37"/>
  <c r="BQ411" i="37" s="1"/>
  <c r="AD411" i="37"/>
  <c r="BP411" i="37" s="1"/>
  <c r="AA411" i="37"/>
  <c r="W411" i="37"/>
  <c r="V411" i="37"/>
  <c r="U411" i="37"/>
  <c r="BM411" i="37" s="1"/>
  <c r="R411" i="37"/>
  <c r="BL411" i="37" s="1"/>
  <c r="O411" i="37"/>
  <c r="BK411" i="37" s="1"/>
  <c r="CE410" i="37"/>
  <c r="BJ410" i="37"/>
  <c r="BG410" i="37"/>
  <c r="BF410" i="37"/>
  <c r="BE410" i="37"/>
  <c r="BY410" i="37" s="1"/>
  <c r="BB410" i="37"/>
  <c r="BX410" i="37" s="1"/>
  <c r="AY410" i="37"/>
  <c r="BW410" i="37" s="1"/>
  <c r="AU410" i="37"/>
  <c r="AT410" i="37"/>
  <c r="AS410" i="37"/>
  <c r="BU410" i="37" s="1"/>
  <c r="AP410" i="37"/>
  <c r="BT410" i="37" s="1"/>
  <c r="AM410" i="37"/>
  <c r="BS410" i="37" s="1"/>
  <c r="AI410" i="37"/>
  <c r="AH410" i="37"/>
  <c r="AG410" i="37"/>
  <c r="BQ410" i="37" s="1"/>
  <c r="AD410" i="37"/>
  <c r="BP410" i="37" s="1"/>
  <c r="AA410" i="37"/>
  <c r="BO410" i="37" s="1"/>
  <c r="W410" i="37"/>
  <c r="V410" i="37"/>
  <c r="U410" i="37"/>
  <c r="BM410" i="37" s="1"/>
  <c r="R410" i="37"/>
  <c r="BL410" i="37" s="1"/>
  <c r="O410" i="37"/>
  <c r="BK410" i="37" s="1"/>
  <c r="CE408" i="37"/>
  <c r="BJ408" i="37"/>
  <c r="BG408" i="37"/>
  <c r="BF408" i="37"/>
  <c r="BE408" i="37"/>
  <c r="BY408" i="37" s="1"/>
  <c r="BB408" i="37"/>
  <c r="BX408" i="37" s="1"/>
  <c r="AY408" i="37"/>
  <c r="BW408" i="37" s="1"/>
  <c r="AU408" i="37"/>
  <c r="AT408" i="37"/>
  <c r="AS408" i="37"/>
  <c r="BU408" i="37" s="1"/>
  <c r="AP408" i="37"/>
  <c r="BT408" i="37" s="1"/>
  <c r="AM408" i="37"/>
  <c r="BS408" i="37" s="1"/>
  <c r="AI408" i="37"/>
  <c r="AH408" i="37"/>
  <c r="AG408" i="37"/>
  <c r="BQ408" i="37" s="1"/>
  <c r="AD408" i="37"/>
  <c r="BP408" i="37" s="1"/>
  <c r="AA408" i="37"/>
  <c r="BO408" i="37" s="1"/>
  <c r="W408" i="37"/>
  <c r="V408" i="37"/>
  <c r="U408" i="37"/>
  <c r="BM408" i="37" s="1"/>
  <c r="R408" i="37"/>
  <c r="BL408" i="37" s="1"/>
  <c r="O408" i="37"/>
  <c r="BK408" i="37" s="1"/>
  <c r="CE407" i="37"/>
  <c r="BJ407" i="37"/>
  <c r="BG407" i="37"/>
  <c r="BF407" i="37"/>
  <c r="BE407" i="37"/>
  <c r="BY407" i="37" s="1"/>
  <c r="BB407" i="37"/>
  <c r="BX407" i="37" s="1"/>
  <c r="AY407" i="37"/>
  <c r="BW407" i="37" s="1"/>
  <c r="AU407" i="37"/>
  <c r="AT407" i="37"/>
  <c r="AS407" i="37"/>
  <c r="BU407" i="37" s="1"/>
  <c r="AP407" i="37"/>
  <c r="BT407" i="37" s="1"/>
  <c r="AM407" i="37"/>
  <c r="BS407" i="37" s="1"/>
  <c r="AI407" i="37"/>
  <c r="AH407" i="37"/>
  <c r="AG407" i="37"/>
  <c r="BQ407" i="37" s="1"/>
  <c r="AD407" i="37"/>
  <c r="BP407" i="37" s="1"/>
  <c r="AA407" i="37"/>
  <c r="BO407" i="37" s="1"/>
  <c r="W407" i="37"/>
  <c r="V407" i="37"/>
  <c r="U407" i="37"/>
  <c r="BM407" i="37" s="1"/>
  <c r="R407" i="37"/>
  <c r="BL407" i="37" s="1"/>
  <c r="O407" i="37"/>
  <c r="BK407" i="37" s="1"/>
  <c r="CE406" i="37"/>
  <c r="BJ406" i="37"/>
  <c r="BG406" i="37"/>
  <c r="BF406" i="37"/>
  <c r="BE406" i="37"/>
  <c r="BY406" i="37" s="1"/>
  <c r="BB406" i="37"/>
  <c r="BX406" i="37" s="1"/>
  <c r="AY406" i="37"/>
  <c r="BW406" i="37" s="1"/>
  <c r="AU406" i="37"/>
  <c r="AT406" i="37"/>
  <c r="AS406" i="37"/>
  <c r="BU406" i="37" s="1"/>
  <c r="AP406" i="37"/>
  <c r="BT406" i="37" s="1"/>
  <c r="AM406" i="37"/>
  <c r="BS406" i="37" s="1"/>
  <c r="AI406" i="37"/>
  <c r="AH406" i="37"/>
  <c r="AG406" i="37"/>
  <c r="BQ406" i="37" s="1"/>
  <c r="AD406" i="37"/>
  <c r="BP406" i="37" s="1"/>
  <c r="AA406" i="37"/>
  <c r="BO406" i="37" s="1"/>
  <c r="W406" i="37"/>
  <c r="V406" i="37"/>
  <c r="U406" i="37"/>
  <c r="BM406" i="37" s="1"/>
  <c r="R406" i="37"/>
  <c r="BL406" i="37" s="1"/>
  <c r="O406" i="37"/>
  <c r="BK406" i="37" s="1"/>
  <c r="AI403" i="37"/>
  <c r="CE405" i="37"/>
  <c r="BJ405" i="37"/>
  <c r="BG405" i="37"/>
  <c r="BF405" i="37"/>
  <c r="BE405" i="37"/>
  <c r="BY405" i="37" s="1"/>
  <c r="BB405" i="37"/>
  <c r="BX405" i="37" s="1"/>
  <c r="AY405" i="37"/>
  <c r="BW405" i="37" s="1"/>
  <c r="AU405" i="37"/>
  <c r="AT405" i="37"/>
  <c r="AS405" i="37"/>
  <c r="BU405" i="37" s="1"/>
  <c r="AP405" i="37"/>
  <c r="BT405" i="37" s="1"/>
  <c r="AM405" i="37"/>
  <c r="BS405" i="37" s="1"/>
  <c r="AI405" i="37"/>
  <c r="AH405" i="37"/>
  <c r="AG405" i="37"/>
  <c r="BQ405" i="37" s="1"/>
  <c r="AD405" i="37"/>
  <c r="BP405" i="37" s="1"/>
  <c r="AA405" i="37"/>
  <c r="W405" i="37"/>
  <c r="V405" i="37"/>
  <c r="U405" i="37"/>
  <c r="BM405" i="37" s="1"/>
  <c r="R405" i="37"/>
  <c r="BL405" i="37" s="1"/>
  <c r="O405" i="37"/>
  <c r="BK405" i="37" s="1"/>
  <c r="CE404" i="37"/>
  <c r="BJ404" i="37"/>
  <c r="BG404" i="37"/>
  <c r="BF404" i="37"/>
  <c r="BE404" i="37"/>
  <c r="BY404" i="37" s="1"/>
  <c r="BB404" i="37"/>
  <c r="BX404" i="37" s="1"/>
  <c r="AY404" i="37"/>
  <c r="BW404" i="37" s="1"/>
  <c r="AU404" i="37"/>
  <c r="AT404" i="37"/>
  <c r="AS404" i="37"/>
  <c r="BU404" i="37" s="1"/>
  <c r="AP404" i="37"/>
  <c r="BT404" i="37" s="1"/>
  <c r="AM404" i="37"/>
  <c r="BS404" i="37" s="1"/>
  <c r="AI404" i="37"/>
  <c r="AH404" i="37"/>
  <c r="AG404" i="37"/>
  <c r="BQ404" i="37" s="1"/>
  <c r="AD404" i="37"/>
  <c r="BP404" i="37" s="1"/>
  <c r="AA404" i="37"/>
  <c r="W404" i="37"/>
  <c r="V404" i="37"/>
  <c r="U404" i="37"/>
  <c r="BM404" i="37" s="1"/>
  <c r="R404" i="37"/>
  <c r="BL404" i="37" s="1"/>
  <c r="O404" i="37"/>
  <c r="BK404" i="37" s="1"/>
  <c r="CE403" i="37"/>
  <c r="BJ403" i="37"/>
  <c r="BG403" i="37"/>
  <c r="BF403" i="37"/>
  <c r="BE403" i="37"/>
  <c r="BY403" i="37" s="1"/>
  <c r="BB403" i="37"/>
  <c r="BX403" i="37" s="1"/>
  <c r="AY403" i="37"/>
  <c r="BW403" i="37" s="1"/>
  <c r="AU403" i="37"/>
  <c r="AT403" i="37"/>
  <c r="AS403" i="37"/>
  <c r="BU403" i="37" s="1"/>
  <c r="AP403" i="37"/>
  <c r="BT403" i="37" s="1"/>
  <c r="AM403" i="37"/>
  <c r="BS403" i="37" s="1"/>
  <c r="AH403" i="37"/>
  <c r="AG403" i="37"/>
  <c r="BQ403" i="37" s="1"/>
  <c r="AD403" i="37"/>
  <c r="BP403" i="37" s="1"/>
  <c r="AA403" i="37"/>
  <c r="BO403" i="37" s="1"/>
  <c r="W403" i="37"/>
  <c r="V403" i="37"/>
  <c r="U403" i="37"/>
  <c r="BM403" i="37" s="1"/>
  <c r="R403" i="37"/>
  <c r="BL403" i="37" s="1"/>
  <c r="O403" i="37"/>
  <c r="BK403" i="37" s="1"/>
  <c r="CE402" i="37"/>
  <c r="BJ402" i="37"/>
  <c r="BG402" i="37"/>
  <c r="BF402" i="37"/>
  <c r="BE402" i="37"/>
  <c r="BY402" i="37" s="1"/>
  <c r="BB402" i="37"/>
  <c r="BX402" i="37" s="1"/>
  <c r="AY402" i="37"/>
  <c r="BW402" i="37" s="1"/>
  <c r="AU402" i="37"/>
  <c r="AT402" i="37"/>
  <c r="AS402" i="37"/>
  <c r="BU402" i="37" s="1"/>
  <c r="AP402" i="37"/>
  <c r="BT402" i="37" s="1"/>
  <c r="AM402" i="37"/>
  <c r="BS402" i="37" s="1"/>
  <c r="AI402" i="37"/>
  <c r="AH402" i="37"/>
  <c r="AG402" i="37"/>
  <c r="BQ402" i="37" s="1"/>
  <c r="AD402" i="37"/>
  <c r="BP402" i="37" s="1"/>
  <c r="AA402" i="37"/>
  <c r="BO402" i="37" s="1"/>
  <c r="W402" i="37"/>
  <c r="V402" i="37"/>
  <c r="U402" i="37"/>
  <c r="BM402" i="37" s="1"/>
  <c r="R402" i="37"/>
  <c r="BL402" i="37" s="1"/>
  <c r="O402" i="37"/>
  <c r="BK402" i="37" s="1"/>
  <c r="BG401" i="37"/>
  <c r="BF401" i="37"/>
  <c r="BG400" i="37"/>
  <c r="BF400" i="37"/>
  <c r="BG399" i="37"/>
  <c r="BF399" i="37"/>
  <c r="AH392" i="37"/>
  <c r="AI392" i="37"/>
  <c r="AH394" i="37"/>
  <c r="AI394" i="37"/>
  <c r="AH395" i="37"/>
  <c r="AI395" i="37"/>
  <c r="AH396" i="37"/>
  <c r="AI396" i="37"/>
  <c r="AT392" i="37"/>
  <c r="AU392" i="37"/>
  <c r="AT394" i="37"/>
  <c r="AU394" i="37"/>
  <c r="AT395" i="37"/>
  <c r="AU395" i="37"/>
  <c r="AT396" i="37"/>
  <c r="AU396" i="37"/>
  <c r="BF389" i="37"/>
  <c r="BG389" i="37"/>
  <c r="BF390" i="37"/>
  <c r="BG390" i="37"/>
  <c r="BF394" i="37"/>
  <c r="BG394" i="37"/>
  <c r="BF395" i="37"/>
  <c r="BG395" i="37"/>
  <c r="BF396" i="37"/>
  <c r="BG396" i="37"/>
  <c r="AI388" i="37"/>
  <c r="AH388" i="37"/>
  <c r="M380" i="37"/>
  <c r="N380" i="37"/>
  <c r="P380" i="37"/>
  <c r="Q380" i="37"/>
  <c r="S380" i="37"/>
  <c r="T380" i="37"/>
  <c r="Y380" i="37"/>
  <c r="Z380" i="37"/>
  <c r="AB380" i="37"/>
  <c r="AC380" i="37"/>
  <c r="AE380" i="37"/>
  <c r="AF380" i="37"/>
  <c r="AK380" i="37"/>
  <c r="AL380" i="37"/>
  <c r="AN380" i="37"/>
  <c r="AO380" i="37"/>
  <c r="AQ380" i="37"/>
  <c r="AR380" i="37"/>
  <c r="AW380" i="37"/>
  <c r="AX380" i="37"/>
  <c r="AZ380" i="37"/>
  <c r="BA380" i="37"/>
  <c r="BC380" i="37"/>
  <c r="BD380" i="37"/>
  <c r="BG386" i="37"/>
  <c r="BF386" i="37"/>
  <c r="BG385" i="37"/>
  <c r="BF385" i="37"/>
  <c r="AI381" i="37"/>
  <c r="AH381" i="37"/>
  <c r="CE396" i="37"/>
  <c r="BJ396" i="37"/>
  <c r="BE396" i="37"/>
  <c r="BY396" i="37" s="1"/>
  <c r="BB396" i="37"/>
  <c r="BX396" i="37" s="1"/>
  <c r="AY396" i="37"/>
  <c r="AS396" i="37"/>
  <c r="BU396" i="37" s="1"/>
  <c r="AP396" i="37"/>
  <c r="BT396" i="37" s="1"/>
  <c r="AM396" i="37"/>
  <c r="AG396" i="37"/>
  <c r="BQ396" i="37" s="1"/>
  <c r="AD396" i="37"/>
  <c r="BP396" i="37" s="1"/>
  <c r="AA396" i="37"/>
  <c r="W396" i="37"/>
  <c r="V396" i="37"/>
  <c r="U396" i="37"/>
  <c r="R396" i="37"/>
  <c r="BL396" i="37" s="1"/>
  <c r="O396" i="37"/>
  <c r="BK396" i="37" s="1"/>
  <c r="CE395" i="37"/>
  <c r="BJ395" i="37"/>
  <c r="BE395" i="37"/>
  <c r="BY395" i="37" s="1"/>
  <c r="BB395" i="37"/>
  <c r="BX395" i="37" s="1"/>
  <c r="AY395" i="37"/>
  <c r="BW395" i="37" s="1"/>
  <c r="AS395" i="37"/>
  <c r="BU395" i="37" s="1"/>
  <c r="AP395" i="37"/>
  <c r="AM395" i="37"/>
  <c r="BS395" i="37" s="1"/>
  <c r="AG395" i="37"/>
  <c r="BQ395" i="37" s="1"/>
  <c r="AD395" i="37"/>
  <c r="BP395" i="37" s="1"/>
  <c r="AA395" i="37"/>
  <c r="W395" i="37"/>
  <c r="V395" i="37"/>
  <c r="U395" i="37"/>
  <c r="BM395" i="37" s="1"/>
  <c r="R395" i="37"/>
  <c r="BL395" i="37" s="1"/>
  <c r="O395" i="37"/>
  <c r="CE394" i="37"/>
  <c r="BJ394" i="37"/>
  <c r="BE394" i="37"/>
  <c r="BY394" i="37" s="1"/>
  <c r="BB394" i="37"/>
  <c r="BX394" i="37" s="1"/>
  <c r="AY394" i="37"/>
  <c r="BW394" i="37" s="1"/>
  <c r="AS394" i="37"/>
  <c r="BU394" i="37" s="1"/>
  <c r="AP394" i="37"/>
  <c r="BT394" i="37" s="1"/>
  <c r="AM394" i="37"/>
  <c r="BS394" i="37" s="1"/>
  <c r="AG394" i="37"/>
  <c r="BQ394" i="37" s="1"/>
  <c r="AD394" i="37"/>
  <c r="BP394" i="37" s="1"/>
  <c r="AA394" i="37"/>
  <c r="BO394" i="37" s="1"/>
  <c r="W394" i="37"/>
  <c r="V394" i="37"/>
  <c r="U394" i="37"/>
  <c r="R394" i="37"/>
  <c r="BL394" i="37" s="1"/>
  <c r="O394" i="37"/>
  <c r="BK394" i="37" s="1"/>
  <c r="CE392" i="37"/>
  <c r="BJ392" i="37"/>
  <c r="BE392" i="37"/>
  <c r="BY392" i="37" s="1"/>
  <c r="BB392" i="37"/>
  <c r="BX392" i="37" s="1"/>
  <c r="AY392" i="37"/>
  <c r="BW392" i="37" s="1"/>
  <c r="AS392" i="37"/>
  <c r="BU392" i="37" s="1"/>
  <c r="AP392" i="37"/>
  <c r="BT392" i="37" s="1"/>
  <c r="AM392" i="37"/>
  <c r="BS392" i="37" s="1"/>
  <c r="AG392" i="37"/>
  <c r="BQ392" i="37" s="1"/>
  <c r="AD392" i="37"/>
  <c r="BP392" i="37" s="1"/>
  <c r="AA392" i="37"/>
  <c r="BO392" i="37" s="1"/>
  <c r="W392" i="37"/>
  <c r="V392" i="37"/>
  <c r="U392" i="37"/>
  <c r="BM392" i="37" s="1"/>
  <c r="R392" i="37"/>
  <c r="BL392" i="37" s="1"/>
  <c r="O392" i="37"/>
  <c r="BK392" i="37" s="1"/>
  <c r="CE391" i="37"/>
  <c r="BJ391" i="37"/>
  <c r="BE391" i="37"/>
  <c r="BY391" i="37" s="1"/>
  <c r="BB391" i="37"/>
  <c r="BX391" i="37" s="1"/>
  <c r="AY391" i="37"/>
  <c r="AU391" i="37"/>
  <c r="AT391" i="37"/>
  <c r="AS391" i="37"/>
  <c r="BU391" i="37" s="1"/>
  <c r="AP391" i="37"/>
  <c r="BT391" i="37" s="1"/>
  <c r="AM391" i="37"/>
  <c r="AI391" i="37"/>
  <c r="AH391" i="37"/>
  <c r="AG391" i="37"/>
  <c r="BQ391" i="37" s="1"/>
  <c r="AD391" i="37"/>
  <c r="BP391" i="37" s="1"/>
  <c r="AA391" i="37"/>
  <c r="BO391" i="37" s="1"/>
  <c r="W391" i="37"/>
  <c r="V391" i="37"/>
  <c r="U391" i="37"/>
  <c r="BM391" i="37" s="1"/>
  <c r="R391" i="37"/>
  <c r="BL391" i="37" s="1"/>
  <c r="O391" i="37"/>
  <c r="CE390" i="37"/>
  <c r="BJ390" i="37"/>
  <c r="BE390" i="37"/>
  <c r="BY390" i="37" s="1"/>
  <c r="BB390" i="37"/>
  <c r="BX390" i="37" s="1"/>
  <c r="AY390" i="37"/>
  <c r="BW390" i="37" s="1"/>
  <c r="AU390" i="37"/>
  <c r="AT390" i="37"/>
  <c r="AS390" i="37"/>
  <c r="BU390" i="37" s="1"/>
  <c r="AP390" i="37"/>
  <c r="BT390" i="37" s="1"/>
  <c r="AM390" i="37"/>
  <c r="AI390" i="37"/>
  <c r="AH390" i="37"/>
  <c r="AG390" i="37"/>
  <c r="BQ390" i="37" s="1"/>
  <c r="AD390" i="37"/>
  <c r="BP390" i="37" s="1"/>
  <c r="AA390" i="37"/>
  <c r="W390" i="37"/>
  <c r="V390" i="37"/>
  <c r="U390" i="37"/>
  <c r="BM390" i="37" s="1"/>
  <c r="R390" i="37"/>
  <c r="BL390" i="37" s="1"/>
  <c r="O390" i="37"/>
  <c r="CE389" i="37"/>
  <c r="BJ389" i="37"/>
  <c r="BE389" i="37"/>
  <c r="BY389" i="37" s="1"/>
  <c r="BB389" i="37"/>
  <c r="BX389" i="37" s="1"/>
  <c r="AY389" i="37"/>
  <c r="BW389" i="37" s="1"/>
  <c r="AU389" i="37"/>
  <c r="AT389" i="37"/>
  <c r="AS389" i="37"/>
  <c r="BU389" i="37" s="1"/>
  <c r="AP389" i="37"/>
  <c r="BT389" i="37" s="1"/>
  <c r="AM389" i="37"/>
  <c r="BS389" i="37" s="1"/>
  <c r="AI389" i="37"/>
  <c r="AH389" i="37"/>
  <c r="AG389" i="37"/>
  <c r="BQ389" i="37" s="1"/>
  <c r="AD389" i="37"/>
  <c r="BP389" i="37" s="1"/>
  <c r="AA389" i="37"/>
  <c r="BO389" i="37" s="1"/>
  <c r="W389" i="37"/>
  <c r="V389" i="37"/>
  <c r="U389" i="37"/>
  <c r="BM389" i="37" s="1"/>
  <c r="R389" i="37"/>
  <c r="BL389" i="37" s="1"/>
  <c r="O389" i="37"/>
  <c r="BK389" i="37" s="1"/>
  <c r="CE388" i="37"/>
  <c r="BJ388" i="37"/>
  <c r="BG388" i="37"/>
  <c r="BF388" i="37"/>
  <c r="BE388" i="37"/>
  <c r="BY388" i="37" s="1"/>
  <c r="BB388" i="37"/>
  <c r="BX388" i="37" s="1"/>
  <c r="AY388" i="37"/>
  <c r="BW388" i="37" s="1"/>
  <c r="AU388" i="37"/>
  <c r="AT388" i="37"/>
  <c r="AS388" i="37"/>
  <c r="BU388" i="37" s="1"/>
  <c r="AP388" i="37"/>
  <c r="BT388" i="37" s="1"/>
  <c r="AM388" i="37"/>
  <c r="AG388" i="37"/>
  <c r="BQ388" i="37" s="1"/>
  <c r="AD388" i="37"/>
  <c r="BP388" i="37" s="1"/>
  <c r="AA388" i="37"/>
  <c r="BO388" i="37" s="1"/>
  <c r="W388" i="37"/>
  <c r="V388" i="37"/>
  <c r="U388" i="37"/>
  <c r="BM388" i="37" s="1"/>
  <c r="R388" i="37"/>
  <c r="BL388" i="37" s="1"/>
  <c r="O388" i="37"/>
  <c r="BK388" i="37" s="1"/>
  <c r="AI382" i="37"/>
  <c r="AH382" i="37"/>
  <c r="BG384" i="37"/>
  <c r="BF384" i="37"/>
  <c r="BG382" i="37"/>
  <c r="BF382" i="37"/>
  <c r="BG381" i="37"/>
  <c r="BF381" i="37"/>
  <c r="AU381" i="37"/>
  <c r="AT381" i="37"/>
  <c r="AU382" i="37"/>
  <c r="AT382" i="37"/>
  <c r="AU384" i="37"/>
  <c r="AT384" i="37"/>
  <c r="W398" i="37"/>
  <c r="V398" i="37"/>
  <c r="AI398" i="37"/>
  <c r="AH398" i="37"/>
  <c r="AH401" i="37"/>
  <c r="AI401" i="37"/>
  <c r="AT401" i="37"/>
  <c r="AU401" i="37"/>
  <c r="AT399" i="37"/>
  <c r="AU399" i="37"/>
  <c r="AT400" i="37"/>
  <c r="AU400" i="37"/>
  <c r="W400" i="37"/>
  <c r="V400" i="37"/>
  <c r="BG205" i="37"/>
  <c r="BF205" i="37"/>
  <c r="BG204" i="37"/>
  <c r="BF204" i="37"/>
  <c r="BG203" i="37"/>
  <c r="BF203" i="37"/>
  <c r="AU203" i="37"/>
  <c r="AT203" i="37"/>
  <c r="AU202" i="37"/>
  <c r="AT202" i="37"/>
  <c r="AU201" i="37"/>
  <c r="AT201" i="37"/>
  <c r="AV200" i="37"/>
  <c r="BV200" i="37" s="1"/>
  <c r="AU200" i="37"/>
  <c r="AT200" i="37"/>
  <c r="AU199" i="37"/>
  <c r="AT199" i="37"/>
  <c r="AU198" i="37"/>
  <c r="AT198" i="37"/>
  <c r="AI205" i="37"/>
  <c r="AH205" i="37"/>
  <c r="AI204" i="37"/>
  <c r="AH204" i="37"/>
  <c r="AI203" i="37"/>
  <c r="AH203" i="37"/>
  <c r="BG202" i="37"/>
  <c r="BF202" i="37"/>
  <c r="BG201" i="37"/>
  <c r="BF201" i="37"/>
  <c r="AI202" i="37"/>
  <c r="AH202" i="37"/>
  <c r="AI201" i="37"/>
  <c r="AH201" i="37"/>
  <c r="AJ200" i="37"/>
  <c r="BR200" i="37" s="1"/>
  <c r="AI200" i="37"/>
  <c r="AH200" i="37"/>
  <c r="AI199" i="37"/>
  <c r="AH199" i="37"/>
  <c r="AI198" i="37"/>
  <c r="AH198" i="37"/>
  <c r="AI197" i="37"/>
  <c r="AH197" i="37"/>
  <c r="AJ196" i="37"/>
  <c r="AI196" i="37"/>
  <c r="AH196" i="37"/>
  <c r="W205" i="37"/>
  <c r="V205" i="37"/>
  <c r="W204" i="37"/>
  <c r="V204" i="37"/>
  <c r="W203" i="37"/>
  <c r="V203" i="37"/>
  <c r="W202" i="37"/>
  <c r="V202" i="37"/>
  <c r="W201" i="37"/>
  <c r="V201" i="37"/>
  <c r="X200" i="37"/>
  <c r="BN200" i="37" s="1"/>
  <c r="W200" i="37"/>
  <c r="V200" i="37"/>
  <c r="W199" i="37"/>
  <c r="V199" i="37"/>
  <c r="W198" i="37"/>
  <c r="V198" i="37"/>
  <c r="W197" i="37"/>
  <c r="V197" i="37"/>
  <c r="X196" i="37"/>
  <c r="W196" i="37"/>
  <c r="V196" i="37"/>
  <c r="W195" i="37"/>
  <c r="V195" i="37"/>
  <c r="W194" i="37"/>
  <c r="V194" i="37"/>
  <c r="W193" i="37"/>
  <c r="V193" i="37"/>
  <c r="AI193" i="37"/>
  <c r="AH193" i="37"/>
  <c r="O327" i="37"/>
  <c r="R340" i="37"/>
  <c r="AT323" i="37"/>
  <c r="AU323" i="37"/>
  <c r="AD323" i="37"/>
  <c r="BF199" i="37"/>
  <c r="BG199" i="37"/>
  <c r="BF200" i="37"/>
  <c r="BG200" i="37"/>
  <c r="BH200" i="37"/>
  <c r="BZ200" i="37" s="1"/>
  <c r="AU197" i="37"/>
  <c r="AT197" i="37"/>
  <c r="AU195" i="37"/>
  <c r="AT195" i="37"/>
  <c r="AU194" i="37"/>
  <c r="AT194" i="37"/>
  <c r="AI195" i="37"/>
  <c r="AH195" i="37"/>
  <c r="AK112" i="44"/>
  <c r="J110" i="44"/>
  <c r="AJ26" i="44"/>
  <c r="AJ24" i="44" s="1"/>
  <c r="AH24" i="44"/>
  <c r="AD26" i="44"/>
  <c r="AC26" i="44"/>
  <c r="AB26" i="44"/>
  <c r="Y26" i="44"/>
  <c r="AD146" i="44"/>
  <c r="AB145" i="44"/>
  <c r="J145" i="44"/>
  <c r="AH52" i="44"/>
  <c r="AH46" i="44" s="1"/>
  <c r="AJ71" i="44"/>
  <c r="AM80" i="44"/>
  <c r="AG74" i="44"/>
  <c r="AH74" i="44"/>
  <c r="AJ74" i="44"/>
  <c r="AL74" i="44"/>
  <c r="X74" i="44"/>
  <c r="AK81" i="44"/>
  <c r="AK74" i="44" s="1"/>
  <c r="AI81" i="44"/>
  <c r="S81" i="44"/>
  <c r="P81" i="44"/>
  <c r="M81" i="44"/>
  <c r="L81" i="44"/>
  <c r="J81" i="44"/>
  <c r="F81" i="44"/>
  <c r="AI80" i="44"/>
  <c r="S80" i="44"/>
  <c r="P80" i="44"/>
  <c r="M80" i="44"/>
  <c r="L80" i="44"/>
  <c r="J80" i="44"/>
  <c r="F80" i="44"/>
  <c r="AF79" i="44"/>
  <c r="AI79" i="44" s="1"/>
  <c r="AE79" i="44"/>
  <c r="F79" i="44"/>
  <c r="J79" i="44"/>
  <c r="S79" i="44"/>
  <c r="P79" i="44"/>
  <c r="M79" i="44"/>
  <c r="L79" i="44"/>
  <c r="AF74" i="44" l="1"/>
  <c r="V79" i="44"/>
  <c r="BH410" i="37"/>
  <c r="BZ410" i="37" s="1"/>
  <c r="BH411" i="37"/>
  <c r="BZ411" i="37" s="1"/>
  <c r="BH405" i="37"/>
  <c r="BZ405" i="37" s="1"/>
  <c r="AV401" i="37"/>
  <c r="J410" i="37"/>
  <c r="AV408" i="37"/>
  <c r="BV408" i="37" s="1"/>
  <c r="BH381" i="37"/>
  <c r="BH382" i="37"/>
  <c r="X391" i="37"/>
  <c r="BN391" i="37" s="1"/>
  <c r="I383" i="37"/>
  <c r="AV404" i="37"/>
  <c r="BV404" i="37" s="1"/>
  <c r="AV410" i="37"/>
  <c r="BV410" i="37" s="1"/>
  <c r="BH403" i="37"/>
  <c r="BZ403" i="37" s="1"/>
  <c r="X411" i="37"/>
  <c r="BN411" i="37" s="1"/>
  <c r="BH388" i="37"/>
  <c r="BZ388" i="37" s="1"/>
  <c r="I407" i="37"/>
  <c r="J407" i="37"/>
  <c r="AV402" i="37"/>
  <c r="BV402" i="37" s="1"/>
  <c r="AJ411" i="37"/>
  <c r="BR411" i="37" s="1"/>
  <c r="BH400" i="37"/>
  <c r="AJ388" i="37"/>
  <c r="BR388" i="37" s="1"/>
  <c r="AJ395" i="37"/>
  <c r="BR395" i="37" s="1"/>
  <c r="BH396" i="37"/>
  <c r="BZ396" i="37" s="1"/>
  <c r="AV406" i="37"/>
  <c r="BV406" i="37" s="1"/>
  <c r="AV400" i="37"/>
  <c r="AV390" i="37"/>
  <c r="BV390" i="37" s="1"/>
  <c r="J402" i="37"/>
  <c r="AH397" i="37"/>
  <c r="AV396" i="37"/>
  <c r="BV396" i="37" s="1"/>
  <c r="BH404" i="37"/>
  <c r="BZ404" i="37" s="1"/>
  <c r="X410" i="37"/>
  <c r="BN410" i="37" s="1"/>
  <c r="AM81" i="44"/>
  <c r="V81" i="44" s="1"/>
  <c r="W81" i="44" s="1"/>
  <c r="X399" i="37"/>
  <c r="AV383" i="37"/>
  <c r="BH402" i="37"/>
  <c r="BZ402" i="37" s="1"/>
  <c r="BH401" i="37"/>
  <c r="J406" i="37"/>
  <c r="AV407" i="37"/>
  <c r="BV407" i="37" s="1"/>
  <c r="X400" i="37"/>
  <c r="BH407" i="37"/>
  <c r="BZ407" i="37" s="1"/>
  <c r="BH408" i="37"/>
  <c r="BZ408" i="37" s="1"/>
  <c r="BO395" i="37"/>
  <c r="AI397" i="37"/>
  <c r="J405" i="37"/>
  <c r="AJ396" i="37"/>
  <c r="BR396" i="37" s="1"/>
  <c r="AJ381" i="37"/>
  <c r="J411" i="37"/>
  <c r="AV411" i="37"/>
  <c r="BV411" i="37" s="1"/>
  <c r="BH406" i="37"/>
  <c r="BZ406" i="37" s="1"/>
  <c r="AJ406" i="37"/>
  <c r="BR406" i="37" s="1"/>
  <c r="I406" i="37"/>
  <c r="AJ410" i="37"/>
  <c r="BR410" i="37" s="1"/>
  <c r="AJ408" i="37"/>
  <c r="BR408" i="37" s="1"/>
  <c r="X407" i="37"/>
  <c r="BN407" i="37" s="1"/>
  <c r="I408" i="37"/>
  <c r="X408" i="37"/>
  <c r="BN408" i="37" s="1"/>
  <c r="J408" i="37"/>
  <c r="AJ394" i="37"/>
  <c r="BR394" i="37" s="1"/>
  <c r="AJ407" i="37"/>
  <c r="BR407" i="37" s="1"/>
  <c r="I410" i="37"/>
  <c r="BO411" i="37"/>
  <c r="I411" i="37"/>
  <c r="X406" i="37"/>
  <c r="BS390" i="37"/>
  <c r="AV395" i="37"/>
  <c r="BV395" i="37" s="1"/>
  <c r="X388" i="37"/>
  <c r="BN388" i="37" s="1"/>
  <c r="AJ405" i="37"/>
  <c r="BR405" i="37" s="1"/>
  <c r="X405" i="37"/>
  <c r="BN405" i="37" s="1"/>
  <c r="AJ404" i="37"/>
  <c r="BR404" i="37" s="1"/>
  <c r="X403" i="37"/>
  <c r="BN403" i="37" s="1"/>
  <c r="X402" i="37"/>
  <c r="BN402" i="37" s="1"/>
  <c r="AV405" i="37"/>
  <c r="BV405" i="37" s="1"/>
  <c r="AV403" i="37"/>
  <c r="BV403" i="37" s="1"/>
  <c r="BO404" i="37"/>
  <c r="X404" i="37"/>
  <c r="BN404" i="37" s="1"/>
  <c r="I403" i="37"/>
  <c r="J403" i="37"/>
  <c r="J404" i="37"/>
  <c r="AJ403" i="37"/>
  <c r="I405" i="37"/>
  <c r="AJ392" i="37"/>
  <c r="BR392" i="37" s="1"/>
  <c r="AJ402" i="37"/>
  <c r="BR402" i="37" s="1"/>
  <c r="I389" i="37"/>
  <c r="X395" i="37"/>
  <c r="BN395" i="37" s="1"/>
  <c r="AJ390" i="37"/>
  <c r="BR390" i="37" s="1"/>
  <c r="BH394" i="37"/>
  <c r="BZ394" i="37" s="1"/>
  <c r="I404" i="37"/>
  <c r="BO405" i="37"/>
  <c r="J392" i="37"/>
  <c r="BH399" i="37"/>
  <c r="BS396" i="37"/>
  <c r="BK395" i="37"/>
  <c r="I395" i="37"/>
  <c r="AV389" i="37"/>
  <c r="BV389" i="37" s="1"/>
  <c r="I402" i="37"/>
  <c r="BO390" i="37"/>
  <c r="AV394" i="37"/>
  <c r="BV394" i="37" s="1"/>
  <c r="BH389" i="37"/>
  <c r="BZ389" i="37" s="1"/>
  <c r="I396" i="37"/>
  <c r="AV399" i="37"/>
  <c r="X398" i="37"/>
  <c r="J396" i="37"/>
  <c r="X396" i="37"/>
  <c r="BM394" i="37"/>
  <c r="X394" i="37"/>
  <c r="BN394" i="37" s="1"/>
  <c r="BZ392" i="37"/>
  <c r="BZ391" i="37"/>
  <c r="AV391" i="37"/>
  <c r="BV391" i="37" s="1"/>
  <c r="AJ391" i="37"/>
  <c r="BR391" i="37" s="1"/>
  <c r="I390" i="37"/>
  <c r="X390" i="37"/>
  <c r="BN390" i="37" s="1"/>
  <c r="J390" i="37"/>
  <c r="AJ389" i="37"/>
  <c r="BR389" i="37" s="1"/>
  <c r="AV392" i="37"/>
  <c r="BV392" i="37" s="1"/>
  <c r="BH395" i="37"/>
  <c r="BZ395" i="37" s="1"/>
  <c r="I392" i="37"/>
  <c r="BH390" i="37"/>
  <c r="BZ390" i="37" s="1"/>
  <c r="J394" i="37"/>
  <c r="I394" i="37"/>
  <c r="J395" i="37"/>
  <c r="AV388" i="37"/>
  <c r="BV388" i="37" s="1"/>
  <c r="BK390" i="37"/>
  <c r="BM396" i="37"/>
  <c r="X392" i="37"/>
  <c r="X389" i="37"/>
  <c r="BO396" i="37"/>
  <c r="BT395" i="37"/>
  <c r="BW396" i="37"/>
  <c r="J391" i="37"/>
  <c r="I388" i="37"/>
  <c r="BS391" i="37"/>
  <c r="BW391" i="37"/>
  <c r="I391" i="37"/>
  <c r="J389" i="37"/>
  <c r="BS388" i="37"/>
  <c r="J388" i="37"/>
  <c r="K200" i="37"/>
  <c r="BH384" i="37"/>
  <c r="BK391" i="37"/>
  <c r="I200" i="37"/>
  <c r="J200" i="37"/>
  <c r="V80" i="44"/>
  <c r="W79" i="44"/>
  <c r="K383" i="37" l="1"/>
  <c r="CB383" i="37" s="1"/>
  <c r="BV383" i="37"/>
  <c r="L410" i="37"/>
  <c r="K410" i="37"/>
  <c r="CB200" i="37"/>
  <c r="K396" i="37"/>
  <c r="K408" i="37"/>
  <c r="L408" i="37"/>
  <c r="K411" i="37"/>
  <c r="L388" i="37"/>
  <c r="L411" i="37"/>
  <c r="K407" i="37"/>
  <c r="L407" i="37"/>
  <c r="K388" i="37"/>
  <c r="BN406" i="37"/>
  <c r="L406" i="37" s="1"/>
  <c r="K406" i="37"/>
  <c r="K404" i="37"/>
  <c r="L404" i="37"/>
  <c r="L405" i="37"/>
  <c r="K405" i="37"/>
  <c r="K403" i="37"/>
  <c r="BR403" i="37"/>
  <c r="L403" i="37" s="1"/>
  <c r="K402" i="37"/>
  <c r="L402" i="37"/>
  <c r="BN396" i="37"/>
  <c r="L396" i="37" s="1"/>
  <c r="L391" i="37"/>
  <c r="K391" i="37"/>
  <c r="K389" i="37"/>
  <c r="BN389" i="37"/>
  <c r="L389" i="37" s="1"/>
  <c r="K392" i="37"/>
  <c r="BN392" i="37"/>
  <c r="L392" i="37" s="1"/>
  <c r="L390" i="37"/>
  <c r="L395" i="37"/>
  <c r="L394" i="37"/>
  <c r="K394" i="37"/>
  <c r="K395" i="37"/>
  <c r="K390" i="37"/>
  <c r="W80" i="44"/>
  <c r="CB404" i="37" l="1"/>
  <c r="CB410" i="37"/>
  <c r="CB408" i="37"/>
  <c r="CB396" i="37"/>
  <c r="CB395" i="37"/>
  <c r="CB388" i="37"/>
  <c r="CB389" i="37"/>
  <c r="CB411" i="37"/>
  <c r="CB407" i="37"/>
  <c r="CB405" i="37"/>
  <c r="CB406" i="37"/>
  <c r="CB402" i="37"/>
  <c r="CB394" i="37"/>
  <c r="CB403" i="37"/>
  <c r="CB391" i="37"/>
  <c r="CB390" i="37"/>
  <c r="CB392" i="37"/>
  <c r="BG198" i="37"/>
  <c r="BF198" i="37"/>
  <c r="BG197" i="37"/>
  <c r="BF197" i="37"/>
  <c r="BG195" i="37"/>
  <c r="BF195" i="37"/>
  <c r="BG194" i="37"/>
  <c r="BF194" i="37"/>
  <c r="BG192" i="37"/>
  <c r="BF192" i="37"/>
  <c r="BG193" i="37"/>
  <c r="BF193" i="37"/>
  <c r="AU193" i="37"/>
  <c r="AT193" i="37"/>
  <c r="AU192" i="37"/>
  <c r="AT192" i="37"/>
  <c r="AI192" i="37"/>
  <c r="AH192" i="37"/>
  <c r="W192" i="37"/>
  <c r="V192" i="37"/>
  <c r="BG286" i="37" l="1"/>
  <c r="BF286" i="37"/>
  <c r="BG285" i="37"/>
  <c r="BF285" i="37"/>
  <c r="BG284" i="37"/>
  <c r="BF284" i="37"/>
  <c r="BG283" i="37"/>
  <c r="BF283" i="37"/>
  <c r="BG282" i="37"/>
  <c r="BF282" i="37"/>
  <c r="BG281" i="37"/>
  <c r="BF281" i="37"/>
  <c r="BG280" i="37"/>
  <c r="BF280" i="37"/>
  <c r="BG279" i="37"/>
  <c r="BF279" i="37"/>
  <c r="AU286" i="37"/>
  <c r="AT286" i="37"/>
  <c r="AU285" i="37"/>
  <c r="AT285" i="37"/>
  <c r="AU284" i="37"/>
  <c r="AT284" i="37"/>
  <c r="AU283" i="37"/>
  <c r="AT283" i="37"/>
  <c r="AU282" i="37"/>
  <c r="AT282" i="37"/>
  <c r="AU281" i="37"/>
  <c r="AT281" i="37"/>
  <c r="AU280" i="37"/>
  <c r="AT280" i="37"/>
  <c r="AU279" i="37"/>
  <c r="AT279" i="37"/>
  <c r="AU278" i="37"/>
  <c r="AT278" i="37"/>
  <c r="AU277" i="37"/>
  <c r="AT277" i="37"/>
  <c r="AI280" i="37"/>
  <c r="AH280" i="37"/>
  <c r="AI279" i="37"/>
  <c r="AH279" i="37"/>
  <c r="AI278" i="37"/>
  <c r="AH278" i="37"/>
  <c r="AI277" i="37"/>
  <c r="AH277" i="37"/>
  <c r="W280" i="37"/>
  <c r="V280" i="37"/>
  <c r="W279" i="37"/>
  <c r="V279" i="37"/>
  <c r="W278" i="37"/>
  <c r="V278" i="37"/>
  <c r="W277" i="37"/>
  <c r="V277" i="37"/>
  <c r="W276" i="37"/>
  <c r="V276" i="37"/>
  <c r="AU276" i="37"/>
  <c r="AT276" i="37"/>
  <c r="AI276" i="37"/>
  <c r="AH276" i="37"/>
  <c r="BF276" i="37"/>
  <c r="BG276" i="37"/>
  <c r="BF277" i="37"/>
  <c r="BG277" i="37"/>
  <c r="BF278" i="37"/>
  <c r="BG278" i="37"/>
  <c r="W275" i="37"/>
  <c r="V275" i="37"/>
  <c r="W274" i="37"/>
  <c r="V274" i="37"/>
  <c r="W273" i="37"/>
  <c r="V273" i="37"/>
  <c r="AU273" i="37"/>
  <c r="AT273" i="37"/>
  <c r="W272" i="37"/>
  <c r="V272" i="37"/>
  <c r="AI272" i="37"/>
  <c r="AH272" i="37"/>
  <c r="BG271" i="37"/>
  <c r="BF271" i="37"/>
  <c r="AU272" i="37"/>
  <c r="AT272" i="37"/>
  <c r="BG270" i="37"/>
  <c r="BF270" i="37"/>
  <c r="AU270" i="37"/>
  <c r="AT270" i="37"/>
  <c r="AI270" i="37"/>
  <c r="AH270" i="37"/>
  <c r="AI269" i="37"/>
  <c r="AH269" i="37"/>
  <c r="W271" i="37"/>
  <c r="V271" i="37"/>
  <c r="W270" i="37"/>
  <c r="V270" i="37"/>
  <c r="W269" i="37"/>
  <c r="V269" i="37"/>
  <c r="AU315" i="37"/>
  <c r="AT315" i="37"/>
  <c r="AI315" i="37"/>
  <c r="AH315" i="37"/>
  <c r="W314" i="37"/>
  <c r="V314" i="37"/>
  <c r="CE316" i="37"/>
  <c r="BJ316" i="37"/>
  <c r="BG316" i="37"/>
  <c r="BF316" i="37"/>
  <c r="BE316" i="37"/>
  <c r="BY316" i="37" s="1"/>
  <c r="BB316" i="37"/>
  <c r="BX316" i="37" s="1"/>
  <c r="AY316" i="37"/>
  <c r="AU316" i="37"/>
  <c r="AT316" i="37"/>
  <c r="AS316" i="37"/>
  <c r="BU316" i="37" s="1"/>
  <c r="AP316" i="37"/>
  <c r="BT316" i="37" s="1"/>
  <c r="AM316" i="37"/>
  <c r="BS316" i="37" s="1"/>
  <c r="AI316" i="37"/>
  <c r="AH316" i="37"/>
  <c r="AG316" i="37"/>
  <c r="BQ316" i="37" s="1"/>
  <c r="AD316" i="37"/>
  <c r="BP316" i="37" s="1"/>
  <c r="AA316" i="37"/>
  <c r="W316" i="37"/>
  <c r="V316" i="37"/>
  <c r="U316" i="37"/>
  <c r="BM316" i="37" s="1"/>
  <c r="R316" i="37"/>
  <c r="BL316" i="37" s="1"/>
  <c r="O316" i="37"/>
  <c r="BK316" i="37" s="1"/>
  <c r="BG317" i="37"/>
  <c r="BF317" i="37"/>
  <c r="AT317" i="37"/>
  <c r="AU317" i="37"/>
  <c r="BE307" i="37"/>
  <c r="BF307" i="37"/>
  <c r="BG307" i="37"/>
  <c r="BF308" i="37"/>
  <c r="BG308" i="37"/>
  <c r="BF309" i="37"/>
  <c r="BG309" i="37"/>
  <c r="AT308" i="37"/>
  <c r="AU308" i="37"/>
  <c r="AH308" i="37"/>
  <c r="AI308" i="37"/>
  <c r="V307" i="37"/>
  <c r="W307" i="37"/>
  <c r="BG306" i="37"/>
  <c r="BF306" i="37"/>
  <c r="BG305" i="37"/>
  <c r="BF305" i="37"/>
  <c r="AI306" i="37"/>
  <c r="AH306" i="37"/>
  <c r="AI305" i="37"/>
  <c r="AH305" i="37"/>
  <c r="CE306" i="37"/>
  <c r="BJ306" i="37"/>
  <c r="BE306" i="37"/>
  <c r="BY306" i="37" s="1"/>
  <c r="BB306" i="37"/>
  <c r="BX306" i="37" s="1"/>
  <c r="AY306" i="37"/>
  <c r="BW306" i="37" s="1"/>
  <c r="AS306" i="37"/>
  <c r="BU306" i="37" s="1"/>
  <c r="AP306" i="37"/>
  <c r="BT306" i="37" s="1"/>
  <c r="AM306" i="37"/>
  <c r="AG306" i="37"/>
  <c r="BQ306" i="37" s="1"/>
  <c r="BP306" i="37"/>
  <c r="AA306" i="37"/>
  <c r="BO306" i="37" s="1"/>
  <c r="W306" i="37"/>
  <c r="V306" i="37"/>
  <c r="U306" i="37"/>
  <c r="BM306" i="37" s="1"/>
  <c r="R306" i="37"/>
  <c r="BL306" i="37" s="1"/>
  <c r="O306" i="37"/>
  <c r="BK306" i="37" s="1"/>
  <c r="CE305" i="37"/>
  <c r="BJ305" i="37"/>
  <c r="BE305" i="37"/>
  <c r="BY305" i="37" s="1"/>
  <c r="BB305" i="37"/>
  <c r="BX305" i="37" s="1"/>
  <c r="AY305" i="37"/>
  <c r="BW305" i="37" s="1"/>
  <c r="AS305" i="37"/>
  <c r="BU305" i="37" s="1"/>
  <c r="AP305" i="37"/>
  <c r="BT305" i="37" s="1"/>
  <c r="AM305" i="37"/>
  <c r="AG305" i="37"/>
  <c r="BQ305" i="37" s="1"/>
  <c r="AD305" i="37"/>
  <c r="BP305" i="37" s="1"/>
  <c r="AA305" i="37"/>
  <c r="BO305" i="37" s="1"/>
  <c r="W305" i="37"/>
  <c r="V305" i="37"/>
  <c r="U305" i="37"/>
  <c r="BM305" i="37" s="1"/>
  <c r="R305" i="37"/>
  <c r="BL305" i="37" s="1"/>
  <c r="O305" i="37"/>
  <c r="BS306" i="37" l="1"/>
  <c r="AV306" i="37"/>
  <c r="BS305" i="37"/>
  <c r="AV305" i="37"/>
  <c r="X305" i="37"/>
  <c r="BN305" i="37" s="1"/>
  <c r="BH316" i="37"/>
  <c r="BZ316" i="37" s="1"/>
  <c r="X306" i="37"/>
  <c r="BN306" i="37" s="1"/>
  <c r="J316" i="37"/>
  <c r="X316" i="37"/>
  <c r="BN316" i="37" s="1"/>
  <c r="AJ316" i="37"/>
  <c r="BR316" i="37" s="1"/>
  <c r="BH306" i="37"/>
  <c r="BZ306" i="37" s="1"/>
  <c r="AV316" i="37"/>
  <c r="BV316" i="37" s="1"/>
  <c r="I316" i="37"/>
  <c r="BW316" i="37"/>
  <c r="BO316" i="37"/>
  <c r="BV306" i="37"/>
  <c r="AJ305" i="37"/>
  <c r="BR305" i="37" s="1"/>
  <c r="J306" i="37"/>
  <c r="AJ306" i="37"/>
  <c r="BV305" i="37"/>
  <c r="BH305" i="37"/>
  <c r="BZ305" i="37" s="1"/>
  <c r="BR306" i="37"/>
  <c r="I306" i="37"/>
  <c r="BK305" i="37"/>
  <c r="I305" i="37"/>
  <c r="J305" i="37"/>
  <c r="K316" i="37" l="1"/>
  <c r="L316" i="37"/>
  <c r="K305" i="37"/>
  <c r="L305" i="37"/>
  <c r="K306" i="37"/>
  <c r="L306" i="37"/>
  <c r="CB305" i="37"/>
  <c r="CB316" i="37" l="1"/>
  <c r="CB306" i="37"/>
  <c r="AS303" i="37" l="1"/>
  <c r="AT303" i="37"/>
  <c r="AU303" i="37"/>
  <c r="AS304" i="37"/>
  <c r="AT304" i="37"/>
  <c r="AU304" i="37"/>
  <c r="AH299" i="37"/>
  <c r="AI299" i="37"/>
  <c r="AH300" i="37"/>
  <c r="AI300" i="37"/>
  <c r="AH301" i="37"/>
  <c r="AI301" i="37"/>
  <c r="AH302" i="37"/>
  <c r="AI302" i="37"/>
  <c r="AH303" i="37"/>
  <c r="AI303" i="37"/>
  <c r="V303" i="37"/>
  <c r="W303" i="37"/>
  <c r="V302" i="37"/>
  <c r="W302" i="37"/>
  <c r="CE301" i="37"/>
  <c r="BJ301" i="37"/>
  <c r="BG301" i="37"/>
  <c r="BF301" i="37"/>
  <c r="BE301" i="37"/>
  <c r="BY301" i="37" s="1"/>
  <c r="BB301" i="37"/>
  <c r="BX301" i="37" s="1"/>
  <c r="AY301" i="37"/>
  <c r="BW301" i="37" s="1"/>
  <c r="AU301" i="37"/>
  <c r="AT301" i="37"/>
  <c r="AS301" i="37"/>
  <c r="BU301" i="37" s="1"/>
  <c r="AP301" i="37"/>
  <c r="BT301" i="37" s="1"/>
  <c r="AM301" i="37"/>
  <c r="BS301" i="37" s="1"/>
  <c r="AG301" i="37"/>
  <c r="BQ301" i="37" s="1"/>
  <c r="AD301" i="37"/>
  <c r="BP301" i="37" s="1"/>
  <c r="AA301" i="37"/>
  <c r="W301" i="37"/>
  <c r="V301" i="37"/>
  <c r="U301" i="37"/>
  <c r="R301" i="37"/>
  <c r="BL301" i="37" s="1"/>
  <c r="O301" i="37"/>
  <c r="BK301" i="37" s="1"/>
  <c r="CE300" i="37"/>
  <c r="BJ300" i="37"/>
  <c r="BG300" i="37"/>
  <c r="BF300" i="37"/>
  <c r="BE300" i="37"/>
  <c r="BY300" i="37" s="1"/>
  <c r="BB300" i="37"/>
  <c r="BX300" i="37" s="1"/>
  <c r="AY300" i="37"/>
  <c r="BW300" i="37" s="1"/>
  <c r="AU300" i="37"/>
  <c r="AT300" i="37"/>
  <c r="AS300" i="37"/>
  <c r="BU300" i="37" s="1"/>
  <c r="AP300" i="37"/>
  <c r="AM300" i="37"/>
  <c r="BS300" i="37" s="1"/>
  <c r="AG300" i="37"/>
  <c r="BQ300" i="37" s="1"/>
  <c r="AD300" i="37"/>
  <c r="BP300" i="37" s="1"/>
  <c r="AA300" i="37"/>
  <c r="W300" i="37"/>
  <c r="V300" i="37"/>
  <c r="U300" i="37"/>
  <c r="BM300" i="37" s="1"/>
  <c r="R300" i="37"/>
  <c r="BL300" i="37" s="1"/>
  <c r="O300" i="37"/>
  <c r="BK300" i="37" s="1"/>
  <c r="AT298" i="37"/>
  <c r="AU298" i="37"/>
  <c r="AT299" i="37"/>
  <c r="AU299" i="37"/>
  <c r="CE299" i="37"/>
  <c r="BJ299" i="37"/>
  <c r="BG299" i="37"/>
  <c r="BF299" i="37"/>
  <c r="BE299" i="37"/>
  <c r="BY299" i="37" s="1"/>
  <c r="BB299" i="37"/>
  <c r="BX299" i="37" s="1"/>
  <c r="AY299" i="37"/>
  <c r="BW299" i="37" s="1"/>
  <c r="AS299" i="37"/>
  <c r="BU299" i="37" s="1"/>
  <c r="AP299" i="37"/>
  <c r="BT299" i="37" s="1"/>
  <c r="AM299" i="37"/>
  <c r="BS299" i="37" s="1"/>
  <c r="AG299" i="37"/>
  <c r="BQ299" i="37" s="1"/>
  <c r="AD299" i="37"/>
  <c r="BP299" i="37" s="1"/>
  <c r="AA299" i="37"/>
  <c r="W299" i="37"/>
  <c r="V299" i="37"/>
  <c r="U299" i="37"/>
  <c r="BM299" i="37" s="1"/>
  <c r="R299" i="37"/>
  <c r="BL299" i="37" s="1"/>
  <c r="O299" i="37"/>
  <c r="AT296" i="37"/>
  <c r="AU296" i="37"/>
  <c r="AT297" i="37"/>
  <c r="AU297" i="37"/>
  <c r="AH296" i="37"/>
  <c r="AI296" i="37"/>
  <c r="AH297" i="37"/>
  <c r="AI297" i="37"/>
  <c r="AG296" i="37"/>
  <c r="W296" i="37"/>
  <c r="V296" i="37"/>
  <c r="AJ299" i="37" l="1"/>
  <c r="BR299" i="37" s="1"/>
  <c r="AJ301" i="37"/>
  <c r="BR301" i="37" s="1"/>
  <c r="X299" i="37"/>
  <c r="BN299" i="37" s="1"/>
  <c r="J301" i="37"/>
  <c r="I301" i="37"/>
  <c r="AV300" i="37"/>
  <c r="BV300" i="37" s="1"/>
  <c r="BK299" i="37"/>
  <c r="X301" i="37"/>
  <c r="BN301" i="37" s="1"/>
  <c r="AJ300" i="37"/>
  <c r="BR300" i="37" s="1"/>
  <c r="BO300" i="37"/>
  <c r="X300" i="37"/>
  <c r="BN300" i="37" s="1"/>
  <c r="I299" i="37"/>
  <c r="I300" i="37"/>
  <c r="J300" i="37"/>
  <c r="AV301" i="37"/>
  <c r="BV301" i="37" s="1"/>
  <c r="BH301" i="37"/>
  <c r="BZ301" i="37" s="1"/>
  <c r="BM301" i="37"/>
  <c r="BO301" i="37"/>
  <c r="BH300" i="37"/>
  <c r="BZ300" i="37" s="1"/>
  <c r="BT300" i="37"/>
  <c r="J299" i="37"/>
  <c r="BO299" i="37"/>
  <c r="AV299" i="37"/>
  <c r="BV299" i="37" s="1"/>
  <c r="BH299" i="37"/>
  <c r="BZ299" i="37" s="1"/>
  <c r="AI112" i="44"/>
  <c r="H7" i="50" s="1"/>
  <c r="CE228" i="37"/>
  <c r="BN228" i="37"/>
  <c r="BJ228" i="37"/>
  <c r="BG228" i="37"/>
  <c r="BF228" i="37"/>
  <c r="BE228" i="37"/>
  <c r="BY228" i="37" s="1"/>
  <c r="BB228" i="37"/>
  <c r="BX228" i="37" s="1"/>
  <c r="AY228" i="37"/>
  <c r="BW228" i="37" s="1"/>
  <c r="AU228" i="37"/>
  <c r="AT228" i="37"/>
  <c r="AS228" i="37"/>
  <c r="BU228" i="37" s="1"/>
  <c r="AP228" i="37"/>
  <c r="BT228" i="37" s="1"/>
  <c r="AM228" i="37"/>
  <c r="AI228" i="37"/>
  <c r="AH228" i="37"/>
  <c r="AG228" i="37"/>
  <c r="BQ228" i="37" s="1"/>
  <c r="AD228" i="37"/>
  <c r="BP228" i="37" s="1"/>
  <c r="AA228" i="37"/>
  <c r="BO228" i="37" s="1"/>
  <c r="U228" i="37"/>
  <c r="BM228" i="37" s="1"/>
  <c r="R228" i="37"/>
  <c r="BL228" i="37" s="1"/>
  <c r="O228" i="37"/>
  <c r="BK228" i="37" s="1"/>
  <c r="AH229" i="37"/>
  <c r="AI229" i="37"/>
  <c r="AH230" i="37"/>
  <c r="AI230" i="37"/>
  <c r="AH231" i="37"/>
  <c r="AI231" i="37"/>
  <c r="AH232" i="37"/>
  <c r="AI232" i="37"/>
  <c r="AH233" i="37"/>
  <c r="AI233" i="37"/>
  <c r="AH234" i="37"/>
  <c r="AI234" i="37"/>
  <c r="AH235" i="37"/>
  <c r="AI235" i="37"/>
  <c r="V231" i="37"/>
  <c r="W231" i="37"/>
  <c r="V232" i="37"/>
  <c r="W232" i="37"/>
  <c r="V233" i="37"/>
  <c r="W233" i="37"/>
  <c r="V234" i="37"/>
  <c r="W234" i="37"/>
  <c r="V235" i="37"/>
  <c r="W235" i="37"/>
  <c r="W230" i="37"/>
  <c r="V230" i="37"/>
  <c r="BF229" i="37"/>
  <c r="BG229" i="37"/>
  <c r="BF230" i="37"/>
  <c r="BG230" i="37"/>
  <c r="BF231" i="37"/>
  <c r="BG231" i="37"/>
  <c r="BF232" i="37"/>
  <c r="BG232" i="37"/>
  <c r="BF233" i="37"/>
  <c r="BG233" i="37"/>
  <c r="BF234" i="37"/>
  <c r="BG234" i="37"/>
  <c r="BF235" i="37"/>
  <c r="BG235" i="37"/>
  <c r="AT230" i="37"/>
  <c r="AU230" i="37"/>
  <c r="AT231" i="37"/>
  <c r="AU231" i="37"/>
  <c r="AT232" i="37"/>
  <c r="AU232" i="37"/>
  <c r="AT233" i="37"/>
  <c r="AU233" i="37"/>
  <c r="AT234" i="37"/>
  <c r="AU234" i="37"/>
  <c r="AT235" i="37"/>
  <c r="AU235" i="37"/>
  <c r="AU229" i="37"/>
  <c r="AT229" i="37"/>
  <c r="AU227" i="37"/>
  <c r="AT227" i="37"/>
  <c r="AI227" i="37"/>
  <c r="AH227" i="37"/>
  <c r="W229" i="37"/>
  <c r="V229" i="37"/>
  <c r="W227" i="37"/>
  <c r="V227" i="37"/>
  <c r="CH224" i="37"/>
  <c r="CE224" i="37"/>
  <c r="BJ224" i="37"/>
  <c r="BG224" i="37"/>
  <c r="BF224" i="37"/>
  <c r="BE224" i="37"/>
  <c r="BY224" i="37" s="1"/>
  <c r="BB224" i="37"/>
  <c r="BX224" i="37" s="1"/>
  <c r="AY224" i="37"/>
  <c r="BW224" i="37" s="1"/>
  <c r="AU224" i="37"/>
  <c r="AT224" i="37"/>
  <c r="AS224" i="37"/>
  <c r="BU224" i="37" s="1"/>
  <c r="AP224" i="37"/>
  <c r="BT224" i="37" s="1"/>
  <c r="AM224" i="37"/>
  <c r="AI224" i="37"/>
  <c r="AH224" i="37"/>
  <c r="AG224" i="37"/>
  <c r="BQ224" i="37" s="1"/>
  <c r="AD224" i="37"/>
  <c r="BP224" i="37" s="1"/>
  <c r="AA224" i="37"/>
  <c r="W224" i="37"/>
  <c r="V224" i="37"/>
  <c r="U224" i="37"/>
  <c r="BM224" i="37" s="1"/>
  <c r="R224" i="37"/>
  <c r="BL224" i="37" s="1"/>
  <c r="O224" i="37"/>
  <c r="CH223" i="37"/>
  <c r="CE223" i="37"/>
  <c r="BJ223" i="37"/>
  <c r="BG223" i="37"/>
  <c r="BF223" i="37"/>
  <c r="BE223" i="37"/>
  <c r="BY223" i="37" s="1"/>
  <c r="BB223" i="37"/>
  <c r="AY223" i="37"/>
  <c r="BW223" i="37" s="1"/>
  <c r="AU223" i="37"/>
  <c r="AT223" i="37"/>
  <c r="AS223" i="37"/>
  <c r="BU223" i="37" s="1"/>
  <c r="AP223" i="37"/>
  <c r="BT223" i="37" s="1"/>
  <c r="AM223" i="37"/>
  <c r="AI223" i="37"/>
  <c r="AH223" i="37"/>
  <c r="AG223" i="37"/>
  <c r="BQ223" i="37" s="1"/>
  <c r="AD223" i="37"/>
  <c r="BP223" i="37" s="1"/>
  <c r="AA223" i="37"/>
  <c r="BO223" i="37" s="1"/>
  <c r="W223" i="37"/>
  <c r="V223" i="37"/>
  <c r="U223" i="37"/>
  <c r="BM223" i="37" s="1"/>
  <c r="R223" i="37"/>
  <c r="BL223" i="37" s="1"/>
  <c r="O223" i="37"/>
  <c r="AT222" i="37"/>
  <c r="CH222" i="37"/>
  <c r="CE222" i="37"/>
  <c r="BJ222" i="37"/>
  <c r="BG222" i="37"/>
  <c r="BF222" i="37"/>
  <c r="BE222" i="37"/>
  <c r="BY222" i="37" s="1"/>
  <c r="BB222" i="37"/>
  <c r="BX222" i="37" s="1"/>
  <c r="AY222" i="37"/>
  <c r="BW222" i="37" s="1"/>
  <c r="AU222" i="37"/>
  <c r="AS222" i="37"/>
  <c r="BU222" i="37" s="1"/>
  <c r="AP222" i="37"/>
  <c r="BT222" i="37" s="1"/>
  <c r="AM222" i="37"/>
  <c r="AI222" i="37"/>
  <c r="AH222" i="37"/>
  <c r="AG222" i="37"/>
  <c r="BQ222" i="37" s="1"/>
  <c r="AD222" i="37"/>
  <c r="BP222" i="37" s="1"/>
  <c r="AA222" i="37"/>
  <c r="W222" i="37"/>
  <c r="V222" i="37"/>
  <c r="U222" i="37"/>
  <c r="BM222" i="37" s="1"/>
  <c r="R222" i="37"/>
  <c r="BL222" i="37" s="1"/>
  <c r="O222" i="37"/>
  <c r="BK222" i="37" s="1"/>
  <c r="AI237" i="37"/>
  <c r="AH237" i="37"/>
  <c r="W237" i="37"/>
  <c r="V237" i="37"/>
  <c r="BG239" i="37"/>
  <c r="BF239" i="37"/>
  <c r="BG238" i="37"/>
  <c r="BF238" i="37"/>
  <c r="AU238" i="37"/>
  <c r="AT238" i="37"/>
  <c r="AJ224" i="37" l="1"/>
  <c r="BR224" i="37" s="1"/>
  <c r="X224" i="37"/>
  <c r="BN224" i="37" s="1"/>
  <c r="AV228" i="37"/>
  <c r="BV228" i="37" s="1"/>
  <c r="X223" i="37"/>
  <c r="BN223" i="37" s="1"/>
  <c r="AV223" i="37"/>
  <c r="BV223" i="37" s="1"/>
  <c r="BS228" i="37"/>
  <c r="BO224" i="37"/>
  <c r="L301" i="37"/>
  <c r="K301" i="37"/>
  <c r="K300" i="37"/>
  <c r="L300" i="37"/>
  <c r="BK224" i="37"/>
  <c r="K299" i="37"/>
  <c r="L299" i="37"/>
  <c r="J228" i="37"/>
  <c r="AJ223" i="37"/>
  <c r="BR223" i="37" s="1"/>
  <c r="BK223" i="37"/>
  <c r="AJ228" i="37"/>
  <c r="BR228" i="37" s="1"/>
  <c r="I228" i="37"/>
  <c r="BH228" i="37"/>
  <c r="BZ228" i="37" s="1"/>
  <c r="BH223" i="37"/>
  <c r="BZ223" i="37" s="1"/>
  <c r="AV224" i="37"/>
  <c r="BV224" i="37" s="1"/>
  <c r="J224" i="37"/>
  <c r="I224" i="37"/>
  <c r="BS224" i="37"/>
  <c r="BH224" i="37"/>
  <c r="BZ224" i="37" s="1"/>
  <c r="J223" i="37"/>
  <c r="I223" i="37"/>
  <c r="BS223" i="37"/>
  <c r="BX223" i="37"/>
  <c r="AV222" i="37"/>
  <c r="BV222" i="37" s="1"/>
  <c r="BS222" i="37"/>
  <c r="AJ222" i="37"/>
  <c r="BR222" i="37" s="1"/>
  <c r="BO222" i="37"/>
  <c r="I222" i="37"/>
  <c r="J222" i="37"/>
  <c r="X222" i="37"/>
  <c r="BN222" i="37" s="1"/>
  <c r="BH222" i="37"/>
  <c r="BZ222" i="37" s="1"/>
  <c r="CB301" i="37" l="1"/>
  <c r="CB300" i="37"/>
  <c r="CB299" i="37"/>
  <c r="L228" i="37"/>
  <c r="K228" i="37"/>
  <c r="K223" i="37"/>
  <c r="L223" i="37"/>
  <c r="K224" i="37"/>
  <c r="L224" i="37"/>
  <c r="K222" i="37"/>
  <c r="L222" i="37"/>
  <c r="CB228" i="37" l="1"/>
  <c r="CB223" i="37"/>
  <c r="CB224" i="37"/>
  <c r="CB222" i="37"/>
  <c r="BG264" i="37" l="1"/>
  <c r="BF264" i="37"/>
  <c r="AU263" i="37"/>
  <c r="AT263" i="37"/>
  <c r="BG259" i="37"/>
  <c r="BF259" i="37"/>
  <c r="N166" i="37"/>
  <c r="P166" i="37"/>
  <c r="Q166" i="37"/>
  <c r="S166" i="37"/>
  <c r="T166" i="37"/>
  <c r="Y166" i="37"/>
  <c r="Z166" i="37"/>
  <c r="AB166" i="37"/>
  <c r="AC166" i="37"/>
  <c r="AE166" i="37"/>
  <c r="AF166" i="37"/>
  <c r="AK166" i="37"/>
  <c r="AL166" i="37"/>
  <c r="AN166" i="37"/>
  <c r="AO166" i="37"/>
  <c r="AQ166" i="37"/>
  <c r="AR166" i="37"/>
  <c r="AW166" i="37"/>
  <c r="AX166" i="37"/>
  <c r="AZ166" i="37"/>
  <c r="BA166" i="37"/>
  <c r="BC166" i="37"/>
  <c r="BD166" i="37"/>
  <c r="M166" i="37"/>
  <c r="AK92" i="37"/>
  <c r="AL92" i="37"/>
  <c r="AN92" i="37"/>
  <c r="AO92" i="37"/>
  <c r="AQ92" i="37"/>
  <c r="AR92" i="37"/>
  <c r="AW92" i="37"/>
  <c r="AX92" i="37"/>
  <c r="AZ92" i="37"/>
  <c r="BA92" i="37"/>
  <c r="BC92" i="37"/>
  <c r="BD92" i="37"/>
  <c r="CE101" i="37"/>
  <c r="BJ101" i="37"/>
  <c r="BG101" i="37"/>
  <c r="BF101" i="37"/>
  <c r="BE101" i="37"/>
  <c r="BY101" i="37" s="1"/>
  <c r="BB101" i="37"/>
  <c r="BX101" i="37" s="1"/>
  <c r="AY101" i="37"/>
  <c r="AU101" i="37"/>
  <c r="AT101" i="37"/>
  <c r="AS101" i="37"/>
  <c r="BU101" i="37" s="1"/>
  <c r="AP101" i="37"/>
  <c r="BT101" i="37" s="1"/>
  <c r="AM101" i="37"/>
  <c r="BS101" i="37" s="1"/>
  <c r="AI101" i="37"/>
  <c r="AH101" i="37"/>
  <c r="AG101" i="37"/>
  <c r="BQ101" i="37" s="1"/>
  <c r="AD101" i="37"/>
  <c r="BP101" i="37" s="1"/>
  <c r="AA101" i="37"/>
  <c r="W101" i="37"/>
  <c r="V101" i="37"/>
  <c r="U101" i="37"/>
  <c r="R101" i="37"/>
  <c r="BL101" i="37" s="1"/>
  <c r="O101" i="37"/>
  <c r="BK101" i="37" s="1"/>
  <c r="CE100" i="37"/>
  <c r="BJ100" i="37"/>
  <c r="BG100" i="37"/>
  <c r="BF100" i="37"/>
  <c r="BE100" i="37"/>
  <c r="BY100" i="37" s="1"/>
  <c r="BB100" i="37"/>
  <c r="BX100" i="37" s="1"/>
  <c r="AY100" i="37"/>
  <c r="AU100" i="37"/>
  <c r="AT100" i="37"/>
  <c r="AS100" i="37"/>
  <c r="BU100" i="37" s="1"/>
  <c r="AP100" i="37"/>
  <c r="BT100" i="37" s="1"/>
  <c r="AM100" i="37"/>
  <c r="AI100" i="37"/>
  <c r="AH100" i="37"/>
  <c r="AG100" i="37"/>
  <c r="BQ100" i="37" s="1"/>
  <c r="AD100" i="37"/>
  <c r="BP100" i="37" s="1"/>
  <c r="AA100" i="37"/>
  <c r="BO100" i="37" s="1"/>
  <c r="W100" i="37"/>
  <c r="V100" i="37"/>
  <c r="U100" i="37"/>
  <c r="BM100" i="37" s="1"/>
  <c r="R100" i="37"/>
  <c r="O100" i="37"/>
  <c r="BK100" i="37" s="1"/>
  <c r="AS99" i="37"/>
  <c r="BU99" i="37" s="1"/>
  <c r="CE99" i="37"/>
  <c r="BJ99" i="37"/>
  <c r="BG99" i="37"/>
  <c r="BF99" i="37"/>
  <c r="BE99" i="37"/>
  <c r="BY99" i="37" s="1"/>
  <c r="BB99" i="37"/>
  <c r="BX99" i="37" s="1"/>
  <c r="AY99" i="37"/>
  <c r="BW99" i="37" s="1"/>
  <c r="AU99" i="37"/>
  <c r="AT99" i="37"/>
  <c r="AP99" i="37"/>
  <c r="BT99" i="37" s="1"/>
  <c r="AM99" i="37"/>
  <c r="BS99" i="37" s="1"/>
  <c r="AI99" i="37"/>
  <c r="AH99" i="37"/>
  <c r="AG99" i="37"/>
  <c r="BQ99" i="37" s="1"/>
  <c r="AD99" i="37"/>
  <c r="BP99" i="37" s="1"/>
  <c r="AA99" i="37"/>
  <c r="W99" i="37"/>
  <c r="V99" i="37"/>
  <c r="U99" i="37"/>
  <c r="BM99" i="37" s="1"/>
  <c r="R99" i="37"/>
  <c r="O99" i="37"/>
  <c r="BK99" i="37" s="1"/>
  <c r="J101" i="37" l="1"/>
  <c r="AJ101" i="37"/>
  <c r="BR101" i="37" s="1"/>
  <c r="AV100" i="37"/>
  <c r="BV100" i="37" s="1"/>
  <c r="BH100" i="37"/>
  <c r="BZ100" i="37" s="1"/>
  <c r="BH101" i="37"/>
  <c r="BZ101" i="37" s="1"/>
  <c r="X101" i="37"/>
  <c r="BN101" i="37" s="1"/>
  <c r="AJ100" i="37"/>
  <c r="BR100" i="37" s="1"/>
  <c r="AV101" i="37"/>
  <c r="BV101" i="37" s="1"/>
  <c r="I101" i="37"/>
  <c r="BM101" i="37"/>
  <c r="BO101" i="37"/>
  <c r="BW101" i="37"/>
  <c r="BS100" i="37"/>
  <c r="J100" i="37"/>
  <c r="I99" i="37"/>
  <c r="J99" i="37"/>
  <c r="X100" i="37"/>
  <c r="AJ99" i="37"/>
  <c r="BR99" i="37" s="1"/>
  <c r="BW100" i="37"/>
  <c r="I100" i="37"/>
  <c r="BN100" i="37"/>
  <c r="BL100" i="37"/>
  <c r="BO99" i="37"/>
  <c r="X99" i="37"/>
  <c r="BN99" i="37" s="1"/>
  <c r="AV99" i="37"/>
  <c r="BV99" i="37" s="1"/>
  <c r="BH99" i="37"/>
  <c r="BZ99" i="37" s="1"/>
  <c r="BL99" i="37"/>
  <c r="K100" i="37" l="1"/>
  <c r="K101" i="37"/>
  <c r="L101" i="37"/>
  <c r="L100" i="37"/>
  <c r="K99" i="37"/>
  <c r="L99" i="37"/>
  <c r="CB101" i="37" l="1"/>
  <c r="CB100" i="37"/>
  <c r="CB99" i="37"/>
  <c r="BG255" i="37" l="1"/>
  <c r="BF255" i="37"/>
  <c r="BG254" i="37"/>
  <c r="BF254" i="37"/>
  <c r="AI258" i="37"/>
  <c r="AH258" i="37"/>
  <c r="AI257" i="37"/>
  <c r="AH257" i="37"/>
  <c r="AI256" i="37"/>
  <c r="AH256" i="37"/>
  <c r="AI254" i="37"/>
  <c r="AH254" i="37"/>
  <c r="AU255" i="37"/>
  <c r="AT255" i="37"/>
  <c r="AU254" i="37"/>
  <c r="AT254" i="37"/>
  <c r="W256" i="37"/>
  <c r="V256" i="37"/>
  <c r="W255" i="37"/>
  <c r="V255" i="37"/>
  <c r="W254" i="37"/>
  <c r="V254" i="37"/>
  <c r="AI248" i="37"/>
  <c r="AH248" i="37"/>
  <c r="BG248" i="37"/>
  <c r="BF248" i="37"/>
  <c r="BG246" i="37"/>
  <c r="BF246" i="37"/>
  <c r="AU248" i="37"/>
  <c r="AT248" i="37"/>
  <c r="AU246" i="37"/>
  <c r="AT246" i="37"/>
  <c r="AI246" i="37"/>
  <c r="AH246" i="37"/>
  <c r="CE98" i="37"/>
  <c r="BJ98" i="37"/>
  <c r="BG98" i="37"/>
  <c r="BF98" i="37"/>
  <c r="BE98" i="37"/>
  <c r="BY98" i="37" s="1"/>
  <c r="BB98" i="37"/>
  <c r="BX98" i="37" s="1"/>
  <c r="AY98" i="37"/>
  <c r="BW98" i="37" s="1"/>
  <c r="AU98" i="37"/>
  <c r="AT98" i="37"/>
  <c r="AS98" i="37"/>
  <c r="BU98" i="37" s="1"/>
  <c r="AP98" i="37"/>
  <c r="BT98" i="37" s="1"/>
  <c r="AM98" i="37"/>
  <c r="BS98" i="37" s="1"/>
  <c r="AI98" i="37"/>
  <c r="AH98" i="37"/>
  <c r="AG98" i="37"/>
  <c r="BQ98" i="37" s="1"/>
  <c r="AD98" i="37"/>
  <c r="BP98" i="37" s="1"/>
  <c r="AA98" i="37"/>
  <c r="W98" i="37"/>
  <c r="V98" i="37"/>
  <c r="U98" i="37"/>
  <c r="BM98" i="37" s="1"/>
  <c r="R98" i="37"/>
  <c r="BL98" i="37" s="1"/>
  <c r="O98" i="37"/>
  <c r="X98" i="37" l="1"/>
  <c r="BN98" i="37" s="1"/>
  <c r="AV98" i="37"/>
  <c r="BV98" i="37" s="1"/>
  <c r="AJ98" i="37"/>
  <c r="BR98" i="37" s="1"/>
  <c r="BK98" i="37"/>
  <c r="J98" i="37"/>
  <c r="BO98" i="37"/>
  <c r="I98" i="37"/>
  <c r="BH98" i="37"/>
  <c r="BZ98" i="37" s="1"/>
  <c r="K98" i="37" l="1"/>
  <c r="L98" i="37"/>
  <c r="CB98" i="37" l="1"/>
  <c r="Y100" i="44" l="1"/>
  <c r="X100" i="44"/>
  <c r="CE184" i="37"/>
  <c r="BV184" i="37"/>
  <c r="BR184" i="37"/>
  <c r="BJ184" i="37"/>
  <c r="BG184" i="37"/>
  <c r="BF184" i="37"/>
  <c r="BE184" i="37"/>
  <c r="BY184" i="37" s="1"/>
  <c r="BB184" i="37"/>
  <c r="BX184" i="37" s="1"/>
  <c r="AY184" i="37"/>
  <c r="BW184" i="37" s="1"/>
  <c r="AS184" i="37"/>
  <c r="BU184" i="37" s="1"/>
  <c r="AP184" i="37"/>
  <c r="BT184" i="37" s="1"/>
  <c r="AM184" i="37"/>
  <c r="BS184" i="37" s="1"/>
  <c r="AG184" i="37"/>
  <c r="BQ184" i="37" s="1"/>
  <c r="AD184" i="37"/>
  <c r="BP184" i="37" s="1"/>
  <c r="AA184" i="37"/>
  <c r="BO184" i="37" s="1"/>
  <c r="W184" i="37"/>
  <c r="V184" i="37"/>
  <c r="U184" i="37"/>
  <c r="BM184" i="37" s="1"/>
  <c r="R184" i="37"/>
  <c r="BL184" i="37" s="1"/>
  <c r="O184" i="37"/>
  <c r="BK184" i="37" s="1"/>
  <c r="CE183" i="37"/>
  <c r="BV183" i="37"/>
  <c r="BR183" i="37"/>
  <c r="BJ183" i="37"/>
  <c r="BG183" i="37"/>
  <c r="BF183" i="37"/>
  <c r="BE183" i="37"/>
  <c r="BY183" i="37" s="1"/>
  <c r="BB183" i="37"/>
  <c r="BX183" i="37" s="1"/>
  <c r="AY183" i="37"/>
  <c r="BW183" i="37" s="1"/>
  <c r="AS183" i="37"/>
  <c r="BU183" i="37" s="1"/>
  <c r="AP183" i="37"/>
  <c r="BT183" i="37" s="1"/>
  <c r="AM183" i="37"/>
  <c r="BS183" i="37" s="1"/>
  <c r="AG183" i="37"/>
  <c r="BQ183" i="37" s="1"/>
  <c r="AD183" i="37"/>
  <c r="BP183" i="37" s="1"/>
  <c r="AA183" i="37"/>
  <c r="BO183" i="37" s="1"/>
  <c r="W183" i="37"/>
  <c r="V183" i="37"/>
  <c r="U183" i="37"/>
  <c r="BM183" i="37" s="1"/>
  <c r="R183" i="37"/>
  <c r="BL183" i="37" s="1"/>
  <c r="O183" i="37"/>
  <c r="CE182" i="37"/>
  <c r="BV182" i="37"/>
  <c r="BR182" i="37"/>
  <c r="BJ182" i="37"/>
  <c r="BG182" i="37"/>
  <c r="BF182" i="37"/>
  <c r="BE182" i="37"/>
  <c r="BY182" i="37" s="1"/>
  <c r="BB182" i="37"/>
  <c r="BX182" i="37" s="1"/>
  <c r="AY182" i="37"/>
  <c r="AS182" i="37"/>
  <c r="BU182" i="37" s="1"/>
  <c r="AP182" i="37"/>
  <c r="BT182" i="37" s="1"/>
  <c r="AM182" i="37"/>
  <c r="BS182" i="37" s="1"/>
  <c r="AG182" i="37"/>
  <c r="BQ182" i="37" s="1"/>
  <c r="AD182" i="37"/>
  <c r="BP182" i="37" s="1"/>
  <c r="AA182" i="37"/>
  <c r="BO182" i="37" s="1"/>
  <c r="W182" i="37"/>
  <c r="V182" i="37"/>
  <c r="U182" i="37"/>
  <c r="BM182" i="37" s="1"/>
  <c r="R182" i="37"/>
  <c r="BL182" i="37" s="1"/>
  <c r="O182" i="37"/>
  <c r="BK182" i="37" s="1"/>
  <c r="W245" i="37"/>
  <c r="V245" i="37"/>
  <c r="W244" i="37"/>
  <c r="V244" i="37"/>
  <c r="AU226" i="37"/>
  <c r="AT226" i="37"/>
  <c r="AI226" i="37"/>
  <c r="AH226" i="37"/>
  <c r="W225" i="37"/>
  <c r="V225" i="37"/>
  <c r="CE217" i="37"/>
  <c r="BJ217" i="37"/>
  <c r="BG217" i="37"/>
  <c r="BF217" i="37"/>
  <c r="BE217" i="37"/>
  <c r="BY217" i="37" s="1"/>
  <c r="BB217" i="37"/>
  <c r="BX217" i="37" s="1"/>
  <c r="AY217" i="37"/>
  <c r="BW217" i="37" s="1"/>
  <c r="AU217" i="37"/>
  <c r="AT217" i="37"/>
  <c r="AS217" i="37"/>
  <c r="BU217" i="37" s="1"/>
  <c r="AP217" i="37"/>
  <c r="BT217" i="37" s="1"/>
  <c r="AM217" i="37"/>
  <c r="AI217" i="37"/>
  <c r="AH217" i="37"/>
  <c r="AG217" i="37"/>
  <c r="BQ217" i="37" s="1"/>
  <c r="AD217" i="37"/>
  <c r="BP217" i="37" s="1"/>
  <c r="AA217" i="37"/>
  <c r="W217" i="37"/>
  <c r="V217" i="37"/>
  <c r="U217" i="37"/>
  <c r="BM217" i="37" s="1"/>
  <c r="R217" i="37"/>
  <c r="BL217" i="37" s="1"/>
  <c r="O217" i="37"/>
  <c r="AU216" i="37"/>
  <c r="AT216" i="37"/>
  <c r="AU218" i="37"/>
  <c r="AT218" i="37"/>
  <c r="BG227" i="37"/>
  <c r="BF227" i="37"/>
  <c r="BG226" i="37"/>
  <c r="BF226" i="37"/>
  <c r="BG225" i="37"/>
  <c r="BF225" i="37"/>
  <c r="BG221" i="37"/>
  <c r="BF221" i="37"/>
  <c r="BG220" i="37"/>
  <c r="BF220" i="37"/>
  <c r="BG219" i="37"/>
  <c r="BF219" i="37"/>
  <c r="BG218" i="37"/>
  <c r="BF218" i="37"/>
  <c r="BG216" i="37"/>
  <c r="BF216" i="37"/>
  <c r="AU225" i="37"/>
  <c r="AT225" i="37"/>
  <c r="AU221" i="37"/>
  <c r="AT221" i="37"/>
  <c r="AU220" i="37"/>
  <c r="AT220" i="37"/>
  <c r="AU219" i="37"/>
  <c r="AT219" i="37"/>
  <c r="AI225" i="37"/>
  <c r="AH225" i="37"/>
  <c r="AI221" i="37"/>
  <c r="AH221" i="37"/>
  <c r="AI220" i="37"/>
  <c r="AH220" i="37"/>
  <c r="AI219" i="37"/>
  <c r="AH219" i="37"/>
  <c r="AI218" i="37"/>
  <c r="AH218" i="37"/>
  <c r="AI216" i="37"/>
  <c r="AH216" i="37"/>
  <c r="W221" i="37"/>
  <c r="V221" i="37"/>
  <c r="W220" i="37"/>
  <c r="V220" i="37"/>
  <c r="W219" i="37"/>
  <c r="V219" i="37"/>
  <c r="W218" i="37"/>
  <c r="V218" i="37"/>
  <c r="W216" i="37"/>
  <c r="V216" i="37"/>
  <c r="BG187" i="37"/>
  <c r="BF187" i="37"/>
  <c r="BG186" i="37"/>
  <c r="BF186" i="37"/>
  <c r="AU180" i="37"/>
  <c r="AT180" i="37"/>
  <c r="W181" i="37"/>
  <c r="V181" i="37"/>
  <c r="W180" i="37"/>
  <c r="V180" i="37"/>
  <c r="W178" i="37"/>
  <c r="V178" i="37"/>
  <c r="W179" i="37"/>
  <c r="V179" i="37"/>
  <c r="AU179" i="37"/>
  <c r="AT179" i="37"/>
  <c r="AU178" i="37"/>
  <c r="AT178" i="37"/>
  <c r="AU177" i="37"/>
  <c r="AT177" i="37"/>
  <c r="AV176" i="37"/>
  <c r="BV176" i="37" s="1"/>
  <c r="AU176" i="37"/>
  <c r="AT176" i="37"/>
  <c r="AU175" i="37"/>
  <c r="AT175" i="37"/>
  <c r="BG181" i="37"/>
  <c r="BF181" i="37"/>
  <c r="BG180" i="37"/>
  <c r="BF180" i="37"/>
  <c r="BG179" i="37"/>
  <c r="BF179" i="37"/>
  <c r="AI178" i="37"/>
  <c r="AH178" i="37"/>
  <c r="AI177" i="37"/>
  <c r="AH177" i="37"/>
  <c r="W177" i="37"/>
  <c r="V177" i="37"/>
  <c r="W187" i="37"/>
  <c r="V187" i="37"/>
  <c r="W186" i="37"/>
  <c r="V186" i="37"/>
  <c r="AI188" i="37"/>
  <c r="AH188" i="37"/>
  <c r="AI187" i="37"/>
  <c r="AH187" i="37"/>
  <c r="AI186" i="37"/>
  <c r="AH186" i="37"/>
  <c r="AU188" i="37"/>
  <c r="AT188" i="37"/>
  <c r="BG188" i="37"/>
  <c r="BF188" i="37"/>
  <c r="W132" i="37"/>
  <c r="V132" i="37"/>
  <c r="BG177" i="37"/>
  <c r="BF177" i="37"/>
  <c r="BG176" i="37"/>
  <c r="BF176" i="37"/>
  <c r="BG175" i="37"/>
  <c r="BF175" i="37"/>
  <c r="BG173" i="37"/>
  <c r="BF173" i="37"/>
  <c r="BB176" i="37"/>
  <c r="BX176" i="37" s="1"/>
  <c r="AY176" i="37"/>
  <c r="BW176" i="37" s="1"/>
  <c r="AU173" i="37"/>
  <c r="AT173" i="37"/>
  <c r="AU172" i="37"/>
  <c r="AT172" i="37"/>
  <c r="AU171" i="37"/>
  <c r="AT171" i="37"/>
  <c r="AU170" i="37"/>
  <c r="AT170" i="37"/>
  <c r="AI172" i="37"/>
  <c r="AH172" i="37"/>
  <c r="AI171" i="37"/>
  <c r="AH171" i="37"/>
  <c r="W170" i="37"/>
  <c r="V170" i="37"/>
  <c r="W169" i="37"/>
  <c r="V169" i="37"/>
  <c r="BG172" i="37"/>
  <c r="BF172" i="37"/>
  <c r="BG171" i="37"/>
  <c r="BF171" i="37"/>
  <c r="BG170" i="37"/>
  <c r="BF170" i="37"/>
  <c r="BG167" i="37"/>
  <c r="BF167" i="37"/>
  <c r="BG168" i="37"/>
  <c r="BF168" i="37"/>
  <c r="BG169" i="37"/>
  <c r="BF169" i="37"/>
  <c r="AU169" i="37"/>
  <c r="AT169" i="37"/>
  <c r="AU168" i="37"/>
  <c r="AT168" i="37"/>
  <c r="AI168" i="37"/>
  <c r="AH168" i="37"/>
  <c r="AI167" i="37"/>
  <c r="AH167" i="37"/>
  <c r="W168" i="37"/>
  <c r="V168" i="37"/>
  <c r="W167" i="37"/>
  <c r="V167" i="37"/>
  <c r="O4" i="37"/>
  <c r="P4" i="37" s="1"/>
  <c r="X217" i="37" l="1"/>
  <c r="AJ217" i="37"/>
  <c r="BR217" i="37" s="1"/>
  <c r="X183" i="37"/>
  <c r="BN183" i="37" s="1"/>
  <c r="BH176" i="37"/>
  <c r="BH182" i="37"/>
  <c r="BZ182" i="37" s="1"/>
  <c r="BF166" i="37"/>
  <c r="AT166" i="37"/>
  <c r="BG166" i="37"/>
  <c r="W166" i="37"/>
  <c r="AU166" i="37"/>
  <c r="V166" i="37"/>
  <c r="AH166" i="37"/>
  <c r="AI166" i="37"/>
  <c r="BK217" i="37"/>
  <c r="BO217" i="37"/>
  <c r="I184" i="37"/>
  <c r="J183" i="37"/>
  <c r="J182" i="37"/>
  <c r="I183" i="37"/>
  <c r="BK183" i="37"/>
  <c r="I176" i="37"/>
  <c r="J176" i="37"/>
  <c r="J184" i="37"/>
  <c r="X184" i="37"/>
  <c r="BN184" i="37" s="1"/>
  <c r="X182" i="37"/>
  <c r="BN182" i="37" s="1"/>
  <c r="I182" i="37"/>
  <c r="BH184" i="37"/>
  <c r="BZ184" i="37" s="1"/>
  <c r="BH183" i="37"/>
  <c r="BZ183" i="37" s="1"/>
  <c r="BW182" i="37"/>
  <c r="AV217" i="37"/>
  <c r="BV217" i="37" s="1"/>
  <c r="J217" i="37"/>
  <c r="BS217" i="37"/>
  <c r="I217" i="37"/>
  <c r="BN217" i="37"/>
  <c r="BH217" i="37"/>
  <c r="BZ217" i="37" s="1"/>
  <c r="X132" i="37"/>
  <c r="AU163" i="37"/>
  <c r="AT163" i="37"/>
  <c r="AP163" i="37"/>
  <c r="AM163" i="37"/>
  <c r="AI163" i="37"/>
  <c r="AH163" i="37"/>
  <c r="AG163" i="37"/>
  <c r="AJ163" i="37" s="1"/>
  <c r="L163" i="37"/>
  <c r="BJ163" i="37"/>
  <c r="AI162" i="37"/>
  <c r="AH162" i="37"/>
  <c r="BG162" i="37"/>
  <c r="BF162" i="37"/>
  <c r="W160" i="37"/>
  <c r="V160" i="37"/>
  <c r="W159" i="37"/>
  <c r="V159" i="37"/>
  <c r="BG156" i="37"/>
  <c r="BF156" i="37"/>
  <c r="AU158" i="37"/>
  <c r="AT158" i="37"/>
  <c r="AU157" i="37"/>
  <c r="AT157" i="37"/>
  <c r="AU156" i="37"/>
  <c r="AT156" i="37"/>
  <c r="AU155" i="37"/>
  <c r="AT155" i="37"/>
  <c r="AU154" i="37"/>
  <c r="AT154" i="37"/>
  <c r="AI154" i="37"/>
  <c r="AH154" i="37"/>
  <c r="AI153" i="37"/>
  <c r="AH153" i="37"/>
  <c r="W151" i="37"/>
  <c r="V151" i="37"/>
  <c r="W152" i="37"/>
  <c r="V152" i="37"/>
  <c r="AI150" i="37"/>
  <c r="AH150" i="37"/>
  <c r="AU151" i="37"/>
  <c r="AT151" i="37"/>
  <c r="BG142" i="37"/>
  <c r="BF142" i="37"/>
  <c r="AU140" i="37"/>
  <c r="AT140" i="37"/>
  <c r="AU141" i="37"/>
  <c r="AT141" i="37"/>
  <c r="AU142" i="37"/>
  <c r="AT142" i="37"/>
  <c r="V143" i="37"/>
  <c r="X143" i="37" s="1"/>
  <c r="V142" i="37"/>
  <c r="X142" i="37" s="1"/>
  <c r="V141" i="37"/>
  <c r="X141" i="37" s="1"/>
  <c r="V140" i="37"/>
  <c r="X140" i="37" s="1"/>
  <c r="BG136" i="37"/>
  <c r="BF136" i="37"/>
  <c r="W128" i="37"/>
  <c r="BG134" i="37"/>
  <c r="BF134" i="37"/>
  <c r="BG133" i="37"/>
  <c r="BF133" i="37"/>
  <c r="BG132" i="37"/>
  <c r="BF132" i="37"/>
  <c r="BG131" i="37"/>
  <c r="BF131" i="37"/>
  <c r="BG130" i="37"/>
  <c r="BF130" i="37"/>
  <c r="BG129" i="37"/>
  <c r="BF129" i="37"/>
  <c r="BG128" i="37"/>
  <c r="BF128" i="37"/>
  <c r="AU134" i="37"/>
  <c r="AT134" i="37"/>
  <c r="AU133" i="37"/>
  <c r="AT133" i="37"/>
  <c r="AU132" i="37"/>
  <c r="AT132" i="37"/>
  <c r="AU131" i="37"/>
  <c r="AT131" i="37"/>
  <c r="AU130" i="37"/>
  <c r="AT130" i="37"/>
  <c r="AU129" i="37"/>
  <c r="AT129" i="37"/>
  <c r="AU128" i="37"/>
  <c r="AT128" i="37"/>
  <c r="AI134" i="37"/>
  <c r="AH134" i="37"/>
  <c r="AI133" i="37"/>
  <c r="AH133" i="37"/>
  <c r="AI132" i="37"/>
  <c r="AH132" i="37"/>
  <c r="AI131" i="37"/>
  <c r="AH131" i="37"/>
  <c r="AI130" i="37"/>
  <c r="AH130" i="37"/>
  <c r="AI129" i="37"/>
  <c r="AH129" i="37"/>
  <c r="AI128" i="37"/>
  <c r="AH128" i="37"/>
  <c r="V131" i="37"/>
  <c r="X131" i="37" s="1"/>
  <c r="V130" i="37"/>
  <c r="X130" i="37" s="1"/>
  <c r="V128" i="37"/>
  <c r="BG124" i="37"/>
  <c r="BF124" i="37"/>
  <c r="K176" i="37" l="1"/>
  <c r="BZ176" i="37"/>
  <c r="L176" i="37" s="1"/>
  <c r="L182" i="37"/>
  <c r="K182" i="37"/>
  <c r="I163" i="37"/>
  <c r="AV163" i="37"/>
  <c r="K163" i="37" s="1"/>
  <c r="L184" i="37"/>
  <c r="K184" i="37"/>
  <c r="L183" i="37"/>
  <c r="K183" i="37"/>
  <c r="L217" i="37"/>
  <c r="K217" i="37"/>
  <c r="CB217" i="37" s="1"/>
  <c r="J163" i="37"/>
  <c r="X128" i="37"/>
  <c r="AU120" i="37"/>
  <c r="AT120" i="37"/>
  <c r="AI119" i="37"/>
  <c r="AH119" i="37"/>
  <c r="W119" i="37"/>
  <c r="V119" i="37"/>
  <c r="CB183" i="37" l="1"/>
  <c r="CB182" i="37"/>
  <c r="CB176" i="37"/>
  <c r="CB163" i="37"/>
  <c r="CB184" i="37"/>
  <c r="BG109" i="37"/>
  <c r="BF109" i="37"/>
  <c r="W108" i="37"/>
  <c r="V108" i="37"/>
  <c r="W94" i="37"/>
  <c r="V94" i="37"/>
  <c r="W96" i="37"/>
  <c r="V96" i="37"/>
  <c r="BG95" i="37"/>
  <c r="BF95" i="37"/>
  <c r="AU95" i="37"/>
  <c r="AT95" i="37"/>
  <c r="AI93" i="37"/>
  <c r="AH93" i="37"/>
  <c r="V93" i="37"/>
  <c r="W93" i="37"/>
  <c r="AI82" i="37" l="1"/>
  <c r="AH82" i="37"/>
  <c r="AI81" i="37"/>
  <c r="AH81" i="37"/>
  <c r="AI80" i="37"/>
  <c r="AH80" i="37"/>
  <c r="AI79" i="37"/>
  <c r="AH79" i="37"/>
  <c r="W78" i="37"/>
  <c r="V78" i="37"/>
  <c r="W75" i="37"/>
  <c r="V75" i="37"/>
  <c r="AU74" i="37"/>
  <c r="AT74" i="37"/>
  <c r="AM74" i="37"/>
  <c r="AI73" i="37"/>
  <c r="AH73" i="37"/>
  <c r="CE65" i="37"/>
  <c r="BJ65" i="37"/>
  <c r="BG65" i="37"/>
  <c r="BF65" i="37"/>
  <c r="BE65" i="37"/>
  <c r="BY65" i="37" s="1"/>
  <c r="BB65" i="37"/>
  <c r="BX65" i="37" s="1"/>
  <c r="AY65" i="37"/>
  <c r="BW65" i="37" s="1"/>
  <c r="AU65" i="37"/>
  <c r="AT65" i="37"/>
  <c r="AS65" i="37"/>
  <c r="BU65" i="37" s="1"/>
  <c r="AP65" i="37"/>
  <c r="BT65" i="37" s="1"/>
  <c r="AM65" i="37"/>
  <c r="AI65" i="37"/>
  <c r="AH65" i="37"/>
  <c r="AG65" i="37"/>
  <c r="BQ65" i="37" s="1"/>
  <c r="AD65" i="37"/>
  <c r="BP65" i="37" s="1"/>
  <c r="AA65" i="37"/>
  <c r="W65" i="37"/>
  <c r="V65" i="37"/>
  <c r="U65" i="37"/>
  <c r="R65" i="37"/>
  <c r="BL65" i="37" s="1"/>
  <c r="O65" i="37"/>
  <c r="BK65" i="37" s="1"/>
  <c r="CE64" i="37"/>
  <c r="BJ64" i="37"/>
  <c r="BG64" i="37"/>
  <c r="BF64" i="37"/>
  <c r="BE64" i="37"/>
  <c r="BY64" i="37" s="1"/>
  <c r="BB64" i="37"/>
  <c r="BX64" i="37" s="1"/>
  <c r="AY64" i="37"/>
  <c r="BW64" i="37" s="1"/>
  <c r="AU64" i="37"/>
  <c r="AT64" i="37"/>
  <c r="AS64" i="37"/>
  <c r="BU64" i="37" s="1"/>
  <c r="AP64" i="37"/>
  <c r="BT64" i="37" s="1"/>
  <c r="AM64" i="37"/>
  <c r="BS64" i="37" s="1"/>
  <c r="AI64" i="37"/>
  <c r="AH64" i="37"/>
  <c r="AG64" i="37"/>
  <c r="BQ64" i="37" s="1"/>
  <c r="AD64" i="37"/>
  <c r="BP64" i="37" s="1"/>
  <c r="AA64" i="37"/>
  <c r="W64" i="37"/>
  <c r="V64" i="37"/>
  <c r="U64" i="37"/>
  <c r="BM64" i="37" s="1"/>
  <c r="R64" i="37"/>
  <c r="BL64" i="37" s="1"/>
  <c r="O64" i="37"/>
  <c r="BK64" i="37" s="1"/>
  <c r="W68" i="37"/>
  <c r="V68" i="37"/>
  <c r="W67" i="37"/>
  <c r="V67" i="37"/>
  <c r="W66" i="37"/>
  <c r="V66" i="37"/>
  <c r="AK45" i="37"/>
  <c r="AL45" i="37"/>
  <c r="AN45" i="37"/>
  <c r="AO45" i="37"/>
  <c r="AQ45" i="37"/>
  <c r="AR45" i="37"/>
  <c r="AW45" i="37"/>
  <c r="AX45" i="37"/>
  <c r="AZ45" i="37"/>
  <c r="BA45" i="37"/>
  <c r="BC45" i="37"/>
  <c r="BD45" i="37"/>
  <c r="Y45" i="37"/>
  <c r="Z45" i="37"/>
  <c r="AB45" i="37"/>
  <c r="AC45" i="37"/>
  <c r="AE45" i="37"/>
  <c r="AF45" i="37"/>
  <c r="N45" i="37"/>
  <c r="P45" i="37"/>
  <c r="Q45" i="37"/>
  <c r="S45" i="37"/>
  <c r="T45" i="37"/>
  <c r="M45" i="37"/>
  <c r="AT52" i="37"/>
  <c r="AU52" i="37"/>
  <c r="AT53" i="37"/>
  <c r="AU53" i="37"/>
  <c r="AT54" i="37"/>
  <c r="AU54" i="37"/>
  <c r="AT55" i="37"/>
  <c r="AU55" i="37"/>
  <c r="AS52" i="37"/>
  <c r="BU52" i="37" s="1"/>
  <c r="AS53" i="37"/>
  <c r="BU53" i="37" s="1"/>
  <c r="AS54" i="37"/>
  <c r="BU54" i="37" s="1"/>
  <c r="AS55" i="37"/>
  <c r="BU55" i="37" s="1"/>
  <c r="AP52" i="37"/>
  <c r="AP53" i="37"/>
  <c r="AP54" i="37"/>
  <c r="BT54" i="37" s="1"/>
  <c r="AP55" i="37"/>
  <c r="AG52" i="37"/>
  <c r="AG53" i="37"/>
  <c r="BQ53" i="37" s="1"/>
  <c r="AG54" i="37"/>
  <c r="BQ54" i="37" s="1"/>
  <c r="AG55" i="37"/>
  <c r="BQ55" i="37" s="1"/>
  <c r="AD52" i="37"/>
  <c r="BP52" i="37" s="1"/>
  <c r="AD53" i="37"/>
  <c r="BP53" i="37" s="1"/>
  <c r="AD54" i="37"/>
  <c r="BP54" i="37" s="1"/>
  <c r="AD55" i="37"/>
  <c r="BP55" i="37" s="1"/>
  <c r="AA52" i="37"/>
  <c r="BO52" i="37" s="1"/>
  <c r="AA53" i="37"/>
  <c r="BO53" i="37" s="1"/>
  <c r="AA54" i="37"/>
  <c r="BO54" i="37" s="1"/>
  <c r="AA55" i="37"/>
  <c r="BO55" i="37" s="1"/>
  <c r="AH53" i="37"/>
  <c r="AI53" i="37"/>
  <c r="AH54" i="37"/>
  <c r="AI54" i="37"/>
  <c r="AH55" i="37"/>
  <c r="AI55" i="37"/>
  <c r="U52" i="37"/>
  <c r="BM52" i="37" s="1"/>
  <c r="U53" i="37"/>
  <c r="BM53" i="37" s="1"/>
  <c r="U54" i="37"/>
  <c r="U55" i="37"/>
  <c r="BM55" i="37" s="1"/>
  <c r="R52" i="37"/>
  <c r="BL52" i="37" s="1"/>
  <c r="R53" i="37"/>
  <c r="BL53" i="37" s="1"/>
  <c r="R54" i="37"/>
  <c r="BL54" i="37" s="1"/>
  <c r="R55" i="37"/>
  <c r="BL55" i="37" s="1"/>
  <c r="V52" i="37"/>
  <c r="W52" i="37"/>
  <c r="V53" i="37"/>
  <c r="W53" i="37"/>
  <c r="V54" i="37"/>
  <c r="W54" i="37"/>
  <c r="V55" i="37"/>
  <c r="W55" i="37"/>
  <c r="O52" i="37"/>
  <c r="BK52" i="37" s="1"/>
  <c r="O53" i="37"/>
  <c r="O54" i="37"/>
  <c r="BK54" i="37" s="1"/>
  <c r="O55" i="37"/>
  <c r="AI57" i="37"/>
  <c r="AH57" i="37"/>
  <c r="AI58" i="37"/>
  <c r="AH58" i="37"/>
  <c r="W57" i="37"/>
  <c r="V57" i="37"/>
  <c r="W58" i="37"/>
  <c r="V58" i="37"/>
  <c r="BY55" i="37"/>
  <c r="BX55" i="37"/>
  <c r="BW55" i="37"/>
  <c r="BS55" i="37"/>
  <c r="BJ55" i="37"/>
  <c r="BZ54" i="37"/>
  <c r="BY54" i="37"/>
  <c r="BX54" i="37"/>
  <c r="BW54" i="37"/>
  <c r="BS54" i="37"/>
  <c r="BJ54" i="37"/>
  <c r="BZ53" i="37"/>
  <c r="BY53" i="37"/>
  <c r="BX53" i="37"/>
  <c r="BW53" i="37"/>
  <c r="BS53" i="37"/>
  <c r="BJ53" i="37"/>
  <c r="BZ52" i="37"/>
  <c r="BY52" i="37"/>
  <c r="BX52" i="37"/>
  <c r="BW52" i="37"/>
  <c r="BS52" i="37"/>
  <c r="BJ52" i="37"/>
  <c r="AI52" i="37"/>
  <c r="AH52" i="37"/>
  <c r="BG48" i="37"/>
  <c r="BF48" i="37"/>
  <c r="AU47" i="37"/>
  <c r="AT47" i="37"/>
  <c r="AU48" i="37"/>
  <c r="AT48" i="37"/>
  <c r="AU49" i="37"/>
  <c r="AT49" i="37"/>
  <c r="AU50" i="37"/>
  <c r="AT50" i="37"/>
  <c r="AI46" i="37"/>
  <c r="AH46" i="37"/>
  <c r="AI47" i="37"/>
  <c r="AH47" i="37"/>
  <c r="AI48" i="37"/>
  <c r="AH48" i="37"/>
  <c r="AI49" i="37"/>
  <c r="AH49" i="37"/>
  <c r="W46" i="37"/>
  <c r="V46" i="37"/>
  <c r="W47" i="37"/>
  <c r="V47" i="37"/>
  <c r="W48" i="37"/>
  <c r="V48" i="37"/>
  <c r="BP42" i="37"/>
  <c r="BG42" i="37"/>
  <c r="BF42" i="37"/>
  <c r="AU40" i="37"/>
  <c r="AT40" i="37"/>
  <c r="AU41" i="37"/>
  <c r="AT41" i="37"/>
  <c r="AI40" i="37"/>
  <c r="AH40" i="37"/>
  <c r="AI41" i="37"/>
  <c r="AH41" i="37"/>
  <c r="W32" i="37"/>
  <c r="V32" i="37"/>
  <c r="W33" i="37"/>
  <c r="V33" i="37"/>
  <c r="W34" i="37"/>
  <c r="V34" i="37"/>
  <c r="W35" i="37"/>
  <c r="V35" i="37"/>
  <c r="BG33" i="37"/>
  <c r="BF33" i="37"/>
  <c r="AU32" i="37"/>
  <c r="AT32" i="37"/>
  <c r="AI32" i="37"/>
  <c r="AH32" i="37"/>
  <c r="AD39" i="44"/>
  <c r="AE39" i="44" s="1"/>
  <c r="AK24" i="44"/>
  <c r="AG24" i="44"/>
  <c r="BG27" i="37"/>
  <c r="BF27" i="37"/>
  <c r="AI28" i="37"/>
  <c r="AH28" i="37"/>
  <c r="AI27" i="37"/>
  <c r="AH27" i="37"/>
  <c r="BG19" i="37"/>
  <c r="BF19" i="37"/>
  <c r="AU19" i="37"/>
  <c r="AT19" i="37"/>
  <c r="AI23" i="37"/>
  <c r="AH23" i="37"/>
  <c r="AI22" i="37"/>
  <c r="AH22" i="37"/>
  <c r="AI19" i="37"/>
  <c r="AH19" i="37"/>
  <c r="AJ65" i="37" l="1"/>
  <c r="BR65" i="37" s="1"/>
  <c r="AJ64" i="37"/>
  <c r="BR64" i="37" s="1"/>
  <c r="AV53" i="37"/>
  <c r="BV53" i="37" s="1"/>
  <c r="J55" i="37"/>
  <c r="J54" i="37"/>
  <c r="I54" i="37"/>
  <c r="AV65" i="37"/>
  <c r="BV65" i="37" s="1"/>
  <c r="X52" i="37"/>
  <c r="BN52" i="37" s="1"/>
  <c r="I55" i="37"/>
  <c r="AV55" i="37"/>
  <c r="BV55" i="37" s="1"/>
  <c r="BT55" i="37"/>
  <c r="AV52" i="37"/>
  <c r="BV52" i="37" s="1"/>
  <c r="I64" i="37"/>
  <c r="I65" i="37"/>
  <c r="J65" i="37"/>
  <c r="J64" i="37"/>
  <c r="BO64" i="37"/>
  <c r="BS65" i="37"/>
  <c r="J53" i="37"/>
  <c r="X64" i="37"/>
  <c r="BN64" i="37" s="1"/>
  <c r="I53" i="37"/>
  <c r="AJ52" i="37"/>
  <c r="BR52" i="37" s="1"/>
  <c r="X65" i="37"/>
  <c r="BN65" i="37" s="1"/>
  <c r="AV64" i="37"/>
  <c r="BV64" i="37" s="1"/>
  <c r="BH65" i="37"/>
  <c r="BZ65" i="37" s="1"/>
  <c r="BM65" i="37"/>
  <c r="BH64" i="37"/>
  <c r="BZ64" i="37" s="1"/>
  <c r="BO65" i="37"/>
  <c r="BT53" i="37"/>
  <c r="X55" i="37"/>
  <c r="BN55" i="37" s="1"/>
  <c r="J52" i="37"/>
  <c r="X54" i="37"/>
  <c r="BM54" i="37"/>
  <c r="AJ55" i="37"/>
  <c r="BR55" i="37" s="1"/>
  <c r="I52" i="37"/>
  <c r="AV54" i="37"/>
  <c r="BV54" i="37" s="1"/>
  <c r="BT52" i="37"/>
  <c r="BK55" i="37"/>
  <c r="X53" i="37"/>
  <c r="BN53" i="37" s="1"/>
  <c r="BK53" i="37"/>
  <c r="AJ54" i="37"/>
  <c r="BR54" i="37" s="1"/>
  <c r="BQ52" i="37"/>
  <c r="AJ53" i="37"/>
  <c r="BR53" i="37" s="1"/>
  <c r="L52" i="37" l="1"/>
  <c r="K53" i="37"/>
  <c r="L53" i="37"/>
  <c r="K52" i="37"/>
  <c r="L64" i="37"/>
  <c r="K64" i="37"/>
  <c r="K65" i="37"/>
  <c r="L65" i="37"/>
  <c r="BN54" i="37"/>
  <c r="L54" i="37" s="1"/>
  <c r="K54" i="37"/>
  <c r="K55" i="37"/>
  <c r="L55" i="37"/>
  <c r="CB54" i="37" l="1"/>
  <c r="CB55" i="37"/>
  <c r="CB52" i="37"/>
  <c r="CB53" i="37"/>
  <c r="CB64" i="37"/>
  <c r="CB65" i="37"/>
  <c r="AM49" i="44" l="1"/>
  <c r="F49" i="44"/>
  <c r="J49" i="44"/>
  <c r="L49" i="44"/>
  <c r="M49" i="44"/>
  <c r="O49" i="44"/>
  <c r="P49" i="44"/>
  <c r="R49" i="44" s="1"/>
  <c r="S49" i="44"/>
  <c r="AI49" i="44"/>
  <c r="AI52" i="44"/>
  <c r="AD51" i="44"/>
  <c r="AD46" i="44" s="1"/>
  <c r="AM52" i="44"/>
  <c r="AE52" i="44"/>
  <c r="AA52" i="44"/>
  <c r="S52" i="44"/>
  <c r="P52" i="44"/>
  <c r="R52" i="44" s="1"/>
  <c r="O52" i="44"/>
  <c r="M52" i="44"/>
  <c r="L52" i="44"/>
  <c r="F52" i="44"/>
  <c r="AC46" i="44"/>
  <c r="AE48" i="44"/>
  <c r="AM48" i="44"/>
  <c r="AI48" i="44"/>
  <c r="AA48" i="44"/>
  <c r="S48" i="44"/>
  <c r="P48" i="44"/>
  <c r="R48" i="44" s="1"/>
  <c r="O48" i="44"/>
  <c r="M48" i="44"/>
  <c r="L48" i="44"/>
  <c r="F48" i="44"/>
  <c r="AI50" i="44"/>
  <c r="V49" i="44" l="1"/>
  <c r="W49" i="44" s="1"/>
  <c r="V52" i="44"/>
  <c r="W52" i="44" s="1"/>
  <c r="V48" i="44"/>
  <c r="W48" i="44" s="1"/>
  <c r="AC37" i="44"/>
  <c r="AL84" i="44"/>
  <c r="AK84" i="44"/>
  <c r="AJ83" i="44"/>
  <c r="S84" i="44"/>
  <c r="P84" i="44"/>
  <c r="R84" i="44" s="1"/>
  <c r="O84" i="44"/>
  <c r="M84" i="44"/>
  <c r="L84" i="44"/>
  <c r="J84" i="44"/>
  <c r="F84" i="44"/>
  <c r="AH83" i="44"/>
  <c r="F83" i="44"/>
  <c r="S83" i="44"/>
  <c r="P83" i="44"/>
  <c r="R83" i="44" s="1"/>
  <c r="O83" i="44"/>
  <c r="M83" i="44"/>
  <c r="L83" i="44"/>
  <c r="J83" i="44"/>
  <c r="N49" i="44" l="1"/>
  <c r="U49" i="44" s="1"/>
  <c r="T49" i="44" s="1"/>
  <c r="N52" i="44"/>
  <c r="T52" i="44" s="1"/>
  <c r="N48" i="44"/>
  <c r="T48" i="44" s="1"/>
  <c r="AG82" i="44"/>
  <c r="AF82" i="44"/>
  <c r="AD82" i="44" l="1"/>
  <c r="S82" i="44"/>
  <c r="P82" i="44"/>
  <c r="R82" i="44" s="1"/>
  <c r="O82" i="44"/>
  <c r="M82" i="44"/>
  <c r="L82" i="44"/>
  <c r="J82" i="44"/>
  <c r="F82" i="44"/>
  <c r="AD77" i="44"/>
  <c r="AD74" i="44" s="1"/>
  <c r="AC77" i="44"/>
  <c r="AC76" i="44"/>
  <c r="AC74" i="44" s="1"/>
  <c r="Y74" i="44"/>
  <c r="Z74" i="44"/>
  <c r="AB76" i="44"/>
  <c r="AB74" i="44" s="1"/>
  <c r="F10" i="44"/>
  <c r="F77" i="44"/>
  <c r="J75" i="44"/>
  <c r="G9" i="44"/>
  <c r="F9" i="44"/>
  <c r="AE77" i="44" l="1"/>
  <c r="AK71" i="44"/>
  <c r="F71" i="44"/>
  <c r="S71" i="44"/>
  <c r="P71" i="44"/>
  <c r="R71" i="44" s="1"/>
  <c r="O71" i="44"/>
  <c r="M71" i="44"/>
  <c r="L71" i="44"/>
  <c r="J71" i="44"/>
  <c r="AM67" i="44"/>
  <c r="AM68" i="44"/>
  <c r="AM69" i="44"/>
  <c r="AM70" i="44"/>
  <c r="AI67" i="44"/>
  <c r="AI68" i="44"/>
  <c r="AI69" i="44"/>
  <c r="AI70" i="44"/>
  <c r="AE70" i="44"/>
  <c r="V70" i="44" s="1"/>
  <c r="S70" i="44"/>
  <c r="P70" i="44"/>
  <c r="R70" i="44" s="1"/>
  <c r="O70" i="44"/>
  <c r="M70" i="44"/>
  <c r="L70" i="44"/>
  <c r="J70" i="44"/>
  <c r="F70" i="44"/>
  <c r="AI90" i="44"/>
  <c r="F8" i="44"/>
  <c r="F90" i="44"/>
  <c r="L135" i="44"/>
  <c r="M135" i="44"/>
  <c r="O135" i="44"/>
  <c r="P135" i="44"/>
  <c r="R135" i="44" s="1"/>
  <c r="S135" i="44"/>
  <c r="AA91" i="44"/>
  <c r="AE91" i="44"/>
  <c r="AI91" i="44"/>
  <c r="AM91" i="44"/>
  <c r="AK146" i="44"/>
  <c r="AG146" i="44"/>
  <c r="J134" i="44"/>
  <c r="Y134" i="44"/>
  <c r="X134" i="44"/>
  <c r="V91" i="44" l="1"/>
  <c r="W91" i="44"/>
  <c r="N91" i="44"/>
  <c r="U91" i="44" s="1"/>
  <c r="T91" i="44" s="1"/>
  <c r="AM90" i="44"/>
  <c r="V90" i="44" s="1"/>
  <c r="W70" i="44"/>
  <c r="N70" i="44"/>
  <c r="U70" i="44" s="1"/>
  <c r="T70" i="44" s="1"/>
  <c r="W90" i="44" l="1"/>
  <c r="N90" i="44"/>
  <c r="U90" i="44" s="1"/>
  <c r="T90" i="44" s="1"/>
  <c r="AL121" i="44"/>
  <c r="AG121" i="44"/>
  <c r="J120" i="44"/>
  <c r="Y120" i="44"/>
  <c r="F7" i="44"/>
  <c r="G6" i="44" l="1"/>
  <c r="G5" i="44"/>
  <c r="J111" i="44"/>
  <c r="C6" i="50" s="1"/>
  <c r="F6" i="44"/>
  <c r="F5" i="44"/>
  <c r="AA111" i="44"/>
  <c r="F4" i="44"/>
  <c r="G4" i="44" s="1"/>
  <c r="Y4" i="44"/>
  <c r="Y6" i="44" s="1"/>
  <c r="AH6" i="44" l="1"/>
  <c r="AE6" i="44"/>
  <c r="AD6" i="44"/>
  <c r="AC6" i="44"/>
  <c r="AA6" i="44"/>
  <c r="AI39" i="44"/>
  <c r="AJ6" i="44"/>
  <c r="AI6" i="44"/>
  <c r="AG6" i="44"/>
  <c r="AF6" i="44"/>
  <c r="AL6" i="44"/>
  <c r="AK6" i="44"/>
  <c r="Z6" i="44"/>
  <c r="Y3" i="44"/>
  <c r="Z3" i="44" s="1"/>
  <c r="V4" i="44"/>
  <c r="V6" i="44" s="1"/>
  <c r="X6" i="44" s="1"/>
  <c r="BE386" i="37" l="1"/>
  <c r="BB386" i="37"/>
  <c r="AY386" i="37"/>
  <c r="BH386" i="37" l="1"/>
  <c r="W208" i="37"/>
  <c r="V208" i="37"/>
  <c r="J112" i="44"/>
  <c r="C7" i="50" s="1"/>
  <c r="F112" i="44"/>
  <c r="J115" i="44"/>
  <c r="F115" i="44"/>
  <c r="AD81" i="37"/>
  <c r="AG81" i="37"/>
  <c r="AG187" i="37" l="1"/>
  <c r="BQ187" i="37" s="1"/>
  <c r="AD187" i="37"/>
  <c r="BP187" i="37" s="1"/>
  <c r="AA187" i="37"/>
  <c r="AG27" i="37"/>
  <c r="AD27" i="37"/>
  <c r="AA27" i="37"/>
  <c r="AS401" i="37"/>
  <c r="AP401" i="37"/>
  <c r="AM401" i="37"/>
  <c r="AG401" i="37"/>
  <c r="AD401" i="37"/>
  <c r="AA401" i="37"/>
  <c r="BR841" i="37"/>
  <c r="BR840" i="37"/>
  <c r="BR839" i="37"/>
  <c r="BR838" i="37"/>
  <c r="BR837" i="37"/>
  <c r="BR836" i="37"/>
  <c r="BR835" i="37"/>
  <c r="BR834" i="37"/>
  <c r="BR833" i="37"/>
  <c r="BR832" i="37"/>
  <c r="BR831" i="37"/>
  <c r="BR830" i="37"/>
  <c r="BR829" i="37"/>
  <c r="BR828" i="37"/>
  <c r="BR827" i="37"/>
  <c r="BR826" i="37"/>
  <c r="BR825" i="37"/>
  <c r="BR824" i="37"/>
  <c r="BR823" i="37"/>
  <c r="BR822" i="37"/>
  <c r="BR821" i="37"/>
  <c r="BR820" i="37"/>
  <c r="BR819" i="37"/>
  <c r="BR818" i="37"/>
  <c r="BR817" i="37"/>
  <c r="BR816" i="37"/>
  <c r="BR815" i="37"/>
  <c r="BR814" i="37"/>
  <c r="BR813" i="37"/>
  <c r="BR812" i="37"/>
  <c r="BR811" i="37"/>
  <c r="BR810" i="37"/>
  <c r="BR809" i="37"/>
  <c r="BR808" i="37"/>
  <c r="BR807" i="37"/>
  <c r="BR806" i="37"/>
  <c r="BR805" i="37"/>
  <c r="BR804" i="37"/>
  <c r="BR803" i="37"/>
  <c r="BR802" i="37"/>
  <c r="BR801" i="37"/>
  <c r="BR800" i="37"/>
  <c r="BR799" i="37"/>
  <c r="BR798" i="37"/>
  <c r="BR797" i="37"/>
  <c r="BR796" i="37"/>
  <c r="BR795" i="37"/>
  <c r="BR794" i="37"/>
  <c r="BR793" i="37"/>
  <c r="BR792" i="37"/>
  <c r="BR791" i="37"/>
  <c r="BR790" i="37"/>
  <c r="BR789" i="37"/>
  <c r="BR788" i="37"/>
  <c r="BR787" i="37"/>
  <c r="BR786" i="37"/>
  <c r="BR785" i="37"/>
  <c r="BR784" i="37"/>
  <c r="BR783" i="37"/>
  <c r="BR782" i="37"/>
  <c r="BR781" i="37"/>
  <c r="BR780" i="37"/>
  <c r="BR779" i="37"/>
  <c r="BR778" i="37"/>
  <c r="BR777" i="37"/>
  <c r="BR776" i="37"/>
  <c r="BR775" i="37"/>
  <c r="BR774" i="37"/>
  <c r="BR773" i="37"/>
  <c r="BR772" i="37"/>
  <c r="BR771" i="37"/>
  <c r="BR770" i="37"/>
  <c r="BR769" i="37"/>
  <c r="BR768" i="37"/>
  <c r="BR767" i="37"/>
  <c r="BR766" i="37"/>
  <c r="BR765" i="37"/>
  <c r="BR764" i="37"/>
  <c r="BR763" i="37"/>
  <c r="BR762" i="37"/>
  <c r="BR761" i="37"/>
  <c r="BR760" i="37"/>
  <c r="BR759" i="37"/>
  <c r="BR758" i="37"/>
  <c r="BR757" i="37"/>
  <c r="BR756" i="37"/>
  <c r="BR755" i="37"/>
  <c r="BR754" i="37"/>
  <c r="BR753" i="37"/>
  <c r="BR752" i="37"/>
  <c r="BR751" i="37"/>
  <c r="BR750" i="37"/>
  <c r="BR749" i="37"/>
  <c r="BR748" i="37"/>
  <c r="BR747" i="37"/>
  <c r="BR746" i="37"/>
  <c r="BR745" i="37"/>
  <c r="BR744" i="37"/>
  <c r="BR743" i="37"/>
  <c r="BR742" i="37"/>
  <c r="BR741" i="37"/>
  <c r="BR740" i="37"/>
  <c r="BR739" i="37"/>
  <c r="BR738" i="37"/>
  <c r="BR737" i="37"/>
  <c r="BR736" i="37"/>
  <c r="BR735" i="37"/>
  <c r="BR734" i="37"/>
  <c r="BR733" i="37"/>
  <c r="BR732" i="37"/>
  <c r="BR731" i="37"/>
  <c r="BR730" i="37"/>
  <c r="BR729" i="37"/>
  <c r="BR728" i="37"/>
  <c r="BR727" i="37"/>
  <c r="BR726" i="37"/>
  <c r="BR725" i="37"/>
  <c r="BR724" i="37"/>
  <c r="BR723" i="37"/>
  <c r="BR722" i="37"/>
  <c r="BR721" i="37"/>
  <c r="BR720" i="37"/>
  <c r="BR719" i="37"/>
  <c r="BR718" i="37"/>
  <c r="BR717" i="37"/>
  <c r="BR716" i="37"/>
  <c r="BR715" i="37"/>
  <c r="BR714" i="37"/>
  <c r="BR713" i="37"/>
  <c r="BR712" i="37"/>
  <c r="BR711" i="37"/>
  <c r="BR710" i="37"/>
  <c r="BR709" i="37"/>
  <c r="BR708" i="37"/>
  <c r="BR707" i="37"/>
  <c r="BR706" i="37"/>
  <c r="BR705" i="37"/>
  <c r="BR704" i="37"/>
  <c r="BR703" i="37"/>
  <c r="BR702" i="37"/>
  <c r="BR701" i="37"/>
  <c r="BR700" i="37"/>
  <c r="BR699" i="37"/>
  <c r="BR698" i="37"/>
  <c r="BR697" i="37"/>
  <c r="BR696" i="37"/>
  <c r="BR695" i="37"/>
  <c r="BR694" i="37"/>
  <c r="BR693" i="37"/>
  <c r="BR692" i="37"/>
  <c r="BR691" i="37"/>
  <c r="BR690" i="37"/>
  <c r="BR689" i="37"/>
  <c r="BR688" i="37"/>
  <c r="BR687" i="37"/>
  <c r="BR686" i="37"/>
  <c r="BR685" i="37"/>
  <c r="BR684" i="37"/>
  <c r="BR683" i="37"/>
  <c r="BR682" i="37"/>
  <c r="BR681" i="37"/>
  <c r="BR680" i="37"/>
  <c r="BR679" i="37"/>
  <c r="BR678" i="37"/>
  <c r="BR677" i="37"/>
  <c r="BR676" i="37"/>
  <c r="BR675" i="37"/>
  <c r="BR674" i="37"/>
  <c r="BR673" i="37"/>
  <c r="BR672" i="37"/>
  <c r="BR671" i="37"/>
  <c r="BR670" i="37"/>
  <c r="BR669" i="37"/>
  <c r="BR668" i="37"/>
  <c r="BR667" i="37"/>
  <c r="BR666" i="37"/>
  <c r="BR665" i="37"/>
  <c r="BR664" i="37"/>
  <c r="BR663" i="37"/>
  <c r="BR662" i="37"/>
  <c r="BR661" i="37"/>
  <c r="BR660" i="37"/>
  <c r="BR659" i="37"/>
  <c r="BR658" i="37"/>
  <c r="BR657" i="37"/>
  <c r="BR656" i="37"/>
  <c r="BR655" i="37"/>
  <c r="BR654" i="37"/>
  <c r="BR653" i="37"/>
  <c r="BR652" i="37"/>
  <c r="BR651" i="37"/>
  <c r="BR650" i="37"/>
  <c r="BR649" i="37"/>
  <c r="BR648" i="37"/>
  <c r="BR647" i="37"/>
  <c r="BR646" i="37"/>
  <c r="BR645" i="37"/>
  <c r="BR644" i="37"/>
  <c r="BR643" i="37"/>
  <c r="BR642" i="37"/>
  <c r="BR641" i="37"/>
  <c r="BR640" i="37"/>
  <c r="BR639" i="37"/>
  <c r="BR638" i="37"/>
  <c r="BR637" i="37"/>
  <c r="BR636" i="37"/>
  <c r="BR635" i="37"/>
  <c r="BR634" i="37"/>
  <c r="BR633" i="37"/>
  <c r="BR632" i="37"/>
  <c r="BR631" i="37"/>
  <c r="BR630" i="37"/>
  <c r="BR629" i="37"/>
  <c r="BR628" i="37"/>
  <c r="BR627" i="37"/>
  <c r="BR626" i="37"/>
  <c r="BR625" i="37"/>
  <c r="BR624" i="37"/>
  <c r="BR623" i="37"/>
  <c r="BR622" i="37"/>
  <c r="BR621" i="37"/>
  <c r="BR620" i="37"/>
  <c r="BR619" i="37"/>
  <c r="BR618" i="37"/>
  <c r="BR617" i="37"/>
  <c r="BR616" i="37"/>
  <c r="BR615" i="37"/>
  <c r="BR614" i="37"/>
  <c r="BR613" i="37"/>
  <c r="BR612" i="37"/>
  <c r="BR611" i="37"/>
  <c r="BR610" i="37"/>
  <c r="BR609" i="37"/>
  <c r="BR608" i="37"/>
  <c r="BR607" i="37"/>
  <c r="BR606" i="37"/>
  <c r="BR605" i="37"/>
  <c r="BR604" i="37"/>
  <c r="BR603" i="37"/>
  <c r="BR602" i="37"/>
  <c r="BR601" i="37"/>
  <c r="BR600" i="37"/>
  <c r="BR599" i="37"/>
  <c r="BR598" i="37"/>
  <c r="BR597" i="37"/>
  <c r="BR596" i="37"/>
  <c r="BR595" i="37"/>
  <c r="BR594" i="37"/>
  <c r="BR593" i="37"/>
  <c r="BR592" i="37"/>
  <c r="BR591" i="37"/>
  <c r="BR590" i="37"/>
  <c r="BR589" i="37"/>
  <c r="BR588" i="37"/>
  <c r="BR587" i="37"/>
  <c r="BR586" i="37"/>
  <c r="BR585" i="37"/>
  <c r="BR584" i="37"/>
  <c r="BR583" i="37"/>
  <c r="BR582" i="37"/>
  <c r="BR581" i="37"/>
  <c r="BR580" i="37"/>
  <c r="BR579" i="37"/>
  <c r="BR578" i="37"/>
  <c r="BR577" i="37"/>
  <c r="BR576" i="37"/>
  <c r="BR575" i="37"/>
  <c r="BR574" i="37"/>
  <c r="BR573" i="37"/>
  <c r="BR572" i="37"/>
  <c r="BR571" i="37"/>
  <c r="BR570" i="37"/>
  <c r="BR569" i="37"/>
  <c r="BR568" i="37"/>
  <c r="BR567" i="37"/>
  <c r="BR566" i="37"/>
  <c r="BR565" i="37"/>
  <c r="BR564" i="37"/>
  <c r="BR563" i="37"/>
  <c r="BR562" i="37"/>
  <c r="BR561" i="37"/>
  <c r="BR560" i="37"/>
  <c r="BR559" i="37"/>
  <c r="BR558" i="37"/>
  <c r="BR557" i="37"/>
  <c r="BR556" i="37"/>
  <c r="BR555" i="37"/>
  <c r="BR554" i="37"/>
  <c r="BR553" i="37"/>
  <c r="BR552" i="37"/>
  <c r="BR551" i="37"/>
  <c r="BR550" i="37"/>
  <c r="BR549" i="37"/>
  <c r="BR548" i="37"/>
  <c r="BR547" i="37"/>
  <c r="BR546" i="37"/>
  <c r="BR545" i="37"/>
  <c r="BR544" i="37"/>
  <c r="BR543" i="37"/>
  <c r="BR542" i="37"/>
  <c r="BR541" i="37"/>
  <c r="BR540" i="37"/>
  <c r="BR539" i="37"/>
  <c r="BR538" i="37"/>
  <c r="BR537" i="37"/>
  <c r="BR536" i="37"/>
  <c r="BR535" i="37"/>
  <c r="BR534" i="37"/>
  <c r="BR533" i="37"/>
  <c r="BR532" i="37"/>
  <c r="BR531" i="37"/>
  <c r="BR530" i="37"/>
  <c r="BR529" i="37"/>
  <c r="BR528" i="37"/>
  <c r="BR527" i="37"/>
  <c r="BR526" i="37"/>
  <c r="BR525" i="37"/>
  <c r="BR524" i="37"/>
  <c r="BR523" i="37"/>
  <c r="BR522" i="37"/>
  <c r="BR521" i="37"/>
  <c r="BR520" i="37"/>
  <c r="BR519" i="37"/>
  <c r="BR518" i="37"/>
  <c r="BR517" i="37"/>
  <c r="BR516" i="37"/>
  <c r="BR515" i="37"/>
  <c r="BR514" i="37"/>
  <c r="BR513" i="37"/>
  <c r="BR512" i="37"/>
  <c r="BR511" i="37"/>
  <c r="BR510" i="37"/>
  <c r="BR509" i="37"/>
  <c r="BR508" i="37"/>
  <c r="BR507" i="37"/>
  <c r="BR506" i="37"/>
  <c r="BR505" i="37"/>
  <c r="BR504" i="37"/>
  <c r="BR503" i="37"/>
  <c r="BR502" i="37"/>
  <c r="BR501" i="37"/>
  <c r="BR500" i="37"/>
  <c r="BR499" i="37"/>
  <c r="BR206" i="37"/>
  <c r="BR194" i="37"/>
  <c r="BR181" i="37"/>
  <c r="BR180" i="37"/>
  <c r="BR179" i="37"/>
  <c r="AC24" i="44"/>
  <c r="AD24" i="44"/>
  <c r="AB24" i="44"/>
  <c r="Y24" i="44"/>
  <c r="Z24" i="44"/>
  <c r="X24" i="44"/>
  <c r="H30" i="44"/>
  <c r="E30" i="44"/>
  <c r="AS11" i="44"/>
  <c r="BZ241" i="37"/>
  <c r="BV241" i="37"/>
  <c r="BR241" i="37"/>
  <c r="BN241" i="37"/>
  <c r="BZ240" i="37"/>
  <c r="BV240" i="37"/>
  <c r="BR240" i="37"/>
  <c r="BN240" i="37"/>
  <c r="BV239" i="37"/>
  <c r="BR239" i="37"/>
  <c r="BN239" i="37"/>
  <c r="BR238" i="37"/>
  <c r="BN238" i="37"/>
  <c r="BZ189" i="37"/>
  <c r="BV189" i="37"/>
  <c r="BR189" i="37"/>
  <c r="BN189" i="37"/>
  <c r="BN188" i="37"/>
  <c r="BW87" i="37"/>
  <c r="BN286" i="37"/>
  <c r="BN285" i="37"/>
  <c r="BN284" i="37"/>
  <c r="BN283" i="37"/>
  <c r="BN282" i="37"/>
  <c r="BN281" i="37"/>
  <c r="BZ244" i="37"/>
  <c r="BN226" i="37"/>
  <c r="BZ206" i="37"/>
  <c r="BV206" i="37"/>
  <c r="BN206" i="37"/>
  <c r="BV205" i="37"/>
  <c r="BV181" i="37"/>
  <c r="U187" i="37"/>
  <c r="BM187" i="37" s="1"/>
  <c r="R187" i="37"/>
  <c r="BL187" i="37" s="1"/>
  <c r="O187" i="37"/>
  <c r="AN77" i="37"/>
  <c r="AO77" i="37"/>
  <c r="AQ77" i="37"/>
  <c r="AR77" i="37"/>
  <c r="AK77" i="37"/>
  <c r="AB77" i="37"/>
  <c r="AC77" i="37"/>
  <c r="AE77" i="37"/>
  <c r="AF77" i="37"/>
  <c r="Y77" i="37"/>
  <c r="AG58" i="37"/>
  <c r="BQ58" i="37" s="1"/>
  <c r="AD58" i="37"/>
  <c r="BP58" i="37" s="1"/>
  <c r="AA58" i="37"/>
  <c r="AD382" i="37"/>
  <c r="BP382" i="37" s="1"/>
  <c r="AA382" i="37"/>
  <c r="AG280" i="37"/>
  <c r="BQ280" i="37" s="1"/>
  <c r="AD280" i="37"/>
  <c r="BP280" i="37" s="1"/>
  <c r="AA280" i="37"/>
  <c r="AG272" i="37"/>
  <c r="BQ272" i="37" s="1"/>
  <c r="AD272" i="37"/>
  <c r="BP272" i="37" s="1"/>
  <c r="AA272" i="37"/>
  <c r="M56" i="37"/>
  <c r="N56" i="37"/>
  <c r="P56" i="37"/>
  <c r="Q56" i="37"/>
  <c r="S56" i="37"/>
  <c r="T56" i="37"/>
  <c r="N26" i="37"/>
  <c r="P26" i="37"/>
  <c r="Q26" i="37"/>
  <c r="S26" i="37"/>
  <c r="T26" i="37"/>
  <c r="U249" i="37"/>
  <c r="BM249" i="37" s="1"/>
  <c r="R249" i="37"/>
  <c r="BL249" i="37" s="1"/>
  <c r="O249" i="37"/>
  <c r="U221" i="37"/>
  <c r="BM221" i="37" s="1"/>
  <c r="R221" i="37"/>
  <c r="BL221" i="37" s="1"/>
  <c r="O221" i="37"/>
  <c r="P77" i="37"/>
  <c r="Q77" i="37"/>
  <c r="S77" i="37"/>
  <c r="T77" i="37"/>
  <c r="M77" i="37"/>
  <c r="U20" i="37"/>
  <c r="BM20" i="37" s="1"/>
  <c r="U21" i="37"/>
  <c r="BM21" i="37" s="1"/>
  <c r="U22" i="37"/>
  <c r="BM22" i="37" s="1"/>
  <c r="U23" i="37"/>
  <c r="BM23" i="37" s="1"/>
  <c r="U24" i="37"/>
  <c r="BM24" i="37" s="1"/>
  <c r="U25" i="37"/>
  <c r="BM25" i="37" s="1"/>
  <c r="R20" i="37"/>
  <c r="BL20" i="37" s="1"/>
  <c r="R21" i="37"/>
  <c r="BL21" i="37" s="1"/>
  <c r="R22" i="37"/>
  <c r="BL22" i="37" s="1"/>
  <c r="R23" i="37"/>
  <c r="BL23" i="37" s="1"/>
  <c r="R24" i="37"/>
  <c r="BL24" i="37" s="1"/>
  <c r="R25" i="37"/>
  <c r="BL25" i="37" s="1"/>
  <c r="O20" i="37"/>
  <c r="BK20" i="37" s="1"/>
  <c r="O21" i="37"/>
  <c r="BK21" i="37" s="1"/>
  <c r="O22" i="37"/>
  <c r="BK22" i="37" s="1"/>
  <c r="O23" i="37"/>
  <c r="BK23" i="37" s="1"/>
  <c r="O24" i="37"/>
  <c r="BK24" i="37" s="1"/>
  <c r="O25" i="37"/>
  <c r="BK25" i="37" s="1"/>
  <c r="O49" i="37"/>
  <c r="BK49" i="37" s="1"/>
  <c r="X249" i="37" l="1"/>
  <c r="BN249" i="37" s="1"/>
  <c r="BK249" i="37"/>
  <c r="AJ401" i="37"/>
  <c r="BO382" i="37"/>
  <c r="BO280" i="37"/>
  <c r="AJ280" i="37"/>
  <c r="BO272" i="37"/>
  <c r="AJ272" i="37"/>
  <c r="BK221" i="37"/>
  <c r="X221" i="37"/>
  <c r="BK187" i="37"/>
  <c r="X187" i="37"/>
  <c r="BN187" i="37" s="1"/>
  <c r="BO187" i="37"/>
  <c r="AJ187" i="37"/>
  <c r="BR187" i="37" s="1"/>
  <c r="BO58" i="37"/>
  <c r="AJ58" i="37"/>
  <c r="AJ27" i="37"/>
  <c r="BH146" i="37"/>
  <c r="BZ146" i="37" s="1"/>
  <c r="AV204" i="37"/>
  <c r="BV204" i="37" s="1"/>
  <c r="CE188" i="37"/>
  <c r="BJ188" i="37"/>
  <c r="BE188" i="37"/>
  <c r="BY188" i="37" s="1"/>
  <c r="BB188" i="37"/>
  <c r="BX188" i="37" s="1"/>
  <c r="AY188" i="37"/>
  <c r="AS188" i="37"/>
  <c r="BU188" i="37" s="1"/>
  <c r="AP188" i="37"/>
  <c r="BT188" i="37" s="1"/>
  <c r="AM188" i="37"/>
  <c r="AG188" i="37"/>
  <c r="BQ188" i="37" s="1"/>
  <c r="AD188" i="37"/>
  <c r="BP188" i="37" s="1"/>
  <c r="AA188" i="37"/>
  <c r="V188" i="37"/>
  <c r="I188" i="37" s="1"/>
  <c r="U188" i="37"/>
  <c r="BM188" i="37" s="1"/>
  <c r="R188" i="37"/>
  <c r="BL188" i="37" s="1"/>
  <c r="O188" i="37"/>
  <c r="BK188" i="37" s="1"/>
  <c r="J188" i="37"/>
  <c r="CE47" i="37"/>
  <c r="BJ47" i="37"/>
  <c r="BG47" i="37"/>
  <c r="BF47" i="37"/>
  <c r="BE47" i="37"/>
  <c r="BY47" i="37" s="1"/>
  <c r="BB47" i="37"/>
  <c r="BX47" i="37" s="1"/>
  <c r="AY47" i="37"/>
  <c r="BW47" i="37" s="1"/>
  <c r="AS47" i="37"/>
  <c r="BU47" i="37" s="1"/>
  <c r="AP47" i="37"/>
  <c r="BT47" i="37" s="1"/>
  <c r="AM47" i="37"/>
  <c r="AG47" i="37"/>
  <c r="BQ47" i="37" s="1"/>
  <c r="AD47" i="37"/>
  <c r="BP47" i="37" s="1"/>
  <c r="AA47" i="37"/>
  <c r="U47" i="37"/>
  <c r="BM47" i="37" s="1"/>
  <c r="R47" i="37"/>
  <c r="BL47" i="37" s="1"/>
  <c r="O47" i="37"/>
  <c r="BZ399" i="37"/>
  <c r="BV399" i="37"/>
  <c r="BN398" i="37"/>
  <c r="BJ258" i="37"/>
  <c r="BG258" i="37"/>
  <c r="BF258" i="37"/>
  <c r="BE258" i="37"/>
  <c r="BY258" i="37" s="1"/>
  <c r="BB258" i="37"/>
  <c r="BX258" i="37" s="1"/>
  <c r="AY258" i="37"/>
  <c r="BW258" i="37" s="1"/>
  <c r="AV258" i="37"/>
  <c r="BV258" i="37" s="1"/>
  <c r="AS258" i="37"/>
  <c r="BU258" i="37" s="1"/>
  <c r="AP258" i="37"/>
  <c r="BT258" i="37" s="1"/>
  <c r="AM258" i="37"/>
  <c r="BS258" i="37" s="1"/>
  <c r="AG258" i="37"/>
  <c r="BQ258" i="37" s="1"/>
  <c r="AD258" i="37"/>
  <c r="BP258" i="37" s="1"/>
  <c r="AA258" i="37"/>
  <c r="W258" i="37"/>
  <c r="V258" i="37"/>
  <c r="U258" i="37"/>
  <c r="BM258" i="37" s="1"/>
  <c r="R258" i="37"/>
  <c r="BL258" i="37" s="1"/>
  <c r="O258" i="37"/>
  <c r="BK258" i="37" s="1"/>
  <c r="BJ257" i="37"/>
  <c r="BG257" i="37"/>
  <c r="BF257" i="37"/>
  <c r="BE257" i="37"/>
  <c r="BY257" i="37" s="1"/>
  <c r="BB257" i="37"/>
  <c r="BX257" i="37" s="1"/>
  <c r="AY257" i="37"/>
  <c r="BW257" i="37" s="1"/>
  <c r="AU257" i="37"/>
  <c r="AT257" i="37"/>
  <c r="AS257" i="37"/>
  <c r="BU257" i="37" s="1"/>
  <c r="AP257" i="37"/>
  <c r="BT257" i="37" s="1"/>
  <c r="AM257" i="37"/>
  <c r="BS257" i="37" s="1"/>
  <c r="AG257" i="37"/>
  <c r="BQ257" i="37" s="1"/>
  <c r="AD257" i="37"/>
  <c r="AA257" i="37"/>
  <c r="BO257" i="37" s="1"/>
  <c r="W257" i="37"/>
  <c r="V257" i="37"/>
  <c r="U257" i="37"/>
  <c r="BM257" i="37" s="1"/>
  <c r="R257" i="37"/>
  <c r="BL257" i="37" s="1"/>
  <c r="O257" i="37"/>
  <c r="BK257" i="37" s="1"/>
  <c r="BJ256" i="37"/>
  <c r="BG256" i="37"/>
  <c r="BF256" i="37"/>
  <c r="BE256" i="37"/>
  <c r="BY256" i="37" s="1"/>
  <c r="BB256" i="37"/>
  <c r="BX256" i="37" s="1"/>
  <c r="AY256" i="37"/>
  <c r="BW256" i="37" s="1"/>
  <c r="AU256" i="37"/>
  <c r="AT256" i="37"/>
  <c r="AS256" i="37"/>
  <c r="BU256" i="37" s="1"/>
  <c r="AP256" i="37"/>
  <c r="BT256" i="37" s="1"/>
  <c r="AM256" i="37"/>
  <c r="BS256" i="37" s="1"/>
  <c r="AG256" i="37"/>
  <c r="BQ256" i="37" s="1"/>
  <c r="AD256" i="37"/>
  <c r="BP256" i="37" s="1"/>
  <c r="AA256" i="37"/>
  <c r="U256" i="37"/>
  <c r="BM256" i="37" s="1"/>
  <c r="R256" i="37"/>
  <c r="BL256" i="37" s="1"/>
  <c r="O256" i="37"/>
  <c r="BZ382" i="37"/>
  <c r="BZ381" i="37"/>
  <c r="BO258" i="37" l="1"/>
  <c r="AJ258" i="37"/>
  <c r="BR258" i="37" s="1"/>
  <c r="BK256" i="37"/>
  <c r="X256" i="37"/>
  <c r="BN256" i="37" s="1"/>
  <c r="BO256" i="37"/>
  <c r="AJ256" i="37"/>
  <c r="BR256" i="37" s="1"/>
  <c r="BP257" i="37"/>
  <c r="AJ257" i="37"/>
  <c r="BR257" i="37" s="1"/>
  <c r="BS188" i="37"/>
  <c r="AV188" i="37"/>
  <c r="BV188" i="37" s="1"/>
  <c r="BW188" i="37"/>
  <c r="BH188" i="37"/>
  <c r="BZ188" i="37" s="1"/>
  <c r="BO188" i="37"/>
  <c r="AJ188" i="37"/>
  <c r="BR188" i="37" s="1"/>
  <c r="BK47" i="37"/>
  <c r="X47" i="37"/>
  <c r="BN47" i="37" s="1"/>
  <c r="BO47" i="37"/>
  <c r="AJ47" i="37"/>
  <c r="BR47" i="37" s="1"/>
  <c r="BS47" i="37"/>
  <c r="AV47" i="37"/>
  <c r="I47" i="37"/>
  <c r="J47" i="37"/>
  <c r="BH47" i="37"/>
  <c r="BZ47" i="37" s="1"/>
  <c r="BV47" i="37"/>
  <c r="J258" i="37"/>
  <c r="J256" i="37"/>
  <c r="I258" i="37"/>
  <c r="AV257" i="37"/>
  <c r="BV257" i="37" s="1"/>
  <c r="I257" i="37"/>
  <c r="X257" i="37"/>
  <c r="BN257" i="37" s="1"/>
  <c r="X258" i="37"/>
  <c r="BN258" i="37" s="1"/>
  <c r="BH258" i="37"/>
  <c r="BZ258" i="37" s="1"/>
  <c r="BH257" i="37"/>
  <c r="BZ257" i="37" s="1"/>
  <c r="J257" i="37"/>
  <c r="I256" i="37"/>
  <c r="BH256" i="37"/>
  <c r="BZ256" i="37" s="1"/>
  <c r="AV256" i="37"/>
  <c r="BV256" i="37" s="1"/>
  <c r="BH58" i="37"/>
  <c r="BZ58" i="37" s="1"/>
  <c r="BH57" i="37"/>
  <c r="BZ57" i="37" s="1"/>
  <c r="AV58" i="37"/>
  <c r="BV58" i="37" s="1"/>
  <c r="AV57" i="37"/>
  <c r="BV57" i="37" s="1"/>
  <c r="BR58" i="37"/>
  <c r="Y56" i="37"/>
  <c r="Z56" i="37"/>
  <c r="AB56" i="37"/>
  <c r="AC56" i="37"/>
  <c r="AE56" i="37"/>
  <c r="AF56" i="37"/>
  <c r="AK56" i="37"/>
  <c r="AL56" i="37"/>
  <c r="AN56" i="37"/>
  <c r="AO56" i="37"/>
  <c r="AQ56" i="37"/>
  <c r="AR56" i="37"/>
  <c r="AW56" i="37"/>
  <c r="AX56" i="37"/>
  <c r="AZ56" i="37"/>
  <c r="BA56" i="37"/>
  <c r="BC56" i="37"/>
  <c r="BD56" i="37"/>
  <c r="AJ103" i="37"/>
  <c r="BR103" i="37" s="1"/>
  <c r="CE89" i="37"/>
  <c r="BJ89" i="37"/>
  <c r="BG89" i="37"/>
  <c r="BF89" i="37"/>
  <c r="BE89" i="37"/>
  <c r="BY89" i="37" s="1"/>
  <c r="BB89" i="37"/>
  <c r="BX89" i="37" s="1"/>
  <c r="AY89" i="37"/>
  <c r="BW89" i="37" s="1"/>
  <c r="AU89" i="37"/>
  <c r="AT89" i="37"/>
  <c r="AS89" i="37"/>
  <c r="BU89" i="37" s="1"/>
  <c r="AP89" i="37"/>
  <c r="BT89" i="37" s="1"/>
  <c r="AM89" i="37"/>
  <c r="BS89" i="37" s="1"/>
  <c r="AI89" i="37"/>
  <c r="AH89" i="37"/>
  <c r="AG89" i="37"/>
  <c r="BQ89" i="37" s="1"/>
  <c r="AD89" i="37"/>
  <c r="BP89" i="37" s="1"/>
  <c r="AA89" i="37"/>
  <c r="BO89" i="37" s="1"/>
  <c r="W89" i="37"/>
  <c r="V89" i="37"/>
  <c r="U89" i="37"/>
  <c r="BM89" i="37" s="1"/>
  <c r="R89" i="37"/>
  <c r="BL89" i="37" s="1"/>
  <c r="O89" i="37"/>
  <c r="BK89" i="37" s="1"/>
  <c r="CE143" i="37"/>
  <c r="BJ143" i="37"/>
  <c r="BG143" i="37"/>
  <c r="BF143" i="37"/>
  <c r="BE143" i="37"/>
  <c r="BY143" i="37" s="1"/>
  <c r="BB143" i="37"/>
  <c r="BX143" i="37" s="1"/>
  <c r="AY143" i="37"/>
  <c r="BW143" i="37" s="1"/>
  <c r="AU143" i="37"/>
  <c r="AT143" i="37"/>
  <c r="AS143" i="37"/>
  <c r="BU143" i="37" s="1"/>
  <c r="AP143" i="37"/>
  <c r="BT143" i="37" s="1"/>
  <c r="AM143" i="37"/>
  <c r="BS143" i="37" s="1"/>
  <c r="AI143" i="37"/>
  <c r="AH143" i="37"/>
  <c r="AG143" i="37"/>
  <c r="BQ143" i="37" s="1"/>
  <c r="AD143" i="37"/>
  <c r="BP143" i="37" s="1"/>
  <c r="AA143" i="37"/>
  <c r="BO143" i="37" s="1"/>
  <c r="BN143" i="37"/>
  <c r="U143" i="37"/>
  <c r="BM143" i="37" s="1"/>
  <c r="R143" i="37"/>
  <c r="BL143" i="37" s="1"/>
  <c r="O143" i="37"/>
  <c r="BK143" i="37" s="1"/>
  <c r="AJ142" i="37"/>
  <c r="BR142" i="37" s="1"/>
  <c r="BH70" i="37"/>
  <c r="BZ70" i="37" s="1"/>
  <c r="CE70" i="37"/>
  <c r="BJ70" i="37"/>
  <c r="BE70" i="37"/>
  <c r="BY70" i="37" s="1"/>
  <c r="BB70" i="37"/>
  <c r="BX70" i="37" s="1"/>
  <c r="AY70" i="37"/>
  <c r="BW70" i="37" s="1"/>
  <c r="AU70" i="37"/>
  <c r="AT70" i="37"/>
  <c r="AS70" i="37"/>
  <c r="BU70" i="37" s="1"/>
  <c r="AP70" i="37"/>
  <c r="BT70" i="37" s="1"/>
  <c r="AM70" i="37"/>
  <c r="BS70" i="37" s="1"/>
  <c r="AI70" i="37"/>
  <c r="AH70" i="37"/>
  <c r="AG70" i="37"/>
  <c r="BQ70" i="37" s="1"/>
  <c r="AD70" i="37"/>
  <c r="BP70" i="37" s="1"/>
  <c r="AA70" i="37"/>
  <c r="BO70" i="37" s="1"/>
  <c r="W70" i="37"/>
  <c r="V70" i="37"/>
  <c r="U70" i="37"/>
  <c r="BM70" i="37" s="1"/>
  <c r="R70" i="37"/>
  <c r="BL70" i="37" s="1"/>
  <c r="O70" i="37"/>
  <c r="BK70" i="37" s="1"/>
  <c r="AJ141" i="37"/>
  <c r="BR141" i="37" s="1"/>
  <c r="BN142" i="37"/>
  <c r="BN141" i="37"/>
  <c r="BN140" i="37"/>
  <c r="BN130" i="37"/>
  <c r="BN131" i="37"/>
  <c r="BN132" i="37"/>
  <c r="X133" i="37"/>
  <c r="BN133" i="37" s="1"/>
  <c r="X134" i="37"/>
  <c r="BN134" i="37" s="1"/>
  <c r="CE131" i="37"/>
  <c r="BJ131" i="37"/>
  <c r="BE131" i="37"/>
  <c r="BY131" i="37" s="1"/>
  <c r="BB131" i="37"/>
  <c r="BX131" i="37" s="1"/>
  <c r="AY131" i="37"/>
  <c r="AS131" i="37"/>
  <c r="BU131" i="37" s="1"/>
  <c r="AP131" i="37"/>
  <c r="BT131" i="37" s="1"/>
  <c r="AM131" i="37"/>
  <c r="AG131" i="37"/>
  <c r="BQ131" i="37" s="1"/>
  <c r="AD131" i="37"/>
  <c r="BP131" i="37" s="1"/>
  <c r="AA131" i="37"/>
  <c r="U131" i="37"/>
  <c r="BM131" i="37" s="1"/>
  <c r="R131" i="37"/>
  <c r="BL131" i="37" s="1"/>
  <c r="O131" i="37"/>
  <c r="BK131" i="37" s="1"/>
  <c r="J131" i="37"/>
  <c r="CE130" i="37"/>
  <c r="CC130" i="37"/>
  <c r="BJ130" i="37"/>
  <c r="BE130" i="37"/>
  <c r="BY130" i="37" s="1"/>
  <c r="BB130" i="37"/>
  <c r="BX130" i="37" s="1"/>
  <c r="AY130" i="37"/>
  <c r="AS130" i="37"/>
  <c r="BU130" i="37" s="1"/>
  <c r="AP130" i="37"/>
  <c r="BT130" i="37" s="1"/>
  <c r="AM130" i="37"/>
  <c r="AG130" i="37"/>
  <c r="BQ130" i="37" s="1"/>
  <c r="AD130" i="37"/>
  <c r="BP130" i="37" s="1"/>
  <c r="AA130" i="37"/>
  <c r="I130" i="37"/>
  <c r="U130" i="37"/>
  <c r="BM130" i="37" s="1"/>
  <c r="R130" i="37"/>
  <c r="BL130" i="37" s="1"/>
  <c r="O130" i="37"/>
  <c r="BK130" i="37" s="1"/>
  <c r="J130" i="37"/>
  <c r="CE132" i="37"/>
  <c r="BJ132" i="37"/>
  <c r="BE132" i="37"/>
  <c r="BY132" i="37" s="1"/>
  <c r="BB132" i="37"/>
  <c r="BX132" i="37" s="1"/>
  <c r="AY132" i="37"/>
  <c r="AS132" i="37"/>
  <c r="BU132" i="37" s="1"/>
  <c r="AP132" i="37"/>
  <c r="BT132" i="37" s="1"/>
  <c r="AM132" i="37"/>
  <c r="AG132" i="37"/>
  <c r="BQ132" i="37" s="1"/>
  <c r="AD132" i="37"/>
  <c r="BP132" i="37" s="1"/>
  <c r="AA132" i="37"/>
  <c r="J132" i="37"/>
  <c r="I132" i="37"/>
  <c r="U132" i="37"/>
  <c r="BM132" i="37" s="1"/>
  <c r="R132" i="37"/>
  <c r="BL132" i="37" s="1"/>
  <c r="O132" i="37"/>
  <c r="BK132" i="37" s="1"/>
  <c r="CE50" i="37"/>
  <c r="BJ50" i="37"/>
  <c r="BG50" i="37"/>
  <c r="BF50" i="37"/>
  <c r="BE50" i="37"/>
  <c r="BY50" i="37" s="1"/>
  <c r="BB50" i="37"/>
  <c r="BX50" i="37" s="1"/>
  <c r="AY50" i="37"/>
  <c r="BW50" i="37" s="1"/>
  <c r="AS50" i="37"/>
  <c r="BU50" i="37" s="1"/>
  <c r="AP50" i="37"/>
  <c r="BT50" i="37" s="1"/>
  <c r="AM50" i="37"/>
  <c r="AI50" i="37"/>
  <c r="AH50" i="37"/>
  <c r="AG50" i="37"/>
  <c r="BQ50" i="37" s="1"/>
  <c r="AD50" i="37"/>
  <c r="BP50" i="37" s="1"/>
  <c r="AA50" i="37"/>
  <c r="BO50" i="37" s="1"/>
  <c r="W50" i="37"/>
  <c r="V50" i="37"/>
  <c r="U50" i="37"/>
  <c r="BM50" i="37" s="1"/>
  <c r="R50" i="37"/>
  <c r="BL50" i="37" s="1"/>
  <c r="O50" i="37"/>
  <c r="BK50" i="37" s="1"/>
  <c r="BR381" i="37"/>
  <c r="L188" i="37" l="1"/>
  <c r="K188" i="37"/>
  <c r="BO130" i="37"/>
  <c r="AJ130" i="37"/>
  <c r="BR130" i="37" s="1"/>
  <c r="BS130" i="37"/>
  <c r="AV130" i="37"/>
  <c r="BV130" i="37" s="1"/>
  <c r="BO131" i="37"/>
  <c r="AJ131" i="37"/>
  <c r="BR131" i="37" s="1"/>
  <c r="BW132" i="37"/>
  <c r="BH132" i="37"/>
  <c r="BZ132" i="37" s="1"/>
  <c r="BW131" i="37"/>
  <c r="BH131" i="37"/>
  <c r="BZ131" i="37" s="1"/>
  <c r="BO132" i="37"/>
  <c r="AJ132" i="37"/>
  <c r="BR132" i="37" s="1"/>
  <c r="BW130" i="37"/>
  <c r="BH130" i="37"/>
  <c r="BZ130" i="37" s="1"/>
  <c r="BS131" i="37"/>
  <c r="AV131" i="37"/>
  <c r="BV131" i="37" s="1"/>
  <c r="BS132" i="37"/>
  <c r="AV132" i="37"/>
  <c r="BV132" i="37" s="1"/>
  <c r="BS50" i="37"/>
  <c r="AV50" i="37"/>
  <c r="BV50" i="37" s="1"/>
  <c r="L47" i="37"/>
  <c r="K47" i="37"/>
  <c r="K257" i="37"/>
  <c r="L257" i="37"/>
  <c r="I89" i="37"/>
  <c r="BH89" i="37"/>
  <c r="BZ89" i="37" s="1"/>
  <c r="I143" i="37"/>
  <c r="L258" i="37"/>
  <c r="AJ89" i="37"/>
  <c r="BR89" i="37" s="1"/>
  <c r="L256" i="37"/>
  <c r="K258" i="37"/>
  <c r="X89" i="37"/>
  <c r="BN89" i="37" s="1"/>
  <c r="K256" i="37"/>
  <c r="CB256" i="37" s="1"/>
  <c r="J143" i="37"/>
  <c r="BH143" i="37"/>
  <c r="BZ143" i="37" s="1"/>
  <c r="AJ143" i="37"/>
  <c r="BR143" i="37" s="1"/>
  <c r="J89" i="37"/>
  <c r="I70" i="37"/>
  <c r="J70" i="37"/>
  <c r="AV89" i="37"/>
  <c r="BV89" i="37" s="1"/>
  <c r="I50" i="37"/>
  <c r="AJ70" i="37"/>
  <c r="BR70" i="37" s="1"/>
  <c r="AV143" i="37"/>
  <c r="BV143" i="37" s="1"/>
  <c r="X70" i="37"/>
  <c r="BN70" i="37" s="1"/>
  <c r="I131" i="37"/>
  <c r="AV70" i="37"/>
  <c r="BV70" i="37" s="1"/>
  <c r="CF130" i="37"/>
  <c r="J50" i="37"/>
  <c r="AJ50" i="37"/>
  <c r="BR50" i="37" s="1"/>
  <c r="CD130" i="37"/>
  <c r="X50" i="37"/>
  <c r="BN50" i="37" s="1"/>
  <c r="BH50" i="37"/>
  <c r="BZ50" i="37" s="1"/>
  <c r="K131" i="37" l="1"/>
  <c r="CB257" i="37"/>
  <c r="K130" i="37"/>
  <c r="CB258" i="37"/>
  <c r="CB188" i="37"/>
  <c r="CB47" i="37"/>
  <c r="L143" i="37"/>
  <c r="K89" i="37"/>
  <c r="L89" i="37"/>
  <c r="K143" i="37"/>
  <c r="K70" i="37"/>
  <c r="L70" i="37"/>
  <c r="L130" i="37"/>
  <c r="L131" i="37"/>
  <c r="CB131" i="37" s="1"/>
  <c r="L132" i="37"/>
  <c r="K132" i="37"/>
  <c r="K50" i="37"/>
  <c r="L50" i="37"/>
  <c r="CE198" i="37"/>
  <c r="BJ198" i="37"/>
  <c r="BE198" i="37"/>
  <c r="BY198" i="37" s="1"/>
  <c r="BB198" i="37"/>
  <c r="BX198" i="37" s="1"/>
  <c r="AY198" i="37"/>
  <c r="AS198" i="37"/>
  <c r="BU198" i="37" s="1"/>
  <c r="AP198" i="37"/>
  <c r="BT198" i="37" s="1"/>
  <c r="AM198" i="37"/>
  <c r="AG198" i="37"/>
  <c r="AD198" i="37"/>
  <c r="BP198" i="37" s="1"/>
  <c r="AA198" i="37"/>
  <c r="U198" i="37"/>
  <c r="BM198" i="37" s="1"/>
  <c r="R198" i="37"/>
  <c r="BL198" i="37" s="1"/>
  <c r="O198" i="37"/>
  <c r="J198" i="37"/>
  <c r="I198" i="37"/>
  <c r="CB130" i="37" l="1"/>
  <c r="AV198" i="37"/>
  <c r="BO198" i="37"/>
  <c r="AJ198" i="37"/>
  <c r="BR198" i="37" s="1"/>
  <c r="BK198" i="37"/>
  <c r="X198" i="37"/>
  <c r="BN198" i="37" s="1"/>
  <c r="BW198" i="37"/>
  <c r="BH198" i="37"/>
  <c r="BZ198" i="37" s="1"/>
  <c r="BS198" i="37"/>
  <c r="BV198" i="37"/>
  <c r="BQ198" i="37"/>
  <c r="CB143" i="37"/>
  <c r="CB89" i="37"/>
  <c r="CB70" i="37"/>
  <c r="CB132" i="37"/>
  <c r="CB50" i="37"/>
  <c r="M191" i="37"/>
  <c r="N191" i="37"/>
  <c r="P191" i="37"/>
  <c r="Q191" i="37"/>
  <c r="S191" i="37"/>
  <c r="T191" i="37"/>
  <c r="V191" i="37"/>
  <c r="W191" i="37"/>
  <c r="Y191" i="37"/>
  <c r="Z191" i="37"/>
  <c r="AB191" i="37"/>
  <c r="AC191" i="37"/>
  <c r="AE191" i="37"/>
  <c r="AF191" i="37"/>
  <c r="AI191" i="37"/>
  <c r="AK191" i="37"/>
  <c r="AL191" i="37"/>
  <c r="AN191" i="37"/>
  <c r="AO191" i="37"/>
  <c r="AQ191" i="37"/>
  <c r="AR191" i="37"/>
  <c r="AT191" i="37"/>
  <c r="AU191" i="37"/>
  <c r="AW191" i="37"/>
  <c r="AX191" i="37"/>
  <c r="AZ191" i="37"/>
  <c r="BA191" i="37"/>
  <c r="BC191" i="37"/>
  <c r="BD191" i="37"/>
  <c r="BF191" i="37"/>
  <c r="BG191" i="37"/>
  <c r="CE199" i="37"/>
  <c r="BJ199" i="37"/>
  <c r="BE199" i="37"/>
  <c r="BY199" i="37" s="1"/>
  <c r="BB199" i="37"/>
  <c r="BX199" i="37" s="1"/>
  <c r="AY199" i="37"/>
  <c r="AS199" i="37"/>
  <c r="AP199" i="37"/>
  <c r="BT199" i="37" s="1"/>
  <c r="AM199" i="37"/>
  <c r="AG199" i="37"/>
  <c r="BQ199" i="37" s="1"/>
  <c r="AD199" i="37"/>
  <c r="BP199" i="37" s="1"/>
  <c r="AA199" i="37"/>
  <c r="U199" i="37"/>
  <c r="BM199" i="37" s="1"/>
  <c r="R199" i="37"/>
  <c r="BL199" i="37" s="1"/>
  <c r="O199" i="37"/>
  <c r="J199" i="37"/>
  <c r="I199" i="37"/>
  <c r="BJ194" i="37"/>
  <c r="BE194" i="37"/>
  <c r="BY194" i="37" s="1"/>
  <c r="BB194" i="37"/>
  <c r="BX194" i="37" s="1"/>
  <c r="AY194" i="37"/>
  <c r="AS194" i="37"/>
  <c r="BU194" i="37" s="1"/>
  <c r="AP194" i="37"/>
  <c r="BT194" i="37" s="1"/>
  <c r="AM194" i="37"/>
  <c r="AG194" i="37"/>
  <c r="BQ194" i="37" s="1"/>
  <c r="AD194" i="37"/>
  <c r="BP194" i="37" s="1"/>
  <c r="AA194" i="37"/>
  <c r="BO194" i="37" s="1"/>
  <c r="U194" i="37"/>
  <c r="BM194" i="37" s="1"/>
  <c r="R194" i="37"/>
  <c r="BL194" i="37" s="1"/>
  <c r="O194" i="37"/>
  <c r="J194" i="37"/>
  <c r="I194" i="37"/>
  <c r="CE193" i="37"/>
  <c r="BJ193" i="37"/>
  <c r="BE193" i="37"/>
  <c r="BY193" i="37" s="1"/>
  <c r="BB193" i="37"/>
  <c r="BX193" i="37" s="1"/>
  <c r="AY193" i="37"/>
  <c r="AS193" i="37"/>
  <c r="BU193" i="37" s="1"/>
  <c r="AP193" i="37"/>
  <c r="BT193" i="37" s="1"/>
  <c r="AM193" i="37"/>
  <c r="AG193" i="37"/>
  <c r="AD193" i="37"/>
  <c r="BP193" i="37" s="1"/>
  <c r="AA193" i="37"/>
  <c r="BO193" i="37" s="1"/>
  <c r="J193" i="37"/>
  <c r="I193" i="37"/>
  <c r="U193" i="37"/>
  <c r="BM193" i="37" s="1"/>
  <c r="R193" i="37"/>
  <c r="BL193" i="37" s="1"/>
  <c r="O193" i="37"/>
  <c r="CE283" i="37"/>
  <c r="BJ283" i="37"/>
  <c r="BE283" i="37"/>
  <c r="BY283" i="37" s="1"/>
  <c r="BB283" i="37"/>
  <c r="BX283" i="37" s="1"/>
  <c r="AY283" i="37"/>
  <c r="AS283" i="37"/>
  <c r="BU283" i="37" s="1"/>
  <c r="AP283" i="37"/>
  <c r="BT283" i="37" s="1"/>
  <c r="AM283" i="37"/>
  <c r="AJ283" i="37"/>
  <c r="BR283" i="37" s="1"/>
  <c r="AG283" i="37"/>
  <c r="BQ283" i="37" s="1"/>
  <c r="AD283" i="37"/>
  <c r="BP283" i="37" s="1"/>
  <c r="AA283" i="37"/>
  <c r="BO283" i="37" s="1"/>
  <c r="U283" i="37"/>
  <c r="BM283" i="37" s="1"/>
  <c r="R283" i="37"/>
  <c r="BL283" i="37" s="1"/>
  <c r="O283" i="37"/>
  <c r="BK283" i="37" s="1"/>
  <c r="J283" i="37"/>
  <c r="I283" i="37"/>
  <c r="CE282" i="37"/>
  <c r="BJ282" i="37"/>
  <c r="BE282" i="37"/>
  <c r="BY282" i="37" s="1"/>
  <c r="BB282" i="37"/>
  <c r="BX282" i="37" s="1"/>
  <c r="AY282" i="37"/>
  <c r="AS282" i="37"/>
  <c r="BU282" i="37" s="1"/>
  <c r="AP282" i="37"/>
  <c r="BT282" i="37" s="1"/>
  <c r="AM282" i="37"/>
  <c r="AJ282" i="37"/>
  <c r="BR282" i="37" s="1"/>
  <c r="AG282" i="37"/>
  <c r="BQ282" i="37" s="1"/>
  <c r="AD282" i="37"/>
  <c r="BP282" i="37" s="1"/>
  <c r="AA282" i="37"/>
  <c r="BO282" i="37" s="1"/>
  <c r="U282" i="37"/>
  <c r="BM282" i="37" s="1"/>
  <c r="R282" i="37"/>
  <c r="BL282" i="37" s="1"/>
  <c r="O282" i="37"/>
  <c r="BK282" i="37" s="1"/>
  <c r="J282" i="37"/>
  <c r="I282" i="37"/>
  <c r="CE284" i="37"/>
  <c r="BJ284" i="37"/>
  <c r="BE284" i="37"/>
  <c r="BY284" i="37" s="1"/>
  <c r="BB284" i="37"/>
  <c r="BX284" i="37" s="1"/>
  <c r="AY284" i="37"/>
  <c r="AS284" i="37"/>
  <c r="BU284" i="37" s="1"/>
  <c r="AP284" i="37"/>
  <c r="BT284" i="37" s="1"/>
  <c r="AM284" i="37"/>
  <c r="AJ284" i="37"/>
  <c r="BR284" i="37" s="1"/>
  <c r="AG284" i="37"/>
  <c r="BQ284" i="37" s="1"/>
  <c r="AD284" i="37"/>
  <c r="BP284" i="37" s="1"/>
  <c r="AA284" i="37"/>
  <c r="BO284" i="37" s="1"/>
  <c r="U284" i="37"/>
  <c r="BM284" i="37" s="1"/>
  <c r="R284" i="37"/>
  <c r="BL284" i="37" s="1"/>
  <c r="O284" i="37"/>
  <c r="BK284" i="37" s="1"/>
  <c r="J284" i="37"/>
  <c r="I284" i="37"/>
  <c r="CE285" i="37"/>
  <c r="BJ285" i="37"/>
  <c r="BE285" i="37"/>
  <c r="BY285" i="37" s="1"/>
  <c r="BB285" i="37"/>
  <c r="BX285" i="37" s="1"/>
  <c r="AY285" i="37"/>
  <c r="AS285" i="37"/>
  <c r="BU285" i="37" s="1"/>
  <c r="AP285" i="37"/>
  <c r="BT285" i="37" s="1"/>
  <c r="AM285" i="37"/>
  <c r="AJ285" i="37"/>
  <c r="BR285" i="37" s="1"/>
  <c r="AG285" i="37"/>
  <c r="BQ285" i="37" s="1"/>
  <c r="AD285" i="37"/>
  <c r="BP285" i="37" s="1"/>
  <c r="AA285" i="37"/>
  <c r="BO285" i="37" s="1"/>
  <c r="U285" i="37"/>
  <c r="BM285" i="37" s="1"/>
  <c r="R285" i="37"/>
  <c r="BL285" i="37" s="1"/>
  <c r="O285" i="37"/>
  <c r="BK285" i="37" s="1"/>
  <c r="J285" i="37"/>
  <c r="I285" i="37"/>
  <c r="CE281" i="37"/>
  <c r="BJ281" i="37"/>
  <c r="BE281" i="37"/>
  <c r="BY281" i="37" s="1"/>
  <c r="BB281" i="37"/>
  <c r="BX281" i="37" s="1"/>
  <c r="AY281" i="37"/>
  <c r="AS281" i="37"/>
  <c r="BU281" i="37" s="1"/>
  <c r="AP281" i="37"/>
  <c r="BT281" i="37" s="1"/>
  <c r="AM281" i="37"/>
  <c r="AJ281" i="37"/>
  <c r="BR281" i="37" s="1"/>
  <c r="AG281" i="37"/>
  <c r="BQ281" i="37" s="1"/>
  <c r="AD281" i="37"/>
  <c r="BP281" i="37" s="1"/>
  <c r="AA281" i="37"/>
  <c r="BO281" i="37" s="1"/>
  <c r="U281" i="37"/>
  <c r="BM281" i="37" s="1"/>
  <c r="R281" i="37"/>
  <c r="BL281" i="37" s="1"/>
  <c r="O281" i="37"/>
  <c r="BK281" i="37" s="1"/>
  <c r="J281" i="37"/>
  <c r="I281" i="37"/>
  <c r="I280" i="37"/>
  <c r="CE280" i="37"/>
  <c r="BJ280" i="37"/>
  <c r="BE280" i="37"/>
  <c r="BY280" i="37" s="1"/>
  <c r="BB280" i="37"/>
  <c r="BX280" i="37" s="1"/>
  <c r="AY280" i="37"/>
  <c r="AS280" i="37"/>
  <c r="BU280" i="37" s="1"/>
  <c r="AP280" i="37"/>
  <c r="BT280" i="37" s="1"/>
  <c r="AM280" i="37"/>
  <c r="BR280" i="37"/>
  <c r="U280" i="37"/>
  <c r="BM280" i="37" s="1"/>
  <c r="R280" i="37"/>
  <c r="BL280" i="37" s="1"/>
  <c r="O280" i="37"/>
  <c r="J280" i="37"/>
  <c r="AJ286" i="37"/>
  <c r="BR286" i="37" s="1"/>
  <c r="X171" i="37"/>
  <c r="BN171" i="37" s="1"/>
  <c r="X172" i="37"/>
  <c r="BN172" i="37" s="1"/>
  <c r="X173" i="37"/>
  <c r="BN173" i="37" s="1"/>
  <c r="X175" i="37"/>
  <c r="BN175" i="37" s="1"/>
  <c r="AJ169" i="37"/>
  <c r="BR169" i="37" s="1"/>
  <c r="AJ170" i="37"/>
  <c r="BR170" i="37" s="1"/>
  <c r="AJ173" i="37"/>
  <c r="BR173" i="37" s="1"/>
  <c r="AJ175" i="37"/>
  <c r="BR175" i="37" s="1"/>
  <c r="AV167" i="37"/>
  <c r="BH178" i="37"/>
  <c r="BZ178" i="37" s="1"/>
  <c r="CE226" i="37"/>
  <c r="BJ226" i="37"/>
  <c r="BE226" i="37"/>
  <c r="BY226" i="37" s="1"/>
  <c r="BB226" i="37"/>
  <c r="BX226" i="37" s="1"/>
  <c r="AY226" i="37"/>
  <c r="AS226" i="37"/>
  <c r="BU226" i="37" s="1"/>
  <c r="AP226" i="37"/>
  <c r="BT226" i="37" s="1"/>
  <c r="AM226" i="37"/>
  <c r="AG226" i="37"/>
  <c r="BQ226" i="37" s="1"/>
  <c r="AD226" i="37"/>
  <c r="BP226" i="37" s="1"/>
  <c r="AA226" i="37"/>
  <c r="U226" i="37"/>
  <c r="BM226" i="37" s="1"/>
  <c r="R226" i="37"/>
  <c r="BL226" i="37" s="1"/>
  <c r="O226" i="37"/>
  <c r="BK226" i="37" s="1"/>
  <c r="J226" i="37"/>
  <c r="I226" i="37"/>
  <c r="W236" i="37"/>
  <c r="Y236" i="37"/>
  <c r="Z236" i="37"/>
  <c r="AB236" i="37"/>
  <c r="AC236" i="37"/>
  <c r="AE236" i="37"/>
  <c r="AF236" i="37"/>
  <c r="AH236" i="37"/>
  <c r="AI236" i="37"/>
  <c r="AK236" i="37"/>
  <c r="AL236" i="37"/>
  <c r="AN236" i="37"/>
  <c r="AO236" i="37"/>
  <c r="AQ236" i="37"/>
  <c r="AR236" i="37"/>
  <c r="AT236" i="37"/>
  <c r="AU236" i="37"/>
  <c r="AW236" i="37"/>
  <c r="AX236" i="37"/>
  <c r="AZ236" i="37"/>
  <c r="BA236" i="37"/>
  <c r="BC236" i="37"/>
  <c r="BD236" i="37"/>
  <c r="BF236" i="37"/>
  <c r="BG236" i="37"/>
  <c r="V236" i="37"/>
  <c r="K198" i="37" l="1"/>
  <c r="BK199" i="37"/>
  <c r="X199" i="37"/>
  <c r="BN199" i="37" s="1"/>
  <c r="BO199" i="37"/>
  <c r="AJ199" i="37"/>
  <c r="BR199" i="37" s="1"/>
  <c r="BS199" i="37"/>
  <c r="AV199" i="37"/>
  <c r="BK194" i="37"/>
  <c r="X194" i="37"/>
  <c r="BN194" i="37" s="1"/>
  <c r="L198" i="37"/>
  <c r="CB198" i="37" s="1"/>
  <c r="BU199" i="37"/>
  <c r="BV199" i="37"/>
  <c r="BK193" i="37"/>
  <c r="X193" i="37"/>
  <c r="BN193" i="37" s="1"/>
  <c r="BQ193" i="37"/>
  <c r="AJ193" i="37"/>
  <c r="BR193" i="37" s="1"/>
  <c r="BW199" i="37"/>
  <c r="BH199" i="37"/>
  <c r="BZ199" i="37" s="1"/>
  <c r="BW280" i="37"/>
  <c r="BH280" i="37"/>
  <c r="BZ280" i="37" s="1"/>
  <c r="BW284" i="37"/>
  <c r="BH284" i="37"/>
  <c r="BZ284" i="37" s="1"/>
  <c r="BS280" i="37"/>
  <c r="AV280" i="37"/>
  <c r="BV280" i="37" s="1"/>
  <c r="BS281" i="37"/>
  <c r="AV281" i="37"/>
  <c r="BV281" i="37" s="1"/>
  <c r="BW283" i="37"/>
  <c r="BH283" i="37"/>
  <c r="BZ283" i="37" s="1"/>
  <c r="BS285" i="37"/>
  <c r="AV285" i="37"/>
  <c r="BV285" i="37" s="1"/>
  <c r="BW194" i="37"/>
  <c r="BH194" i="37"/>
  <c r="BZ194" i="37" s="1"/>
  <c r="BS193" i="37"/>
  <c r="AV193" i="37"/>
  <c r="BV193" i="37" s="1"/>
  <c r="BS283" i="37"/>
  <c r="AV283" i="37"/>
  <c r="BV283" i="37" s="1"/>
  <c r="BS284" i="37"/>
  <c r="AV284" i="37"/>
  <c r="BV284" i="37" s="1"/>
  <c r="BW281" i="37"/>
  <c r="BH281" i="37"/>
  <c r="BZ281" i="37" s="1"/>
  <c r="BW282" i="37"/>
  <c r="BH282" i="37"/>
  <c r="BZ282" i="37" s="1"/>
  <c r="BK280" i="37"/>
  <c r="X280" i="37"/>
  <c r="BN280" i="37" s="1"/>
  <c r="BS282" i="37"/>
  <c r="AV282" i="37"/>
  <c r="BV282" i="37" s="1"/>
  <c r="BS194" i="37"/>
  <c r="AV194" i="37"/>
  <c r="BV194" i="37" s="1"/>
  <c r="BW193" i="37"/>
  <c r="BH193" i="37"/>
  <c r="BZ193" i="37" s="1"/>
  <c r="BW285" i="37"/>
  <c r="BH285" i="37"/>
  <c r="BZ285" i="37" s="1"/>
  <c r="BV167" i="37"/>
  <c r="BO226" i="37"/>
  <c r="AJ226" i="37"/>
  <c r="BR226" i="37" s="1"/>
  <c r="BS226" i="37"/>
  <c r="AV226" i="37"/>
  <c r="BV226" i="37" s="1"/>
  <c r="BW226" i="37"/>
  <c r="BH226" i="37"/>
  <c r="AH191" i="37"/>
  <c r="L283" i="37" l="1"/>
  <c r="L285" i="37"/>
  <c r="L284" i="37"/>
  <c r="L194" i="37"/>
  <c r="K285" i="37"/>
  <c r="K194" i="37"/>
  <c r="K283" i="37"/>
  <c r="CB283" i="37" s="1"/>
  <c r="K284" i="37"/>
  <c r="K199" i="37"/>
  <c r="L199" i="37"/>
  <c r="L282" i="37"/>
  <c r="L281" i="37"/>
  <c r="K282" i="37"/>
  <c r="K281" i="37"/>
  <c r="BZ226" i="37"/>
  <c r="L226" i="37" s="1"/>
  <c r="K226" i="37"/>
  <c r="L193" i="37"/>
  <c r="K193" i="37"/>
  <c r="K280" i="37"/>
  <c r="L280" i="37"/>
  <c r="BH260" i="37"/>
  <c r="BZ260" i="37" s="1"/>
  <c r="AV259" i="37"/>
  <c r="BV259" i="37" s="1"/>
  <c r="AV260" i="37"/>
  <c r="BV260" i="37" s="1"/>
  <c r="AJ255" i="37"/>
  <c r="BR255" i="37" s="1"/>
  <c r="AJ259" i="37"/>
  <c r="BR259" i="37" s="1"/>
  <c r="AJ260" i="37"/>
  <c r="BR260" i="37" s="1"/>
  <c r="X246" i="37"/>
  <c r="BN246" i="37" s="1"/>
  <c r="X259" i="37"/>
  <c r="BN259" i="37" s="1"/>
  <c r="X260" i="37"/>
  <c r="BN260" i="37" s="1"/>
  <c r="AV245" i="37"/>
  <c r="BV245" i="37" s="1"/>
  <c r="AV244" i="37"/>
  <c r="BV244" i="37" s="1"/>
  <c r="M215" i="37"/>
  <c r="N215" i="37"/>
  <c r="P215" i="37"/>
  <c r="Q215" i="37"/>
  <c r="S215" i="37"/>
  <c r="T215" i="37"/>
  <c r="V215" i="37"/>
  <c r="W215" i="37"/>
  <c r="Y215" i="37"/>
  <c r="Z215" i="37"/>
  <c r="AB215" i="37"/>
  <c r="AC215" i="37"/>
  <c r="AE215" i="37"/>
  <c r="AF215" i="37"/>
  <c r="AH215" i="37"/>
  <c r="AI215" i="37"/>
  <c r="AK215" i="37"/>
  <c r="AL215" i="37"/>
  <c r="AN215" i="37"/>
  <c r="AO215" i="37"/>
  <c r="AQ215" i="37"/>
  <c r="AR215" i="37"/>
  <c r="AT215" i="37"/>
  <c r="AU215" i="37"/>
  <c r="AW215" i="37"/>
  <c r="AX215" i="37"/>
  <c r="AZ215" i="37"/>
  <c r="BA215" i="37"/>
  <c r="BC215" i="37"/>
  <c r="BD215" i="37"/>
  <c r="BF215" i="37"/>
  <c r="BG215" i="37"/>
  <c r="CE220" i="37"/>
  <c r="BJ220" i="37"/>
  <c r="BE220" i="37"/>
  <c r="BY220" i="37" s="1"/>
  <c r="BB220" i="37"/>
  <c r="BX220" i="37" s="1"/>
  <c r="AY220" i="37"/>
  <c r="AS220" i="37"/>
  <c r="BU220" i="37" s="1"/>
  <c r="AP220" i="37"/>
  <c r="BT220" i="37" s="1"/>
  <c r="AM220" i="37"/>
  <c r="J220" i="37"/>
  <c r="AG220" i="37"/>
  <c r="BQ220" i="37" s="1"/>
  <c r="AD220" i="37"/>
  <c r="BP220" i="37" s="1"/>
  <c r="AA220" i="37"/>
  <c r="I220" i="37"/>
  <c r="U220" i="37"/>
  <c r="BM220" i="37" s="1"/>
  <c r="R220" i="37"/>
  <c r="BL220" i="37" s="1"/>
  <c r="O220" i="37"/>
  <c r="CH221" i="37"/>
  <c r="CE219" i="37"/>
  <c r="BJ219" i="37"/>
  <c r="BE219" i="37"/>
  <c r="BY219" i="37" s="1"/>
  <c r="BB219" i="37"/>
  <c r="BX219" i="37" s="1"/>
  <c r="AY219" i="37"/>
  <c r="AS219" i="37"/>
  <c r="BU219" i="37" s="1"/>
  <c r="AP219" i="37"/>
  <c r="BT219" i="37" s="1"/>
  <c r="AM219" i="37"/>
  <c r="AG219" i="37"/>
  <c r="BQ219" i="37" s="1"/>
  <c r="AD219" i="37"/>
  <c r="BP219" i="37" s="1"/>
  <c r="AA219" i="37"/>
  <c r="J219" i="37"/>
  <c r="I219" i="37"/>
  <c r="U219" i="37"/>
  <c r="BM219" i="37" s="1"/>
  <c r="R219" i="37"/>
  <c r="BL219" i="37" s="1"/>
  <c r="O219" i="37"/>
  <c r="CE121" i="37"/>
  <c r="BJ121" i="37"/>
  <c r="BG121" i="37"/>
  <c r="BF121" i="37"/>
  <c r="BE121" i="37"/>
  <c r="BY121" i="37" s="1"/>
  <c r="BB121" i="37"/>
  <c r="BX121" i="37" s="1"/>
  <c r="AY121" i="37"/>
  <c r="BW121" i="37" s="1"/>
  <c r="AU121" i="37"/>
  <c r="AT121" i="37"/>
  <c r="AS121" i="37"/>
  <c r="BU121" i="37" s="1"/>
  <c r="AP121" i="37"/>
  <c r="BT121" i="37" s="1"/>
  <c r="AM121" i="37"/>
  <c r="BS121" i="37" s="1"/>
  <c r="AI121" i="37"/>
  <c r="AH121" i="37"/>
  <c r="AG121" i="37"/>
  <c r="BQ121" i="37" s="1"/>
  <c r="AD121" i="37"/>
  <c r="BP121" i="37" s="1"/>
  <c r="AA121" i="37"/>
  <c r="BO121" i="37" s="1"/>
  <c r="W121" i="37"/>
  <c r="V121" i="37"/>
  <c r="U121" i="37"/>
  <c r="BM121" i="37" s="1"/>
  <c r="R121" i="37"/>
  <c r="BL121" i="37" s="1"/>
  <c r="O121" i="37"/>
  <c r="BK121" i="37" s="1"/>
  <c r="CE169" i="37"/>
  <c r="BJ169" i="37"/>
  <c r="BE169" i="37"/>
  <c r="BY169" i="37" s="1"/>
  <c r="BB169" i="37"/>
  <c r="BX169" i="37" s="1"/>
  <c r="AY169" i="37"/>
  <c r="AS169" i="37"/>
  <c r="BU169" i="37" s="1"/>
  <c r="AP169" i="37"/>
  <c r="BT169" i="37" s="1"/>
  <c r="AM169" i="37"/>
  <c r="AG169" i="37"/>
  <c r="BQ169" i="37" s="1"/>
  <c r="AD169" i="37"/>
  <c r="BP169" i="37" s="1"/>
  <c r="AA169" i="37"/>
  <c r="BO169" i="37" s="1"/>
  <c r="U169" i="37"/>
  <c r="BM169" i="37" s="1"/>
  <c r="R169" i="37"/>
  <c r="BL169" i="37" s="1"/>
  <c r="O169" i="37"/>
  <c r="CE170" i="37"/>
  <c r="BJ170" i="37"/>
  <c r="BE170" i="37"/>
  <c r="BY170" i="37" s="1"/>
  <c r="BB170" i="37"/>
  <c r="BX170" i="37" s="1"/>
  <c r="AY170" i="37"/>
  <c r="AS170" i="37"/>
  <c r="BU170" i="37" s="1"/>
  <c r="AP170" i="37"/>
  <c r="BT170" i="37" s="1"/>
  <c r="AM170" i="37"/>
  <c r="AG170" i="37"/>
  <c r="BQ170" i="37" s="1"/>
  <c r="AD170" i="37"/>
  <c r="BP170" i="37" s="1"/>
  <c r="AA170" i="37"/>
  <c r="BO170" i="37" s="1"/>
  <c r="U170" i="37"/>
  <c r="BM170" i="37" s="1"/>
  <c r="R170" i="37"/>
  <c r="BL170" i="37" s="1"/>
  <c r="O170" i="37"/>
  <c r="CE221" i="37"/>
  <c r="BJ221" i="37"/>
  <c r="BE221" i="37"/>
  <c r="BY221" i="37" s="1"/>
  <c r="BB221" i="37"/>
  <c r="BX221" i="37" s="1"/>
  <c r="AY221" i="37"/>
  <c r="AS221" i="37"/>
  <c r="BU221" i="37" s="1"/>
  <c r="AP221" i="37"/>
  <c r="BT221" i="37" s="1"/>
  <c r="AM221" i="37"/>
  <c r="AG221" i="37"/>
  <c r="BQ221" i="37" s="1"/>
  <c r="AD221" i="37"/>
  <c r="BP221" i="37" s="1"/>
  <c r="AA221" i="37"/>
  <c r="AJ244" i="37"/>
  <c r="BR244" i="37" s="1"/>
  <c r="CH227" i="37"/>
  <c r="CE218" i="37"/>
  <c r="BJ218" i="37"/>
  <c r="BE218" i="37"/>
  <c r="BY218" i="37" s="1"/>
  <c r="BB218" i="37"/>
  <c r="AY218" i="37"/>
  <c r="BW218" i="37" s="1"/>
  <c r="AS218" i="37"/>
  <c r="BU218" i="37" s="1"/>
  <c r="AP218" i="37"/>
  <c r="BT218" i="37" s="1"/>
  <c r="AM218" i="37"/>
  <c r="AG218" i="37"/>
  <c r="BQ218" i="37" s="1"/>
  <c r="AD218" i="37"/>
  <c r="BP218" i="37" s="1"/>
  <c r="AA218" i="37"/>
  <c r="U218" i="37"/>
  <c r="BM218" i="37" s="1"/>
  <c r="R218" i="37"/>
  <c r="BL218" i="37" s="1"/>
  <c r="O218" i="37"/>
  <c r="CE279" i="37"/>
  <c r="BJ279" i="37"/>
  <c r="BE279" i="37"/>
  <c r="BY279" i="37" s="1"/>
  <c r="BB279" i="37"/>
  <c r="BX279" i="37" s="1"/>
  <c r="AY279" i="37"/>
  <c r="AS279" i="37"/>
  <c r="BU279" i="37" s="1"/>
  <c r="AP279" i="37"/>
  <c r="BT279" i="37" s="1"/>
  <c r="AM279" i="37"/>
  <c r="AG279" i="37"/>
  <c r="BQ279" i="37" s="1"/>
  <c r="AD279" i="37"/>
  <c r="BP279" i="37" s="1"/>
  <c r="AA279" i="37"/>
  <c r="U279" i="37"/>
  <c r="BM279" i="37" s="1"/>
  <c r="R279" i="37"/>
  <c r="BL279" i="37" s="1"/>
  <c r="O279" i="37"/>
  <c r="CE278" i="37"/>
  <c r="BJ278" i="37"/>
  <c r="BE278" i="37"/>
  <c r="BY278" i="37" s="1"/>
  <c r="BB278" i="37"/>
  <c r="BX278" i="37" s="1"/>
  <c r="AY278" i="37"/>
  <c r="AS278" i="37"/>
  <c r="BU278" i="37" s="1"/>
  <c r="AP278" i="37"/>
  <c r="BT278" i="37" s="1"/>
  <c r="AM278" i="37"/>
  <c r="AG278" i="37"/>
  <c r="BQ278" i="37" s="1"/>
  <c r="AD278" i="37"/>
  <c r="BP278" i="37" s="1"/>
  <c r="AA278" i="37"/>
  <c r="U278" i="37"/>
  <c r="BM278" i="37" s="1"/>
  <c r="R278" i="37"/>
  <c r="BL278" i="37" s="1"/>
  <c r="O278" i="37"/>
  <c r="CE277" i="37"/>
  <c r="BJ277" i="37"/>
  <c r="BE277" i="37"/>
  <c r="BY277" i="37" s="1"/>
  <c r="BB277" i="37"/>
  <c r="BX277" i="37" s="1"/>
  <c r="AY277" i="37"/>
  <c r="AS277" i="37"/>
  <c r="BU277" i="37" s="1"/>
  <c r="AP277" i="37"/>
  <c r="BT277" i="37" s="1"/>
  <c r="AM277" i="37"/>
  <c r="AG277" i="37"/>
  <c r="BQ277" i="37" s="1"/>
  <c r="AD277" i="37"/>
  <c r="BP277" i="37" s="1"/>
  <c r="AA277" i="37"/>
  <c r="U277" i="37"/>
  <c r="BM277" i="37" s="1"/>
  <c r="R277" i="37"/>
  <c r="BL277" i="37" s="1"/>
  <c r="O277" i="37"/>
  <c r="M267" i="37"/>
  <c r="N267" i="37"/>
  <c r="P267" i="37"/>
  <c r="Q267" i="37"/>
  <c r="S267" i="37"/>
  <c r="T267" i="37"/>
  <c r="Y267" i="37"/>
  <c r="Z267" i="37"/>
  <c r="AB267" i="37"/>
  <c r="AC267" i="37"/>
  <c r="AE267" i="37"/>
  <c r="AF267" i="37"/>
  <c r="AK267" i="37"/>
  <c r="AL267" i="37"/>
  <c r="AN267" i="37"/>
  <c r="AO267" i="37"/>
  <c r="AQ267" i="37"/>
  <c r="AR267" i="37"/>
  <c r="AW267" i="37"/>
  <c r="AX267" i="37"/>
  <c r="AZ267" i="37"/>
  <c r="BA267" i="37"/>
  <c r="BC267" i="37"/>
  <c r="BD267" i="37"/>
  <c r="CE274" i="37"/>
  <c r="BJ274" i="37"/>
  <c r="BG274" i="37"/>
  <c r="BF274" i="37"/>
  <c r="BE274" i="37"/>
  <c r="BY274" i="37" s="1"/>
  <c r="BB274" i="37"/>
  <c r="BX274" i="37" s="1"/>
  <c r="AY274" i="37"/>
  <c r="BW274" i="37" s="1"/>
  <c r="AU274" i="37"/>
  <c r="AT274" i="37"/>
  <c r="AS274" i="37"/>
  <c r="BU274" i="37" s="1"/>
  <c r="AP274" i="37"/>
  <c r="BT274" i="37" s="1"/>
  <c r="AM274" i="37"/>
  <c r="BS274" i="37" s="1"/>
  <c r="AI274" i="37"/>
  <c r="AH274" i="37"/>
  <c r="AG274" i="37"/>
  <c r="BQ274" i="37" s="1"/>
  <c r="AD274" i="37"/>
  <c r="BP274" i="37" s="1"/>
  <c r="AA274" i="37"/>
  <c r="BO274" i="37" s="1"/>
  <c r="U274" i="37"/>
  <c r="BM274" i="37" s="1"/>
  <c r="R274" i="37"/>
  <c r="BL274" i="37" s="1"/>
  <c r="O274" i="37"/>
  <c r="CE275" i="37"/>
  <c r="BJ275" i="37"/>
  <c r="BG275" i="37"/>
  <c r="BF275" i="37"/>
  <c r="BE275" i="37"/>
  <c r="BY275" i="37" s="1"/>
  <c r="BB275" i="37"/>
  <c r="BX275" i="37" s="1"/>
  <c r="AY275" i="37"/>
  <c r="BW275" i="37" s="1"/>
  <c r="AU275" i="37"/>
  <c r="AT275" i="37"/>
  <c r="AS275" i="37"/>
  <c r="BU275" i="37" s="1"/>
  <c r="AP275" i="37"/>
  <c r="BT275" i="37" s="1"/>
  <c r="AM275" i="37"/>
  <c r="BS275" i="37" s="1"/>
  <c r="AI275" i="37"/>
  <c r="AH275" i="37"/>
  <c r="AG275" i="37"/>
  <c r="BQ275" i="37" s="1"/>
  <c r="AD275" i="37"/>
  <c r="BP275" i="37" s="1"/>
  <c r="AA275" i="37"/>
  <c r="BO275" i="37" s="1"/>
  <c r="U275" i="37"/>
  <c r="BM275" i="37" s="1"/>
  <c r="R275" i="37"/>
  <c r="BL275" i="37" s="1"/>
  <c r="O275" i="37"/>
  <c r="BR272" i="37"/>
  <c r="CE317" i="37"/>
  <c r="BJ317" i="37"/>
  <c r="BE317" i="37"/>
  <c r="BY317" i="37" s="1"/>
  <c r="BB317" i="37"/>
  <c r="BX317" i="37" s="1"/>
  <c r="AY317" i="37"/>
  <c r="AS317" i="37"/>
  <c r="BU317" i="37" s="1"/>
  <c r="AP317" i="37"/>
  <c r="BT317" i="37" s="1"/>
  <c r="AM317" i="37"/>
  <c r="AI317" i="37"/>
  <c r="AH317" i="37"/>
  <c r="AG317" i="37"/>
  <c r="BQ317" i="37" s="1"/>
  <c r="AD317" i="37"/>
  <c r="BP317" i="37" s="1"/>
  <c r="AA317" i="37"/>
  <c r="BO317" i="37" s="1"/>
  <c r="W317" i="37"/>
  <c r="V317" i="37"/>
  <c r="U317" i="37"/>
  <c r="BM317" i="37" s="1"/>
  <c r="R317" i="37"/>
  <c r="BL317" i="37" s="1"/>
  <c r="O317" i="37"/>
  <c r="BK317" i="37" s="1"/>
  <c r="AX10" i="43"/>
  <c r="AX11" i="43"/>
  <c r="AX12" i="43"/>
  <c r="AX13" i="43"/>
  <c r="AX14" i="43"/>
  <c r="AX15" i="43"/>
  <c r="AX16" i="43"/>
  <c r="AX17" i="43"/>
  <c r="AX18" i="43"/>
  <c r="AX19" i="43"/>
  <c r="AX20" i="43"/>
  <c r="AX21" i="43"/>
  <c r="AX22" i="43"/>
  <c r="AX23" i="43"/>
  <c r="AX24" i="43"/>
  <c r="AX25" i="43"/>
  <c r="AX26" i="43"/>
  <c r="AX9" i="43"/>
  <c r="CE293" i="37"/>
  <c r="CE294" i="37"/>
  <c r="CE295" i="37"/>
  <c r="CE296" i="37"/>
  <c r="CE297" i="37"/>
  <c r="CE298" i="37"/>
  <c r="CE302" i="37"/>
  <c r="CE303" i="37"/>
  <c r="CE304" i="37"/>
  <c r="CE307" i="37"/>
  <c r="CE308" i="37"/>
  <c r="CE309" i="37"/>
  <c r="CE310" i="37"/>
  <c r="CE311" i="37"/>
  <c r="CE312" i="37"/>
  <c r="CE313" i="37"/>
  <c r="CE314" i="37"/>
  <c r="CE315" i="37"/>
  <c r="CE318" i="37"/>
  <c r="CE319" i="37"/>
  <c r="CE320" i="37"/>
  <c r="CE321" i="37"/>
  <c r="CE323" i="37"/>
  <c r="CE324" i="37"/>
  <c r="CE325" i="37"/>
  <c r="CE326" i="37"/>
  <c r="CE327" i="37"/>
  <c r="CE328" i="37"/>
  <c r="CE329" i="37"/>
  <c r="CE330" i="37"/>
  <c r="CE331" i="37"/>
  <c r="CE332" i="37"/>
  <c r="CE333" i="37"/>
  <c r="CE334" i="37"/>
  <c r="CE335" i="37"/>
  <c r="CE336" i="37"/>
  <c r="CE337" i="37"/>
  <c r="CE338" i="37"/>
  <c r="CE339" i="37"/>
  <c r="CE340" i="37"/>
  <c r="CE341" i="37"/>
  <c r="CE342" i="37"/>
  <c r="CE343" i="37"/>
  <c r="CE344" i="37"/>
  <c r="CE345" i="37"/>
  <c r="CE346" i="37"/>
  <c r="CE347" i="37"/>
  <c r="CE348" i="37"/>
  <c r="CE349" i="37"/>
  <c r="CE350" i="37"/>
  <c r="CE351" i="37"/>
  <c r="CE352" i="37"/>
  <c r="CE353" i="37"/>
  <c r="CE354" i="37"/>
  <c r="CE355" i="37"/>
  <c r="CE356" i="37"/>
  <c r="CE357" i="37"/>
  <c r="CE358" i="37"/>
  <c r="CE359" i="37"/>
  <c r="CE360" i="37"/>
  <c r="CE361" i="37"/>
  <c r="CE362" i="37"/>
  <c r="CE363" i="37"/>
  <c r="CE364" i="37"/>
  <c r="CE365" i="37"/>
  <c r="CE366" i="37"/>
  <c r="CE367" i="37"/>
  <c r="CE368" i="37"/>
  <c r="CE369" i="37"/>
  <c r="CE370" i="37"/>
  <c r="CE371" i="37"/>
  <c r="CE372" i="37"/>
  <c r="CE373" i="37"/>
  <c r="CE374" i="37"/>
  <c r="CE375" i="37"/>
  <c r="CE376" i="37"/>
  <c r="CE377" i="37"/>
  <c r="CE378" i="37"/>
  <c r="CE379" i="37"/>
  <c r="CE380" i="37"/>
  <c r="CE381" i="37"/>
  <c r="CE382" i="37"/>
  <c r="CE384" i="37"/>
  <c r="CE385" i="37"/>
  <c r="CE386" i="37"/>
  <c r="CE387" i="37"/>
  <c r="CE397" i="37"/>
  <c r="CE398" i="37"/>
  <c r="CE399" i="37"/>
  <c r="CE400" i="37"/>
  <c r="CE401" i="37"/>
  <c r="CE412" i="37"/>
  <c r="CE413" i="37"/>
  <c r="CC293" i="37"/>
  <c r="BJ298" i="37"/>
  <c r="BE298" i="37"/>
  <c r="BY298" i="37" s="1"/>
  <c r="BB298" i="37"/>
  <c r="BX298" i="37" s="1"/>
  <c r="AY298" i="37"/>
  <c r="AS298" i="37"/>
  <c r="BU298" i="37" s="1"/>
  <c r="AP298" i="37"/>
  <c r="BT298" i="37" s="1"/>
  <c r="AM298" i="37"/>
  <c r="AI298" i="37"/>
  <c r="AH298" i="37"/>
  <c r="AG298" i="37"/>
  <c r="BQ298" i="37" s="1"/>
  <c r="AD298" i="37"/>
  <c r="BP298" i="37" s="1"/>
  <c r="AA298" i="37"/>
  <c r="BO298" i="37" s="1"/>
  <c r="W298" i="37"/>
  <c r="V298" i="37"/>
  <c r="U298" i="37"/>
  <c r="BM298" i="37" s="1"/>
  <c r="R298" i="37"/>
  <c r="BL298" i="37" s="1"/>
  <c r="O298" i="37"/>
  <c r="BK298" i="37" s="1"/>
  <c r="M293" i="37"/>
  <c r="N293" i="37"/>
  <c r="P293" i="37"/>
  <c r="Q293" i="37"/>
  <c r="S293" i="37"/>
  <c r="T293" i="37"/>
  <c r="Y293" i="37"/>
  <c r="Z293" i="37"/>
  <c r="AB293" i="37"/>
  <c r="AC293" i="37"/>
  <c r="AE293" i="37"/>
  <c r="AF293" i="37"/>
  <c r="AK293" i="37"/>
  <c r="AL293" i="37"/>
  <c r="AN293" i="37"/>
  <c r="AO293" i="37"/>
  <c r="AQ293" i="37"/>
  <c r="AR293" i="37"/>
  <c r="AW293" i="37"/>
  <c r="AX293" i="37"/>
  <c r="AZ293" i="37"/>
  <c r="BA293" i="37"/>
  <c r="BC293" i="37"/>
  <c r="BD293" i="37"/>
  <c r="BJ297" i="37"/>
  <c r="BG297" i="37"/>
  <c r="BF297" i="37"/>
  <c r="BE297" i="37"/>
  <c r="BY297" i="37" s="1"/>
  <c r="BB297" i="37"/>
  <c r="BX297" i="37" s="1"/>
  <c r="AY297" i="37"/>
  <c r="BW297" i="37" s="1"/>
  <c r="AS297" i="37"/>
  <c r="BU297" i="37" s="1"/>
  <c r="AP297" i="37"/>
  <c r="BT297" i="37" s="1"/>
  <c r="AM297" i="37"/>
  <c r="AG297" i="37"/>
  <c r="BQ297" i="37" s="1"/>
  <c r="AD297" i="37"/>
  <c r="BP297" i="37" s="1"/>
  <c r="AA297" i="37"/>
  <c r="W297" i="37"/>
  <c r="V297" i="37"/>
  <c r="U297" i="37"/>
  <c r="BM297" i="37" s="1"/>
  <c r="R297" i="37"/>
  <c r="BL297" i="37" s="1"/>
  <c r="O297" i="37"/>
  <c r="BK297" i="37" s="1"/>
  <c r="BJ304" i="37"/>
  <c r="BG304" i="37"/>
  <c r="BF304" i="37"/>
  <c r="BE304" i="37"/>
  <c r="BY304" i="37" s="1"/>
  <c r="BB304" i="37"/>
  <c r="BX304" i="37" s="1"/>
  <c r="AY304" i="37"/>
  <c r="BW304" i="37" s="1"/>
  <c r="BU304" i="37"/>
  <c r="AP304" i="37"/>
  <c r="BT304" i="37" s="1"/>
  <c r="AM304" i="37"/>
  <c r="AI304" i="37"/>
  <c r="AH304" i="37"/>
  <c r="AG304" i="37"/>
  <c r="BQ304" i="37" s="1"/>
  <c r="AD304" i="37"/>
  <c r="BP304" i="37" s="1"/>
  <c r="AA304" i="37"/>
  <c r="BO304" i="37" s="1"/>
  <c r="W304" i="37"/>
  <c r="V304" i="37"/>
  <c r="U304" i="37"/>
  <c r="BM304" i="37" s="1"/>
  <c r="R304" i="37"/>
  <c r="BL304" i="37" s="1"/>
  <c r="O304" i="37"/>
  <c r="BK304" i="37" s="1"/>
  <c r="CG302" i="37"/>
  <c r="BJ303" i="37"/>
  <c r="BG303" i="37"/>
  <c r="BF303" i="37"/>
  <c r="BE303" i="37"/>
  <c r="BY303" i="37" s="1"/>
  <c r="BB303" i="37"/>
  <c r="BX303" i="37" s="1"/>
  <c r="AY303" i="37"/>
  <c r="BW303" i="37" s="1"/>
  <c r="BU303" i="37"/>
  <c r="AP303" i="37"/>
  <c r="BT303" i="37" s="1"/>
  <c r="AM303" i="37"/>
  <c r="AG303" i="37"/>
  <c r="BQ303" i="37" s="1"/>
  <c r="AD303" i="37"/>
  <c r="BP303" i="37" s="1"/>
  <c r="AA303" i="37"/>
  <c r="U303" i="37"/>
  <c r="BM303" i="37" s="1"/>
  <c r="R303" i="37"/>
  <c r="BL303" i="37" s="1"/>
  <c r="O303" i="37"/>
  <c r="BJ307" i="37"/>
  <c r="BY307" i="37"/>
  <c r="BB307" i="37"/>
  <c r="AY307" i="37"/>
  <c r="BW307" i="37" s="1"/>
  <c r="AU307" i="37"/>
  <c r="AT307" i="37"/>
  <c r="AS307" i="37"/>
  <c r="BU307" i="37" s="1"/>
  <c r="AP307" i="37"/>
  <c r="BT307" i="37" s="1"/>
  <c r="AM307" i="37"/>
  <c r="BS307" i="37" s="1"/>
  <c r="AI307" i="37"/>
  <c r="AH307" i="37"/>
  <c r="AG307" i="37"/>
  <c r="BQ307" i="37" s="1"/>
  <c r="AD307" i="37"/>
  <c r="BP307" i="37" s="1"/>
  <c r="AA307" i="37"/>
  <c r="BO307" i="37" s="1"/>
  <c r="U307" i="37"/>
  <c r="BM307" i="37" s="1"/>
  <c r="R307" i="37"/>
  <c r="BL307" i="37" s="1"/>
  <c r="O307" i="37"/>
  <c r="BJ302" i="37"/>
  <c r="BG302" i="37"/>
  <c r="BF302" i="37"/>
  <c r="BE302" i="37"/>
  <c r="BY302" i="37" s="1"/>
  <c r="BB302" i="37"/>
  <c r="BX302" i="37" s="1"/>
  <c r="AY302" i="37"/>
  <c r="BW302" i="37" s="1"/>
  <c r="AU302" i="37"/>
  <c r="AT302" i="37"/>
  <c r="AS302" i="37"/>
  <c r="BU302" i="37" s="1"/>
  <c r="AP302" i="37"/>
  <c r="BT302" i="37" s="1"/>
  <c r="AM302" i="37"/>
  <c r="BS302" i="37" s="1"/>
  <c r="AG302" i="37"/>
  <c r="BQ302" i="37" s="1"/>
  <c r="AD302" i="37"/>
  <c r="BP302" i="37" s="1"/>
  <c r="AA302" i="37"/>
  <c r="U302" i="37"/>
  <c r="BM302" i="37" s="1"/>
  <c r="R302" i="37"/>
  <c r="BL302" i="37" s="1"/>
  <c r="O302" i="37"/>
  <c r="BN128" i="37"/>
  <c r="CE159" i="37"/>
  <c r="BJ159" i="37"/>
  <c r="BG159" i="37"/>
  <c r="BF159" i="37"/>
  <c r="BE159" i="37"/>
  <c r="BY159" i="37" s="1"/>
  <c r="BB159" i="37"/>
  <c r="BX159" i="37" s="1"/>
  <c r="AY159" i="37"/>
  <c r="BW159" i="37" s="1"/>
  <c r="AV159" i="37"/>
  <c r="BV159" i="37" s="1"/>
  <c r="AS159" i="37"/>
  <c r="BU159" i="37" s="1"/>
  <c r="AP159" i="37"/>
  <c r="BT159" i="37" s="1"/>
  <c r="AM159" i="37"/>
  <c r="BS159" i="37" s="1"/>
  <c r="AI159" i="37"/>
  <c r="AH159" i="37"/>
  <c r="AG159" i="37"/>
  <c r="BQ159" i="37" s="1"/>
  <c r="AD159" i="37"/>
  <c r="BP159" i="37" s="1"/>
  <c r="AA159" i="37"/>
  <c r="BO159" i="37" s="1"/>
  <c r="U159" i="37"/>
  <c r="BM159" i="37" s="1"/>
  <c r="R159" i="37"/>
  <c r="BL159" i="37" s="1"/>
  <c r="O159" i="37"/>
  <c r="M117" i="37"/>
  <c r="N117" i="37"/>
  <c r="P117" i="37"/>
  <c r="Q117" i="37"/>
  <c r="S117" i="37"/>
  <c r="T117" i="37"/>
  <c r="Y117" i="37"/>
  <c r="Z117" i="37"/>
  <c r="AB117" i="37"/>
  <c r="AC117" i="37"/>
  <c r="AE117" i="37"/>
  <c r="AF117" i="37"/>
  <c r="AK117" i="37"/>
  <c r="AL117" i="37"/>
  <c r="AN117" i="37"/>
  <c r="AO117" i="37"/>
  <c r="AQ117" i="37"/>
  <c r="AR117" i="37"/>
  <c r="AW117" i="37"/>
  <c r="AX117" i="37"/>
  <c r="AZ117" i="37"/>
  <c r="BA117" i="37"/>
  <c r="BC117" i="37"/>
  <c r="BD117" i="37"/>
  <c r="M31" i="37"/>
  <c r="N31" i="37"/>
  <c r="P31" i="37"/>
  <c r="Q31" i="37"/>
  <c r="S31" i="37"/>
  <c r="Y31" i="37"/>
  <c r="Z31" i="37"/>
  <c r="AB31" i="37"/>
  <c r="AC31" i="37"/>
  <c r="AE31" i="37"/>
  <c r="AF31" i="37"/>
  <c r="AK31" i="37"/>
  <c r="AL31" i="37"/>
  <c r="AN31" i="37"/>
  <c r="AO31" i="37"/>
  <c r="AQ31" i="37"/>
  <c r="AR31" i="37"/>
  <c r="AW31" i="37"/>
  <c r="AX31" i="37"/>
  <c r="AZ31" i="37"/>
  <c r="BA31" i="37"/>
  <c r="BC31" i="37"/>
  <c r="BD31" i="37"/>
  <c r="M149" i="37"/>
  <c r="N149" i="37"/>
  <c r="P149" i="37"/>
  <c r="Q149" i="37"/>
  <c r="S149" i="37"/>
  <c r="T149" i="37"/>
  <c r="Y149" i="37"/>
  <c r="Z149" i="37"/>
  <c r="AB149" i="37"/>
  <c r="AC149" i="37"/>
  <c r="AE149" i="37"/>
  <c r="AF149" i="37"/>
  <c r="AK149" i="37"/>
  <c r="AL149" i="37"/>
  <c r="AN149" i="37"/>
  <c r="AO149" i="37"/>
  <c r="AQ149" i="37"/>
  <c r="AR149" i="37"/>
  <c r="AW149" i="37"/>
  <c r="AX149" i="37"/>
  <c r="AZ149" i="37"/>
  <c r="BA149" i="37"/>
  <c r="BC149" i="37"/>
  <c r="BD149" i="37"/>
  <c r="CE157" i="37"/>
  <c r="BJ157" i="37"/>
  <c r="BG157" i="37"/>
  <c r="BF157" i="37"/>
  <c r="BE157" i="37"/>
  <c r="BY157" i="37" s="1"/>
  <c r="BB157" i="37"/>
  <c r="BX157" i="37" s="1"/>
  <c r="AY157" i="37"/>
  <c r="BW157" i="37" s="1"/>
  <c r="AS157" i="37"/>
  <c r="BU157" i="37" s="1"/>
  <c r="AP157" i="37"/>
  <c r="BT157" i="37" s="1"/>
  <c r="AM157" i="37"/>
  <c r="AG157" i="37"/>
  <c r="BQ157" i="37" s="1"/>
  <c r="AD157" i="37"/>
  <c r="BP157" i="37" s="1"/>
  <c r="AA157" i="37"/>
  <c r="BO157" i="37" s="1"/>
  <c r="W157" i="37"/>
  <c r="V157" i="37"/>
  <c r="U157" i="37"/>
  <c r="BM157" i="37" s="1"/>
  <c r="R157" i="37"/>
  <c r="BL157" i="37" s="1"/>
  <c r="O157" i="37"/>
  <c r="BK157" i="37" s="1"/>
  <c r="CE156" i="37"/>
  <c r="BJ156" i="37"/>
  <c r="BE156" i="37"/>
  <c r="BY156" i="37" s="1"/>
  <c r="BB156" i="37"/>
  <c r="BX156" i="37" s="1"/>
  <c r="AY156" i="37"/>
  <c r="AS156" i="37"/>
  <c r="BU156" i="37" s="1"/>
  <c r="AP156" i="37"/>
  <c r="BT156" i="37" s="1"/>
  <c r="AM156" i="37"/>
  <c r="AI156" i="37"/>
  <c r="AH156" i="37"/>
  <c r="AG156" i="37"/>
  <c r="BQ156" i="37" s="1"/>
  <c r="AD156" i="37"/>
  <c r="BP156" i="37" s="1"/>
  <c r="AA156" i="37"/>
  <c r="BO156" i="37" s="1"/>
  <c r="W156" i="37"/>
  <c r="V156" i="37"/>
  <c r="U156" i="37"/>
  <c r="BM156" i="37" s="1"/>
  <c r="R156" i="37"/>
  <c r="BL156" i="37" s="1"/>
  <c r="O156" i="37"/>
  <c r="BK156" i="37" s="1"/>
  <c r="CE155" i="37"/>
  <c r="BJ155" i="37"/>
  <c r="BG155" i="37"/>
  <c r="BF155" i="37"/>
  <c r="BE155" i="37"/>
  <c r="BY155" i="37" s="1"/>
  <c r="BB155" i="37"/>
  <c r="BX155" i="37" s="1"/>
  <c r="AY155" i="37"/>
  <c r="BW155" i="37" s="1"/>
  <c r="AS155" i="37"/>
  <c r="BU155" i="37" s="1"/>
  <c r="AP155" i="37"/>
  <c r="BT155" i="37" s="1"/>
  <c r="AM155" i="37"/>
  <c r="AJ155" i="37"/>
  <c r="BR155" i="37" s="1"/>
  <c r="AG155" i="37"/>
  <c r="BQ155" i="37" s="1"/>
  <c r="AD155" i="37"/>
  <c r="BP155" i="37" s="1"/>
  <c r="AA155" i="37"/>
  <c r="BO155" i="37" s="1"/>
  <c r="W155" i="37"/>
  <c r="V155" i="37"/>
  <c r="U155" i="37"/>
  <c r="BM155" i="37" s="1"/>
  <c r="R155" i="37"/>
  <c r="BL155" i="37" s="1"/>
  <c r="O155" i="37"/>
  <c r="CE153" i="37"/>
  <c r="BJ153" i="37"/>
  <c r="BG153" i="37"/>
  <c r="BF153" i="37"/>
  <c r="BE153" i="37"/>
  <c r="BY153" i="37" s="1"/>
  <c r="BB153" i="37"/>
  <c r="BX153" i="37" s="1"/>
  <c r="AY153" i="37"/>
  <c r="BW153" i="37" s="1"/>
  <c r="AU153" i="37"/>
  <c r="AT153" i="37"/>
  <c r="AS153" i="37"/>
  <c r="BU153" i="37" s="1"/>
  <c r="AP153" i="37"/>
  <c r="BT153" i="37" s="1"/>
  <c r="AM153" i="37"/>
  <c r="BS153" i="37" s="1"/>
  <c r="AG153" i="37"/>
  <c r="BQ153" i="37" s="1"/>
  <c r="AD153" i="37"/>
  <c r="BP153" i="37" s="1"/>
  <c r="AA153" i="37"/>
  <c r="BO153" i="37" s="1"/>
  <c r="W153" i="37"/>
  <c r="V153" i="37"/>
  <c r="U153" i="37"/>
  <c r="BM153" i="37" s="1"/>
  <c r="R153" i="37"/>
  <c r="BL153" i="37" s="1"/>
  <c r="O153" i="37"/>
  <c r="CE154" i="37"/>
  <c r="BJ154" i="37"/>
  <c r="BG154" i="37"/>
  <c r="BF154" i="37"/>
  <c r="BE154" i="37"/>
  <c r="BY154" i="37" s="1"/>
  <c r="BB154" i="37"/>
  <c r="BX154" i="37" s="1"/>
  <c r="AY154" i="37"/>
  <c r="BW154" i="37" s="1"/>
  <c r="AS154" i="37"/>
  <c r="BU154" i="37" s="1"/>
  <c r="AP154" i="37"/>
  <c r="BT154" i="37" s="1"/>
  <c r="AM154" i="37"/>
  <c r="AG154" i="37"/>
  <c r="BQ154" i="37" s="1"/>
  <c r="AD154" i="37"/>
  <c r="BP154" i="37" s="1"/>
  <c r="AA154" i="37"/>
  <c r="W154" i="37"/>
  <c r="V154" i="37"/>
  <c r="U154" i="37"/>
  <c r="BM154" i="37" s="1"/>
  <c r="R154" i="37"/>
  <c r="BL154" i="37" s="1"/>
  <c r="O154" i="37"/>
  <c r="BK154" i="37" s="1"/>
  <c r="CE158" i="37"/>
  <c r="BJ158" i="37"/>
  <c r="BG158" i="37"/>
  <c r="BF158" i="37"/>
  <c r="BE158" i="37"/>
  <c r="BY158" i="37" s="1"/>
  <c r="BB158" i="37"/>
  <c r="BX158" i="37" s="1"/>
  <c r="AY158" i="37"/>
  <c r="BW158" i="37" s="1"/>
  <c r="AS158" i="37"/>
  <c r="BU158" i="37" s="1"/>
  <c r="AP158" i="37"/>
  <c r="BT158" i="37" s="1"/>
  <c r="AM158" i="37"/>
  <c r="AG158" i="37"/>
  <c r="BQ158" i="37" s="1"/>
  <c r="AD158" i="37"/>
  <c r="BP158" i="37" s="1"/>
  <c r="AA158" i="37"/>
  <c r="BO158" i="37" s="1"/>
  <c r="W158" i="37"/>
  <c r="V158" i="37"/>
  <c r="U158" i="37"/>
  <c r="BM158" i="37" s="1"/>
  <c r="R158" i="37"/>
  <c r="BL158" i="37" s="1"/>
  <c r="O158" i="37"/>
  <c r="BK158" i="37" s="1"/>
  <c r="AJ140" i="37"/>
  <c r="BR140" i="37" s="1"/>
  <c r="J138" i="44"/>
  <c r="F138" i="44"/>
  <c r="J150" i="44"/>
  <c r="F150" i="44"/>
  <c r="J128" i="44"/>
  <c r="F128" i="44"/>
  <c r="AM127" i="44"/>
  <c r="AI127" i="44"/>
  <c r="AE127" i="44"/>
  <c r="AA127" i="44"/>
  <c r="AM128" i="44"/>
  <c r="AI128" i="44"/>
  <c r="AE128" i="44"/>
  <c r="AA128" i="44"/>
  <c r="J105" i="44"/>
  <c r="F105" i="44"/>
  <c r="J104" i="44"/>
  <c r="F104" i="44"/>
  <c r="AJ108" i="37"/>
  <c r="BR108" i="37" s="1"/>
  <c r="X83" i="37"/>
  <c r="BN83" i="37" s="1"/>
  <c r="J67" i="44"/>
  <c r="F67" i="44"/>
  <c r="BH69" i="37"/>
  <c r="BZ69" i="37" s="1"/>
  <c r="CE68" i="37"/>
  <c r="BJ68" i="37"/>
  <c r="BG68" i="37"/>
  <c r="BF68" i="37"/>
  <c r="BE68" i="37"/>
  <c r="BY68" i="37" s="1"/>
  <c r="BB68" i="37"/>
  <c r="BX68" i="37" s="1"/>
  <c r="AY68" i="37"/>
  <c r="BW68" i="37" s="1"/>
  <c r="AU68" i="37"/>
  <c r="AT68" i="37"/>
  <c r="AS68" i="37"/>
  <c r="BU68" i="37" s="1"/>
  <c r="AP68" i="37"/>
  <c r="BT68" i="37" s="1"/>
  <c r="AM68" i="37"/>
  <c r="BS68" i="37" s="1"/>
  <c r="AI68" i="37"/>
  <c r="AH68" i="37"/>
  <c r="AG68" i="37"/>
  <c r="BQ68" i="37" s="1"/>
  <c r="AD68" i="37"/>
  <c r="BP68" i="37" s="1"/>
  <c r="AA68" i="37"/>
  <c r="BO68" i="37" s="1"/>
  <c r="U68" i="37"/>
  <c r="BM68" i="37" s="1"/>
  <c r="R68" i="37"/>
  <c r="BL68" i="37" s="1"/>
  <c r="O68" i="37"/>
  <c r="CE67" i="37"/>
  <c r="BJ67" i="37"/>
  <c r="BG67" i="37"/>
  <c r="BF67" i="37"/>
  <c r="BE67" i="37"/>
  <c r="BY67" i="37" s="1"/>
  <c r="BB67" i="37"/>
  <c r="BX67" i="37" s="1"/>
  <c r="AY67" i="37"/>
  <c r="BW67" i="37" s="1"/>
  <c r="AU67" i="37"/>
  <c r="AT67" i="37"/>
  <c r="AS67" i="37"/>
  <c r="BU67" i="37" s="1"/>
  <c r="AP67" i="37"/>
  <c r="BT67" i="37" s="1"/>
  <c r="AM67" i="37"/>
  <c r="BS67" i="37" s="1"/>
  <c r="AI67" i="37"/>
  <c r="AH67" i="37"/>
  <c r="AG67" i="37"/>
  <c r="BQ67" i="37" s="1"/>
  <c r="AD67" i="37"/>
  <c r="BP67" i="37" s="1"/>
  <c r="AA67" i="37"/>
  <c r="BO67" i="37" s="1"/>
  <c r="U67" i="37"/>
  <c r="BM67" i="37" s="1"/>
  <c r="R67" i="37"/>
  <c r="BL67" i="37" s="1"/>
  <c r="O67" i="37"/>
  <c r="CE41" i="37"/>
  <c r="BJ41" i="37"/>
  <c r="BG41" i="37"/>
  <c r="BF41" i="37"/>
  <c r="BE41" i="37"/>
  <c r="BY41" i="37" s="1"/>
  <c r="BB41" i="37"/>
  <c r="BX41" i="37" s="1"/>
  <c r="AY41" i="37"/>
  <c r="BW41" i="37" s="1"/>
  <c r="AS41" i="37"/>
  <c r="BU41" i="37" s="1"/>
  <c r="AP41" i="37"/>
  <c r="BT41" i="37" s="1"/>
  <c r="AM41" i="37"/>
  <c r="BS41" i="37" s="1"/>
  <c r="AG41" i="37"/>
  <c r="BQ41" i="37" s="1"/>
  <c r="AD41" i="37"/>
  <c r="BP41" i="37" s="1"/>
  <c r="AA41" i="37"/>
  <c r="BO41" i="37" s="1"/>
  <c r="W41" i="37"/>
  <c r="V41" i="37"/>
  <c r="U41" i="37"/>
  <c r="BM41" i="37" s="1"/>
  <c r="R41" i="37"/>
  <c r="BL41" i="37" s="1"/>
  <c r="O41" i="37"/>
  <c r="BK41" i="37" s="1"/>
  <c r="CE42" i="37"/>
  <c r="BJ42" i="37"/>
  <c r="BE42" i="37"/>
  <c r="BY42" i="37" s="1"/>
  <c r="BB42" i="37"/>
  <c r="BX42" i="37" s="1"/>
  <c r="AY42" i="37"/>
  <c r="AT42" i="37"/>
  <c r="AS42" i="37"/>
  <c r="BU42" i="37" s="1"/>
  <c r="AP42" i="37"/>
  <c r="BT42" i="37" s="1"/>
  <c r="AM42" i="37"/>
  <c r="BS42" i="37" s="1"/>
  <c r="AI42" i="37"/>
  <c r="AH42" i="37"/>
  <c r="AG42" i="37"/>
  <c r="AD42" i="37"/>
  <c r="AA42" i="37"/>
  <c r="BO42" i="37" s="1"/>
  <c r="W42" i="37"/>
  <c r="V42" i="37"/>
  <c r="U42" i="37"/>
  <c r="BM42" i="37" s="1"/>
  <c r="R42" i="37"/>
  <c r="BL42" i="37" s="1"/>
  <c r="O42" i="37"/>
  <c r="BK42" i="37" s="1"/>
  <c r="X24" i="37"/>
  <c r="BN24" i="37" s="1"/>
  <c r="CE24" i="37"/>
  <c r="BJ24" i="37"/>
  <c r="BG24" i="37"/>
  <c r="BF24" i="37"/>
  <c r="BE24" i="37"/>
  <c r="BY24" i="37" s="1"/>
  <c r="BB24" i="37"/>
  <c r="BX24" i="37" s="1"/>
  <c r="AY24" i="37"/>
  <c r="BW24" i="37" s="1"/>
  <c r="AU24" i="37"/>
  <c r="AT24" i="37"/>
  <c r="AS24" i="37"/>
  <c r="BU24" i="37" s="1"/>
  <c r="AP24" i="37"/>
  <c r="BT24" i="37" s="1"/>
  <c r="AM24" i="37"/>
  <c r="BS24" i="37" s="1"/>
  <c r="AI24" i="37"/>
  <c r="AH24" i="37"/>
  <c r="AG24" i="37"/>
  <c r="BQ24" i="37" s="1"/>
  <c r="AD24" i="37"/>
  <c r="BP24" i="37" s="1"/>
  <c r="AA24" i="37"/>
  <c r="BO24" i="37" s="1"/>
  <c r="X25" i="37"/>
  <c r="BN25" i="37" s="1"/>
  <c r="CE23" i="37"/>
  <c r="BJ23" i="37"/>
  <c r="BG23" i="37"/>
  <c r="BF23" i="37"/>
  <c r="BE23" i="37"/>
  <c r="BY23" i="37" s="1"/>
  <c r="BB23" i="37"/>
  <c r="BX23" i="37" s="1"/>
  <c r="AY23" i="37"/>
  <c r="BW23" i="37" s="1"/>
  <c r="AU23" i="37"/>
  <c r="AT23" i="37"/>
  <c r="AS23" i="37"/>
  <c r="BU23" i="37" s="1"/>
  <c r="AP23" i="37"/>
  <c r="BT23" i="37" s="1"/>
  <c r="AM23" i="37"/>
  <c r="BS23" i="37" s="1"/>
  <c r="AG23" i="37"/>
  <c r="BQ23" i="37" s="1"/>
  <c r="AD23" i="37"/>
  <c r="BP23" i="37" s="1"/>
  <c r="AA23" i="37"/>
  <c r="X23" i="37"/>
  <c r="BN23" i="37" s="1"/>
  <c r="X22" i="37"/>
  <c r="BN22" i="37" s="1"/>
  <c r="J32" i="44"/>
  <c r="F32" i="44"/>
  <c r="AN12" i="44"/>
  <c r="D148" i="44"/>
  <c r="F148" i="44" s="1"/>
  <c r="V127" i="44" l="1"/>
  <c r="CB285" i="37"/>
  <c r="CB281" i="37"/>
  <c r="CB284" i="37"/>
  <c r="CB194" i="37"/>
  <c r="BW298" i="37"/>
  <c r="BH298" i="37"/>
  <c r="BZ298" i="37" s="1"/>
  <c r="CB282" i="37"/>
  <c r="CB199" i="37"/>
  <c r="BW278" i="37"/>
  <c r="BH278" i="37"/>
  <c r="BZ278" i="37" s="1"/>
  <c r="BO277" i="37"/>
  <c r="AJ277" i="37"/>
  <c r="BR277" i="37" s="1"/>
  <c r="BO279" i="37"/>
  <c r="AJ279" i="37"/>
  <c r="BR279" i="37" s="1"/>
  <c r="BS278" i="37"/>
  <c r="AV278" i="37"/>
  <c r="BV278" i="37" s="1"/>
  <c r="BK279" i="37"/>
  <c r="X279" i="37"/>
  <c r="BN279" i="37" s="1"/>
  <c r="BW277" i="37"/>
  <c r="BH277" i="37"/>
  <c r="BZ277" i="37" s="1"/>
  <c r="BS277" i="37"/>
  <c r="AV277" i="37"/>
  <c r="BV277" i="37" s="1"/>
  <c r="BS279" i="37"/>
  <c r="AV279" i="37"/>
  <c r="BV279" i="37" s="1"/>
  <c r="BW279" i="37"/>
  <c r="BH279" i="37"/>
  <c r="BZ279" i="37" s="1"/>
  <c r="BK278" i="37"/>
  <c r="X278" i="37"/>
  <c r="BN278" i="37" s="1"/>
  <c r="BK277" i="37"/>
  <c r="X277" i="37"/>
  <c r="BN277" i="37" s="1"/>
  <c r="BK307" i="37"/>
  <c r="X307" i="37"/>
  <c r="BN307" i="37" s="1"/>
  <c r="BK275" i="37"/>
  <c r="X275" i="37"/>
  <c r="BN275" i="37" s="1"/>
  <c r="BO278" i="37"/>
  <c r="AJ278" i="37"/>
  <c r="BR278" i="37" s="1"/>
  <c r="J148" i="44"/>
  <c r="BK274" i="37"/>
  <c r="X274" i="37"/>
  <c r="BN274" i="37" s="1"/>
  <c r="BW317" i="37"/>
  <c r="BH317" i="37"/>
  <c r="BZ317" i="37" s="1"/>
  <c r="BS317" i="37"/>
  <c r="AV317" i="37"/>
  <c r="BV317" i="37" s="1"/>
  <c r="BX307" i="37"/>
  <c r="BH307" i="37"/>
  <c r="BK303" i="37"/>
  <c r="X303" i="37"/>
  <c r="BN303" i="37" s="1"/>
  <c r="BK302" i="37"/>
  <c r="X302" i="37"/>
  <c r="BN302" i="37" s="1"/>
  <c r="BS303" i="37"/>
  <c r="AV303" i="37"/>
  <c r="BV303" i="37" s="1"/>
  <c r="BS304" i="37"/>
  <c r="AV304" i="37"/>
  <c r="BV304" i="37" s="1"/>
  <c r="BO303" i="37"/>
  <c r="AJ303" i="37"/>
  <c r="BR303" i="37" s="1"/>
  <c r="BO302" i="37"/>
  <c r="AJ302" i="37"/>
  <c r="BR302" i="37" s="1"/>
  <c r="BS298" i="37"/>
  <c r="AV298" i="37"/>
  <c r="BV298" i="37" s="1"/>
  <c r="BO297" i="37"/>
  <c r="AJ297" i="37"/>
  <c r="BR297" i="37" s="1"/>
  <c r="BS297" i="37"/>
  <c r="AV297" i="37"/>
  <c r="BV297" i="37" s="1"/>
  <c r="BO221" i="37"/>
  <c r="AJ221" i="37"/>
  <c r="BR221" i="37" s="1"/>
  <c r="BK220" i="37"/>
  <c r="X220" i="37"/>
  <c r="BN220" i="37" s="1"/>
  <c r="BS221" i="37"/>
  <c r="AV221" i="37"/>
  <c r="BV221" i="37" s="1"/>
  <c r="BW221" i="37"/>
  <c r="BH221" i="37"/>
  <c r="BZ221" i="37" s="1"/>
  <c r="BK219" i="37"/>
  <c r="X219" i="37"/>
  <c r="BN219" i="37" s="1"/>
  <c r="BS220" i="37"/>
  <c r="AV220" i="37"/>
  <c r="BV220" i="37" s="1"/>
  <c r="BK218" i="37"/>
  <c r="X218" i="37"/>
  <c r="BN218" i="37" s="1"/>
  <c r="BW220" i="37"/>
  <c r="BH220" i="37"/>
  <c r="BZ220" i="37" s="1"/>
  <c r="BO220" i="37"/>
  <c r="AJ220" i="37"/>
  <c r="BR220" i="37" s="1"/>
  <c r="BO218" i="37"/>
  <c r="AJ218" i="37"/>
  <c r="BR218" i="37" s="1"/>
  <c r="BO219" i="37"/>
  <c r="AJ219" i="37"/>
  <c r="BR219" i="37" s="1"/>
  <c r="BW219" i="37"/>
  <c r="BH219" i="37"/>
  <c r="BZ219" i="37" s="1"/>
  <c r="BS218" i="37"/>
  <c r="AV218" i="37"/>
  <c r="BV218" i="37" s="1"/>
  <c r="BS219" i="37"/>
  <c r="AV219" i="37"/>
  <c r="BV219" i="37" s="1"/>
  <c r="CB226" i="37"/>
  <c r="BX218" i="37"/>
  <c r="BH218" i="37"/>
  <c r="BZ218" i="37" s="1"/>
  <c r="BW170" i="37"/>
  <c r="BH170" i="37"/>
  <c r="BZ170" i="37" s="1"/>
  <c r="BK169" i="37"/>
  <c r="X169" i="37"/>
  <c r="BN169" i="37" s="1"/>
  <c r="BS170" i="37"/>
  <c r="AV170" i="37"/>
  <c r="BV170" i="37" s="1"/>
  <c r="BW169" i="37"/>
  <c r="BH169" i="37"/>
  <c r="BZ169" i="37" s="1"/>
  <c r="BK170" i="37"/>
  <c r="X170" i="37"/>
  <c r="BN170" i="37" s="1"/>
  <c r="BS169" i="37"/>
  <c r="AV169" i="37"/>
  <c r="BV169" i="37" s="1"/>
  <c r="BS154" i="37"/>
  <c r="AV154" i="37"/>
  <c r="BV154" i="37" s="1"/>
  <c r="BS156" i="37"/>
  <c r="AV156" i="37"/>
  <c r="BV156" i="37" s="1"/>
  <c r="AJ153" i="37"/>
  <c r="BR153" i="37" s="1"/>
  <c r="BS157" i="37"/>
  <c r="AV157" i="37"/>
  <c r="BV157" i="37" s="1"/>
  <c r="BK159" i="37"/>
  <c r="X159" i="37"/>
  <c r="BN159" i="37" s="1"/>
  <c r="BO154" i="37"/>
  <c r="AJ154" i="37"/>
  <c r="BR154" i="37" s="1"/>
  <c r="BS158" i="37"/>
  <c r="AV158" i="37"/>
  <c r="BV158" i="37" s="1"/>
  <c r="BS155" i="37"/>
  <c r="AV155" i="37"/>
  <c r="BV155" i="37" s="1"/>
  <c r="BW156" i="37"/>
  <c r="BH156" i="37"/>
  <c r="BZ156" i="37" s="1"/>
  <c r="BK67" i="37"/>
  <c r="X67" i="37"/>
  <c r="BN67" i="37" s="1"/>
  <c r="BK68" i="37"/>
  <c r="X68" i="37"/>
  <c r="BN68" i="37" s="1"/>
  <c r="BW42" i="37"/>
  <c r="BH42" i="37"/>
  <c r="BZ42" i="37" s="1"/>
  <c r="AV41" i="37"/>
  <c r="BV41" i="37" s="1"/>
  <c r="AJ41" i="37"/>
  <c r="BR41" i="37" s="1"/>
  <c r="BO23" i="37"/>
  <c r="AJ23" i="37"/>
  <c r="BR23" i="37" s="1"/>
  <c r="CF293" i="37"/>
  <c r="V128" i="44"/>
  <c r="CB193" i="37"/>
  <c r="CB280" i="37"/>
  <c r="J170" i="37"/>
  <c r="X121" i="37"/>
  <c r="BN121" i="37" s="1"/>
  <c r="J121" i="37"/>
  <c r="I121" i="37"/>
  <c r="I169" i="37"/>
  <c r="BH121" i="37"/>
  <c r="BZ121" i="37" s="1"/>
  <c r="AV121" i="37"/>
  <c r="BV121" i="37" s="1"/>
  <c r="J169" i="37"/>
  <c r="I218" i="37"/>
  <c r="I170" i="37"/>
  <c r="AJ121" i="37"/>
  <c r="BR121" i="37" s="1"/>
  <c r="J221" i="37"/>
  <c r="I221" i="37"/>
  <c r="BN221" i="37"/>
  <c r="J218" i="37"/>
  <c r="J279" i="37"/>
  <c r="I279" i="37"/>
  <c r="I278" i="37"/>
  <c r="J278" i="37"/>
  <c r="I277" i="37"/>
  <c r="J277" i="37"/>
  <c r="J274" i="37"/>
  <c r="AV275" i="37"/>
  <c r="BV275" i="37" s="1"/>
  <c r="I274" i="37"/>
  <c r="AV274" i="37"/>
  <c r="BV274" i="37" s="1"/>
  <c r="J317" i="37"/>
  <c r="AJ275" i="37"/>
  <c r="BR275" i="37" s="1"/>
  <c r="BH274" i="37"/>
  <c r="BZ274" i="37" s="1"/>
  <c r="AJ317" i="37"/>
  <c r="BR317" i="37" s="1"/>
  <c r="I275" i="37"/>
  <c r="J275" i="37"/>
  <c r="BH275" i="37"/>
  <c r="BZ275" i="37" s="1"/>
  <c r="I298" i="37"/>
  <c r="AJ274" i="37"/>
  <c r="BR274" i="37" s="1"/>
  <c r="I317" i="37"/>
  <c r="J298" i="37"/>
  <c r="I297" i="37"/>
  <c r="X317" i="37"/>
  <c r="BN317" i="37" s="1"/>
  <c r="J297" i="37"/>
  <c r="X298" i="37"/>
  <c r="BN298" i="37" s="1"/>
  <c r="BH297" i="37"/>
  <c r="BZ297" i="37" s="1"/>
  <c r="AJ298" i="37"/>
  <c r="BR298" i="37" s="1"/>
  <c r="X297" i="37"/>
  <c r="BN297" i="37" s="1"/>
  <c r="I307" i="37"/>
  <c r="I304" i="37"/>
  <c r="I303" i="37"/>
  <c r="J304" i="37"/>
  <c r="BH304" i="37"/>
  <c r="BZ304" i="37" s="1"/>
  <c r="AJ304" i="37"/>
  <c r="BR304" i="37" s="1"/>
  <c r="I155" i="37"/>
  <c r="J155" i="37"/>
  <c r="BH302" i="37"/>
  <c r="BZ302" i="37" s="1"/>
  <c r="AV307" i="37"/>
  <c r="BV307" i="37" s="1"/>
  <c r="J307" i="37"/>
  <c r="X304" i="37"/>
  <c r="BN304" i="37" s="1"/>
  <c r="BZ307" i="37"/>
  <c r="J303" i="37"/>
  <c r="BH303" i="37"/>
  <c r="BZ303" i="37" s="1"/>
  <c r="J302" i="37"/>
  <c r="I302" i="37"/>
  <c r="J159" i="37"/>
  <c r="AJ307" i="37"/>
  <c r="BR307" i="37" s="1"/>
  <c r="AJ159" i="37"/>
  <c r="BR159" i="37" s="1"/>
  <c r="J157" i="37"/>
  <c r="AV302" i="37"/>
  <c r="BV302" i="37" s="1"/>
  <c r="I159" i="37"/>
  <c r="J156" i="37"/>
  <c r="BH155" i="37"/>
  <c r="BZ155" i="37" s="1"/>
  <c r="I156" i="37"/>
  <c r="I157" i="37"/>
  <c r="BH159" i="37"/>
  <c r="BZ159" i="37" s="1"/>
  <c r="J68" i="37"/>
  <c r="I154" i="37"/>
  <c r="X156" i="37"/>
  <c r="BN156" i="37" s="1"/>
  <c r="X155" i="37"/>
  <c r="BN155" i="37" s="1"/>
  <c r="X157" i="37"/>
  <c r="BN157" i="37" s="1"/>
  <c r="X153" i="37"/>
  <c r="BN153" i="37" s="1"/>
  <c r="I153" i="37"/>
  <c r="AJ157" i="37"/>
  <c r="BR157" i="37" s="1"/>
  <c r="BH157" i="37"/>
  <c r="BZ157" i="37" s="1"/>
  <c r="J153" i="37"/>
  <c r="BH153" i="37"/>
  <c r="BZ153" i="37" s="1"/>
  <c r="BK155" i="37"/>
  <c r="AJ156" i="37"/>
  <c r="BR156" i="37" s="1"/>
  <c r="X158" i="37"/>
  <c r="BN158" i="37" s="1"/>
  <c r="J154" i="37"/>
  <c r="BK153" i="37"/>
  <c r="AV153" i="37"/>
  <c r="BV153" i="37" s="1"/>
  <c r="X154" i="37"/>
  <c r="BN154" i="37" s="1"/>
  <c r="AV68" i="37"/>
  <c r="BV68" i="37" s="1"/>
  <c r="BH154" i="37"/>
  <c r="BZ154" i="37" s="1"/>
  <c r="AJ68" i="37"/>
  <c r="BR68" i="37" s="1"/>
  <c r="I158" i="37"/>
  <c r="I41" i="37"/>
  <c r="AV67" i="37"/>
  <c r="BV67" i="37" s="1"/>
  <c r="J158" i="37"/>
  <c r="I67" i="37"/>
  <c r="I68" i="37"/>
  <c r="AJ158" i="37"/>
  <c r="BR158" i="37" s="1"/>
  <c r="BH158" i="37"/>
  <c r="BZ158" i="37" s="1"/>
  <c r="BH68" i="37"/>
  <c r="BZ68" i="37" s="1"/>
  <c r="BH67" i="37"/>
  <c r="BZ67" i="37" s="1"/>
  <c r="J67" i="37"/>
  <c r="BH41" i="37"/>
  <c r="BZ41" i="37" s="1"/>
  <c r="J41" i="37"/>
  <c r="AV42" i="37"/>
  <c r="BV42" i="37" s="1"/>
  <c r="AJ67" i="37"/>
  <c r="BR67" i="37" s="1"/>
  <c r="I42" i="37"/>
  <c r="BQ42" i="37" s="1"/>
  <c r="J42" i="37"/>
  <c r="BH24" i="37"/>
  <c r="BZ24" i="37" s="1"/>
  <c r="X41" i="37"/>
  <c r="BN41" i="37" s="1"/>
  <c r="X42" i="37"/>
  <c r="BN42" i="37" s="1"/>
  <c r="I24" i="37"/>
  <c r="J24" i="37"/>
  <c r="I23" i="37"/>
  <c r="J23" i="37"/>
  <c r="BH23" i="37"/>
  <c r="BZ23" i="37" s="1"/>
  <c r="AV24" i="37"/>
  <c r="BV24" i="37" s="1"/>
  <c r="AJ42" i="37"/>
  <c r="BR42" i="37" s="1"/>
  <c r="AJ24" i="37"/>
  <c r="BR24" i="37" s="1"/>
  <c r="AV23" i="37"/>
  <c r="BV23" i="37" s="1"/>
  <c r="J126" i="44"/>
  <c r="F126" i="44"/>
  <c r="L219" i="37" l="1"/>
  <c r="K219" i="37"/>
  <c r="L220" i="37"/>
  <c r="K220" i="37"/>
  <c r="L277" i="37"/>
  <c r="K121" i="37"/>
  <c r="L121" i="37"/>
  <c r="L169" i="37"/>
  <c r="K169" i="37"/>
  <c r="L170" i="37"/>
  <c r="K170" i="37"/>
  <c r="K221" i="37"/>
  <c r="L221" i="37"/>
  <c r="L218" i="37"/>
  <c r="K218" i="37"/>
  <c r="L279" i="37"/>
  <c r="K279" i="37"/>
  <c r="L278" i="37"/>
  <c r="K278" i="37"/>
  <c r="K277" i="37"/>
  <c r="L274" i="37"/>
  <c r="K274" i="37"/>
  <c r="L275" i="37"/>
  <c r="K275" i="37"/>
  <c r="L317" i="37"/>
  <c r="K317" i="37"/>
  <c r="L298" i="37"/>
  <c r="K298" i="37"/>
  <c r="L297" i="37"/>
  <c r="K297" i="37"/>
  <c r="L304" i="37"/>
  <c r="K304" i="37"/>
  <c r="L303" i="37"/>
  <c r="K303" i="37"/>
  <c r="L307" i="37"/>
  <c r="K307" i="37"/>
  <c r="L159" i="37"/>
  <c r="L302" i="37"/>
  <c r="K302" i="37"/>
  <c r="K159" i="37"/>
  <c r="K157" i="37"/>
  <c r="L157" i="37"/>
  <c r="K156" i="37"/>
  <c r="L156" i="37"/>
  <c r="K155" i="37"/>
  <c r="L155" i="37"/>
  <c r="K153" i="37"/>
  <c r="K158" i="37"/>
  <c r="L158" i="37"/>
  <c r="K154" i="37"/>
  <c r="L154" i="37"/>
  <c r="L68" i="37"/>
  <c r="K68" i="37"/>
  <c r="K67" i="37"/>
  <c r="L67" i="37"/>
  <c r="L41" i="37"/>
  <c r="K41" i="37"/>
  <c r="L42" i="37"/>
  <c r="K42" i="37"/>
  <c r="L24" i="37"/>
  <c r="K24" i="37"/>
  <c r="K23" i="37"/>
  <c r="L23" i="37"/>
  <c r="AM125" i="44"/>
  <c r="AI125" i="44"/>
  <c r="AE125" i="44"/>
  <c r="AA125" i="44"/>
  <c r="S125" i="44"/>
  <c r="P125" i="44"/>
  <c r="R125" i="44" s="1"/>
  <c r="O125" i="44"/>
  <c r="M125" i="44"/>
  <c r="L125" i="44"/>
  <c r="J125" i="44"/>
  <c r="F125" i="44"/>
  <c r="F113" i="44"/>
  <c r="J113" i="44"/>
  <c r="AM27" i="44"/>
  <c r="AI27" i="44"/>
  <c r="AA27" i="44"/>
  <c r="S27" i="44"/>
  <c r="P27" i="44"/>
  <c r="R27" i="44" s="1"/>
  <c r="O27" i="44"/>
  <c r="M27" i="44"/>
  <c r="L27" i="44"/>
  <c r="J27" i="44"/>
  <c r="F27" i="44"/>
  <c r="J26" i="44"/>
  <c r="F25" i="44"/>
  <c r="AE76" i="44"/>
  <c r="AM26" i="44"/>
  <c r="AI26" i="44"/>
  <c r="AE26" i="44"/>
  <c r="AA26" i="44"/>
  <c r="S26" i="44"/>
  <c r="P26" i="44"/>
  <c r="R26" i="44" s="1"/>
  <c r="O26" i="44"/>
  <c r="M26" i="44"/>
  <c r="L26" i="44"/>
  <c r="F26" i="44"/>
  <c r="CE18" i="37"/>
  <c r="CE19" i="37"/>
  <c r="CE20" i="37"/>
  <c r="CE21" i="37"/>
  <c r="CE22" i="37"/>
  <c r="CE25" i="37"/>
  <c r="CE26" i="37"/>
  <c r="CE27" i="37"/>
  <c r="CE28" i="37"/>
  <c r="CE29" i="37"/>
  <c r="CE30" i="37"/>
  <c r="CE31" i="37"/>
  <c r="CE32" i="37"/>
  <c r="CE33" i="37"/>
  <c r="CE34" i="37"/>
  <c r="CE35" i="37"/>
  <c r="CE36" i="37"/>
  <c r="CE37" i="37"/>
  <c r="CE38" i="37"/>
  <c r="CE39" i="37"/>
  <c r="CE40" i="37"/>
  <c r="CE43" i="37"/>
  <c r="CE44" i="37"/>
  <c r="CE45" i="37"/>
  <c r="CE46" i="37"/>
  <c r="CE48" i="37"/>
  <c r="CE49" i="37"/>
  <c r="CE51" i="37"/>
  <c r="CE56" i="37"/>
  <c r="CE57" i="37"/>
  <c r="CE58" i="37"/>
  <c r="CE59" i="37"/>
  <c r="CE61" i="37"/>
  <c r="CE62" i="37"/>
  <c r="CE63" i="37"/>
  <c r="CE66" i="37"/>
  <c r="CE69" i="37"/>
  <c r="CE71" i="37"/>
  <c r="CE72" i="37"/>
  <c r="CE73" i="37"/>
  <c r="CE74" i="37"/>
  <c r="CE75" i="37"/>
  <c r="CE76" i="37"/>
  <c r="CE77" i="37"/>
  <c r="CE78" i="37"/>
  <c r="CE79" i="37"/>
  <c r="CE80" i="37"/>
  <c r="CE81" i="37"/>
  <c r="CE82" i="37"/>
  <c r="CE83" i="37"/>
  <c r="CE84" i="37"/>
  <c r="CE85" i="37"/>
  <c r="CE86" i="37"/>
  <c r="CE87" i="37"/>
  <c r="CE88" i="37"/>
  <c r="CE90" i="37"/>
  <c r="CE91" i="37"/>
  <c r="CE92" i="37"/>
  <c r="CE93" i="37"/>
  <c r="CE94" i="37"/>
  <c r="CE95" i="37"/>
  <c r="CE96" i="37"/>
  <c r="CE97" i="37"/>
  <c r="CE102" i="37"/>
  <c r="CE103" i="37"/>
  <c r="CE104" i="37"/>
  <c r="CE105" i="37"/>
  <c r="CE106" i="37"/>
  <c r="CE107" i="37"/>
  <c r="CE108" i="37"/>
  <c r="CE109" i="37"/>
  <c r="CE110" i="37"/>
  <c r="CE111" i="37"/>
  <c r="CE112" i="37"/>
  <c r="CE113" i="37"/>
  <c r="CE114" i="37"/>
  <c r="CE115" i="37"/>
  <c r="CE116" i="37"/>
  <c r="CE117" i="37"/>
  <c r="CE118" i="37"/>
  <c r="CE119" i="37"/>
  <c r="CE120" i="37"/>
  <c r="CE122" i="37"/>
  <c r="CE123" i="37"/>
  <c r="CE124" i="37"/>
  <c r="CE125" i="37"/>
  <c r="CE126" i="37"/>
  <c r="CE127" i="37"/>
  <c r="CE128" i="37"/>
  <c r="CE129" i="37"/>
  <c r="CE133" i="37"/>
  <c r="CE134" i="37"/>
  <c r="CE135" i="37"/>
  <c r="CE136" i="37"/>
  <c r="CE137" i="37"/>
  <c r="CE138" i="37"/>
  <c r="CE139" i="37"/>
  <c r="CE140" i="37"/>
  <c r="CE141" i="37"/>
  <c r="CE142" i="37"/>
  <c r="CE144" i="37"/>
  <c r="CE145" i="37"/>
  <c r="CE146" i="37"/>
  <c r="CE147" i="37"/>
  <c r="CE148" i="37"/>
  <c r="CE149" i="37"/>
  <c r="CE150" i="37"/>
  <c r="CE151" i="37"/>
  <c r="CE152" i="37"/>
  <c r="CE160" i="37"/>
  <c r="CE161" i="37"/>
  <c r="CE162" i="37"/>
  <c r="CE164" i="37"/>
  <c r="CE165" i="37"/>
  <c r="CE166" i="37"/>
  <c r="CE167" i="37"/>
  <c r="CE168" i="37"/>
  <c r="CE171" i="37"/>
  <c r="CE172" i="37"/>
  <c r="CE173" i="37"/>
  <c r="CE175" i="37"/>
  <c r="CE178" i="37"/>
  <c r="CE179" i="37"/>
  <c r="CE180" i="37"/>
  <c r="CE181" i="37"/>
  <c r="CE185" i="37"/>
  <c r="CE186" i="37"/>
  <c r="CE187" i="37"/>
  <c r="CE189" i="37"/>
  <c r="CE190" i="37"/>
  <c r="CE191" i="37"/>
  <c r="CE192" i="37"/>
  <c r="CE197" i="37"/>
  <c r="CE201" i="37"/>
  <c r="CE202" i="37"/>
  <c r="CE203" i="37"/>
  <c r="CE204" i="37"/>
  <c r="CE205" i="37"/>
  <c r="CE206" i="37"/>
  <c r="CE207" i="37"/>
  <c r="CE208" i="37"/>
  <c r="CE209" i="37"/>
  <c r="CE210" i="37"/>
  <c r="CE211" i="37"/>
  <c r="CE212" i="37"/>
  <c r="CE213" i="37"/>
  <c r="CE214" i="37"/>
  <c r="CE215" i="37"/>
  <c r="CE216" i="37"/>
  <c r="CE225" i="37"/>
  <c r="CE227" i="37"/>
  <c r="CE229" i="37"/>
  <c r="CE230" i="37"/>
  <c r="CE231" i="37"/>
  <c r="CE232" i="37"/>
  <c r="CE233" i="37"/>
  <c r="CE234" i="37"/>
  <c r="CE235" i="37"/>
  <c r="CE236" i="37"/>
  <c r="CE237" i="37"/>
  <c r="CE238" i="37"/>
  <c r="CE239" i="37"/>
  <c r="CE240" i="37"/>
  <c r="CE241" i="37"/>
  <c r="CE242" i="37"/>
  <c r="CE266" i="37"/>
  <c r="CE267" i="37"/>
  <c r="CE268" i="37"/>
  <c r="CE269" i="37"/>
  <c r="CE270" i="37"/>
  <c r="CE271" i="37"/>
  <c r="CE272" i="37"/>
  <c r="CE273" i="37"/>
  <c r="CE276" i="37"/>
  <c r="CE286" i="37"/>
  <c r="CE287" i="37"/>
  <c r="CE288" i="37"/>
  <c r="CE289" i="37"/>
  <c r="CE290" i="37"/>
  <c r="CE291" i="37"/>
  <c r="CE292" i="37"/>
  <c r="AV81" i="37"/>
  <c r="BV81" i="37" s="1"/>
  <c r="BJ81" i="37"/>
  <c r="BG81" i="37"/>
  <c r="BF81" i="37"/>
  <c r="BE81" i="37"/>
  <c r="BY81" i="37" s="1"/>
  <c r="BB81" i="37"/>
  <c r="BX81" i="37" s="1"/>
  <c r="AY81" i="37"/>
  <c r="BW81" i="37" s="1"/>
  <c r="AS81" i="37"/>
  <c r="BU81" i="37" s="1"/>
  <c r="AP81" i="37"/>
  <c r="BT81" i="37" s="1"/>
  <c r="AM81" i="37"/>
  <c r="BS81" i="37" s="1"/>
  <c r="BQ81" i="37"/>
  <c r="BP81" i="37"/>
  <c r="AA81" i="37"/>
  <c r="W81" i="37"/>
  <c r="V81" i="37"/>
  <c r="U81" i="37"/>
  <c r="BM81" i="37" s="1"/>
  <c r="R81" i="37"/>
  <c r="BL81" i="37" s="1"/>
  <c r="O81" i="37"/>
  <c r="BK81" i="37" s="1"/>
  <c r="BJ80" i="37"/>
  <c r="BG80" i="37"/>
  <c r="BF80" i="37"/>
  <c r="BE80" i="37"/>
  <c r="BY80" i="37" s="1"/>
  <c r="BB80" i="37"/>
  <c r="BX80" i="37" s="1"/>
  <c r="AY80" i="37"/>
  <c r="BW80" i="37" s="1"/>
  <c r="AU80" i="37"/>
  <c r="AT80" i="37"/>
  <c r="AS80" i="37"/>
  <c r="BU80" i="37" s="1"/>
  <c r="AP80" i="37"/>
  <c r="BT80" i="37" s="1"/>
  <c r="AM80" i="37"/>
  <c r="BS80" i="37" s="1"/>
  <c r="AG80" i="37"/>
  <c r="BQ80" i="37" s="1"/>
  <c r="AD80" i="37"/>
  <c r="BP80" i="37" s="1"/>
  <c r="AA80" i="37"/>
  <c r="W80" i="37"/>
  <c r="V80" i="37"/>
  <c r="U80" i="37"/>
  <c r="BM80" i="37" s="1"/>
  <c r="R80" i="37"/>
  <c r="BL80" i="37" s="1"/>
  <c r="O80" i="37"/>
  <c r="BK80" i="37" s="1"/>
  <c r="BJ79" i="37"/>
  <c r="BG79" i="37"/>
  <c r="BF79" i="37"/>
  <c r="BE79" i="37"/>
  <c r="BY79" i="37" s="1"/>
  <c r="BB79" i="37"/>
  <c r="BX79" i="37" s="1"/>
  <c r="AY79" i="37"/>
  <c r="BW79" i="37" s="1"/>
  <c r="AU79" i="37"/>
  <c r="AT79" i="37"/>
  <c r="AS79" i="37"/>
  <c r="BU79" i="37" s="1"/>
  <c r="AP79" i="37"/>
  <c r="BT79" i="37" s="1"/>
  <c r="AM79" i="37"/>
  <c r="BS79" i="37" s="1"/>
  <c r="AG79" i="37"/>
  <c r="BQ79" i="37" s="1"/>
  <c r="AD79" i="37"/>
  <c r="BP79" i="37" s="1"/>
  <c r="AA79" i="37"/>
  <c r="W79" i="37"/>
  <c r="V79" i="37"/>
  <c r="U79" i="37"/>
  <c r="BM79" i="37" s="1"/>
  <c r="R79" i="37"/>
  <c r="BL79" i="37" s="1"/>
  <c r="O79" i="37"/>
  <c r="BK79" i="37" s="1"/>
  <c r="BJ36" i="37"/>
  <c r="BG36" i="37"/>
  <c r="BF36" i="37"/>
  <c r="BE36" i="37"/>
  <c r="BY36" i="37" s="1"/>
  <c r="BB36" i="37"/>
  <c r="BX36" i="37" s="1"/>
  <c r="AY36" i="37"/>
  <c r="BW36" i="37" s="1"/>
  <c r="AU36" i="37"/>
  <c r="AT36" i="37"/>
  <c r="AS36" i="37"/>
  <c r="BU36" i="37" s="1"/>
  <c r="AP36" i="37"/>
  <c r="BT36" i="37" s="1"/>
  <c r="AM36" i="37"/>
  <c r="BS36" i="37" s="1"/>
  <c r="AI36" i="37"/>
  <c r="AH36" i="37"/>
  <c r="AG36" i="37"/>
  <c r="BQ36" i="37" s="1"/>
  <c r="AD36" i="37"/>
  <c r="BP36" i="37" s="1"/>
  <c r="AA36" i="37"/>
  <c r="BO36" i="37" s="1"/>
  <c r="W36" i="37"/>
  <c r="V36" i="37"/>
  <c r="U36" i="37"/>
  <c r="BM36" i="37" s="1"/>
  <c r="R36" i="37"/>
  <c r="BL36" i="37" s="1"/>
  <c r="O36" i="37"/>
  <c r="BK36" i="37" s="1"/>
  <c r="BJ34" i="37"/>
  <c r="BG34" i="37"/>
  <c r="BF34" i="37"/>
  <c r="BE34" i="37"/>
  <c r="BY34" i="37" s="1"/>
  <c r="BB34" i="37"/>
  <c r="BX34" i="37" s="1"/>
  <c r="AY34" i="37"/>
  <c r="BW34" i="37" s="1"/>
  <c r="AU34" i="37"/>
  <c r="AT34" i="37"/>
  <c r="AS34" i="37"/>
  <c r="BU34" i="37" s="1"/>
  <c r="AP34" i="37"/>
  <c r="BT34" i="37" s="1"/>
  <c r="AM34" i="37"/>
  <c r="BS34" i="37" s="1"/>
  <c r="AI34" i="37"/>
  <c r="AH34" i="37"/>
  <c r="AG34" i="37"/>
  <c r="BQ34" i="37" s="1"/>
  <c r="AD34" i="37"/>
  <c r="BP34" i="37" s="1"/>
  <c r="AA34" i="37"/>
  <c r="BO34" i="37" s="1"/>
  <c r="U34" i="37"/>
  <c r="BM34" i="37" s="1"/>
  <c r="R34" i="37"/>
  <c r="BL34" i="37" s="1"/>
  <c r="O34" i="37"/>
  <c r="BJ35" i="37"/>
  <c r="BG35" i="37"/>
  <c r="BF35" i="37"/>
  <c r="BE35" i="37"/>
  <c r="BY35" i="37" s="1"/>
  <c r="BB35" i="37"/>
  <c r="BX35" i="37" s="1"/>
  <c r="AY35" i="37"/>
  <c r="BW35" i="37" s="1"/>
  <c r="AU35" i="37"/>
  <c r="AT35" i="37"/>
  <c r="AS35" i="37"/>
  <c r="BU35" i="37" s="1"/>
  <c r="AP35" i="37"/>
  <c r="BT35" i="37" s="1"/>
  <c r="AM35" i="37"/>
  <c r="BS35" i="37" s="1"/>
  <c r="AI35" i="37"/>
  <c r="AH35" i="37"/>
  <c r="AG35" i="37"/>
  <c r="BQ35" i="37" s="1"/>
  <c r="AD35" i="37"/>
  <c r="BP35" i="37" s="1"/>
  <c r="AA35" i="37"/>
  <c r="BO35" i="37" s="1"/>
  <c r="U35" i="37"/>
  <c r="BM35" i="37" s="1"/>
  <c r="R35" i="37"/>
  <c r="O35" i="37"/>
  <c r="BK35" i="37" s="1"/>
  <c r="D70" i="51" l="1"/>
  <c r="D36" i="51"/>
  <c r="D69" i="51"/>
  <c r="D66" i="51"/>
  <c r="D65" i="51"/>
  <c r="D64" i="51"/>
  <c r="CB219" i="37"/>
  <c r="BO79" i="37"/>
  <c r="AJ79" i="37"/>
  <c r="BR79" i="37" s="1"/>
  <c r="BO81" i="37"/>
  <c r="AJ81" i="37"/>
  <c r="BR81" i="37" s="1"/>
  <c r="BO80" i="37"/>
  <c r="AJ80" i="37"/>
  <c r="BR80" i="37" s="1"/>
  <c r="BK34" i="37"/>
  <c r="X34" i="37"/>
  <c r="BN34" i="37" s="1"/>
  <c r="BL35" i="37"/>
  <c r="X35" i="37"/>
  <c r="BN35" i="37" s="1"/>
  <c r="CB277" i="37"/>
  <c r="CB169" i="37"/>
  <c r="CB220" i="37"/>
  <c r="CB121" i="37"/>
  <c r="CB170" i="37"/>
  <c r="CB279" i="37"/>
  <c r="CB221" i="37"/>
  <c r="CB218" i="37"/>
  <c r="CB278" i="37"/>
  <c r="CB274" i="37"/>
  <c r="CB275" i="37"/>
  <c r="CB317" i="37"/>
  <c r="CB298" i="37"/>
  <c r="CB159" i="37"/>
  <c r="CB297" i="37"/>
  <c r="CB307" i="37"/>
  <c r="CB303" i="37"/>
  <c r="CB304" i="37"/>
  <c r="CB302" i="37"/>
  <c r="CB157" i="37"/>
  <c r="CB155" i="37"/>
  <c r="CB156" i="37"/>
  <c r="CB154" i="37"/>
  <c r="CB158" i="37"/>
  <c r="CB42" i="37"/>
  <c r="CB41" i="37"/>
  <c r="CB67" i="37"/>
  <c r="CB68" i="37"/>
  <c r="J81" i="37"/>
  <c r="I81" i="37"/>
  <c r="J36" i="37"/>
  <c r="BH81" i="37"/>
  <c r="BZ81" i="37" s="1"/>
  <c r="CB24" i="37"/>
  <c r="I79" i="37"/>
  <c r="BH80" i="37"/>
  <c r="BZ80" i="37" s="1"/>
  <c r="I80" i="37"/>
  <c r="J80" i="37"/>
  <c r="BH34" i="37"/>
  <c r="BZ34" i="37" s="1"/>
  <c r="J79" i="37"/>
  <c r="X79" i="37"/>
  <c r="BN79" i="37" s="1"/>
  <c r="BH79" i="37"/>
  <c r="BZ79" i="37" s="1"/>
  <c r="CB23" i="37"/>
  <c r="V125" i="44"/>
  <c r="W125" i="44" s="1"/>
  <c r="V27" i="44"/>
  <c r="V26" i="44"/>
  <c r="AV80" i="37"/>
  <c r="BV80" i="37" s="1"/>
  <c r="X80" i="37"/>
  <c r="BN80" i="37" s="1"/>
  <c r="I36" i="37"/>
  <c r="X81" i="37"/>
  <c r="BN81" i="37" s="1"/>
  <c r="AV36" i="37"/>
  <c r="BV36" i="37" s="1"/>
  <c r="BH36" i="37"/>
  <c r="BZ36" i="37" s="1"/>
  <c r="J34" i="37"/>
  <c r="AV79" i="37"/>
  <c r="BV79" i="37" s="1"/>
  <c r="X36" i="37"/>
  <c r="BN36" i="37" s="1"/>
  <c r="BH35" i="37"/>
  <c r="BZ35" i="37" s="1"/>
  <c r="I34" i="37"/>
  <c r="AJ36" i="37"/>
  <c r="BR36" i="37" s="1"/>
  <c r="AV34" i="37"/>
  <c r="BV34" i="37" s="1"/>
  <c r="I35" i="37"/>
  <c r="J35" i="37"/>
  <c r="AJ34" i="37"/>
  <c r="BR34" i="37" s="1"/>
  <c r="AV35" i="37"/>
  <c r="BV35" i="37" s="1"/>
  <c r="AJ35" i="37"/>
  <c r="BR35" i="37" s="1"/>
  <c r="W26" i="44" l="1"/>
  <c r="N125" i="44"/>
  <c r="U125" i="44" s="1"/>
  <c r="T125" i="44" s="1"/>
  <c r="L79" i="37"/>
  <c r="K80" i="37"/>
  <c r="L80" i="37"/>
  <c r="L81" i="37"/>
  <c r="K81" i="37"/>
  <c r="K79" i="37"/>
  <c r="L36" i="37"/>
  <c r="K36" i="37"/>
  <c r="L34" i="37"/>
  <c r="K34" i="37"/>
  <c r="L35" i="37"/>
  <c r="K35" i="37"/>
  <c r="CB36" i="37" l="1"/>
  <c r="CB81" i="37"/>
  <c r="CB79" i="37"/>
  <c r="CB35" i="37"/>
  <c r="CB80" i="37"/>
  <c r="CB34" i="37"/>
  <c r="BJ96" i="37" l="1"/>
  <c r="BG96" i="37"/>
  <c r="BF96" i="37"/>
  <c r="BE96" i="37"/>
  <c r="BY96" i="37" s="1"/>
  <c r="BB96" i="37"/>
  <c r="BX96" i="37" s="1"/>
  <c r="AY96" i="37"/>
  <c r="BW96" i="37" s="1"/>
  <c r="AU96" i="37"/>
  <c r="AT96" i="37"/>
  <c r="AS96" i="37"/>
  <c r="BU96" i="37" s="1"/>
  <c r="AP96" i="37"/>
  <c r="BT96" i="37" s="1"/>
  <c r="AM96" i="37"/>
  <c r="BS96" i="37" s="1"/>
  <c r="AI96" i="37"/>
  <c r="AH96" i="37"/>
  <c r="AG96" i="37"/>
  <c r="BQ96" i="37" s="1"/>
  <c r="AD96" i="37"/>
  <c r="BP96" i="37" s="1"/>
  <c r="AA96" i="37"/>
  <c r="BO96" i="37" s="1"/>
  <c r="U96" i="37"/>
  <c r="BM96" i="37" s="1"/>
  <c r="R96" i="37"/>
  <c r="BL96" i="37" s="1"/>
  <c r="O96" i="37"/>
  <c r="BK96" i="37" l="1"/>
  <c r="X96" i="37"/>
  <c r="BN96" i="37" s="1"/>
  <c r="J96" i="37"/>
  <c r="AV96" i="37"/>
  <c r="BV96" i="37" s="1"/>
  <c r="BH96" i="37"/>
  <c r="BZ96" i="37" s="1"/>
  <c r="I96" i="37"/>
  <c r="AJ96" i="37"/>
  <c r="BR96" i="37" s="1"/>
  <c r="L96" i="37" l="1"/>
  <c r="K96" i="37"/>
  <c r="CB96" i="37" l="1"/>
  <c r="AQ34" i="44"/>
  <c r="AQ44" i="44"/>
  <c r="AQ61" i="44"/>
  <c r="AQ72" i="44"/>
  <c r="AQ85" i="44"/>
  <c r="AQ97" i="44"/>
  <c r="AQ107" i="44"/>
  <c r="AQ117" i="44"/>
  <c r="AQ131" i="44"/>
  <c r="AQ141" i="44"/>
  <c r="AQ153" i="44"/>
  <c r="AQ157" i="44"/>
  <c r="AQ161" i="44"/>
  <c r="AQ165" i="44"/>
  <c r="AQ169" i="44"/>
  <c r="AQ173" i="44"/>
  <c r="AQ177" i="44"/>
  <c r="AQ181" i="44"/>
  <c r="AQ186" i="44"/>
  <c r="AQ187" i="44"/>
  <c r="AQ188" i="44"/>
  <c r="AQ189" i="44"/>
  <c r="AQ190" i="44"/>
  <c r="AQ191" i="44"/>
  <c r="AQ192" i="44"/>
  <c r="AQ193" i="44"/>
  <c r="AQ194" i="44"/>
  <c r="AQ195" i="44"/>
  <c r="AQ196" i="44"/>
  <c r="AQ197" i="44"/>
  <c r="AQ198" i="44"/>
  <c r="AQ199" i="44"/>
  <c r="AQ200" i="44"/>
  <c r="AQ201" i="44"/>
  <c r="AQ202" i="44"/>
  <c r="AQ203" i="44"/>
  <c r="AQ204" i="44"/>
  <c r="AQ205" i="44"/>
  <c r="AQ206" i="44"/>
  <c r="AQ207" i="44"/>
  <c r="AQ208" i="44"/>
  <c r="AQ209" i="44"/>
  <c r="AQ210" i="44"/>
  <c r="AQ211" i="44"/>
  <c r="AQ212" i="44"/>
  <c r="AQ213" i="44"/>
  <c r="AQ214" i="44"/>
  <c r="AQ215" i="44"/>
  <c r="AQ216" i="44"/>
  <c r="AQ217" i="44"/>
  <c r="AQ218" i="44"/>
  <c r="AQ219" i="44"/>
  <c r="AQ220" i="44"/>
  <c r="AQ221" i="44"/>
  <c r="AQ222" i="44"/>
  <c r="AQ223" i="44"/>
  <c r="AQ224" i="44"/>
  <c r="AQ225" i="44"/>
  <c r="AQ226" i="44"/>
  <c r="AQ227" i="44"/>
  <c r="AQ228" i="44"/>
  <c r="AQ229" i="44"/>
  <c r="AQ230" i="44"/>
  <c r="AQ231" i="44"/>
  <c r="AQ232" i="44"/>
  <c r="AQ233" i="44"/>
  <c r="AQ234" i="44"/>
  <c r="AQ235" i="44"/>
  <c r="AQ236" i="44"/>
  <c r="AQ237" i="44"/>
  <c r="AQ238" i="44"/>
  <c r="AQ239" i="44"/>
  <c r="AQ240" i="44"/>
  <c r="AQ22" i="44"/>
  <c r="AP22" i="44"/>
  <c r="P8" i="43"/>
  <c r="AG8" i="43"/>
  <c r="BJ400" i="37"/>
  <c r="BZ400" i="37"/>
  <c r="BE400" i="37"/>
  <c r="BY400" i="37" s="1"/>
  <c r="BB400" i="37"/>
  <c r="BX400" i="37" s="1"/>
  <c r="AY400" i="37"/>
  <c r="BW400" i="37" s="1"/>
  <c r="BV400" i="37"/>
  <c r="AS400" i="37"/>
  <c r="BU400" i="37" s="1"/>
  <c r="AP400" i="37"/>
  <c r="BT400" i="37" s="1"/>
  <c r="AM400" i="37"/>
  <c r="BS400" i="37" s="1"/>
  <c r="AG400" i="37"/>
  <c r="BQ400" i="37" s="1"/>
  <c r="AD400" i="37"/>
  <c r="BP400" i="37" s="1"/>
  <c r="AA400" i="37"/>
  <c r="BN400" i="37"/>
  <c r="U400" i="37"/>
  <c r="BM400" i="37" s="1"/>
  <c r="R400" i="37"/>
  <c r="BL400" i="37" s="1"/>
  <c r="O400" i="37"/>
  <c r="BK400" i="37" s="1"/>
  <c r="P320" i="37"/>
  <c r="Q320" i="37"/>
  <c r="S320" i="37"/>
  <c r="T320" i="37"/>
  <c r="Y320" i="37"/>
  <c r="Z320" i="37"/>
  <c r="AB320" i="37"/>
  <c r="AC320" i="37"/>
  <c r="AE320" i="37"/>
  <c r="AF320" i="37"/>
  <c r="AK320" i="37"/>
  <c r="AL320" i="37"/>
  <c r="AN320" i="37"/>
  <c r="AO320" i="37"/>
  <c r="AQ320" i="37"/>
  <c r="AR320" i="37"/>
  <c r="AW320" i="37"/>
  <c r="AX320" i="37"/>
  <c r="AZ320" i="37"/>
  <c r="BA320" i="37"/>
  <c r="BC320" i="37"/>
  <c r="BD320" i="37"/>
  <c r="M320" i="37"/>
  <c r="N320" i="37"/>
  <c r="CH373" i="37"/>
  <c r="CG373" i="37"/>
  <c r="BJ373" i="37"/>
  <c r="BG373" i="37"/>
  <c r="BF373" i="37"/>
  <c r="BE373" i="37"/>
  <c r="BY373" i="37" s="1"/>
  <c r="BB373" i="37"/>
  <c r="BX373" i="37" s="1"/>
  <c r="AY373" i="37"/>
  <c r="BW373" i="37" s="1"/>
  <c r="AU373" i="37"/>
  <c r="AT373" i="37"/>
  <c r="AS373" i="37"/>
  <c r="BU373" i="37" s="1"/>
  <c r="AP373" i="37"/>
  <c r="BT373" i="37" s="1"/>
  <c r="AM373" i="37"/>
  <c r="BS373" i="37" s="1"/>
  <c r="AI373" i="37"/>
  <c r="AH373" i="37"/>
  <c r="AG373" i="37"/>
  <c r="BQ373" i="37" s="1"/>
  <c r="AD373" i="37"/>
  <c r="BP373" i="37" s="1"/>
  <c r="AA373" i="37"/>
  <c r="BO373" i="37" s="1"/>
  <c r="W373" i="37"/>
  <c r="V373" i="37"/>
  <c r="U373" i="37"/>
  <c r="BM373" i="37" s="1"/>
  <c r="R373" i="37"/>
  <c r="BL373" i="37" s="1"/>
  <c r="O373" i="37"/>
  <c r="BK373" i="37" s="1"/>
  <c r="CH372" i="37"/>
  <c r="CG372" i="37"/>
  <c r="BJ372" i="37"/>
  <c r="BG372" i="37"/>
  <c r="BF372" i="37"/>
  <c r="BE372" i="37"/>
  <c r="BY372" i="37" s="1"/>
  <c r="BB372" i="37"/>
  <c r="BX372" i="37" s="1"/>
  <c r="AY372" i="37"/>
  <c r="BW372" i="37" s="1"/>
  <c r="AU372" i="37"/>
  <c r="AT372" i="37"/>
  <c r="AS372" i="37"/>
  <c r="BU372" i="37" s="1"/>
  <c r="AP372" i="37"/>
  <c r="BT372" i="37" s="1"/>
  <c r="AM372" i="37"/>
  <c r="BS372" i="37" s="1"/>
  <c r="AI372" i="37"/>
  <c r="AH372" i="37"/>
  <c r="AG372" i="37"/>
  <c r="BQ372" i="37" s="1"/>
  <c r="AD372" i="37"/>
  <c r="BP372" i="37" s="1"/>
  <c r="AA372" i="37"/>
  <c r="BO372" i="37" s="1"/>
  <c r="W372" i="37"/>
  <c r="V372" i="37"/>
  <c r="U372" i="37"/>
  <c r="BM372" i="37" s="1"/>
  <c r="R372" i="37"/>
  <c r="BL372" i="37" s="1"/>
  <c r="O372" i="37"/>
  <c r="BK372" i="37" s="1"/>
  <c r="CH371" i="37"/>
  <c r="CG371" i="37"/>
  <c r="BJ371" i="37"/>
  <c r="BG371" i="37"/>
  <c r="BF371" i="37"/>
  <c r="BE371" i="37"/>
  <c r="BY371" i="37" s="1"/>
  <c r="BB371" i="37"/>
  <c r="BX371" i="37" s="1"/>
  <c r="AY371" i="37"/>
  <c r="BW371" i="37" s="1"/>
  <c r="AU371" i="37"/>
  <c r="AT371" i="37"/>
  <c r="AS371" i="37"/>
  <c r="BU371" i="37" s="1"/>
  <c r="AP371" i="37"/>
  <c r="BT371" i="37" s="1"/>
  <c r="AM371" i="37"/>
  <c r="BS371" i="37" s="1"/>
  <c r="AI371" i="37"/>
  <c r="AH371" i="37"/>
  <c r="AG371" i="37"/>
  <c r="BQ371" i="37" s="1"/>
  <c r="AD371" i="37"/>
  <c r="BP371" i="37" s="1"/>
  <c r="AA371" i="37"/>
  <c r="BO371" i="37" s="1"/>
  <c r="W371" i="37"/>
  <c r="V371" i="37"/>
  <c r="U371" i="37"/>
  <c r="BM371" i="37" s="1"/>
  <c r="R371" i="37"/>
  <c r="BL371" i="37" s="1"/>
  <c r="O371" i="37"/>
  <c r="BK371" i="37" s="1"/>
  <c r="CH359" i="37"/>
  <c r="CG359" i="37"/>
  <c r="BJ359" i="37"/>
  <c r="BG359" i="37"/>
  <c r="BF359" i="37"/>
  <c r="BE359" i="37"/>
  <c r="BY359" i="37" s="1"/>
  <c r="BB359" i="37"/>
  <c r="BX359" i="37" s="1"/>
  <c r="AY359" i="37"/>
  <c r="BW359" i="37" s="1"/>
  <c r="AU359" i="37"/>
  <c r="AT359" i="37"/>
  <c r="AS359" i="37"/>
  <c r="BU359" i="37" s="1"/>
  <c r="AP359" i="37"/>
  <c r="BT359" i="37" s="1"/>
  <c r="AM359" i="37"/>
  <c r="BS359" i="37" s="1"/>
  <c r="AI359" i="37"/>
  <c r="AH359" i="37"/>
  <c r="AG359" i="37"/>
  <c r="BQ359" i="37" s="1"/>
  <c r="AD359" i="37"/>
  <c r="BP359" i="37" s="1"/>
  <c r="AA359" i="37"/>
  <c r="BO359" i="37" s="1"/>
  <c r="W359" i="37"/>
  <c r="V359" i="37"/>
  <c r="U359" i="37"/>
  <c r="BM359" i="37" s="1"/>
  <c r="R359" i="37"/>
  <c r="BL359" i="37" s="1"/>
  <c r="O359" i="37"/>
  <c r="BK359" i="37" s="1"/>
  <c r="CH358" i="37"/>
  <c r="CG358" i="37"/>
  <c r="BJ358" i="37"/>
  <c r="BG358" i="37"/>
  <c r="BF358" i="37"/>
  <c r="BE358" i="37"/>
  <c r="BY358" i="37" s="1"/>
  <c r="BB358" i="37"/>
  <c r="BX358" i="37" s="1"/>
  <c r="AY358" i="37"/>
  <c r="BW358" i="37" s="1"/>
  <c r="AU358" i="37"/>
  <c r="AT358" i="37"/>
  <c r="AS358" i="37"/>
  <c r="BU358" i="37" s="1"/>
  <c r="AP358" i="37"/>
  <c r="BT358" i="37" s="1"/>
  <c r="AM358" i="37"/>
  <c r="BS358" i="37" s="1"/>
  <c r="AI358" i="37"/>
  <c r="AH358" i="37"/>
  <c r="AG358" i="37"/>
  <c r="BQ358" i="37" s="1"/>
  <c r="AD358" i="37"/>
  <c r="BP358" i="37" s="1"/>
  <c r="AA358" i="37"/>
  <c r="BO358" i="37" s="1"/>
  <c r="W358" i="37"/>
  <c r="V358" i="37"/>
  <c r="U358" i="37"/>
  <c r="BM358" i="37" s="1"/>
  <c r="R358" i="37"/>
  <c r="BL358" i="37" s="1"/>
  <c r="O358" i="37"/>
  <c r="BK358" i="37" s="1"/>
  <c r="CH357" i="37"/>
  <c r="CG357" i="37"/>
  <c r="BJ357" i="37"/>
  <c r="BG357" i="37"/>
  <c r="BF357" i="37"/>
  <c r="BE357" i="37"/>
  <c r="BY357" i="37" s="1"/>
  <c r="BB357" i="37"/>
  <c r="BX357" i="37" s="1"/>
  <c r="AY357" i="37"/>
  <c r="BW357" i="37" s="1"/>
  <c r="AU357" i="37"/>
  <c r="AT357" i="37"/>
  <c r="AS357" i="37"/>
  <c r="BU357" i="37" s="1"/>
  <c r="AP357" i="37"/>
  <c r="BT357" i="37" s="1"/>
  <c r="AM357" i="37"/>
  <c r="BS357" i="37" s="1"/>
  <c r="AI357" i="37"/>
  <c r="AH357" i="37"/>
  <c r="AG357" i="37"/>
  <c r="BQ357" i="37" s="1"/>
  <c r="AD357" i="37"/>
  <c r="BP357" i="37" s="1"/>
  <c r="AA357" i="37"/>
  <c r="BO357" i="37" s="1"/>
  <c r="W357" i="37"/>
  <c r="V357" i="37"/>
  <c r="U357" i="37"/>
  <c r="BM357" i="37" s="1"/>
  <c r="R357" i="37"/>
  <c r="BL357" i="37" s="1"/>
  <c r="O357" i="37"/>
  <c r="BK357" i="37" s="1"/>
  <c r="CH356" i="37"/>
  <c r="CG356" i="37"/>
  <c r="BJ356" i="37"/>
  <c r="BG356" i="37"/>
  <c r="BF356" i="37"/>
  <c r="BE356" i="37"/>
  <c r="BY356" i="37" s="1"/>
  <c r="BB356" i="37"/>
  <c r="BX356" i="37" s="1"/>
  <c r="AY356" i="37"/>
  <c r="BW356" i="37" s="1"/>
  <c r="AU356" i="37"/>
  <c r="AT356" i="37"/>
  <c r="AS356" i="37"/>
  <c r="BU356" i="37" s="1"/>
  <c r="AP356" i="37"/>
  <c r="BT356" i="37" s="1"/>
  <c r="AM356" i="37"/>
  <c r="BS356" i="37" s="1"/>
  <c r="AI356" i="37"/>
  <c r="AH356" i="37"/>
  <c r="AG356" i="37"/>
  <c r="BQ356" i="37" s="1"/>
  <c r="AD356" i="37"/>
  <c r="BP356" i="37" s="1"/>
  <c r="AA356" i="37"/>
  <c r="BO356" i="37" s="1"/>
  <c r="W356" i="37"/>
  <c r="V356" i="37"/>
  <c r="U356" i="37"/>
  <c r="BM356" i="37" s="1"/>
  <c r="R356" i="37"/>
  <c r="BL356" i="37" s="1"/>
  <c r="O356" i="37"/>
  <c r="BK356" i="37" s="1"/>
  <c r="CH355" i="37"/>
  <c r="CG355" i="37"/>
  <c r="BJ355" i="37"/>
  <c r="BG355" i="37"/>
  <c r="BF355" i="37"/>
  <c r="BE355" i="37"/>
  <c r="BY355" i="37" s="1"/>
  <c r="BB355" i="37"/>
  <c r="BX355" i="37" s="1"/>
  <c r="AY355" i="37"/>
  <c r="BW355" i="37" s="1"/>
  <c r="AU355" i="37"/>
  <c r="AT355" i="37"/>
  <c r="AS355" i="37"/>
  <c r="BU355" i="37" s="1"/>
  <c r="AP355" i="37"/>
  <c r="BT355" i="37" s="1"/>
  <c r="AM355" i="37"/>
  <c r="BS355" i="37" s="1"/>
  <c r="AI355" i="37"/>
  <c r="AH355" i="37"/>
  <c r="AG355" i="37"/>
  <c r="BQ355" i="37" s="1"/>
  <c r="AD355" i="37"/>
  <c r="BP355" i="37" s="1"/>
  <c r="AA355" i="37"/>
  <c r="BO355" i="37" s="1"/>
  <c r="W355" i="37"/>
  <c r="V355" i="37"/>
  <c r="U355" i="37"/>
  <c r="BM355" i="37" s="1"/>
  <c r="R355" i="37"/>
  <c r="BL355" i="37" s="1"/>
  <c r="O355" i="37"/>
  <c r="BK355" i="37" s="1"/>
  <c r="CH354" i="37"/>
  <c r="CG354" i="37"/>
  <c r="BJ354" i="37"/>
  <c r="BG354" i="37"/>
  <c r="BF354" i="37"/>
  <c r="BE354" i="37"/>
  <c r="BY354" i="37" s="1"/>
  <c r="BB354" i="37"/>
  <c r="BX354" i="37" s="1"/>
  <c r="AY354" i="37"/>
  <c r="BW354" i="37" s="1"/>
  <c r="AU354" i="37"/>
  <c r="AT354" i="37"/>
  <c r="AS354" i="37"/>
  <c r="BU354" i="37" s="1"/>
  <c r="AP354" i="37"/>
  <c r="BT354" i="37" s="1"/>
  <c r="AM354" i="37"/>
  <c r="BS354" i="37" s="1"/>
  <c r="AI354" i="37"/>
  <c r="AH354" i="37"/>
  <c r="AG354" i="37"/>
  <c r="BQ354" i="37" s="1"/>
  <c r="AD354" i="37"/>
  <c r="BP354" i="37" s="1"/>
  <c r="AA354" i="37"/>
  <c r="BO354" i="37" s="1"/>
  <c r="W354" i="37"/>
  <c r="V354" i="37"/>
  <c r="U354" i="37"/>
  <c r="BM354" i="37" s="1"/>
  <c r="R354" i="37"/>
  <c r="BL354" i="37" s="1"/>
  <c r="O354" i="37"/>
  <c r="BK354" i="37" s="1"/>
  <c r="CH353" i="37"/>
  <c r="CG353" i="37"/>
  <c r="BJ353" i="37"/>
  <c r="BG353" i="37"/>
  <c r="BF353" i="37"/>
  <c r="BE353" i="37"/>
  <c r="BY353" i="37" s="1"/>
  <c r="BB353" i="37"/>
  <c r="BX353" i="37" s="1"/>
  <c r="AY353" i="37"/>
  <c r="BW353" i="37" s="1"/>
  <c r="AU353" i="37"/>
  <c r="AT353" i="37"/>
  <c r="AS353" i="37"/>
  <c r="BU353" i="37" s="1"/>
  <c r="AP353" i="37"/>
  <c r="BT353" i="37" s="1"/>
  <c r="AM353" i="37"/>
  <c r="BS353" i="37" s="1"/>
  <c r="AI353" i="37"/>
  <c r="AH353" i="37"/>
  <c r="AG353" i="37"/>
  <c r="BQ353" i="37" s="1"/>
  <c r="AD353" i="37"/>
  <c r="BP353" i="37" s="1"/>
  <c r="AA353" i="37"/>
  <c r="BO353" i="37" s="1"/>
  <c r="W353" i="37"/>
  <c r="V353" i="37"/>
  <c r="U353" i="37"/>
  <c r="BM353" i="37" s="1"/>
  <c r="R353" i="37"/>
  <c r="BL353" i="37" s="1"/>
  <c r="O353" i="37"/>
  <c r="BK353" i="37" s="1"/>
  <c r="CH352" i="37"/>
  <c r="CG352" i="37"/>
  <c r="BJ352" i="37"/>
  <c r="BG352" i="37"/>
  <c r="BF352" i="37"/>
  <c r="BE352" i="37"/>
  <c r="BY352" i="37" s="1"/>
  <c r="BB352" i="37"/>
  <c r="BX352" i="37" s="1"/>
  <c r="AY352" i="37"/>
  <c r="BW352" i="37" s="1"/>
  <c r="AU352" i="37"/>
  <c r="AT352" i="37"/>
  <c r="AS352" i="37"/>
  <c r="BU352" i="37" s="1"/>
  <c r="AP352" i="37"/>
  <c r="BT352" i="37" s="1"/>
  <c r="AM352" i="37"/>
  <c r="BS352" i="37" s="1"/>
  <c r="AI352" i="37"/>
  <c r="AH352" i="37"/>
  <c r="AG352" i="37"/>
  <c r="BQ352" i="37" s="1"/>
  <c r="AD352" i="37"/>
  <c r="BP352" i="37" s="1"/>
  <c r="AA352" i="37"/>
  <c r="BO352" i="37" s="1"/>
  <c r="W352" i="37"/>
  <c r="V352" i="37"/>
  <c r="U352" i="37"/>
  <c r="BM352" i="37" s="1"/>
  <c r="R352" i="37"/>
  <c r="BL352" i="37" s="1"/>
  <c r="O352" i="37"/>
  <c r="BK352" i="37" s="1"/>
  <c r="A352" i="37"/>
  <c r="CH351" i="37"/>
  <c r="CG351" i="37"/>
  <c r="BJ351" i="37"/>
  <c r="BG351" i="37"/>
  <c r="BF351" i="37"/>
  <c r="BE351" i="37"/>
  <c r="BY351" i="37" s="1"/>
  <c r="BB351" i="37"/>
  <c r="BX351" i="37" s="1"/>
  <c r="AY351" i="37"/>
  <c r="BW351" i="37" s="1"/>
  <c r="AU351" i="37"/>
  <c r="AT351" i="37"/>
  <c r="AS351" i="37"/>
  <c r="BU351" i="37" s="1"/>
  <c r="AP351" i="37"/>
  <c r="BT351" i="37" s="1"/>
  <c r="AM351" i="37"/>
  <c r="BS351" i="37" s="1"/>
  <c r="AI351" i="37"/>
  <c r="AH351" i="37"/>
  <c r="AG351" i="37"/>
  <c r="BQ351" i="37" s="1"/>
  <c r="AD351" i="37"/>
  <c r="BP351" i="37" s="1"/>
  <c r="AA351" i="37"/>
  <c r="BO351" i="37" s="1"/>
  <c r="W351" i="37"/>
  <c r="V351" i="37"/>
  <c r="U351" i="37"/>
  <c r="BM351" i="37" s="1"/>
  <c r="R351" i="37"/>
  <c r="BL351" i="37" s="1"/>
  <c r="O351" i="37"/>
  <c r="BK351" i="37" s="1"/>
  <c r="A351" i="37"/>
  <c r="CH350" i="37"/>
  <c r="CG350" i="37"/>
  <c r="BJ350" i="37"/>
  <c r="BG350" i="37"/>
  <c r="BF350" i="37"/>
  <c r="BE350" i="37"/>
  <c r="BY350" i="37" s="1"/>
  <c r="BB350" i="37"/>
  <c r="BX350" i="37" s="1"/>
  <c r="AY350" i="37"/>
  <c r="BW350" i="37" s="1"/>
  <c r="AU350" i="37"/>
  <c r="AT350" i="37"/>
  <c r="AS350" i="37"/>
  <c r="BU350" i="37" s="1"/>
  <c r="AP350" i="37"/>
  <c r="BT350" i="37" s="1"/>
  <c r="AM350" i="37"/>
  <c r="BS350" i="37" s="1"/>
  <c r="AI350" i="37"/>
  <c r="AH350" i="37"/>
  <c r="AG350" i="37"/>
  <c r="BQ350" i="37" s="1"/>
  <c r="AD350" i="37"/>
  <c r="BP350" i="37" s="1"/>
  <c r="AA350" i="37"/>
  <c r="BO350" i="37" s="1"/>
  <c r="W350" i="37"/>
  <c r="V350" i="37"/>
  <c r="U350" i="37"/>
  <c r="BM350" i="37" s="1"/>
  <c r="R350" i="37"/>
  <c r="BL350" i="37" s="1"/>
  <c r="O350" i="37"/>
  <c r="BK350" i="37" s="1"/>
  <c r="CH349" i="37"/>
  <c r="CG349" i="37"/>
  <c r="BJ349" i="37"/>
  <c r="BG349" i="37"/>
  <c r="BF349" i="37"/>
  <c r="BE349" i="37"/>
  <c r="BY349" i="37" s="1"/>
  <c r="BB349" i="37"/>
  <c r="BX349" i="37" s="1"/>
  <c r="AY349" i="37"/>
  <c r="BW349" i="37" s="1"/>
  <c r="AU349" i="37"/>
  <c r="AT349" i="37"/>
  <c r="AS349" i="37"/>
  <c r="BU349" i="37" s="1"/>
  <c r="AP349" i="37"/>
  <c r="BT349" i="37" s="1"/>
  <c r="AM349" i="37"/>
  <c r="BS349" i="37" s="1"/>
  <c r="AI349" i="37"/>
  <c r="AH349" i="37"/>
  <c r="AG349" i="37"/>
  <c r="BQ349" i="37" s="1"/>
  <c r="AD349" i="37"/>
  <c r="BP349" i="37" s="1"/>
  <c r="AA349" i="37"/>
  <c r="BO349" i="37" s="1"/>
  <c r="W349" i="37"/>
  <c r="V349" i="37"/>
  <c r="U349" i="37"/>
  <c r="BM349" i="37" s="1"/>
  <c r="R349" i="37"/>
  <c r="BL349" i="37" s="1"/>
  <c r="O349" i="37"/>
  <c r="BK349" i="37" s="1"/>
  <c r="CH348" i="37"/>
  <c r="CG348" i="37"/>
  <c r="BJ348" i="37"/>
  <c r="BG348" i="37"/>
  <c r="BF348" i="37"/>
  <c r="BE348" i="37"/>
  <c r="BY348" i="37" s="1"/>
  <c r="BB348" i="37"/>
  <c r="BX348" i="37" s="1"/>
  <c r="AY348" i="37"/>
  <c r="BW348" i="37" s="1"/>
  <c r="AU348" i="37"/>
  <c r="AT348" i="37"/>
  <c r="AS348" i="37"/>
  <c r="BU348" i="37" s="1"/>
  <c r="AP348" i="37"/>
  <c r="BT348" i="37" s="1"/>
  <c r="AM348" i="37"/>
  <c r="BS348" i="37" s="1"/>
  <c r="AI348" i="37"/>
  <c r="AH348" i="37"/>
  <c r="AG348" i="37"/>
  <c r="BQ348" i="37" s="1"/>
  <c r="AD348" i="37"/>
  <c r="BP348" i="37" s="1"/>
  <c r="AA348" i="37"/>
  <c r="BO348" i="37" s="1"/>
  <c r="W348" i="37"/>
  <c r="V348" i="37"/>
  <c r="U348" i="37"/>
  <c r="BM348" i="37" s="1"/>
  <c r="R348" i="37"/>
  <c r="BL348" i="37" s="1"/>
  <c r="O348" i="37"/>
  <c r="BK348" i="37" s="1"/>
  <c r="CH347" i="37"/>
  <c r="CG347" i="37"/>
  <c r="BJ347" i="37"/>
  <c r="BG347" i="37"/>
  <c r="BF347" i="37"/>
  <c r="BE347" i="37"/>
  <c r="BY347" i="37" s="1"/>
  <c r="BB347" i="37"/>
  <c r="BX347" i="37" s="1"/>
  <c r="AY347" i="37"/>
  <c r="BW347" i="37" s="1"/>
  <c r="AU347" i="37"/>
  <c r="AT347" i="37"/>
  <c r="AS347" i="37"/>
  <c r="BU347" i="37" s="1"/>
  <c r="AP347" i="37"/>
  <c r="BT347" i="37" s="1"/>
  <c r="AM347" i="37"/>
  <c r="BS347" i="37" s="1"/>
  <c r="AI347" i="37"/>
  <c r="AH347" i="37"/>
  <c r="AG347" i="37"/>
  <c r="BQ347" i="37" s="1"/>
  <c r="AD347" i="37"/>
  <c r="BP347" i="37" s="1"/>
  <c r="AA347" i="37"/>
  <c r="BO347" i="37" s="1"/>
  <c r="W347" i="37"/>
  <c r="V347" i="37"/>
  <c r="U347" i="37"/>
  <c r="BM347" i="37" s="1"/>
  <c r="R347" i="37"/>
  <c r="BL347" i="37" s="1"/>
  <c r="O347" i="37"/>
  <c r="BK347" i="37" s="1"/>
  <c r="CH346" i="37"/>
  <c r="CG346" i="37"/>
  <c r="BJ346" i="37"/>
  <c r="BG346" i="37"/>
  <c r="BF346" i="37"/>
  <c r="BE346" i="37"/>
  <c r="BY346" i="37" s="1"/>
  <c r="BB346" i="37"/>
  <c r="BX346" i="37" s="1"/>
  <c r="AY346" i="37"/>
  <c r="BW346" i="37" s="1"/>
  <c r="AU346" i="37"/>
  <c r="AT346" i="37"/>
  <c r="AS346" i="37"/>
  <c r="BU346" i="37" s="1"/>
  <c r="AP346" i="37"/>
  <c r="BT346" i="37" s="1"/>
  <c r="AM346" i="37"/>
  <c r="BS346" i="37" s="1"/>
  <c r="AI346" i="37"/>
  <c r="AH346" i="37"/>
  <c r="AG346" i="37"/>
  <c r="BQ346" i="37" s="1"/>
  <c r="AD346" i="37"/>
  <c r="BP346" i="37" s="1"/>
  <c r="AA346" i="37"/>
  <c r="BO346" i="37" s="1"/>
  <c r="W346" i="37"/>
  <c r="V346" i="37"/>
  <c r="U346" i="37"/>
  <c r="BM346" i="37" s="1"/>
  <c r="R346" i="37"/>
  <c r="BL346" i="37" s="1"/>
  <c r="O346" i="37"/>
  <c r="BK346" i="37" s="1"/>
  <c r="CH345" i="37"/>
  <c r="CG345" i="37"/>
  <c r="BJ345" i="37"/>
  <c r="BG345" i="37"/>
  <c r="BF345" i="37"/>
  <c r="BE345" i="37"/>
  <c r="BY345" i="37" s="1"/>
  <c r="BB345" i="37"/>
  <c r="BX345" i="37" s="1"/>
  <c r="AY345" i="37"/>
  <c r="BW345" i="37" s="1"/>
  <c r="AU345" i="37"/>
  <c r="AT345" i="37"/>
  <c r="AS345" i="37"/>
  <c r="BU345" i="37" s="1"/>
  <c r="AP345" i="37"/>
  <c r="BT345" i="37" s="1"/>
  <c r="AM345" i="37"/>
  <c r="BS345" i="37" s="1"/>
  <c r="AI345" i="37"/>
  <c r="AH345" i="37"/>
  <c r="AG345" i="37"/>
  <c r="BQ345" i="37" s="1"/>
  <c r="AD345" i="37"/>
  <c r="BP345" i="37" s="1"/>
  <c r="AA345" i="37"/>
  <c r="BO345" i="37" s="1"/>
  <c r="W345" i="37"/>
  <c r="V345" i="37"/>
  <c r="U345" i="37"/>
  <c r="BM345" i="37" s="1"/>
  <c r="R345" i="37"/>
  <c r="BL345" i="37" s="1"/>
  <c r="O345" i="37"/>
  <c r="BK345" i="37" s="1"/>
  <c r="CH344" i="37"/>
  <c r="CG344" i="37"/>
  <c r="BJ344" i="37"/>
  <c r="BG344" i="37"/>
  <c r="BF344" i="37"/>
  <c r="BE344" i="37"/>
  <c r="BY344" i="37" s="1"/>
  <c r="BB344" i="37"/>
  <c r="BX344" i="37" s="1"/>
  <c r="AY344" i="37"/>
  <c r="BW344" i="37" s="1"/>
  <c r="AU344" i="37"/>
  <c r="AT344" i="37"/>
  <c r="AS344" i="37"/>
  <c r="BU344" i="37" s="1"/>
  <c r="AP344" i="37"/>
  <c r="BT344" i="37" s="1"/>
  <c r="AM344" i="37"/>
  <c r="BS344" i="37" s="1"/>
  <c r="AI344" i="37"/>
  <c r="AH344" i="37"/>
  <c r="AG344" i="37"/>
  <c r="BQ344" i="37" s="1"/>
  <c r="AD344" i="37"/>
  <c r="BP344" i="37" s="1"/>
  <c r="AA344" i="37"/>
  <c r="BO344" i="37" s="1"/>
  <c r="W344" i="37"/>
  <c r="V344" i="37"/>
  <c r="U344" i="37"/>
  <c r="BM344" i="37" s="1"/>
  <c r="R344" i="37"/>
  <c r="BL344" i="37" s="1"/>
  <c r="O344" i="37"/>
  <c r="BK344" i="37" s="1"/>
  <c r="CH343" i="37"/>
  <c r="CG343" i="37"/>
  <c r="BJ343" i="37"/>
  <c r="BG343" i="37"/>
  <c r="BF343" i="37"/>
  <c r="BE343" i="37"/>
  <c r="BY343" i="37" s="1"/>
  <c r="BB343" i="37"/>
  <c r="BX343" i="37" s="1"/>
  <c r="AY343" i="37"/>
  <c r="BW343" i="37" s="1"/>
  <c r="AU343" i="37"/>
  <c r="AT343" i="37"/>
  <c r="AS343" i="37"/>
  <c r="BU343" i="37" s="1"/>
  <c r="AP343" i="37"/>
  <c r="BT343" i="37" s="1"/>
  <c r="AM343" i="37"/>
  <c r="BS343" i="37" s="1"/>
  <c r="AI343" i="37"/>
  <c r="AH343" i="37"/>
  <c r="AG343" i="37"/>
  <c r="BQ343" i="37" s="1"/>
  <c r="AD343" i="37"/>
  <c r="BP343" i="37" s="1"/>
  <c r="AA343" i="37"/>
  <c r="BO343" i="37" s="1"/>
  <c r="W343" i="37"/>
  <c r="V343" i="37"/>
  <c r="U343" i="37"/>
  <c r="BM343" i="37" s="1"/>
  <c r="R343" i="37"/>
  <c r="BL343" i="37" s="1"/>
  <c r="O343" i="37"/>
  <c r="BK343" i="37" s="1"/>
  <c r="A343" i="37"/>
  <c r="CH342" i="37"/>
  <c r="CG342" i="37"/>
  <c r="BJ342" i="37"/>
  <c r="BG342" i="37"/>
  <c r="BF342" i="37"/>
  <c r="BE342" i="37"/>
  <c r="BY342" i="37" s="1"/>
  <c r="BB342" i="37"/>
  <c r="BX342" i="37" s="1"/>
  <c r="AY342" i="37"/>
  <c r="BW342" i="37" s="1"/>
  <c r="AU342" i="37"/>
  <c r="AT342" i="37"/>
  <c r="AS342" i="37"/>
  <c r="BU342" i="37" s="1"/>
  <c r="AP342" i="37"/>
  <c r="BT342" i="37" s="1"/>
  <c r="AM342" i="37"/>
  <c r="BS342" i="37" s="1"/>
  <c r="AI342" i="37"/>
  <c r="AH342" i="37"/>
  <c r="AG342" i="37"/>
  <c r="BQ342" i="37" s="1"/>
  <c r="AD342" i="37"/>
  <c r="BP342" i="37" s="1"/>
  <c r="AA342" i="37"/>
  <c r="BO342" i="37" s="1"/>
  <c r="W342" i="37"/>
  <c r="V342" i="37"/>
  <c r="U342" i="37"/>
  <c r="BM342" i="37" s="1"/>
  <c r="R342" i="37"/>
  <c r="BL342" i="37" s="1"/>
  <c r="O342" i="37"/>
  <c r="BK342" i="37" s="1"/>
  <c r="A342" i="37"/>
  <c r="CH341" i="37"/>
  <c r="CG341" i="37"/>
  <c r="BJ341" i="37"/>
  <c r="BG341" i="37"/>
  <c r="BF341" i="37"/>
  <c r="BE341" i="37"/>
  <c r="BY341" i="37" s="1"/>
  <c r="BB341" i="37"/>
  <c r="BX341" i="37" s="1"/>
  <c r="AY341" i="37"/>
  <c r="BW341" i="37" s="1"/>
  <c r="AU341" i="37"/>
  <c r="AT341" i="37"/>
  <c r="AS341" i="37"/>
  <c r="BU341" i="37" s="1"/>
  <c r="AP341" i="37"/>
  <c r="BT341" i="37" s="1"/>
  <c r="AM341" i="37"/>
  <c r="BS341" i="37" s="1"/>
  <c r="AI341" i="37"/>
  <c r="AH341" i="37"/>
  <c r="AG341" i="37"/>
  <c r="BQ341" i="37" s="1"/>
  <c r="AD341" i="37"/>
  <c r="BP341" i="37" s="1"/>
  <c r="AA341" i="37"/>
  <c r="BO341" i="37" s="1"/>
  <c r="W341" i="37"/>
  <c r="V341" i="37"/>
  <c r="U341" i="37"/>
  <c r="BM341" i="37" s="1"/>
  <c r="R341" i="37"/>
  <c r="BL341" i="37" s="1"/>
  <c r="O341" i="37"/>
  <c r="BK341" i="37" s="1"/>
  <c r="CH340" i="37"/>
  <c r="CG340" i="37"/>
  <c r="BJ340" i="37"/>
  <c r="BG340" i="37"/>
  <c r="BF340" i="37"/>
  <c r="BE340" i="37"/>
  <c r="BY340" i="37" s="1"/>
  <c r="BB340" i="37"/>
  <c r="BX340" i="37" s="1"/>
  <c r="AY340" i="37"/>
  <c r="BW340" i="37" s="1"/>
  <c r="AU340" i="37"/>
  <c r="AT340" i="37"/>
  <c r="AS340" i="37"/>
  <c r="BU340" i="37" s="1"/>
  <c r="AP340" i="37"/>
  <c r="BT340" i="37" s="1"/>
  <c r="AM340" i="37"/>
  <c r="BS340" i="37" s="1"/>
  <c r="AI340" i="37"/>
  <c r="AH340" i="37"/>
  <c r="AG340" i="37"/>
  <c r="BQ340" i="37" s="1"/>
  <c r="AD340" i="37"/>
  <c r="BP340" i="37" s="1"/>
  <c r="AA340" i="37"/>
  <c r="BO340" i="37" s="1"/>
  <c r="W340" i="37"/>
  <c r="V340" i="37"/>
  <c r="U340" i="37"/>
  <c r="BM340" i="37" s="1"/>
  <c r="BL340" i="37"/>
  <c r="O340" i="37"/>
  <c r="BK340" i="37" s="1"/>
  <c r="CH339" i="37"/>
  <c r="CG339" i="37"/>
  <c r="BJ339" i="37"/>
  <c r="BG339" i="37"/>
  <c r="BF339" i="37"/>
  <c r="BE339" i="37"/>
  <c r="BY339" i="37" s="1"/>
  <c r="BB339" i="37"/>
  <c r="BX339" i="37" s="1"/>
  <c r="AY339" i="37"/>
  <c r="BW339" i="37" s="1"/>
  <c r="AU339" i="37"/>
  <c r="AT339" i="37"/>
  <c r="AS339" i="37"/>
  <c r="BU339" i="37" s="1"/>
  <c r="AP339" i="37"/>
  <c r="BT339" i="37" s="1"/>
  <c r="AM339" i="37"/>
  <c r="BS339" i="37" s="1"/>
  <c r="AI339" i="37"/>
  <c r="AH339" i="37"/>
  <c r="AG339" i="37"/>
  <c r="BQ339" i="37" s="1"/>
  <c r="AD339" i="37"/>
  <c r="BP339" i="37" s="1"/>
  <c r="AA339" i="37"/>
  <c r="BO339" i="37" s="1"/>
  <c r="W339" i="37"/>
  <c r="V339" i="37"/>
  <c r="U339" i="37"/>
  <c r="BM339" i="37" s="1"/>
  <c r="R339" i="37"/>
  <c r="BL339" i="37" s="1"/>
  <c r="O339" i="37"/>
  <c r="BK339" i="37" s="1"/>
  <c r="CH338" i="37"/>
  <c r="CG338" i="37"/>
  <c r="BJ338" i="37"/>
  <c r="BG338" i="37"/>
  <c r="BF338" i="37"/>
  <c r="BE338" i="37"/>
  <c r="BY338" i="37" s="1"/>
  <c r="BB338" i="37"/>
  <c r="BX338" i="37" s="1"/>
  <c r="AY338" i="37"/>
  <c r="BW338" i="37" s="1"/>
  <c r="AU338" i="37"/>
  <c r="AT338" i="37"/>
  <c r="AS338" i="37"/>
  <c r="BU338" i="37" s="1"/>
  <c r="AP338" i="37"/>
  <c r="BT338" i="37" s="1"/>
  <c r="AM338" i="37"/>
  <c r="BS338" i="37" s="1"/>
  <c r="AI338" i="37"/>
  <c r="AH338" i="37"/>
  <c r="AG338" i="37"/>
  <c r="BQ338" i="37" s="1"/>
  <c r="AD338" i="37"/>
  <c r="BP338" i="37" s="1"/>
  <c r="AA338" i="37"/>
  <c r="BO338" i="37" s="1"/>
  <c r="W338" i="37"/>
  <c r="V338" i="37"/>
  <c r="U338" i="37"/>
  <c r="BM338" i="37" s="1"/>
  <c r="R338" i="37"/>
  <c r="BL338" i="37" s="1"/>
  <c r="O338" i="37"/>
  <c r="BK338" i="37" s="1"/>
  <c r="CH337" i="37"/>
  <c r="CG337" i="37"/>
  <c r="BJ337" i="37"/>
  <c r="BG337" i="37"/>
  <c r="BF337" i="37"/>
  <c r="BE337" i="37"/>
  <c r="BY337" i="37" s="1"/>
  <c r="BB337" i="37"/>
  <c r="BX337" i="37" s="1"/>
  <c r="AY337" i="37"/>
  <c r="BW337" i="37" s="1"/>
  <c r="AU337" i="37"/>
  <c r="AT337" i="37"/>
  <c r="AS337" i="37"/>
  <c r="BU337" i="37" s="1"/>
  <c r="AP337" i="37"/>
  <c r="BT337" i="37" s="1"/>
  <c r="AM337" i="37"/>
  <c r="BS337" i="37" s="1"/>
  <c r="AI337" i="37"/>
  <c r="AH337" i="37"/>
  <c r="AG337" i="37"/>
  <c r="BQ337" i="37" s="1"/>
  <c r="AD337" i="37"/>
  <c r="BP337" i="37" s="1"/>
  <c r="AA337" i="37"/>
  <c r="BO337" i="37" s="1"/>
  <c r="W337" i="37"/>
  <c r="V337" i="37"/>
  <c r="U337" i="37"/>
  <c r="BM337" i="37" s="1"/>
  <c r="R337" i="37"/>
  <c r="BL337" i="37" s="1"/>
  <c r="O337" i="37"/>
  <c r="BK337" i="37" s="1"/>
  <c r="CH336" i="37"/>
  <c r="CG336" i="37"/>
  <c r="BJ336" i="37"/>
  <c r="BG336" i="37"/>
  <c r="BF336" i="37"/>
  <c r="BE336" i="37"/>
  <c r="BY336" i="37" s="1"/>
  <c r="BB336" i="37"/>
  <c r="BX336" i="37" s="1"/>
  <c r="AY336" i="37"/>
  <c r="BW336" i="37" s="1"/>
  <c r="AU336" i="37"/>
  <c r="AT336" i="37"/>
  <c r="AS336" i="37"/>
  <c r="BU336" i="37" s="1"/>
  <c r="AP336" i="37"/>
  <c r="BT336" i="37" s="1"/>
  <c r="AM336" i="37"/>
  <c r="BS336" i="37" s="1"/>
  <c r="AI336" i="37"/>
  <c r="AH336" i="37"/>
  <c r="AG336" i="37"/>
  <c r="BQ336" i="37" s="1"/>
  <c r="AD336" i="37"/>
  <c r="BP336" i="37" s="1"/>
  <c r="AA336" i="37"/>
  <c r="BO336" i="37" s="1"/>
  <c r="W336" i="37"/>
  <c r="V336" i="37"/>
  <c r="U336" i="37"/>
  <c r="BM336" i="37" s="1"/>
  <c r="R336" i="37"/>
  <c r="BL336" i="37" s="1"/>
  <c r="O336" i="37"/>
  <c r="BK336" i="37" s="1"/>
  <c r="CH335" i="37"/>
  <c r="CG335" i="37"/>
  <c r="BJ335" i="37"/>
  <c r="BG335" i="37"/>
  <c r="BF335" i="37"/>
  <c r="BE335" i="37"/>
  <c r="BY335" i="37" s="1"/>
  <c r="BB335" i="37"/>
  <c r="BX335" i="37" s="1"/>
  <c r="AY335" i="37"/>
  <c r="BW335" i="37" s="1"/>
  <c r="AU335" i="37"/>
  <c r="AT335" i="37"/>
  <c r="AS335" i="37"/>
  <c r="BU335" i="37" s="1"/>
  <c r="AP335" i="37"/>
  <c r="BT335" i="37" s="1"/>
  <c r="AM335" i="37"/>
  <c r="BS335" i="37" s="1"/>
  <c r="AI335" i="37"/>
  <c r="AH335" i="37"/>
  <c r="AG335" i="37"/>
  <c r="BQ335" i="37" s="1"/>
  <c r="AD335" i="37"/>
  <c r="BP335" i="37" s="1"/>
  <c r="AA335" i="37"/>
  <c r="BO335" i="37" s="1"/>
  <c r="W335" i="37"/>
  <c r="V335" i="37"/>
  <c r="U335" i="37"/>
  <c r="BM335" i="37" s="1"/>
  <c r="R335" i="37"/>
  <c r="BL335" i="37" s="1"/>
  <c r="O335" i="37"/>
  <c r="BK335" i="37" s="1"/>
  <c r="A335" i="37"/>
  <c r="A353" i="37" s="1"/>
  <c r="CH334" i="37"/>
  <c r="CG334" i="37"/>
  <c r="BJ334" i="37"/>
  <c r="BG334" i="37"/>
  <c r="BF334" i="37"/>
  <c r="BE334" i="37"/>
  <c r="BY334" i="37" s="1"/>
  <c r="BB334" i="37"/>
  <c r="BX334" i="37" s="1"/>
  <c r="AY334" i="37"/>
  <c r="BW334" i="37" s="1"/>
  <c r="AU334" i="37"/>
  <c r="AT334" i="37"/>
  <c r="AS334" i="37"/>
  <c r="BU334" i="37" s="1"/>
  <c r="AP334" i="37"/>
  <c r="BT334" i="37" s="1"/>
  <c r="AM334" i="37"/>
  <c r="BS334" i="37" s="1"/>
  <c r="AI334" i="37"/>
  <c r="AH334" i="37"/>
  <c r="AG334" i="37"/>
  <c r="BQ334" i="37" s="1"/>
  <c r="AD334" i="37"/>
  <c r="BP334" i="37" s="1"/>
  <c r="AA334" i="37"/>
  <c r="BO334" i="37" s="1"/>
  <c r="W334" i="37"/>
  <c r="V334" i="37"/>
  <c r="U334" i="37"/>
  <c r="BM334" i="37" s="1"/>
  <c r="R334" i="37"/>
  <c r="BL334" i="37" s="1"/>
  <c r="O334" i="37"/>
  <c r="BK334" i="37" s="1"/>
  <c r="CH333" i="37"/>
  <c r="CG333" i="37"/>
  <c r="BJ333" i="37"/>
  <c r="BG333" i="37"/>
  <c r="BF333" i="37"/>
  <c r="BE333" i="37"/>
  <c r="BY333" i="37" s="1"/>
  <c r="BB333" i="37"/>
  <c r="BX333" i="37" s="1"/>
  <c r="AY333" i="37"/>
  <c r="BW333" i="37" s="1"/>
  <c r="AU333" i="37"/>
  <c r="AT333" i="37"/>
  <c r="AS333" i="37"/>
  <c r="BU333" i="37" s="1"/>
  <c r="AP333" i="37"/>
  <c r="BT333" i="37" s="1"/>
  <c r="AM333" i="37"/>
  <c r="BS333" i="37" s="1"/>
  <c r="AI333" i="37"/>
  <c r="AH333" i="37"/>
  <c r="AG333" i="37"/>
  <c r="BQ333" i="37" s="1"/>
  <c r="AD333" i="37"/>
  <c r="BP333" i="37" s="1"/>
  <c r="AA333" i="37"/>
  <c r="BO333" i="37" s="1"/>
  <c r="W333" i="37"/>
  <c r="V333" i="37"/>
  <c r="U333" i="37"/>
  <c r="BM333" i="37" s="1"/>
  <c r="R333" i="37"/>
  <c r="BL333" i="37" s="1"/>
  <c r="O333" i="37"/>
  <c r="BK333" i="37" s="1"/>
  <c r="CH332" i="37"/>
  <c r="CG332" i="37"/>
  <c r="BJ332" i="37"/>
  <c r="BG332" i="37"/>
  <c r="BF332" i="37"/>
  <c r="BE332" i="37"/>
  <c r="BY332" i="37" s="1"/>
  <c r="BB332" i="37"/>
  <c r="BX332" i="37" s="1"/>
  <c r="AY332" i="37"/>
  <c r="BW332" i="37" s="1"/>
  <c r="AU332" i="37"/>
  <c r="AT332" i="37"/>
  <c r="AS332" i="37"/>
  <c r="BU332" i="37" s="1"/>
  <c r="AP332" i="37"/>
  <c r="BT332" i="37" s="1"/>
  <c r="AM332" i="37"/>
  <c r="BS332" i="37" s="1"/>
  <c r="AI332" i="37"/>
  <c r="AH332" i="37"/>
  <c r="AG332" i="37"/>
  <c r="BQ332" i="37" s="1"/>
  <c r="AD332" i="37"/>
  <c r="BP332" i="37" s="1"/>
  <c r="AA332" i="37"/>
  <c r="BO332" i="37" s="1"/>
  <c r="W332" i="37"/>
  <c r="V332" i="37"/>
  <c r="U332" i="37"/>
  <c r="BM332" i="37" s="1"/>
  <c r="R332" i="37"/>
  <c r="BL332" i="37" s="1"/>
  <c r="O332" i="37"/>
  <c r="BK332" i="37" s="1"/>
  <c r="CH331" i="37"/>
  <c r="CG331" i="37"/>
  <c r="BJ331" i="37"/>
  <c r="BG331" i="37"/>
  <c r="BF331" i="37"/>
  <c r="BE331" i="37"/>
  <c r="BY331" i="37" s="1"/>
  <c r="BB331" i="37"/>
  <c r="BX331" i="37" s="1"/>
  <c r="AY331" i="37"/>
  <c r="BW331" i="37" s="1"/>
  <c r="AU331" i="37"/>
  <c r="AT331" i="37"/>
  <c r="AS331" i="37"/>
  <c r="BU331" i="37" s="1"/>
  <c r="AP331" i="37"/>
  <c r="BT331" i="37" s="1"/>
  <c r="AM331" i="37"/>
  <c r="BS331" i="37" s="1"/>
  <c r="AI331" i="37"/>
  <c r="AH331" i="37"/>
  <c r="AG331" i="37"/>
  <c r="BQ331" i="37" s="1"/>
  <c r="AD331" i="37"/>
  <c r="BP331" i="37" s="1"/>
  <c r="AA331" i="37"/>
  <c r="BO331" i="37" s="1"/>
  <c r="W331" i="37"/>
  <c r="V331" i="37"/>
  <c r="U331" i="37"/>
  <c r="BM331" i="37" s="1"/>
  <c r="R331" i="37"/>
  <c r="BL331" i="37" s="1"/>
  <c r="O331" i="37"/>
  <c r="BK331" i="37" s="1"/>
  <c r="CH330" i="37"/>
  <c r="CG330" i="37"/>
  <c r="BJ330" i="37"/>
  <c r="BG330" i="37"/>
  <c r="BF330" i="37"/>
  <c r="BE330" i="37"/>
  <c r="BY330" i="37" s="1"/>
  <c r="BB330" i="37"/>
  <c r="BX330" i="37" s="1"/>
  <c r="AY330" i="37"/>
  <c r="BW330" i="37" s="1"/>
  <c r="AU330" i="37"/>
  <c r="AT330" i="37"/>
  <c r="AS330" i="37"/>
  <c r="BU330" i="37" s="1"/>
  <c r="AP330" i="37"/>
  <c r="BT330" i="37" s="1"/>
  <c r="AM330" i="37"/>
  <c r="BS330" i="37" s="1"/>
  <c r="AI330" i="37"/>
  <c r="AH330" i="37"/>
  <c r="AG330" i="37"/>
  <c r="BQ330" i="37" s="1"/>
  <c r="AD330" i="37"/>
  <c r="BP330" i="37" s="1"/>
  <c r="AA330" i="37"/>
  <c r="BO330" i="37" s="1"/>
  <c r="W330" i="37"/>
  <c r="V330" i="37"/>
  <c r="U330" i="37"/>
  <c r="BM330" i="37" s="1"/>
  <c r="R330" i="37"/>
  <c r="BL330" i="37" s="1"/>
  <c r="O330" i="37"/>
  <c r="BK330" i="37" s="1"/>
  <c r="CH329" i="37"/>
  <c r="CG329" i="37"/>
  <c r="BJ329" i="37"/>
  <c r="BG329" i="37"/>
  <c r="BF329" i="37"/>
  <c r="BE329" i="37"/>
  <c r="BY329" i="37" s="1"/>
  <c r="BB329" i="37"/>
  <c r="BX329" i="37" s="1"/>
  <c r="AY329" i="37"/>
  <c r="BW329" i="37" s="1"/>
  <c r="AU329" i="37"/>
  <c r="AT329" i="37"/>
  <c r="AS329" i="37"/>
  <c r="BU329" i="37" s="1"/>
  <c r="AP329" i="37"/>
  <c r="BT329" i="37" s="1"/>
  <c r="AM329" i="37"/>
  <c r="BS329" i="37" s="1"/>
  <c r="AI329" i="37"/>
  <c r="AH329" i="37"/>
  <c r="AG329" i="37"/>
  <c r="BQ329" i="37" s="1"/>
  <c r="AD329" i="37"/>
  <c r="BP329" i="37" s="1"/>
  <c r="AA329" i="37"/>
  <c r="BO329" i="37" s="1"/>
  <c r="W329" i="37"/>
  <c r="V329" i="37"/>
  <c r="U329" i="37"/>
  <c r="BM329" i="37" s="1"/>
  <c r="R329" i="37"/>
  <c r="BL329" i="37" s="1"/>
  <c r="O329" i="37"/>
  <c r="BK329" i="37" s="1"/>
  <c r="CH328" i="37"/>
  <c r="CG328" i="37"/>
  <c r="BJ328" i="37"/>
  <c r="BG328" i="37"/>
  <c r="BF328" i="37"/>
  <c r="BE328" i="37"/>
  <c r="BY328" i="37" s="1"/>
  <c r="BB328" i="37"/>
  <c r="BX328" i="37" s="1"/>
  <c r="AY328" i="37"/>
  <c r="BW328" i="37" s="1"/>
  <c r="AU328" i="37"/>
  <c r="AT328" i="37"/>
  <c r="AS328" i="37"/>
  <c r="BU328" i="37" s="1"/>
  <c r="AP328" i="37"/>
  <c r="BT328" i="37" s="1"/>
  <c r="AM328" i="37"/>
  <c r="BS328" i="37" s="1"/>
  <c r="AI328" i="37"/>
  <c r="AH328" i="37"/>
  <c r="AG328" i="37"/>
  <c r="BQ328" i="37" s="1"/>
  <c r="AD328" i="37"/>
  <c r="BP328" i="37" s="1"/>
  <c r="AA328" i="37"/>
  <c r="BO328" i="37" s="1"/>
  <c r="W328" i="37"/>
  <c r="V328" i="37"/>
  <c r="U328" i="37"/>
  <c r="BM328" i="37" s="1"/>
  <c r="R328" i="37"/>
  <c r="BL328" i="37" s="1"/>
  <c r="O328" i="37"/>
  <c r="BK328" i="37" s="1"/>
  <c r="CH327" i="37"/>
  <c r="CG327" i="37"/>
  <c r="BJ327" i="37"/>
  <c r="BG327" i="37"/>
  <c r="BF327" i="37"/>
  <c r="BE327" i="37"/>
  <c r="BY327" i="37" s="1"/>
  <c r="BB327" i="37"/>
  <c r="BX327" i="37" s="1"/>
  <c r="AY327" i="37"/>
  <c r="BW327" i="37" s="1"/>
  <c r="AU327" i="37"/>
  <c r="AT327" i="37"/>
  <c r="AS327" i="37"/>
  <c r="BU327" i="37" s="1"/>
  <c r="AP327" i="37"/>
  <c r="BT327" i="37" s="1"/>
  <c r="AM327" i="37"/>
  <c r="BS327" i="37" s="1"/>
  <c r="AI327" i="37"/>
  <c r="AH327" i="37"/>
  <c r="AG327" i="37"/>
  <c r="BQ327" i="37" s="1"/>
  <c r="AD327" i="37"/>
  <c r="BP327" i="37" s="1"/>
  <c r="AA327" i="37"/>
  <c r="BO327" i="37" s="1"/>
  <c r="W327" i="37"/>
  <c r="V327" i="37"/>
  <c r="U327" i="37"/>
  <c r="BM327" i="37" s="1"/>
  <c r="R327" i="37"/>
  <c r="BL327" i="37" s="1"/>
  <c r="BK327" i="37"/>
  <c r="CH326" i="37"/>
  <c r="CG326" i="37"/>
  <c r="BJ326" i="37"/>
  <c r="BG326" i="37"/>
  <c r="BF326" i="37"/>
  <c r="BE326" i="37"/>
  <c r="BY326" i="37" s="1"/>
  <c r="BB326" i="37"/>
  <c r="BX326" i="37" s="1"/>
  <c r="AY326" i="37"/>
  <c r="BW326" i="37" s="1"/>
  <c r="AU326" i="37"/>
  <c r="AT326" i="37"/>
  <c r="AS326" i="37"/>
  <c r="BU326" i="37" s="1"/>
  <c r="AP326" i="37"/>
  <c r="BT326" i="37" s="1"/>
  <c r="AM326" i="37"/>
  <c r="BS326" i="37" s="1"/>
  <c r="AI326" i="37"/>
  <c r="AH326" i="37"/>
  <c r="AG326" i="37"/>
  <c r="BQ326" i="37" s="1"/>
  <c r="AD326" i="37"/>
  <c r="BP326" i="37" s="1"/>
  <c r="AA326" i="37"/>
  <c r="BO326" i="37" s="1"/>
  <c r="W326" i="37"/>
  <c r="V326" i="37"/>
  <c r="U326" i="37"/>
  <c r="BM326" i="37" s="1"/>
  <c r="R326" i="37"/>
  <c r="BL326" i="37" s="1"/>
  <c r="O326" i="37"/>
  <c r="BK326" i="37" s="1"/>
  <c r="CH325" i="37"/>
  <c r="CG325" i="37"/>
  <c r="BJ325" i="37"/>
  <c r="BG325" i="37"/>
  <c r="BF325" i="37"/>
  <c r="BE325" i="37"/>
  <c r="BY325" i="37" s="1"/>
  <c r="BB325" i="37"/>
  <c r="BX325" i="37" s="1"/>
  <c r="AY325" i="37"/>
  <c r="BW325" i="37" s="1"/>
  <c r="AU325" i="37"/>
  <c r="AT325" i="37"/>
  <c r="AS325" i="37"/>
  <c r="BU325" i="37" s="1"/>
  <c r="AP325" i="37"/>
  <c r="BT325" i="37" s="1"/>
  <c r="AM325" i="37"/>
  <c r="BS325" i="37" s="1"/>
  <c r="AI325" i="37"/>
  <c r="AH325" i="37"/>
  <c r="AG325" i="37"/>
  <c r="BQ325" i="37" s="1"/>
  <c r="AD325" i="37"/>
  <c r="BP325" i="37" s="1"/>
  <c r="AA325" i="37"/>
  <c r="BO325" i="37" s="1"/>
  <c r="W325" i="37"/>
  <c r="V325" i="37"/>
  <c r="U325" i="37"/>
  <c r="BM325" i="37" s="1"/>
  <c r="R325" i="37"/>
  <c r="BL325" i="37" s="1"/>
  <c r="O325" i="37"/>
  <c r="BK325" i="37" s="1"/>
  <c r="CH324" i="37"/>
  <c r="CG324" i="37"/>
  <c r="BJ324" i="37"/>
  <c r="BG324" i="37"/>
  <c r="BF324" i="37"/>
  <c r="BE324" i="37"/>
  <c r="BY324" i="37" s="1"/>
  <c r="BB324" i="37"/>
  <c r="BX324" i="37" s="1"/>
  <c r="AY324" i="37"/>
  <c r="BW324" i="37" s="1"/>
  <c r="AU324" i="37"/>
  <c r="AT324" i="37"/>
  <c r="AS324" i="37"/>
  <c r="BU324" i="37" s="1"/>
  <c r="AP324" i="37"/>
  <c r="BT324" i="37" s="1"/>
  <c r="AM324" i="37"/>
  <c r="BS324" i="37" s="1"/>
  <c r="AI324" i="37"/>
  <c r="AH324" i="37"/>
  <c r="AG324" i="37"/>
  <c r="BQ324" i="37" s="1"/>
  <c r="AD324" i="37"/>
  <c r="BP324" i="37" s="1"/>
  <c r="AA324" i="37"/>
  <c r="BO324" i="37" s="1"/>
  <c r="W324" i="37"/>
  <c r="V324" i="37"/>
  <c r="U324" i="37"/>
  <c r="BM324" i="37" s="1"/>
  <c r="R324" i="37"/>
  <c r="BL324" i="37" s="1"/>
  <c r="O324" i="37"/>
  <c r="BK324" i="37" s="1"/>
  <c r="CH323" i="37"/>
  <c r="CG323" i="37"/>
  <c r="BJ323" i="37"/>
  <c r="BG323" i="37"/>
  <c r="BF323" i="37"/>
  <c r="BE323" i="37"/>
  <c r="BY323" i="37" s="1"/>
  <c r="BB323" i="37"/>
  <c r="BX323" i="37" s="1"/>
  <c r="AY323" i="37"/>
  <c r="BW323" i="37" s="1"/>
  <c r="AS323" i="37"/>
  <c r="BU323" i="37" s="1"/>
  <c r="AP323" i="37"/>
  <c r="BT323" i="37" s="1"/>
  <c r="AM323" i="37"/>
  <c r="AI323" i="37"/>
  <c r="AH323" i="37"/>
  <c r="AG323" i="37"/>
  <c r="BQ323" i="37" s="1"/>
  <c r="BP323" i="37"/>
  <c r="AA323" i="37"/>
  <c r="BO323" i="37" s="1"/>
  <c r="W323" i="37"/>
  <c r="V323" i="37"/>
  <c r="U323" i="37"/>
  <c r="BM323" i="37" s="1"/>
  <c r="R323" i="37"/>
  <c r="BL323" i="37" s="1"/>
  <c r="O323" i="37"/>
  <c r="BK323" i="37" s="1"/>
  <c r="CH322" i="37"/>
  <c r="CG322" i="37"/>
  <c r="BJ322" i="37"/>
  <c r="BG322" i="37"/>
  <c r="BF322" i="37"/>
  <c r="BE322" i="37"/>
  <c r="BY322" i="37" s="1"/>
  <c r="BB322" i="37"/>
  <c r="BX322" i="37" s="1"/>
  <c r="AY322" i="37"/>
  <c r="BW322" i="37" s="1"/>
  <c r="AU322" i="37"/>
  <c r="AT322" i="37"/>
  <c r="AS322" i="37"/>
  <c r="BU322" i="37" s="1"/>
  <c r="AP322" i="37"/>
  <c r="BT322" i="37" s="1"/>
  <c r="AM322" i="37"/>
  <c r="BS322" i="37" s="1"/>
  <c r="AI322" i="37"/>
  <c r="AH322" i="37"/>
  <c r="AG322" i="37"/>
  <c r="BQ322" i="37" s="1"/>
  <c r="AD322" i="37"/>
  <c r="BP322" i="37" s="1"/>
  <c r="AA322" i="37"/>
  <c r="BO322" i="37" s="1"/>
  <c r="W322" i="37"/>
  <c r="V322" i="37"/>
  <c r="U322" i="37"/>
  <c r="BM322" i="37" s="1"/>
  <c r="R322" i="37"/>
  <c r="BL322" i="37" s="1"/>
  <c r="O322" i="37"/>
  <c r="BK322" i="37" s="1"/>
  <c r="CH321" i="37"/>
  <c r="CG321" i="37"/>
  <c r="BJ321" i="37"/>
  <c r="BG321" i="37"/>
  <c r="BF321" i="37"/>
  <c r="BE321" i="37"/>
  <c r="BY321" i="37" s="1"/>
  <c r="BB321" i="37"/>
  <c r="BX321" i="37" s="1"/>
  <c r="AY321" i="37"/>
  <c r="BW321" i="37" s="1"/>
  <c r="AU321" i="37"/>
  <c r="AT321" i="37"/>
  <c r="AS321" i="37"/>
  <c r="BU321" i="37" s="1"/>
  <c r="AP321" i="37"/>
  <c r="BT321" i="37" s="1"/>
  <c r="AM321" i="37"/>
  <c r="BS321" i="37" s="1"/>
  <c r="AI321" i="37"/>
  <c r="AH321" i="37"/>
  <c r="AG321" i="37"/>
  <c r="BQ321" i="37" s="1"/>
  <c r="AD321" i="37"/>
  <c r="BP321" i="37" s="1"/>
  <c r="AA321" i="37"/>
  <c r="BO321" i="37" s="1"/>
  <c r="W321" i="37"/>
  <c r="V321" i="37"/>
  <c r="U321" i="37"/>
  <c r="BM321" i="37" s="1"/>
  <c r="R321" i="37"/>
  <c r="BL321" i="37" s="1"/>
  <c r="O321" i="37"/>
  <c r="BK321" i="37" s="1"/>
  <c r="AJ400" i="37" l="1"/>
  <c r="BR400" i="37" s="1"/>
  <c r="BO400" i="37"/>
  <c r="BS323" i="37"/>
  <c r="AV323" i="37"/>
  <c r="I400" i="37"/>
  <c r="BH351" i="37"/>
  <c r="BZ351" i="37" s="1"/>
  <c r="AV373" i="37"/>
  <c r="BV373" i="37" s="1"/>
  <c r="X373" i="37"/>
  <c r="BN373" i="37" s="1"/>
  <c r="X371" i="37"/>
  <c r="BN371" i="37" s="1"/>
  <c r="J373" i="37"/>
  <c r="BH373" i="37"/>
  <c r="BZ373" i="37" s="1"/>
  <c r="AJ333" i="37"/>
  <c r="BR333" i="37" s="1"/>
  <c r="J371" i="37"/>
  <c r="BH333" i="37"/>
  <c r="BZ333" i="37" s="1"/>
  <c r="AJ350" i="37"/>
  <c r="BR350" i="37" s="1"/>
  <c r="J400" i="37"/>
  <c r="X348" i="37"/>
  <c r="BN348" i="37" s="1"/>
  <c r="AJ373" i="37"/>
  <c r="BR373" i="37" s="1"/>
  <c r="J331" i="37"/>
  <c r="J349" i="37"/>
  <c r="AV343" i="37"/>
  <c r="BV343" i="37" s="1"/>
  <c r="J333" i="37"/>
  <c r="X338" i="37"/>
  <c r="BN338" i="37" s="1"/>
  <c r="AJ346" i="37"/>
  <c r="BR346" i="37" s="1"/>
  <c r="BH371" i="37"/>
  <c r="BZ371" i="37" s="1"/>
  <c r="AV321" i="37"/>
  <c r="BV321" i="37" s="1"/>
  <c r="BH325" i="37"/>
  <c r="BZ325" i="37" s="1"/>
  <c r="I371" i="37"/>
  <c r="AJ371" i="37"/>
  <c r="BR371" i="37" s="1"/>
  <c r="J372" i="37"/>
  <c r="I372" i="37"/>
  <c r="BH345" i="37"/>
  <c r="BZ345" i="37" s="1"/>
  <c r="BH372" i="37"/>
  <c r="BZ372" i="37" s="1"/>
  <c r="BH337" i="37"/>
  <c r="BZ337" i="37" s="1"/>
  <c r="J359" i="37"/>
  <c r="AJ356" i="37"/>
  <c r="BR356" i="37" s="1"/>
  <c r="BH359" i="37"/>
  <c r="BZ359" i="37" s="1"/>
  <c r="I344" i="37"/>
  <c r="AJ343" i="37"/>
  <c r="BR343" i="37" s="1"/>
  <c r="AJ357" i="37"/>
  <c r="BR357" i="37" s="1"/>
  <c r="I373" i="37"/>
  <c r="I330" i="37"/>
  <c r="I339" i="37"/>
  <c r="X332" i="37"/>
  <c r="BN332" i="37" s="1"/>
  <c r="X353" i="37"/>
  <c r="BN353" i="37" s="1"/>
  <c r="I354" i="37"/>
  <c r="X357" i="37"/>
  <c r="BN357" i="37" s="1"/>
  <c r="X372" i="37"/>
  <c r="BN372" i="37" s="1"/>
  <c r="X333" i="37"/>
  <c r="BN333" i="37" s="1"/>
  <c r="BH336" i="37"/>
  <c r="BZ336" i="37" s="1"/>
  <c r="X341" i="37"/>
  <c r="BN341" i="37" s="1"/>
  <c r="J327" i="37"/>
  <c r="AV324" i="37"/>
  <c r="BV324" i="37" s="1"/>
  <c r="BH323" i="37"/>
  <c r="BZ323" i="37" s="1"/>
  <c r="BH324" i="37"/>
  <c r="BZ324" i="37" s="1"/>
  <c r="BH326" i="37"/>
  <c r="BZ326" i="37" s="1"/>
  <c r="BH330" i="37"/>
  <c r="BZ330" i="37" s="1"/>
  <c r="BH339" i="37"/>
  <c r="BZ339" i="37" s="1"/>
  <c r="I342" i="37"/>
  <c r="X351" i="37"/>
  <c r="BN351" i="37" s="1"/>
  <c r="J356" i="37"/>
  <c r="I334" i="37"/>
  <c r="J350" i="37"/>
  <c r="AV356" i="37"/>
  <c r="BV356" i="37" s="1"/>
  <c r="AJ372" i="37"/>
  <c r="BR372" i="37" s="1"/>
  <c r="AV329" i="37"/>
  <c r="BV329" i="37" s="1"/>
  <c r="J334" i="37"/>
  <c r="X336" i="37"/>
  <c r="BN336" i="37" s="1"/>
  <c r="I338" i="37"/>
  <c r="J341" i="37"/>
  <c r="AV345" i="37"/>
  <c r="BV345" i="37" s="1"/>
  <c r="X352" i="37"/>
  <c r="BN352" i="37" s="1"/>
  <c r="AV371" i="37"/>
  <c r="BV371" i="37" s="1"/>
  <c r="X325" i="37"/>
  <c r="BN325" i="37" s="1"/>
  <c r="X329" i="37"/>
  <c r="BN329" i="37" s="1"/>
  <c r="AJ341" i="37"/>
  <c r="BR341" i="37" s="1"/>
  <c r="J347" i="37"/>
  <c r="AJ325" i="37"/>
  <c r="BR325" i="37" s="1"/>
  <c r="AV327" i="37"/>
  <c r="BV327" i="37" s="1"/>
  <c r="BH338" i="37"/>
  <c r="BZ338" i="37" s="1"/>
  <c r="AJ347" i="37"/>
  <c r="BR347" i="37" s="1"/>
  <c r="I359" i="37"/>
  <c r="AJ330" i="37"/>
  <c r="BR330" i="37" s="1"/>
  <c r="I346" i="37"/>
  <c r="BH349" i="37"/>
  <c r="BZ349" i="37" s="1"/>
  <c r="BH356" i="37"/>
  <c r="BZ356" i="37" s="1"/>
  <c r="I325" i="37"/>
  <c r="J337" i="37"/>
  <c r="BH355" i="37"/>
  <c r="BZ355" i="37" s="1"/>
  <c r="AV372" i="37"/>
  <c r="BV372" i="37" s="1"/>
  <c r="I328" i="37"/>
  <c r="J353" i="37"/>
  <c r="J328" i="37"/>
  <c r="X344" i="37"/>
  <c r="BN344" i="37" s="1"/>
  <c r="BH353" i="37"/>
  <c r="BZ353" i="37" s="1"/>
  <c r="J357" i="37"/>
  <c r="J324" i="37"/>
  <c r="J325" i="37"/>
  <c r="I327" i="37"/>
  <c r="BH328" i="37"/>
  <c r="BZ328" i="37" s="1"/>
  <c r="J329" i="37"/>
  <c r="AJ335" i="37"/>
  <c r="BR335" i="37" s="1"/>
  <c r="AJ338" i="37"/>
  <c r="BR338" i="37" s="1"/>
  <c r="J340" i="37"/>
  <c r="J344" i="37"/>
  <c r="I345" i="37"/>
  <c r="AV348" i="37"/>
  <c r="BV348" i="37" s="1"/>
  <c r="I350" i="37"/>
  <c r="X355" i="37"/>
  <c r="BN355" i="37" s="1"/>
  <c r="AV359" i="37"/>
  <c r="BV359" i="37" s="1"/>
  <c r="AJ322" i="37"/>
  <c r="BR322" i="37" s="1"/>
  <c r="AV332" i="37"/>
  <c r="BV332" i="37" s="1"/>
  <c r="BH347" i="37"/>
  <c r="BZ347" i="37" s="1"/>
  <c r="AJ354" i="37"/>
  <c r="BR354" i="37" s="1"/>
  <c r="BH358" i="37"/>
  <c r="BZ358" i="37" s="1"/>
  <c r="X328" i="37"/>
  <c r="BN328" i="37" s="1"/>
  <c r="AV337" i="37"/>
  <c r="BV337" i="37" s="1"/>
  <c r="I357" i="37"/>
  <c r="I326" i="37"/>
  <c r="X335" i="37"/>
  <c r="BN335" i="37" s="1"/>
  <c r="BH335" i="37"/>
  <c r="BZ335" i="37" s="1"/>
  <c r="AV340" i="37"/>
  <c r="BV340" i="37" s="1"/>
  <c r="J345" i="37"/>
  <c r="I349" i="37"/>
  <c r="AV353" i="37"/>
  <c r="BV353" i="37" s="1"/>
  <c r="AJ327" i="37"/>
  <c r="BR327" i="37" s="1"/>
  <c r="AJ329" i="37"/>
  <c r="BR329" i="37" s="1"/>
  <c r="BH329" i="37"/>
  <c r="BZ329" i="37" s="1"/>
  <c r="I331" i="37"/>
  <c r="BH340" i="37"/>
  <c r="BZ340" i="37" s="1"/>
  <c r="J342" i="37"/>
  <c r="BH350" i="37"/>
  <c r="BZ350" i="37" s="1"/>
  <c r="I351" i="37"/>
  <c r="J321" i="37"/>
  <c r="J330" i="37"/>
  <c r="BH331" i="37"/>
  <c r="BZ331" i="37" s="1"/>
  <c r="I332" i="37"/>
  <c r="X349" i="37"/>
  <c r="BN349" i="37" s="1"/>
  <c r="I358" i="37"/>
  <c r="AJ331" i="37"/>
  <c r="BR331" i="37" s="1"/>
  <c r="I335" i="37"/>
  <c r="I337" i="37"/>
  <c r="BH341" i="37"/>
  <c r="BZ341" i="37" s="1"/>
  <c r="I348" i="37"/>
  <c r="AJ349" i="37"/>
  <c r="BR349" i="37" s="1"/>
  <c r="I355" i="37"/>
  <c r="X321" i="37"/>
  <c r="BN321" i="37" s="1"/>
  <c r="BH321" i="37"/>
  <c r="BZ321" i="37" s="1"/>
  <c r="X322" i="37"/>
  <c r="BN322" i="37" s="1"/>
  <c r="BH322" i="37"/>
  <c r="BZ322" i="37" s="1"/>
  <c r="I329" i="37"/>
  <c r="I333" i="37"/>
  <c r="BH334" i="37"/>
  <c r="BZ334" i="37" s="1"/>
  <c r="I336" i="37"/>
  <c r="J338" i="37"/>
  <c r="J339" i="37"/>
  <c r="I340" i="37"/>
  <c r="BH343" i="37"/>
  <c r="BZ343" i="37" s="1"/>
  <c r="J348" i="37"/>
  <c r="I352" i="37"/>
  <c r="X354" i="37"/>
  <c r="BN354" i="37" s="1"/>
  <c r="BH354" i="37"/>
  <c r="BZ354" i="37" s="1"/>
  <c r="AJ359" i="37"/>
  <c r="BR359" i="37" s="1"/>
  <c r="AJ334" i="37"/>
  <c r="BR334" i="37" s="1"/>
  <c r="J336" i="37"/>
  <c r="AJ337" i="37"/>
  <c r="BR337" i="37" s="1"/>
  <c r="X339" i="37"/>
  <c r="BN339" i="37" s="1"/>
  <c r="I341" i="37"/>
  <c r="J352" i="37"/>
  <c r="I343" i="37"/>
  <c r="J326" i="37"/>
  <c r="J346" i="37"/>
  <c r="I321" i="37"/>
  <c r="I322" i="37"/>
  <c r="I323" i="37"/>
  <c r="BH342" i="37"/>
  <c r="BZ342" i="37" s="1"/>
  <c r="J343" i="37"/>
  <c r="BH344" i="37"/>
  <c r="BZ344" i="37" s="1"/>
  <c r="X345" i="37"/>
  <c r="BN345" i="37" s="1"/>
  <c r="I347" i="37"/>
  <c r="J351" i="37"/>
  <c r="J322" i="37"/>
  <c r="J323" i="37"/>
  <c r="BH327" i="37"/>
  <c r="BZ327" i="37" s="1"/>
  <c r="J332" i="37"/>
  <c r="AJ351" i="37"/>
  <c r="BR351" i="37" s="1"/>
  <c r="J354" i="37"/>
  <c r="J358" i="37"/>
  <c r="AJ321" i="37"/>
  <c r="BR321" i="37" s="1"/>
  <c r="X323" i="37"/>
  <c r="BN323" i="37" s="1"/>
  <c r="I324" i="37"/>
  <c r="J335" i="37"/>
  <c r="BH346" i="37"/>
  <c r="BZ346" i="37" s="1"/>
  <c r="I353" i="37"/>
  <c r="J355" i="37"/>
  <c r="I356" i="37"/>
  <c r="BH357" i="37"/>
  <c r="BZ357" i="37" s="1"/>
  <c r="X326" i="37"/>
  <c r="BN326" i="37" s="1"/>
  <c r="AJ328" i="37"/>
  <c r="BR328" i="37" s="1"/>
  <c r="AV330" i="37"/>
  <c r="BV330" i="37" s="1"/>
  <c r="BH332" i="37"/>
  <c r="BZ332" i="37" s="1"/>
  <c r="X342" i="37"/>
  <c r="BN342" i="37" s="1"/>
  <c r="A344" i="37"/>
  <c r="AJ344" i="37"/>
  <c r="BR344" i="37" s="1"/>
  <c r="AV346" i="37"/>
  <c r="BV346" i="37" s="1"/>
  <c r="BH348" i="37"/>
  <c r="BZ348" i="37" s="1"/>
  <c r="X358" i="37"/>
  <c r="BN358" i="37" s="1"/>
  <c r="X330" i="37"/>
  <c r="BN330" i="37" s="1"/>
  <c r="AJ332" i="37"/>
  <c r="BR332" i="37" s="1"/>
  <c r="AV334" i="37"/>
  <c r="BV334" i="37" s="1"/>
  <c r="X346" i="37"/>
  <c r="BN346" i="37" s="1"/>
  <c r="AJ348" i="37"/>
  <c r="BR348" i="37" s="1"/>
  <c r="AV350" i="37"/>
  <c r="BV350" i="37" s="1"/>
  <c r="BH352" i="37"/>
  <c r="BZ352" i="37" s="1"/>
  <c r="X327" i="37"/>
  <c r="BN327" i="37" s="1"/>
  <c r="AV331" i="37"/>
  <c r="BV331" i="37" s="1"/>
  <c r="X343" i="37"/>
  <c r="BN343" i="37" s="1"/>
  <c r="AJ345" i="37"/>
  <c r="BR345" i="37" s="1"/>
  <c r="AV347" i="37"/>
  <c r="BV347" i="37" s="1"/>
  <c r="X359" i="37"/>
  <c r="BN359" i="37" s="1"/>
  <c r="X324" i="37"/>
  <c r="BN324" i="37" s="1"/>
  <c r="AJ326" i="37"/>
  <c r="BR326" i="37" s="1"/>
  <c r="AV328" i="37"/>
  <c r="BV328" i="37" s="1"/>
  <c r="X340" i="37"/>
  <c r="BN340" i="37" s="1"/>
  <c r="AJ342" i="37"/>
  <c r="BR342" i="37" s="1"/>
  <c r="AV344" i="37"/>
  <c r="BV344" i="37" s="1"/>
  <c r="X356" i="37"/>
  <c r="BN356" i="37" s="1"/>
  <c r="AJ358" i="37"/>
  <c r="BR358" i="37" s="1"/>
  <c r="AJ323" i="37"/>
  <c r="BR323" i="37" s="1"/>
  <c r="AV325" i="37"/>
  <c r="BV325" i="37" s="1"/>
  <c r="X337" i="37"/>
  <c r="BN337" i="37" s="1"/>
  <c r="AJ339" i="37"/>
  <c r="BR339" i="37" s="1"/>
  <c r="AV341" i="37"/>
  <c r="BV341" i="37" s="1"/>
  <c r="AJ355" i="37"/>
  <c r="BR355" i="37" s="1"/>
  <c r="AV357" i="37"/>
  <c r="BV357" i="37" s="1"/>
  <c r="AV322" i="37"/>
  <c r="BV322" i="37" s="1"/>
  <c r="X334" i="37"/>
  <c r="BN334" i="37" s="1"/>
  <c r="AJ336" i="37"/>
  <c r="BR336" i="37" s="1"/>
  <c r="AV338" i="37"/>
  <c r="BV338" i="37" s="1"/>
  <c r="X350" i="37"/>
  <c r="BN350" i="37" s="1"/>
  <c r="AJ352" i="37"/>
  <c r="BR352" i="37" s="1"/>
  <c r="AV354" i="37"/>
  <c r="BV354" i="37" s="1"/>
  <c r="X331" i="37"/>
  <c r="BN331" i="37" s="1"/>
  <c r="AV335" i="37"/>
  <c r="BV335" i="37" s="1"/>
  <c r="X347" i="37"/>
  <c r="BN347" i="37" s="1"/>
  <c r="AV351" i="37"/>
  <c r="BV351" i="37" s="1"/>
  <c r="AJ324" i="37"/>
  <c r="BR324" i="37" s="1"/>
  <c r="AV326" i="37"/>
  <c r="BV326" i="37" s="1"/>
  <c r="AJ340" i="37"/>
  <c r="BR340" i="37" s="1"/>
  <c r="AV342" i="37"/>
  <c r="BV342" i="37" s="1"/>
  <c r="AV358" i="37"/>
  <c r="BV358" i="37" s="1"/>
  <c r="BV323" i="37"/>
  <c r="AV339" i="37"/>
  <c r="BV339" i="37" s="1"/>
  <c r="AJ353" i="37"/>
  <c r="BR353" i="37" s="1"/>
  <c r="AV355" i="37"/>
  <c r="BV355" i="37" s="1"/>
  <c r="AV336" i="37"/>
  <c r="BV336" i="37" s="1"/>
  <c r="AV352" i="37"/>
  <c r="BV352" i="37" s="1"/>
  <c r="AV333" i="37"/>
  <c r="BV333" i="37" s="1"/>
  <c r="AV349" i="37"/>
  <c r="BV349" i="37" s="1"/>
  <c r="L373" i="37" l="1"/>
  <c r="K373" i="37"/>
  <c r="L329" i="37"/>
  <c r="L400" i="37"/>
  <c r="K400" i="37"/>
  <c r="L321" i="37"/>
  <c r="L357" i="37"/>
  <c r="K345" i="37"/>
  <c r="L354" i="37"/>
  <c r="K321" i="37"/>
  <c r="L355" i="37"/>
  <c r="K372" i="37"/>
  <c r="L372" i="37"/>
  <c r="L336" i="37"/>
  <c r="L371" i="37"/>
  <c r="K371" i="37"/>
  <c r="K339" i="37"/>
  <c r="K353" i="37"/>
  <c r="L322" i="37"/>
  <c r="K325" i="37"/>
  <c r="L332" i="37"/>
  <c r="L351" i="37"/>
  <c r="K351" i="37"/>
  <c r="K329" i="37"/>
  <c r="L348" i="37"/>
  <c r="K348" i="37"/>
  <c r="K347" i="37"/>
  <c r="L347" i="37"/>
  <c r="K346" i="37"/>
  <c r="L346" i="37"/>
  <c r="K342" i="37"/>
  <c r="L342" i="37"/>
  <c r="L345" i="37"/>
  <c r="K332" i="37"/>
  <c r="K331" i="37"/>
  <c r="L331" i="37"/>
  <c r="L337" i="37"/>
  <c r="K337" i="37"/>
  <c r="K359" i="37"/>
  <c r="L359" i="37"/>
  <c r="K330" i="37"/>
  <c r="L330" i="37"/>
  <c r="L328" i="37"/>
  <c r="K328" i="37"/>
  <c r="K354" i="37"/>
  <c r="K326" i="37"/>
  <c r="L326" i="37"/>
  <c r="K349" i="37"/>
  <c r="L352" i="37"/>
  <c r="K352" i="37"/>
  <c r="L350" i="37"/>
  <c r="K350" i="37"/>
  <c r="K324" i="37"/>
  <c r="L324" i="37"/>
  <c r="L339" i="37"/>
  <c r="K343" i="37"/>
  <c r="L343" i="37"/>
  <c r="L341" i="37"/>
  <c r="L353" i="37"/>
  <c r="K357" i="37"/>
  <c r="L325" i="37"/>
  <c r="K356" i="37"/>
  <c r="K358" i="37"/>
  <c r="L358" i="37"/>
  <c r="K323" i="37"/>
  <c r="K322" i="37"/>
  <c r="L323" i="37"/>
  <c r="K336" i="37"/>
  <c r="L338" i="37"/>
  <c r="K355" i="37"/>
  <c r="L334" i="37"/>
  <c r="K334" i="37"/>
  <c r="L349" i="37"/>
  <c r="K333" i="37"/>
  <c r="K338" i="37"/>
  <c r="K327" i="37"/>
  <c r="L327" i="37"/>
  <c r="L333" i="37"/>
  <c r="K340" i="37"/>
  <c r="L340" i="37"/>
  <c r="L344" i="37"/>
  <c r="K344" i="37"/>
  <c r="L335" i="37"/>
  <c r="K341" i="37"/>
  <c r="K335" i="37"/>
  <c r="CB346" i="37" l="1"/>
  <c r="CB373" i="37"/>
  <c r="CB327" i="37"/>
  <c r="CB372" i="37"/>
  <c r="CB331" i="37"/>
  <c r="CB343" i="37"/>
  <c r="CB332" i="37"/>
  <c r="CB348" i="37"/>
  <c r="CB400" i="37"/>
  <c r="CB324" i="37"/>
  <c r="CB371" i="37"/>
  <c r="CB339" i="37"/>
  <c r="CB321" i="37"/>
  <c r="CB349" i="37"/>
  <c r="CB323" i="37"/>
  <c r="CB328" i="37"/>
  <c r="CB354" i="37"/>
  <c r="CB337" i="37"/>
  <c r="CB329" i="37"/>
  <c r="CB338" i="37"/>
  <c r="CB341" i="37"/>
  <c r="CB330" i="37"/>
  <c r="CB351" i="37"/>
  <c r="CB350" i="37"/>
  <c r="CB322" i="37"/>
  <c r="CB335" i="37"/>
  <c r="CB344" i="37"/>
  <c r="CB352" i="37"/>
  <c r="CB345" i="37"/>
  <c r="CB340" i="37"/>
  <c r="CB342" i="37"/>
  <c r="CB326" i="37"/>
  <c r="CB334" i="37"/>
  <c r="CB333" i="37"/>
  <c r="CB325" i="37"/>
  <c r="CB347" i="37"/>
  <c r="CB336" i="37"/>
  <c r="CB353" i="37"/>
  <c r="L356" i="37"/>
  <c r="CB356" i="37" s="1"/>
  <c r="CB358" i="37"/>
  <c r="CB357" i="37"/>
  <c r="CB359" i="37"/>
  <c r="CB355" i="37"/>
  <c r="AO182" i="44"/>
  <c r="AP181" i="44"/>
  <c r="W19" i="37"/>
  <c r="V27" i="37"/>
  <c r="W27" i="37"/>
  <c r="J27" i="37" s="1"/>
  <c r="CE17" i="37"/>
  <c r="CF17" i="37" s="1"/>
  <c r="CF30" i="37"/>
  <c r="CF44" i="37"/>
  <c r="CF61" i="37"/>
  <c r="CF76" i="37"/>
  <c r="CF91" i="37"/>
  <c r="CF106" i="37"/>
  <c r="CF116" i="37"/>
  <c r="CF126" i="37"/>
  <c r="CF138" i="37"/>
  <c r="CF148" i="37"/>
  <c r="CF165" i="37"/>
  <c r="CF190" i="37"/>
  <c r="CF214" i="37"/>
  <c r="CF242" i="37"/>
  <c r="CF266" i="37"/>
  <c r="CF292" i="37"/>
  <c r="CF319" i="37"/>
  <c r="CF379" i="37"/>
  <c r="AO183" i="44" l="1"/>
  <c r="AQ182" i="44"/>
  <c r="AP182" i="44"/>
  <c r="AO184" i="44" l="1"/>
  <c r="AQ183" i="44"/>
  <c r="AP183" i="44"/>
  <c r="CD30" i="37"/>
  <c r="CD44" i="37"/>
  <c r="CD61" i="37"/>
  <c r="CD76" i="37"/>
  <c r="CD91" i="37"/>
  <c r="CD106" i="37"/>
  <c r="CD116" i="37"/>
  <c r="CD126" i="37"/>
  <c r="CD138" i="37"/>
  <c r="CD148" i="37"/>
  <c r="CD165" i="37"/>
  <c r="CD190" i="37"/>
  <c r="CD214" i="37"/>
  <c r="CD242" i="37"/>
  <c r="CD266" i="37"/>
  <c r="CD292" i="37"/>
  <c r="CD319" i="37"/>
  <c r="CD379" i="37"/>
  <c r="CD17" i="37"/>
  <c r="CC31" i="37"/>
  <c r="CC18" i="37"/>
  <c r="B38" i="45" a="1"/>
  <c r="Q111" i="44"/>
  <c r="Q112" i="44"/>
  <c r="Q113" i="44"/>
  <c r="Q110" i="44"/>
  <c r="AP190" i="44"/>
  <c r="AP189" i="44"/>
  <c r="AP188" i="44"/>
  <c r="AP187" i="44"/>
  <c r="AP177" i="44"/>
  <c r="AP173" i="44"/>
  <c r="AP169" i="44"/>
  <c r="AP165" i="44"/>
  <c r="AP161" i="44"/>
  <c r="AP157" i="44"/>
  <c r="AP153" i="44"/>
  <c r="AP141" i="44"/>
  <c r="AP131" i="44"/>
  <c r="AP117" i="44"/>
  <c r="AP107" i="44"/>
  <c r="AP97" i="44"/>
  <c r="AP85" i="44"/>
  <c r="AP72" i="44"/>
  <c r="AP61" i="44"/>
  <c r="AP44" i="44"/>
  <c r="AP34" i="44"/>
  <c r="AO178" i="44"/>
  <c r="AO174" i="44"/>
  <c r="AO170" i="44"/>
  <c r="AO166" i="44"/>
  <c r="AO162" i="44"/>
  <c r="AO158" i="44"/>
  <c r="AO154" i="44"/>
  <c r="AO142" i="44"/>
  <c r="AO132" i="44"/>
  <c r="AO118" i="44"/>
  <c r="AO108" i="44"/>
  <c r="AO98" i="44"/>
  <c r="AO86" i="44"/>
  <c r="AO73" i="44"/>
  <c r="AO62" i="44"/>
  <c r="AO45" i="44"/>
  <c r="AO35" i="44"/>
  <c r="AO23" i="44"/>
  <c r="B96" i="45" l="1"/>
  <c r="B97" i="45"/>
  <c r="B95" i="45"/>
  <c r="B94" i="45"/>
  <c r="CD31" i="37"/>
  <c r="CC34" i="37"/>
  <c r="CD18" i="37"/>
  <c r="CF18" i="37"/>
  <c r="AP142" i="44"/>
  <c r="AQ142" i="44"/>
  <c r="AP154" i="44"/>
  <c r="AQ154" i="44"/>
  <c r="AP23" i="44"/>
  <c r="AQ23" i="44"/>
  <c r="AP35" i="44"/>
  <c r="AQ35" i="44"/>
  <c r="AP162" i="44"/>
  <c r="AQ162" i="44"/>
  <c r="AP45" i="44"/>
  <c r="AQ45" i="44"/>
  <c r="AO167" i="44"/>
  <c r="AQ167" i="44" s="1"/>
  <c r="AQ166" i="44"/>
  <c r="AO63" i="44"/>
  <c r="AQ63" i="44" s="1"/>
  <c r="AQ62" i="44"/>
  <c r="AP170" i="44"/>
  <c r="AQ170" i="44"/>
  <c r="AP73" i="44"/>
  <c r="AQ73" i="44"/>
  <c r="AO87" i="44"/>
  <c r="AQ87" i="44" s="1"/>
  <c r="AQ86" i="44"/>
  <c r="AP178" i="44"/>
  <c r="AQ178" i="44"/>
  <c r="AO133" i="44"/>
  <c r="AQ133" i="44" s="1"/>
  <c r="AQ132" i="44"/>
  <c r="AP158" i="44"/>
  <c r="AQ158" i="44"/>
  <c r="AP174" i="44"/>
  <c r="AQ174" i="44"/>
  <c r="AP98" i="44"/>
  <c r="AQ98" i="44"/>
  <c r="AO109" i="44"/>
  <c r="AQ109" i="44" s="1"/>
  <c r="AQ108" i="44"/>
  <c r="AP118" i="44"/>
  <c r="AQ118" i="44"/>
  <c r="AP184" i="44"/>
  <c r="AQ184" i="44"/>
  <c r="B93" i="45"/>
  <c r="AO159" i="44"/>
  <c r="AP159" i="44" s="1"/>
  <c r="CC19" i="37"/>
  <c r="B38" i="45"/>
  <c r="CC32" i="37"/>
  <c r="CF31" i="37"/>
  <c r="AO36" i="44"/>
  <c r="AO163" i="44"/>
  <c r="AQ163" i="44" s="1"/>
  <c r="AP166" i="44"/>
  <c r="AO74" i="44"/>
  <c r="AQ74" i="44" s="1"/>
  <c r="AO99" i="44"/>
  <c r="AP99" i="44" s="1"/>
  <c r="AO155" i="44"/>
  <c r="AQ155" i="44" s="1"/>
  <c r="AO171" i="44"/>
  <c r="AQ171" i="44" s="1"/>
  <c r="AO175" i="44"/>
  <c r="AQ175" i="44" s="1"/>
  <c r="AO179" i="44"/>
  <c r="AO143" i="44"/>
  <c r="AP108" i="44"/>
  <c r="AP62" i="44"/>
  <c r="AP86" i="44"/>
  <c r="AP132" i="44"/>
  <c r="AO24" i="44"/>
  <c r="AQ24" i="44" s="1"/>
  <c r="AO46" i="44"/>
  <c r="AQ46" i="44" s="1"/>
  <c r="AO119" i="44"/>
  <c r="AQ119" i="44" s="1"/>
  <c r="AQ143" i="44" l="1"/>
  <c r="AO144" i="44"/>
  <c r="AO64" i="44"/>
  <c r="AQ64" i="44" s="1"/>
  <c r="AP87" i="44"/>
  <c r="AO88" i="44"/>
  <c r="AQ88" i="44" s="1"/>
  <c r="CC35" i="37"/>
  <c r="CF35" i="37" s="1"/>
  <c r="CC36" i="37"/>
  <c r="CF34" i="37"/>
  <c r="CD34" i="37"/>
  <c r="AP167" i="44"/>
  <c r="AO168" i="44"/>
  <c r="AQ168" i="44" s="1"/>
  <c r="AP133" i="44"/>
  <c r="AO134" i="44"/>
  <c r="AP63" i="44"/>
  <c r="AO37" i="44"/>
  <c r="AP37" i="44" s="1"/>
  <c r="AQ36" i="44"/>
  <c r="AP179" i="44"/>
  <c r="AQ179" i="44"/>
  <c r="AO100" i="44"/>
  <c r="AQ100" i="44" s="1"/>
  <c r="AQ99" i="44"/>
  <c r="AO160" i="44"/>
  <c r="AQ159" i="44"/>
  <c r="AP109" i="44"/>
  <c r="AO110" i="44"/>
  <c r="AQ110" i="44" s="1"/>
  <c r="CC20" i="37"/>
  <c r="CF19" i="37"/>
  <c r="CD19" i="37"/>
  <c r="CC33" i="37"/>
  <c r="CF32" i="37"/>
  <c r="CD32" i="37"/>
  <c r="B69" i="45"/>
  <c r="AP36" i="44"/>
  <c r="AO180" i="44"/>
  <c r="AO185" i="44" s="1"/>
  <c r="AO172" i="44"/>
  <c r="AP171" i="44"/>
  <c r="AP175" i="44"/>
  <c r="AO176" i="44"/>
  <c r="AP155" i="44"/>
  <c r="AO156" i="44"/>
  <c r="AO89" i="44"/>
  <c r="AO90" i="44" s="1"/>
  <c r="AP74" i="44"/>
  <c r="AO75" i="44"/>
  <c r="AQ75" i="44" s="1"/>
  <c r="AO164" i="44"/>
  <c r="AP163" i="44"/>
  <c r="AO120" i="44"/>
  <c r="AQ120" i="44" s="1"/>
  <c r="AP119" i="44"/>
  <c r="AO145" i="44"/>
  <c r="AQ145" i="44" s="1"/>
  <c r="AP143" i="44"/>
  <c r="AO47" i="44"/>
  <c r="AP46" i="44"/>
  <c r="AO25" i="44"/>
  <c r="AP24" i="44"/>
  <c r="AQ144" i="44" l="1"/>
  <c r="AP144" i="44"/>
  <c r="AP88" i="44"/>
  <c r="AQ134" i="44"/>
  <c r="AO135" i="44"/>
  <c r="AQ90" i="44"/>
  <c r="AP90" i="44"/>
  <c r="AP64" i="44"/>
  <c r="AO65" i="44"/>
  <c r="AQ65" i="44" s="1"/>
  <c r="AQ47" i="44"/>
  <c r="AO48" i="44"/>
  <c r="AO49" i="44" s="1"/>
  <c r="AQ89" i="44"/>
  <c r="AO91" i="44"/>
  <c r="CD35" i="37"/>
  <c r="AQ25" i="44"/>
  <c r="AO26" i="44"/>
  <c r="AP134" i="44"/>
  <c r="AO111" i="44"/>
  <c r="AQ111" i="44" s="1"/>
  <c r="CF36" i="37"/>
  <c r="CD36" i="37"/>
  <c r="AP110" i="44"/>
  <c r="AP168" i="44"/>
  <c r="AP185" i="44"/>
  <c r="AQ185" i="44"/>
  <c r="AP160" i="44"/>
  <c r="AQ160" i="44"/>
  <c r="AP176" i="44"/>
  <c r="AQ176" i="44"/>
  <c r="AP164" i="44"/>
  <c r="AQ164" i="44"/>
  <c r="AP172" i="44"/>
  <c r="AQ172" i="44"/>
  <c r="AP156" i="44"/>
  <c r="AQ156" i="44"/>
  <c r="AP180" i="44"/>
  <c r="AQ180" i="44"/>
  <c r="AO38" i="44"/>
  <c r="AQ37" i="44"/>
  <c r="AP100" i="44"/>
  <c r="AO101" i="44"/>
  <c r="AQ101" i="44" s="1"/>
  <c r="CC37" i="37"/>
  <c r="CF33" i="37"/>
  <c r="CD33" i="37"/>
  <c r="CC21" i="37"/>
  <c r="CF20" i="37"/>
  <c r="CD20" i="37"/>
  <c r="AP89" i="44"/>
  <c r="AO76" i="44"/>
  <c r="AQ76" i="44" s="1"/>
  <c r="AP75" i="44"/>
  <c r="AQ28" i="44"/>
  <c r="AP25" i="44"/>
  <c r="AO50" i="44"/>
  <c r="AQ50" i="44" s="1"/>
  <c r="AP47" i="44"/>
  <c r="AO121" i="44"/>
  <c r="AQ121" i="44" s="1"/>
  <c r="AP120" i="44"/>
  <c r="AO146" i="44"/>
  <c r="AQ146" i="44" s="1"/>
  <c r="AP145" i="44"/>
  <c r="AO112" i="44"/>
  <c r="AQ112" i="44" s="1"/>
  <c r="AP111" i="44" l="1"/>
  <c r="AP135" i="44"/>
  <c r="AQ135" i="44"/>
  <c r="AO136" i="44"/>
  <c r="AP65" i="44"/>
  <c r="AO66" i="44"/>
  <c r="AP49" i="44"/>
  <c r="AQ49" i="44"/>
  <c r="AQ48" i="44"/>
  <c r="AP48" i="44"/>
  <c r="AP91" i="44"/>
  <c r="AQ91" i="44"/>
  <c r="AQ27" i="44"/>
  <c r="AP27" i="44"/>
  <c r="AQ26" i="44"/>
  <c r="AP26" i="44"/>
  <c r="AO102" i="44"/>
  <c r="AQ102" i="44" s="1"/>
  <c r="AP101" i="44"/>
  <c r="AP38" i="44"/>
  <c r="AQ38" i="44"/>
  <c r="AO39" i="44"/>
  <c r="CC22" i="37"/>
  <c r="CC23" i="37" s="1"/>
  <c r="CC24" i="37" s="1"/>
  <c r="CF21" i="37"/>
  <c r="CD21" i="37"/>
  <c r="CC38" i="37"/>
  <c r="CC41" i="37" s="1"/>
  <c r="CF37" i="37"/>
  <c r="CD37" i="37"/>
  <c r="AP28" i="44"/>
  <c r="AO29" i="44"/>
  <c r="AQ29" i="44" s="1"/>
  <c r="AP112" i="44"/>
  <c r="AO113" i="44"/>
  <c r="AQ113" i="44" s="1"/>
  <c r="AO77" i="44"/>
  <c r="AQ77" i="44" s="1"/>
  <c r="AP76" i="44"/>
  <c r="AO92" i="44"/>
  <c r="AQ92" i="44" s="1"/>
  <c r="AO147" i="44"/>
  <c r="AQ147" i="44" s="1"/>
  <c r="AP146" i="44"/>
  <c r="AO122" i="44"/>
  <c r="AQ122" i="44" s="1"/>
  <c r="AP121" i="44"/>
  <c r="AO51" i="44"/>
  <c r="AP50" i="44"/>
  <c r="AQ66" i="44" l="1"/>
  <c r="AO67" i="44"/>
  <c r="AP136" i="44"/>
  <c r="AO137" i="44"/>
  <c r="AQ136" i="44"/>
  <c r="AP66" i="44"/>
  <c r="AQ51" i="44"/>
  <c r="AO52" i="44"/>
  <c r="AO53" i="44" s="1"/>
  <c r="CF41" i="37"/>
  <c r="CD41" i="37"/>
  <c r="CF24" i="37"/>
  <c r="CD24" i="37"/>
  <c r="CF23" i="37"/>
  <c r="CD23" i="37"/>
  <c r="AP102" i="44"/>
  <c r="AO103" i="44"/>
  <c r="AQ103" i="44" s="1"/>
  <c r="AQ39" i="44"/>
  <c r="AP39" i="44"/>
  <c r="AO40" i="44"/>
  <c r="CC25" i="37"/>
  <c r="CF22" i="37"/>
  <c r="CD22" i="37"/>
  <c r="CC39" i="37"/>
  <c r="CC42" i="37" s="1"/>
  <c r="CF38" i="37"/>
  <c r="CD38" i="37"/>
  <c r="AP77" i="44"/>
  <c r="AO78" i="44"/>
  <c r="AO93" i="44"/>
  <c r="AQ93" i="44" s="1"/>
  <c r="AP92" i="44"/>
  <c r="AO114" i="44"/>
  <c r="AQ114" i="44" s="1"/>
  <c r="AP113" i="44"/>
  <c r="AP147" i="44"/>
  <c r="AO148" i="44"/>
  <c r="AQ148" i="44" s="1"/>
  <c r="AO30" i="44"/>
  <c r="AQ30" i="44" s="1"/>
  <c r="AP29" i="44"/>
  <c r="AP51" i="44"/>
  <c r="AO123" i="44"/>
  <c r="AQ123" i="44" s="1"/>
  <c r="AP122" i="44"/>
  <c r="AP53" i="44" l="1"/>
  <c r="AQ53" i="44"/>
  <c r="AO54" i="44"/>
  <c r="AQ78" i="44"/>
  <c r="AO79" i="44"/>
  <c r="AQ137" i="44"/>
  <c r="AO138" i="44"/>
  <c r="AP137" i="44"/>
  <c r="AP67" i="44"/>
  <c r="AQ67" i="44"/>
  <c r="AO68" i="44"/>
  <c r="AQ52" i="44"/>
  <c r="AP52" i="44"/>
  <c r="AO104" i="44"/>
  <c r="AQ104" i="44" s="1"/>
  <c r="AP103" i="44"/>
  <c r="CF42" i="37"/>
  <c r="CD42" i="37"/>
  <c r="AQ40" i="44"/>
  <c r="AP40" i="44"/>
  <c r="AO41" i="44"/>
  <c r="CC40" i="37"/>
  <c r="CF39" i="37"/>
  <c r="CD39" i="37"/>
  <c r="CC26" i="37"/>
  <c r="CC27" i="37" s="1"/>
  <c r="CF25" i="37"/>
  <c r="CD25" i="37"/>
  <c r="AO105" i="44"/>
  <c r="AQ105" i="44" s="1"/>
  <c r="AP104" i="44"/>
  <c r="AO115" i="44"/>
  <c r="AQ115" i="44" s="1"/>
  <c r="AP114" i="44"/>
  <c r="AO149" i="44"/>
  <c r="AQ149" i="44" s="1"/>
  <c r="AP148" i="44"/>
  <c r="AO82" i="44"/>
  <c r="AQ82" i="44" s="1"/>
  <c r="AP78" i="44"/>
  <c r="AO94" i="44"/>
  <c r="AQ94" i="44" s="1"/>
  <c r="AP93" i="44"/>
  <c r="AO31" i="44"/>
  <c r="AQ31" i="44" s="1"/>
  <c r="AP30" i="44"/>
  <c r="AO124" i="44"/>
  <c r="AO127" i="44" s="1"/>
  <c r="AP123" i="44"/>
  <c r="AQ54" i="44" l="1"/>
  <c r="AO55" i="44"/>
  <c r="AP54" i="44"/>
  <c r="AO69" i="44"/>
  <c r="AO71" i="44" s="1"/>
  <c r="AQ68" i="44"/>
  <c r="AP68" i="44"/>
  <c r="AQ79" i="44"/>
  <c r="AO80" i="44"/>
  <c r="AP79" i="44"/>
  <c r="AP138" i="44"/>
  <c r="AQ138" i="44"/>
  <c r="AO139" i="44"/>
  <c r="AQ127" i="44"/>
  <c r="AP127" i="44"/>
  <c r="AQ124" i="44"/>
  <c r="AO125" i="44"/>
  <c r="AO128" i="44" s="1"/>
  <c r="AQ41" i="44"/>
  <c r="AO42" i="44"/>
  <c r="AP41" i="44"/>
  <c r="CF26" i="37"/>
  <c r="CD26" i="37"/>
  <c r="CC43" i="37"/>
  <c r="CF40" i="37"/>
  <c r="CD40" i="37"/>
  <c r="AO150" i="44"/>
  <c r="AQ150" i="44" s="1"/>
  <c r="AP149" i="44"/>
  <c r="AO116" i="44"/>
  <c r="AP115" i="44"/>
  <c r="AO106" i="44"/>
  <c r="AP105" i="44"/>
  <c r="AO95" i="44"/>
  <c r="AQ95" i="44" s="1"/>
  <c r="AP94" i="44"/>
  <c r="AO83" i="44"/>
  <c r="AQ83" i="44" s="1"/>
  <c r="AP82" i="44"/>
  <c r="AP124" i="44"/>
  <c r="AO126" i="44"/>
  <c r="AQ126" i="44" s="1"/>
  <c r="AP31" i="44"/>
  <c r="AO32" i="44"/>
  <c r="AQ32" i="44" s="1"/>
  <c r="AQ55" i="44" l="1"/>
  <c r="AP55" i="44"/>
  <c r="AO56" i="44"/>
  <c r="AP80" i="44"/>
  <c r="AQ80" i="44"/>
  <c r="AO81" i="44"/>
  <c r="AP139" i="44"/>
  <c r="AQ139" i="44"/>
  <c r="AO140" i="44"/>
  <c r="AO70" i="44"/>
  <c r="AQ69" i="44"/>
  <c r="AP69" i="44"/>
  <c r="AQ128" i="44"/>
  <c r="AP128" i="44"/>
  <c r="AQ125" i="44"/>
  <c r="AP125" i="44"/>
  <c r="AP106" i="44"/>
  <c r="AQ106" i="44"/>
  <c r="AP116" i="44"/>
  <c r="AQ116" i="44"/>
  <c r="AQ42" i="44"/>
  <c r="AP42" i="44"/>
  <c r="AO43" i="44"/>
  <c r="AP71" i="44"/>
  <c r="AQ71" i="44"/>
  <c r="CC45" i="37"/>
  <c r="CF43" i="37"/>
  <c r="CD43" i="37"/>
  <c r="CC28" i="37"/>
  <c r="CF27" i="37"/>
  <c r="CD27" i="37"/>
  <c r="AO96" i="44"/>
  <c r="AP95" i="44"/>
  <c r="AO129" i="44"/>
  <c r="AQ129" i="44" s="1"/>
  <c r="AP126" i="44"/>
  <c r="AO84" i="44"/>
  <c r="AP83" i="44"/>
  <c r="AO33" i="44"/>
  <c r="AP32" i="44"/>
  <c r="AO151" i="44"/>
  <c r="AQ151" i="44" s="1"/>
  <c r="AP150" i="44"/>
  <c r="AP56" i="44" l="1"/>
  <c r="AQ56" i="44"/>
  <c r="AO57" i="44"/>
  <c r="AP70" i="44"/>
  <c r="AQ70" i="44"/>
  <c r="AP140" i="44"/>
  <c r="AQ140" i="44"/>
  <c r="AP81" i="44"/>
  <c r="AQ81" i="44"/>
  <c r="AP33" i="44"/>
  <c r="AQ33" i="44"/>
  <c r="AP43" i="44"/>
  <c r="AQ43" i="44"/>
  <c r="AP84" i="44"/>
  <c r="AQ84" i="44"/>
  <c r="AP96" i="44"/>
  <c r="AQ96" i="44"/>
  <c r="CC29" i="37"/>
  <c r="CF28" i="37"/>
  <c r="CD28" i="37"/>
  <c r="CC46" i="37"/>
  <c r="CC47" i="37" s="1"/>
  <c r="CF45" i="37"/>
  <c r="CD45" i="37"/>
  <c r="AO130" i="44"/>
  <c r="AP129" i="44"/>
  <c r="AO152" i="44"/>
  <c r="AP151" i="44"/>
  <c r="AP57" i="44" l="1"/>
  <c r="AO58" i="44"/>
  <c r="AQ57" i="44"/>
  <c r="CF47" i="37"/>
  <c r="CD47" i="37"/>
  <c r="AP152" i="44"/>
  <c r="AQ152" i="44"/>
  <c r="AP130" i="44"/>
  <c r="AQ130" i="44"/>
  <c r="CF29" i="37"/>
  <c r="CD29" i="37"/>
  <c r="CC48" i="37"/>
  <c r="CC50" i="37" s="1"/>
  <c r="CC52" i="37" s="1"/>
  <c r="CF46" i="37"/>
  <c r="CD46" i="37"/>
  <c r="AO59" i="44" l="1"/>
  <c r="AP58" i="44"/>
  <c r="AQ58" i="44"/>
  <c r="CD52" i="37"/>
  <c r="CF52" i="37"/>
  <c r="CC54" i="37"/>
  <c r="CF50" i="37"/>
  <c r="CD50" i="37"/>
  <c r="CC49" i="37"/>
  <c r="CF48" i="37"/>
  <c r="CD48" i="37"/>
  <c r="AQ59" i="44" l="1"/>
  <c r="AP59" i="44"/>
  <c r="AO60" i="44"/>
  <c r="CD54" i="37"/>
  <c r="CF54" i="37"/>
  <c r="CC51" i="37"/>
  <c r="CC53" i="37" s="1"/>
  <c r="CF49" i="37"/>
  <c r="CD49" i="37"/>
  <c r="H122" i="44"/>
  <c r="J122" i="44" s="1"/>
  <c r="AM17" i="44"/>
  <c r="AI17" i="44"/>
  <c r="AE17" i="44"/>
  <c r="AA17" i="44"/>
  <c r="AB6" i="44" s="1"/>
  <c r="J147" i="44"/>
  <c r="J146" i="44"/>
  <c r="AM146" i="44"/>
  <c r="AI146" i="44"/>
  <c r="AE146" i="44"/>
  <c r="AA146" i="44"/>
  <c r="S146" i="44"/>
  <c r="P146" i="44"/>
  <c r="R146" i="44" s="1"/>
  <c r="O146" i="44"/>
  <c r="M146" i="44"/>
  <c r="L146" i="44"/>
  <c r="F146" i="44"/>
  <c r="AI56" i="44"/>
  <c r="AE56" i="44"/>
  <c r="AA56" i="44"/>
  <c r="V56" i="44" s="1"/>
  <c r="W56" i="44" s="1"/>
  <c r="AI55" i="44"/>
  <c r="AE55" i="44"/>
  <c r="AA55" i="44"/>
  <c r="AI54" i="44"/>
  <c r="AE54" i="44"/>
  <c r="AA54" i="44"/>
  <c r="H38" i="44"/>
  <c r="J28" i="44"/>
  <c r="AM25" i="44"/>
  <c r="AI25" i="44"/>
  <c r="AE25" i="44"/>
  <c r="AA25" i="44"/>
  <c r="S25" i="44"/>
  <c r="P25" i="44"/>
  <c r="R25" i="44" s="1"/>
  <c r="O25" i="44"/>
  <c r="M25" i="44"/>
  <c r="L25" i="44"/>
  <c r="A20" i="44"/>
  <c r="A22" i="44" s="1"/>
  <c r="A24" i="44" s="1"/>
  <c r="A21" i="44"/>
  <c r="A23" i="44" s="1"/>
  <c r="AM152" i="44"/>
  <c r="AM151" i="44"/>
  <c r="AM150" i="44"/>
  <c r="AM149" i="44"/>
  <c r="AM148" i="44"/>
  <c r="AM147" i="44"/>
  <c r="AM145" i="44"/>
  <c r="AI152" i="44"/>
  <c r="AI151" i="44"/>
  <c r="AI150" i="44"/>
  <c r="AI149" i="44"/>
  <c r="AI148" i="44"/>
  <c r="AI147" i="44"/>
  <c r="AI145" i="44"/>
  <c r="AE152" i="44"/>
  <c r="AE151" i="44"/>
  <c r="AE150" i="44"/>
  <c r="AE149" i="44"/>
  <c r="AE148" i="44"/>
  <c r="AE147" i="44"/>
  <c r="AE145" i="44"/>
  <c r="AA152" i="44"/>
  <c r="AA151" i="44"/>
  <c r="AA150" i="44"/>
  <c r="AA149" i="44"/>
  <c r="AA148" i="44"/>
  <c r="AA147" i="44"/>
  <c r="AA145" i="44"/>
  <c r="AM140" i="44"/>
  <c r="AM139" i="44"/>
  <c r="AM138" i="44"/>
  <c r="AM137" i="44"/>
  <c r="AM136" i="44"/>
  <c r="AM135" i="44"/>
  <c r="AM134" i="44"/>
  <c r="AI140" i="44"/>
  <c r="AI139" i="44"/>
  <c r="AI138" i="44"/>
  <c r="AI137" i="44"/>
  <c r="AI136" i="44"/>
  <c r="AI135" i="44"/>
  <c r="AI134" i="44"/>
  <c r="AE140" i="44"/>
  <c r="AE139" i="44"/>
  <c r="AE138" i="44"/>
  <c r="AE137" i="44"/>
  <c r="AE136" i="44"/>
  <c r="AE135" i="44"/>
  <c r="AE134" i="44"/>
  <c r="AA140" i="44"/>
  <c r="AA139" i="44"/>
  <c r="AA138" i="44"/>
  <c r="AA137" i="44"/>
  <c r="AA136" i="44"/>
  <c r="AA135" i="44"/>
  <c r="AA134" i="44"/>
  <c r="AM129" i="44"/>
  <c r="AM126" i="44"/>
  <c r="AM124" i="44"/>
  <c r="AM123" i="44"/>
  <c r="AM122" i="44"/>
  <c r="AM121" i="44"/>
  <c r="AM120" i="44"/>
  <c r="AI129" i="44"/>
  <c r="AI126" i="44"/>
  <c r="AI124" i="44"/>
  <c r="AI123" i="44"/>
  <c r="AI122" i="44"/>
  <c r="AI121" i="44"/>
  <c r="AI120" i="44"/>
  <c r="AE129" i="44"/>
  <c r="AE126" i="44"/>
  <c r="AE124" i="44"/>
  <c r="AE123" i="44"/>
  <c r="AE122" i="44"/>
  <c r="AE121" i="44"/>
  <c r="AE120" i="44"/>
  <c r="AA129" i="44"/>
  <c r="AA126" i="44"/>
  <c r="AA124" i="44"/>
  <c r="AA123" i="44"/>
  <c r="AA122" i="44"/>
  <c r="AA121" i="44"/>
  <c r="AA120" i="44"/>
  <c r="AM116" i="44"/>
  <c r="AM115" i="44"/>
  <c r="AM114" i="44"/>
  <c r="AM112" i="44"/>
  <c r="I7" i="50" s="1"/>
  <c r="AM111" i="44"/>
  <c r="AM110" i="44"/>
  <c r="AI116" i="44"/>
  <c r="AI115" i="44"/>
  <c r="AI114" i="44"/>
  <c r="AI113" i="44"/>
  <c r="AI111" i="44"/>
  <c r="H6" i="50" s="1"/>
  <c r="AI110" i="44"/>
  <c r="AE116" i="44"/>
  <c r="AE115" i="44"/>
  <c r="AE114" i="44"/>
  <c r="AE113" i="44"/>
  <c r="AE111" i="44"/>
  <c r="G6" i="50" s="1"/>
  <c r="AE110" i="44"/>
  <c r="AA116" i="44"/>
  <c r="AA115" i="44"/>
  <c r="AA114" i="44"/>
  <c r="AA113" i="44"/>
  <c r="AA112" i="44"/>
  <c r="AA110" i="44"/>
  <c r="F5" i="50" s="1"/>
  <c r="AM106" i="44"/>
  <c r="AM105" i="44"/>
  <c r="AM104" i="44"/>
  <c r="AM103" i="44"/>
  <c r="I18" i="50" s="1"/>
  <c r="AM102" i="44"/>
  <c r="I17" i="50" s="1"/>
  <c r="AM101" i="44"/>
  <c r="AM100" i="44"/>
  <c r="AI106" i="44"/>
  <c r="AI105" i="44"/>
  <c r="AI104" i="44"/>
  <c r="AI103" i="44"/>
  <c r="AI102" i="44"/>
  <c r="H17" i="50" s="1"/>
  <c r="AI101" i="44"/>
  <c r="AI100" i="44"/>
  <c r="AE106" i="44"/>
  <c r="AE105" i="44"/>
  <c r="AE104" i="44"/>
  <c r="AE103" i="44"/>
  <c r="AE102" i="44"/>
  <c r="G17" i="50" s="1"/>
  <c r="AE101" i="44"/>
  <c r="AE100" i="44"/>
  <c r="G15" i="50" s="1"/>
  <c r="AA106" i="44"/>
  <c r="AA105" i="44"/>
  <c r="AA104" i="44"/>
  <c r="AA103" i="44"/>
  <c r="AA102" i="44"/>
  <c r="AA101" i="44"/>
  <c r="AA100" i="44"/>
  <c r="F15" i="50" s="1"/>
  <c r="AM95" i="44"/>
  <c r="AM94" i="44"/>
  <c r="AM93" i="44"/>
  <c r="AM92" i="44"/>
  <c r="AM89" i="44"/>
  <c r="AI95" i="44"/>
  <c r="AI94" i="44"/>
  <c r="AI93" i="44"/>
  <c r="AI92" i="44"/>
  <c r="AI89" i="44"/>
  <c r="AE95" i="44"/>
  <c r="AE94" i="44"/>
  <c r="AE93" i="44"/>
  <c r="AE92" i="44"/>
  <c r="AE89" i="44"/>
  <c r="AA95" i="44"/>
  <c r="AA94" i="44"/>
  <c r="AA93" i="44"/>
  <c r="AA92" i="44"/>
  <c r="AA89" i="44"/>
  <c r="AM84" i="44"/>
  <c r="AM83" i="44"/>
  <c r="AM82" i="44"/>
  <c r="AM78" i="44"/>
  <c r="AM77" i="44"/>
  <c r="AM76" i="44"/>
  <c r="AM75" i="44"/>
  <c r="AI84" i="44"/>
  <c r="AI83" i="44"/>
  <c r="AI82" i="44"/>
  <c r="AI78" i="44"/>
  <c r="AI77" i="44"/>
  <c r="AI76" i="44"/>
  <c r="AI75" i="44"/>
  <c r="AE84" i="44"/>
  <c r="AE83" i="44"/>
  <c r="AE82" i="44"/>
  <c r="AE78" i="44"/>
  <c r="AE75" i="44"/>
  <c r="AA84" i="44"/>
  <c r="AA83" i="44"/>
  <c r="AA82" i="44"/>
  <c r="AA78" i="44"/>
  <c r="AA77" i="44"/>
  <c r="AA76" i="44"/>
  <c r="AA75" i="44"/>
  <c r="AM71" i="44"/>
  <c r="AM66" i="44"/>
  <c r="AM65" i="44"/>
  <c r="AM64" i="44"/>
  <c r="AI71" i="44"/>
  <c r="AI66" i="44"/>
  <c r="AI65" i="44"/>
  <c r="AI64" i="44"/>
  <c r="AE71" i="44"/>
  <c r="AE69" i="44"/>
  <c r="AE68" i="44"/>
  <c r="AE67" i="44"/>
  <c r="AE66" i="44"/>
  <c r="AE65" i="44"/>
  <c r="AE64" i="44"/>
  <c r="AA71" i="44"/>
  <c r="AA69" i="44"/>
  <c r="AA68" i="44"/>
  <c r="AA67" i="44"/>
  <c r="AA66" i="44"/>
  <c r="AA65" i="44"/>
  <c r="AA64" i="44"/>
  <c r="AM51" i="44"/>
  <c r="AM50" i="44"/>
  <c r="AM47" i="44"/>
  <c r="AI58" i="44"/>
  <c r="AI57" i="44"/>
  <c r="AI53" i="44"/>
  <c r="AI51" i="44"/>
  <c r="AI47" i="44"/>
  <c r="AE58" i="44"/>
  <c r="AE57" i="44"/>
  <c r="AE53" i="44"/>
  <c r="AE51" i="44"/>
  <c r="AE50" i="44"/>
  <c r="AE47" i="44"/>
  <c r="AA58" i="44"/>
  <c r="AA57" i="44"/>
  <c r="AA53" i="44"/>
  <c r="AA51" i="44"/>
  <c r="AA50" i="44"/>
  <c r="AA47" i="44"/>
  <c r="V179" i="44"/>
  <c r="V175" i="44"/>
  <c r="V171" i="44"/>
  <c r="V167" i="44"/>
  <c r="V163" i="44"/>
  <c r="V159" i="44"/>
  <c r="V155" i="44"/>
  <c r="AM43" i="44"/>
  <c r="AM42" i="44"/>
  <c r="AM41" i="44"/>
  <c r="AM40" i="44"/>
  <c r="AM39" i="44"/>
  <c r="AM38" i="44"/>
  <c r="AM37" i="44"/>
  <c r="AI43" i="44"/>
  <c r="AI42" i="44"/>
  <c r="AI41" i="44"/>
  <c r="AI40" i="44"/>
  <c r="AI38" i="44"/>
  <c r="AI37" i="44"/>
  <c r="AE43" i="44"/>
  <c r="AE42" i="44"/>
  <c r="AE41" i="44"/>
  <c r="AE40" i="44"/>
  <c r="AE38" i="44"/>
  <c r="AE37" i="44"/>
  <c r="AA39" i="44"/>
  <c r="AA40" i="44"/>
  <c r="AA41" i="44"/>
  <c r="AA42" i="44"/>
  <c r="AA43" i="44"/>
  <c r="AA37" i="44"/>
  <c r="AM33" i="44"/>
  <c r="AM32" i="44"/>
  <c r="AM31" i="44"/>
  <c r="AM30" i="44"/>
  <c r="AM29" i="44"/>
  <c r="AM28" i="44"/>
  <c r="AI33" i="44"/>
  <c r="AI32" i="44"/>
  <c r="AI31" i="44"/>
  <c r="AI30" i="44"/>
  <c r="AI29" i="44"/>
  <c r="AI28" i="44"/>
  <c r="AE33" i="44"/>
  <c r="AE32" i="44"/>
  <c r="AE31" i="44"/>
  <c r="AE30" i="44"/>
  <c r="AE29" i="44"/>
  <c r="AA29" i="44"/>
  <c r="AA30" i="44"/>
  <c r="AA31" i="44"/>
  <c r="AA32" i="44"/>
  <c r="AA33" i="44"/>
  <c r="AA28" i="44"/>
  <c r="V54" i="44" l="1"/>
  <c r="W54" i="44" s="1"/>
  <c r="V55" i="44"/>
  <c r="W55" i="44" s="1"/>
  <c r="AP60" i="44"/>
  <c r="AQ60" i="44"/>
  <c r="AI46" i="44"/>
  <c r="V57" i="44"/>
  <c r="W57" i="44" s="1"/>
  <c r="K31" i="45"/>
  <c r="I31" i="45"/>
  <c r="G31" i="45"/>
  <c r="F31" i="45"/>
  <c r="J31" i="45"/>
  <c r="O31" i="45"/>
  <c r="E31" i="45"/>
  <c r="M31" i="45"/>
  <c r="L31" i="45"/>
  <c r="V53" i="44"/>
  <c r="W53" i="44" s="1"/>
  <c r="V58" i="44"/>
  <c r="W58" i="44" s="1"/>
  <c r="AM46" i="44"/>
  <c r="AE46" i="44"/>
  <c r="AA46" i="44"/>
  <c r="CD53" i="37"/>
  <c r="CC55" i="37"/>
  <c r="CF53" i="37"/>
  <c r="V25" i="44"/>
  <c r="AA143" i="44"/>
  <c r="AI74" i="44"/>
  <c r="AA74" i="44"/>
  <c r="AE74" i="44"/>
  <c r="AM74" i="44"/>
  <c r="V135" i="44"/>
  <c r="V84" i="44"/>
  <c r="W84" i="44" s="1"/>
  <c r="V82" i="44"/>
  <c r="W82" i="44" s="1"/>
  <c r="N84" i="44"/>
  <c r="U84" i="44" s="1"/>
  <c r="T84" i="44" s="1"/>
  <c r="V83" i="44"/>
  <c r="N83" i="44" s="1"/>
  <c r="U83" i="44" s="1"/>
  <c r="T83" i="44" s="1"/>
  <c r="V71" i="44"/>
  <c r="W71" i="44" s="1"/>
  <c r="W135" i="44"/>
  <c r="N135" i="44"/>
  <c r="U135" i="44" s="1"/>
  <c r="T135" i="44" s="1"/>
  <c r="AM24" i="44"/>
  <c r="AA24" i="44"/>
  <c r="AE24" i="44"/>
  <c r="AI24" i="44"/>
  <c r="A29" i="44"/>
  <c r="A31" i="44" s="1"/>
  <c r="A33" i="44" s="1"/>
  <c r="A35" i="44" s="1"/>
  <c r="A37" i="44" s="1"/>
  <c r="A39" i="44" s="1"/>
  <c r="A41" i="44" s="1"/>
  <c r="A43" i="44" s="1"/>
  <c r="A45" i="44" s="1"/>
  <c r="A47" i="44" s="1"/>
  <c r="A51" i="44" s="1"/>
  <c r="A54" i="44" s="1"/>
  <c r="A56" i="44" s="1"/>
  <c r="A58" i="44" s="1"/>
  <c r="A61" i="44" s="1"/>
  <c r="A63" i="44" s="1"/>
  <c r="A65" i="44" s="1"/>
  <c r="A67" i="44" s="1"/>
  <c r="A69" i="44" s="1"/>
  <c r="A72" i="44" s="1"/>
  <c r="A74" i="44" s="1"/>
  <c r="A76" i="44" s="1"/>
  <c r="A78" i="44" s="1"/>
  <c r="A83" i="44" s="1"/>
  <c r="A85" i="44" s="1"/>
  <c r="A87" i="44" s="1"/>
  <c r="A89" i="44" s="1"/>
  <c r="A92" i="44" s="1"/>
  <c r="A94" i="44" s="1"/>
  <c r="A96" i="44" s="1"/>
  <c r="A98" i="44" s="1"/>
  <c r="A100" i="44" s="1"/>
  <c r="A102" i="44" s="1"/>
  <c r="A104" i="44" s="1"/>
  <c r="A106" i="44" s="1"/>
  <c r="A108" i="44" s="1"/>
  <c r="A110" i="44" s="1"/>
  <c r="A112" i="44" s="1"/>
  <c r="A114" i="44" s="1"/>
  <c r="A116" i="44" s="1"/>
  <c r="A118" i="44" s="1"/>
  <c r="A120" i="44" s="1"/>
  <c r="A122" i="44" s="1"/>
  <c r="A27" i="44"/>
  <c r="A28" i="44"/>
  <c r="A30" i="44" s="1"/>
  <c r="A32" i="44" s="1"/>
  <c r="A34" i="44" s="1"/>
  <c r="A36" i="44" s="1"/>
  <c r="A38" i="44" s="1"/>
  <c r="A40" i="44" s="1"/>
  <c r="A42" i="44" s="1"/>
  <c r="A44" i="44" s="1"/>
  <c r="A46" i="44" s="1"/>
  <c r="A26" i="44"/>
  <c r="N26" i="45"/>
  <c r="K19" i="45"/>
  <c r="I19" i="45"/>
  <c r="H28" i="45"/>
  <c r="H20" i="45"/>
  <c r="L25" i="45"/>
  <c r="O29" i="45"/>
  <c r="F25" i="45"/>
  <c r="G29" i="45"/>
  <c r="E26" i="45"/>
  <c r="M19" i="45"/>
  <c r="F26" i="45"/>
  <c r="H25" i="45"/>
  <c r="F23" i="45"/>
  <c r="E25" i="45"/>
  <c r="N29" i="45"/>
  <c r="AN17" i="44"/>
  <c r="CC56" i="37"/>
  <c r="CF51" i="37"/>
  <c r="CD51" i="37"/>
  <c r="N56" i="44"/>
  <c r="V146" i="44"/>
  <c r="N146" i="44" s="1"/>
  <c r="U146" i="44" s="1"/>
  <c r="T146" i="44" s="1"/>
  <c r="A25" i="44"/>
  <c r="V114" i="44"/>
  <c r="V137" i="44"/>
  <c r="V150" i="44"/>
  <c r="V106" i="44"/>
  <c r="V126" i="44"/>
  <c r="W126" i="44" s="1"/>
  <c r="V152" i="44"/>
  <c r="V101" i="44"/>
  <c r="V112" i="44"/>
  <c r="AA99" i="44"/>
  <c r="V89" i="44"/>
  <c r="V76" i="44"/>
  <c r="W76" i="44" s="1"/>
  <c r="V105" i="44"/>
  <c r="V116" i="44"/>
  <c r="V147" i="44"/>
  <c r="V43" i="44"/>
  <c r="V123" i="44"/>
  <c r="V139" i="44"/>
  <c r="V64" i="44"/>
  <c r="AE36" i="44"/>
  <c r="V77" i="44"/>
  <c r="V41" i="44"/>
  <c r="V40" i="44"/>
  <c r="N57" i="44"/>
  <c r="U57" i="44" s="1"/>
  <c r="T57" i="44" s="1"/>
  <c r="V94" i="44"/>
  <c r="V100" i="44"/>
  <c r="V115" i="44"/>
  <c r="V113" i="44"/>
  <c r="W113" i="44" s="1"/>
  <c r="V121" i="44"/>
  <c r="V129" i="44"/>
  <c r="V151" i="44"/>
  <c r="V33" i="44"/>
  <c r="V122" i="44"/>
  <c r="W122" i="44" s="1"/>
  <c r="V93" i="44"/>
  <c r="AI87" i="44"/>
  <c r="AI119" i="44"/>
  <c r="V95" i="44"/>
  <c r="AI63" i="44"/>
  <c r="V28" i="44"/>
  <c r="V37" i="44"/>
  <c r="V68" i="44"/>
  <c r="V67" i="44"/>
  <c r="AM87" i="44"/>
  <c r="V104" i="44"/>
  <c r="V138" i="44"/>
  <c r="V32" i="44"/>
  <c r="V42" i="44"/>
  <c r="AM119" i="44"/>
  <c r="AI36" i="44"/>
  <c r="AA133" i="44"/>
  <c r="AI143" i="44"/>
  <c r="V124" i="44"/>
  <c r="V39" i="44"/>
  <c r="AA119" i="44"/>
  <c r="V148" i="44"/>
  <c r="V75" i="44"/>
  <c r="AM99" i="44"/>
  <c r="AM143" i="44"/>
  <c r="V120" i="44"/>
  <c r="N53" i="44"/>
  <c r="AM36" i="44"/>
  <c r="V140" i="44"/>
  <c r="AM133" i="44"/>
  <c r="V92" i="44"/>
  <c r="AE133" i="44"/>
  <c r="AE119" i="44"/>
  <c r="V65" i="44"/>
  <c r="AI99" i="44"/>
  <c r="V136" i="44"/>
  <c r="AA63" i="44"/>
  <c r="V69" i="44"/>
  <c r="AM63" i="44"/>
  <c r="AI133" i="44"/>
  <c r="V31" i="44"/>
  <c r="V30" i="44"/>
  <c r="V29" i="44"/>
  <c r="V149" i="44"/>
  <c r="V145" i="44"/>
  <c r="AE143" i="44"/>
  <c r="V134" i="44"/>
  <c r="V110" i="44"/>
  <c r="D5" i="50" s="1"/>
  <c r="V111" i="44"/>
  <c r="V103" i="44"/>
  <c r="D18" i="50" s="1"/>
  <c r="V102" i="44"/>
  <c r="D17" i="50" s="1"/>
  <c r="AE99" i="44"/>
  <c r="AE87" i="44"/>
  <c r="V78" i="44"/>
  <c r="V66" i="44"/>
  <c r="AE63" i="44"/>
  <c r="V47" i="44"/>
  <c r="D10" i="51" s="1"/>
  <c r="V50" i="44"/>
  <c r="V51" i="44"/>
  <c r="G22" i="45" s="1"/>
  <c r="D15" i="50" l="1"/>
  <c r="D8" i="51"/>
  <c r="W25" i="44"/>
  <c r="W24" i="44" s="1"/>
  <c r="AN26" i="44"/>
  <c r="W112" i="44"/>
  <c r="D7" i="50"/>
  <c r="E7" i="50" s="1"/>
  <c r="N82" i="44"/>
  <c r="U82" i="44" s="1"/>
  <c r="T82" i="44" s="1"/>
  <c r="W111" i="44"/>
  <c r="D6" i="50"/>
  <c r="E6" i="50" s="1"/>
  <c r="D14" i="50"/>
  <c r="E15" i="50"/>
  <c r="H31" i="45"/>
  <c r="O20" i="45"/>
  <c r="L22" i="45"/>
  <c r="N28" i="45"/>
  <c r="N30" i="45" s="1"/>
  <c r="E19" i="45"/>
  <c r="N31" i="45"/>
  <c r="M26" i="45"/>
  <c r="F22" i="45"/>
  <c r="F24" i="45" s="1"/>
  <c r="M25" i="45"/>
  <c r="J20" i="45"/>
  <c r="G19" i="45"/>
  <c r="H26" i="45"/>
  <c r="O25" i="45"/>
  <c r="L19" i="45"/>
  <c r="J25" i="45"/>
  <c r="K25" i="45"/>
  <c r="O28" i="45"/>
  <c r="O30" i="45" s="1"/>
  <c r="H19" i="45"/>
  <c r="N19" i="45"/>
  <c r="I20" i="45"/>
  <c r="I28" i="45"/>
  <c r="O19" i="45"/>
  <c r="K22" i="45"/>
  <c r="M29" i="45"/>
  <c r="K20" i="45"/>
  <c r="N25" i="45"/>
  <c r="K26" i="45"/>
  <c r="J19" i="45"/>
  <c r="O26" i="45"/>
  <c r="G20" i="45"/>
  <c r="H29" i="45"/>
  <c r="H30" i="45" s="1"/>
  <c r="E29" i="45"/>
  <c r="J28" i="45"/>
  <c r="E20" i="45"/>
  <c r="K23" i="45"/>
  <c r="M20" i="45"/>
  <c r="L23" i="45"/>
  <c r="F28" i="45"/>
  <c r="M28" i="45"/>
  <c r="M30" i="45" s="1"/>
  <c r="L20" i="45"/>
  <c r="N20" i="45"/>
  <c r="J29" i="45"/>
  <c r="L26" i="45"/>
  <c r="E28" i="45"/>
  <c r="J26" i="45"/>
  <c r="I29" i="45"/>
  <c r="G28" i="45"/>
  <c r="G30" i="45" s="1"/>
  <c r="F29" i="45"/>
  <c r="D31" i="45"/>
  <c r="V46" i="44"/>
  <c r="AN46" i="44" s="1"/>
  <c r="CF55" i="37"/>
  <c r="CD55" i="37"/>
  <c r="N58" i="44"/>
  <c r="T58" i="44"/>
  <c r="N55" i="44"/>
  <c r="U55" i="44" s="1"/>
  <c r="T55" i="44" s="1"/>
  <c r="N54" i="44"/>
  <c r="U54" i="44" s="1"/>
  <c r="T54" i="44" s="1"/>
  <c r="V143" i="44"/>
  <c r="AN143" i="44" s="1"/>
  <c r="V74" i="44"/>
  <c r="AN74" i="44" s="1"/>
  <c r="W83" i="44"/>
  <c r="A50" i="44"/>
  <c r="A53" i="44" s="1"/>
  <c r="A48" i="44"/>
  <c r="A52" i="44" s="1"/>
  <c r="W75" i="44"/>
  <c r="N71" i="44"/>
  <c r="U71" i="44" s="1"/>
  <c r="T71" i="44" s="1"/>
  <c r="A124" i="44"/>
  <c r="A129" i="44" s="1"/>
  <c r="A131" i="44" s="1"/>
  <c r="A133" i="44" s="1"/>
  <c r="A135" i="44" s="1"/>
  <c r="A137" i="44" s="1"/>
  <c r="A139" i="44" s="1"/>
  <c r="A141" i="44" s="1"/>
  <c r="A143" i="44" s="1"/>
  <c r="A146" i="44" s="1"/>
  <c r="A127" i="44"/>
  <c r="V24" i="44"/>
  <c r="E22" i="45"/>
  <c r="O22" i="45"/>
  <c r="O18" i="45" s="1"/>
  <c r="W146" i="44"/>
  <c r="I22" i="45"/>
  <c r="W100" i="44"/>
  <c r="K28" i="45"/>
  <c r="W64" i="44"/>
  <c r="H22" i="45"/>
  <c r="W120" i="44"/>
  <c r="M22" i="45"/>
  <c r="W110" i="44"/>
  <c r="L28" i="45"/>
  <c r="U56" i="44"/>
  <c r="T56" i="44" s="1"/>
  <c r="W51" i="44"/>
  <c r="W65" i="44"/>
  <c r="W145" i="44"/>
  <c r="W47" i="44"/>
  <c r="G25" i="45"/>
  <c r="W134" i="44"/>
  <c r="N22" i="45"/>
  <c r="W37" i="44"/>
  <c r="W77" i="44"/>
  <c r="I25" i="45"/>
  <c r="CC57" i="37"/>
  <c r="CF56" i="37"/>
  <c r="CD56" i="37"/>
  <c r="V99" i="44"/>
  <c r="AQ12" i="44" s="1"/>
  <c r="V119" i="44"/>
  <c r="V133" i="44"/>
  <c r="V63" i="44"/>
  <c r="F30" i="45" l="1"/>
  <c r="D4" i="50"/>
  <c r="AQ6" i="44"/>
  <c r="G18" i="45"/>
  <c r="AQ14" i="44"/>
  <c r="AN63" i="44"/>
  <c r="AQ15" i="44"/>
  <c r="AN119" i="44"/>
  <c r="K24" i="45"/>
  <c r="J30" i="45"/>
  <c r="I30" i="45"/>
  <c r="L24" i="45"/>
  <c r="AQ16" i="44"/>
  <c r="AN133" i="44"/>
  <c r="A57" i="44"/>
  <c r="A59" i="44" s="1"/>
  <c r="A62" i="44" s="1"/>
  <c r="A64" i="44" s="1"/>
  <c r="A66" i="44" s="1"/>
  <c r="A68" i="44" s="1"/>
  <c r="A55" i="44"/>
  <c r="AQ17" i="44"/>
  <c r="A147" i="44"/>
  <c r="A149" i="44" s="1"/>
  <c r="A151" i="44" s="1"/>
  <c r="A153" i="44" s="1"/>
  <c r="A155" i="44" s="1"/>
  <c r="A157" i="44" s="1"/>
  <c r="A159" i="44" s="1"/>
  <c r="A161" i="44" s="1"/>
  <c r="A163" i="44" s="1"/>
  <c r="A165" i="44" s="1"/>
  <c r="A167" i="44" s="1"/>
  <c r="A169" i="44" s="1"/>
  <c r="A171" i="44" s="1"/>
  <c r="A173" i="44" s="1"/>
  <c r="A175" i="44" s="1"/>
  <c r="A177" i="44" s="1"/>
  <c r="A179" i="44" s="1"/>
  <c r="A185" i="44" s="1"/>
  <c r="A187" i="44" s="1"/>
  <c r="A189" i="44" s="1"/>
  <c r="A191" i="44" s="1"/>
  <c r="A193" i="44" s="1"/>
  <c r="A195" i="44" s="1"/>
  <c r="A197" i="44" s="1"/>
  <c r="A199" i="44" s="1"/>
  <c r="A201" i="44" s="1"/>
  <c r="A203" i="44" s="1"/>
  <c r="A205" i="44" s="1"/>
  <c r="A207" i="44" s="1"/>
  <c r="A209" i="44" s="1"/>
  <c r="A211" i="44" s="1"/>
  <c r="A213" i="44" s="1"/>
  <c r="A215" i="44" s="1"/>
  <c r="A217" i="44" s="1"/>
  <c r="A219" i="44" s="1"/>
  <c r="A221" i="44" s="1"/>
  <c r="A223" i="44" s="1"/>
  <c r="A225" i="44" s="1"/>
  <c r="A227" i="44" s="1"/>
  <c r="A229" i="44" s="1"/>
  <c r="A231" i="44" s="1"/>
  <c r="A233" i="44" s="1"/>
  <c r="A235" i="44" s="1"/>
  <c r="A237" i="44" s="1"/>
  <c r="A239" i="44" s="1"/>
  <c r="D28" i="45"/>
  <c r="D25" i="45"/>
  <c r="N18" i="45"/>
  <c r="M18" i="45"/>
  <c r="I18" i="45"/>
  <c r="H18" i="45"/>
  <c r="K18" i="45"/>
  <c r="L18" i="45"/>
  <c r="CC58" i="37"/>
  <c r="CF57" i="37"/>
  <c r="CD57" i="37"/>
  <c r="S149" i="44"/>
  <c r="P149" i="44"/>
  <c r="R149" i="44" s="1"/>
  <c r="O149" i="44"/>
  <c r="M149" i="44"/>
  <c r="L149" i="44"/>
  <c r="J149" i="44"/>
  <c r="F149" i="44"/>
  <c r="S148" i="44"/>
  <c r="P148" i="44"/>
  <c r="R148" i="44" s="1"/>
  <c r="O148" i="44"/>
  <c r="M148" i="44"/>
  <c r="L148" i="44"/>
  <c r="S147" i="44"/>
  <c r="P147" i="44"/>
  <c r="R147" i="44" s="1"/>
  <c r="O147" i="44"/>
  <c r="M147" i="44"/>
  <c r="L147" i="44"/>
  <c r="F147" i="44"/>
  <c r="N147" i="44" s="1"/>
  <c r="S145" i="44"/>
  <c r="P145" i="44"/>
  <c r="R145" i="44" s="1"/>
  <c r="O145" i="44"/>
  <c r="M145" i="44"/>
  <c r="L145" i="44"/>
  <c r="F145" i="44"/>
  <c r="N145" i="44" s="1"/>
  <c r="S137" i="44"/>
  <c r="P137" i="44"/>
  <c r="R137" i="44" s="1"/>
  <c r="O137" i="44"/>
  <c r="M137" i="44"/>
  <c r="L137" i="44"/>
  <c r="J137" i="44"/>
  <c r="F137" i="44"/>
  <c r="S136" i="44"/>
  <c r="P136" i="44"/>
  <c r="R136" i="44" s="1"/>
  <c r="O136" i="44"/>
  <c r="M136" i="44"/>
  <c r="L136" i="44"/>
  <c r="J136" i="44"/>
  <c r="F136" i="44"/>
  <c r="S134" i="44"/>
  <c r="P134" i="44"/>
  <c r="R134" i="44" s="1"/>
  <c r="O134" i="44"/>
  <c r="M134" i="44"/>
  <c r="L134" i="44"/>
  <c r="F134" i="44"/>
  <c r="N134" i="44" s="1"/>
  <c r="S123" i="44"/>
  <c r="P123" i="44"/>
  <c r="R123" i="44" s="1"/>
  <c r="O123" i="44"/>
  <c r="M123" i="44"/>
  <c r="L123" i="44"/>
  <c r="J123" i="44"/>
  <c r="F123" i="44"/>
  <c r="S122" i="44"/>
  <c r="P122" i="44"/>
  <c r="R122" i="44" s="1"/>
  <c r="O122" i="44"/>
  <c r="M122" i="44"/>
  <c r="L122" i="44"/>
  <c r="F122" i="44"/>
  <c r="N122" i="44" s="1"/>
  <c r="S121" i="44"/>
  <c r="P121" i="44"/>
  <c r="R121" i="44" s="1"/>
  <c r="O121" i="44"/>
  <c r="M121" i="44"/>
  <c r="L121" i="44"/>
  <c r="J121" i="44"/>
  <c r="W121" i="44" s="1"/>
  <c r="F121" i="44"/>
  <c r="S120" i="44"/>
  <c r="P120" i="44"/>
  <c r="R120" i="44" s="1"/>
  <c r="O120" i="44"/>
  <c r="M120" i="44"/>
  <c r="L120" i="44"/>
  <c r="F120" i="44"/>
  <c r="N120" i="44" s="1"/>
  <c r="S92" i="44"/>
  <c r="P92" i="44"/>
  <c r="R92" i="44" s="1"/>
  <c r="O92" i="44"/>
  <c r="M92" i="44"/>
  <c r="L92" i="44"/>
  <c r="J92" i="44"/>
  <c r="F92" i="44"/>
  <c r="S89" i="44"/>
  <c r="P89" i="44"/>
  <c r="R89" i="44" s="1"/>
  <c r="O89" i="44"/>
  <c r="M89" i="44"/>
  <c r="L89" i="44"/>
  <c r="J89" i="44"/>
  <c r="W89" i="44" s="1"/>
  <c r="F89" i="44"/>
  <c r="S88" i="44"/>
  <c r="P88" i="44"/>
  <c r="R88" i="44" s="1"/>
  <c r="O88" i="44"/>
  <c r="M88" i="44"/>
  <c r="L88" i="44"/>
  <c r="S113" i="44"/>
  <c r="P113" i="44"/>
  <c r="R113" i="44" s="1"/>
  <c r="O113" i="44"/>
  <c r="M113" i="44"/>
  <c r="L113" i="44"/>
  <c r="S112" i="44"/>
  <c r="P112" i="44"/>
  <c r="R112" i="44" s="1"/>
  <c r="O112" i="44"/>
  <c r="M112" i="44"/>
  <c r="L112" i="44"/>
  <c r="N112" i="44"/>
  <c r="S111" i="44"/>
  <c r="P111" i="44"/>
  <c r="R111" i="44" s="1"/>
  <c r="O111" i="44"/>
  <c r="M111" i="44"/>
  <c r="L111" i="44"/>
  <c r="F111" i="44"/>
  <c r="N111" i="44" s="1"/>
  <c r="S110" i="44"/>
  <c r="P110" i="44"/>
  <c r="R110" i="44" s="1"/>
  <c r="O110" i="44"/>
  <c r="M110" i="44"/>
  <c r="L110" i="44"/>
  <c r="F110" i="44"/>
  <c r="N110" i="44" s="1"/>
  <c r="S31" i="44"/>
  <c r="P31" i="44"/>
  <c r="R31" i="44" s="1"/>
  <c r="O31" i="44"/>
  <c r="M31" i="44"/>
  <c r="L31" i="44"/>
  <c r="J31" i="44"/>
  <c r="F31" i="44"/>
  <c r="S30" i="44"/>
  <c r="P30" i="44"/>
  <c r="R30" i="44" s="1"/>
  <c r="O30" i="44"/>
  <c r="M30" i="44"/>
  <c r="L30" i="44"/>
  <c r="J30" i="44"/>
  <c r="F30" i="44"/>
  <c r="S29" i="44"/>
  <c r="P29" i="44"/>
  <c r="R29" i="44" s="1"/>
  <c r="O29" i="44"/>
  <c r="M29" i="44"/>
  <c r="L29" i="44"/>
  <c r="J29" i="44"/>
  <c r="F29" i="44"/>
  <c r="S28" i="44"/>
  <c r="P28" i="44"/>
  <c r="R28" i="44" s="1"/>
  <c r="O28" i="44"/>
  <c r="M28" i="44"/>
  <c r="L28" i="44"/>
  <c r="F28" i="44"/>
  <c r="N28" i="44" s="1"/>
  <c r="S40" i="44"/>
  <c r="P40" i="44"/>
  <c r="R40" i="44" s="1"/>
  <c r="O40" i="44"/>
  <c r="M40" i="44"/>
  <c r="L40" i="44"/>
  <c r="J40" i="44"/>
  <c r="F40" i="44"/>
  <c r="S39" i="44"/>
  <c r="P39" i="44"/>
  <c r="R39" i="44" s="1"/>
  <c r="O39" i="44"/>
  <c r="M39" i="44"/>
  <c r="L39" i="44"/>
  <c r="J39" i="44"/>
  <c r="W39" i="44" s="1"/>
  <c r="F39" i="44"/>
  <c r="S38" i="44"/>
  <c r="P38" i="44"/>
  <c r="R38" i="44" s="1"/>
  <c r="O38" i="44"/>
  <c r="M38" i="44"/>
  <c r="L38" i="44"/>
  <c r="J38" i="44"/>
  <c r="Z38" i="44" s="1"/>
  <c r="AA38" i="44" s="1"/>
  <c r="F38" i="44"/>
  <c r="S37" i="44"/>
  <c r="P37" i="44"/>
  <c r="R37" i="44" s="1"/>
  <c r="O37" i="44"/>
  <c r="M37" i="44"/>
  <c r="L37" i="44"/>
  <c r="F37" i="44"/>
  <c r="N37" i="44" s="1"/>
  <c r="S51" i="44"/>
  <c r="P51" i="44"/>
  <c r="R51" i="44" s="1"/>
  <c r="O51" i="44"/>
  <c r="M51" i="44"/>
  <c r="L51" i="44"/>
  <c r="F51" i="44"/>
  <c r="N51" i="44" s="1"/>
  <c r="S50" i="44"/>
  <c r="P50" i="44"/>
  <c r="R50" i="44" s="1"/>
  <c r="O50" i="44"/>
  <c r="M50" i="44"/>
  <c r="L50" i="44"/>
  <c r="J50" i="44"/>
  <c r="F50" i="44"/>
  <c r="S47" i="44"/>
  <c r="P47" i="44"/>
  <c r="R47" i="44" s="1"/>
  <c r="O47" i="44"/>
  <c r="M47" i="44"/>
  <c r="L47" i="44"/>
  <c r="F47" i="44"/>
  <c r="N47" i="44" s="1"/>
  <c r="S67" i="44"/>
  <c r="P67" i="44"/>
  <c r="R67" i="44" s="1"/>
  <c r="O67" i="44"/>
  <c r="M67" i="44"/>
  <c r="L67" i="44"/>
  <c r="S66" i="44"/>
  <c r="P66" i="44"/>
  <c r="R66" i="44" s="1"/>
  <c r="O66" i="44"/>
  <c r="M66" i="44"/>
  <c r="L66" i="44"/>
  <c r="J66" i="44"/>
  <c r="W66" i="44" s="1"/>
  <c r="F66" i="44"/>
  <c r="S65" i="44"/>
  <c r="P65" i="44"/>
  <c r="R65" i="44" s="1"/>
  <c r="O65" i="44"/>
  <c r="M65" i="44"/>
  <c r="L65" i="44"/>
  <c r="F65" i="44"/>
  <c r="N65" i="44" s="1"/>
  <c r="S64" i="44"/>
  <c r="P64" i="44"/>
  <c r="R64" i="44" s="1"/>
  <c r="O64" i="44"/>
  <c r="M64" i="44"/>
  <c r="L64" i="44"/>
  <c r="F64" i="44"/>
  <c r="N64" i="44" s="1"/>
  <c r="S78" i="44"/>
  <c r="P78" i="44"/>
  <c r="R78" i="44" s="1"/>
  <c r="O78" i="44"/>
  <c r="M78" i="44"/>
  <c r="L78" i="44"/>
  <c r="J78" i="44"/>
  <c r="W78" i="44" s="1"/>
  <c r="S77" i="44"/>
  <c r="P77" i="44"/>
  <c r="R77" i="44" s="1"/>
  <c r="O77" i="44"/>
  <c r="M77" i="44"/>
  <c r="L77" i="44"/>
  <c r="N77" i="44"/>
  <c r="S76" i="44"/>
  <c r="P76" i="44"/>
  <c r="R76" i="44" s="1"/>
  <c r="O76" i="44"/>
  <c r="M76" i="44"/>
  <c r="L76" i="44"/>
  <c r="F76" i="44"/>
  <c r="N76" i="44" s="1"/>
  <c r="S75" i="44"/>
  <c r="P75" i="44"/>
  <c r="R75" i="44" s="1"/>
  <c r="O75" i="44"/>
  <c r="M75" i="44"/>
  <c r="L75" i="44"/>
  <c r="F75" i="44"/>
  <c r="N75" i="44" s="1"/>
  <c r="F103" i="44"/>
  <c r="J103" i="44"/>
  <c r="L103" i="44"/>
  <c r="M103" i="44"/>
  <c r="O103" i="44"/>
  <c r="P103" i="44"/>
  <c r="R103" i="44" s="1"/>
  <c r="S103" i="44"/>
  <c r="F101" i="44"/>
  <c r="J101" i="44"/>
  <c r="L101" i="44"/>
  <c r="M101" i="44"/>
  <c r="O101" i="44"/>
  <c r="P101" i="44"/>
  <c r="R101" i="44" s="1"/>
  <c r="S101" i="44"/>
  <c r="F102" i="44"/>
  <c r="J102" i="44"/>
  <c r="C17" i="50" s="1"/>
  <c r="E17" i="50" s="1"/>
  <c r="L102" i="44"/>
  <c r="M102" i="44"/>
  <c r="O102" i="44"/>
  <c r="P102" i="44"/>
  <c r="R102" i="44" s="1"/>
  <c r="S102" i="44"/>
  <c r="S100" i="44"/>
  <c r="P100" i="44"/>
  <c r="R100" i="44" s="1"/>
  <c r="O100" i="44"/>
  <c r="M100" i="44"/>
  <c r="L100" i="44"/>
  <c r="F100" i="44"/>
  <c r="N100" i="44" s="1"/>
  <c r="AY2" i="43"/>
  <c r="A71" i="44" l="1"/>
  <c r="A73" i="44" s="1"/>
  <c r="A75" i="44" s="1"/>
  <c r="A77" i="44" s="1"/>
  <c r="A82" i="44" s="1"/>
  <c r="A84" i="44" s="1"/>
  <c r="A86" i="44" s="1"/>
  <c r="A88" i="44" s="1"/>
  <c r="A91" i="44" s="1"/>
  <c r="A93" i="44" s="1"/>
  <c r="A95" i="44" s="1"/>
  <c r="A97" i="44" s="1"/>
  <c r="A99" i="44" s="1"/>
  <c r="A101" i="44" s="1"/>
  <c r="A103" i="44" s="1"/>
  <c r="A105" i="44" s="1"/>
  <c r="A107" i="44" s="1"/>
  <c r="A109" i="44" s="1"/>
  <c r="A111" i="44" s="1"/>
  <c r="A113" i="44" s="1"/>
  <c r="A115" i="44" s="1"/>
  <c r="A117" i="44" s="1"/>
  <c r="A119" i="44" s="1"/>
  <c r="A121" i="44" s="1"/>
  <c r="A123" i="44" s="1"/>
  <c r="W103" i="44"/>
  <c r="C18" i="50"/>
  <c r="E18" i="50" s="1"/>
  <c r="E14" i="50" s="1"/>
  <c r="AA36" i="44"/>
  <c r="V38" i="44"/>
  <c r="AN37" i="44" s="1"/>
  <c r="A181" i="44"/>
  <c r="A183" i="44" s="1"/>
  <c r="T40" i="44"/>
  <c r="U40" i="44" s="1"/>
  <c r="U64" i="44"/>
  <c r="T64" i="44" s="1"/>
  <c r="N103" i="44"/>
  <c r="U103" i="44" s="1"/>
  <c r="T103" i="44" s="1"/>
  <c r="U110" i="44"/>
  <c r="T110" i="44" s="1"/>
  <c r="C5" i="50" s="1"/>
  <c r="E5" i="50" s="1"/>
  <c r="E4" i="50" s="1"/>
  <c r="U75" i="44"/>
  <c r="T75" i="44" s="1"/>
  <c r="N137" i="44"/>
  <c r="U137" i="44" s="1"/>
  <c r="T137" i="44" s="1"/>
  <c r="T29" i="44"/>
  <c r="U29" i="44" s="1"/>
  <c r="N136" i="44"/>
  <c r="U136" i="44" s="1"/>
  <c r="T136" i="44" s="1"/>
  <c r="U51" i="44"/>
  <c r="T51" i="44" s="1"/>
  <c r="G23" i="45" s="1"/>
  <c r="G24" i="45" s="1"/>
  <c r="U145" i="44"/>
  <c r="T145" i="44" s="1"/>
  <c r="N92" i="44"/>
  <c r="U92" i="44" s="1"/>
  <c r="T92" i="44" s="1"/>
  <c r="U111" i="44"/>
  <c r="T111" i="44" s="1"/>
  <c r="L29" i="45" s="1"/>
  <c r="L30" i="45" s="1"/>
  <c r="U113" i="44"/>
  <c r="T113" i="44" s="1"/>
  <c r="U134" i="44"/>
  <c r="T134" i="44" s="1"/>
  <c r="U147" i="44"/>
  <c r="T147" i="44" s="1"/>
  <c r="O23" i="45" s="1"/>
  <c r="O24" i="45" s="1"/>
  <c r="N39" i="44"/>
  <c r="T39" i="44" s="1"/>
  <c r="U39" i="44" s="1"/>
  <c r="T78" i="44"/>
  <c r="T47" i="44"/>
  <c r="U122" i="44"/>
  <c r="T122" i="44" s="1"/>
  <c r="W102" i="44"/>
  <c r="N102" i="44"/>
  <c r="U102" i="44" s="1"/>
  <c r="T102" i="44" s="1"/>
  <c r="W50" i="44"/>
  <c r="N50" i="44"/>
  <c r="T50" i="44" s="1"/>
  <c r="U37" i="44"/>
  <c r="T37" i="44" s="1"/>
  <c r="N121" i="44"/>
  <c r="U121" i="44" s="1"/>
  <c r="T121" i="44" s="1"/>
  <c r="N67" i="44"/>
  <c r="U67" i="44" s="1"/>
  <c r="T67" i="44" s="1"/>
  <c r="N89" i="44"/>
  <c r="U89" i="44" s="1"/>
  <c r="T89" i="44" s="1"/>
  <c r="N123" i="44"/>
  <c r="U123" i="44" s="1"/>
  <c r="T123" i="44" s="1"/>
  <c r="N66" i="44"/>
  <c r="U66" i="44" s="1"/>
  <c r="T66" i="44" s="1"/>
  <c r="U53" i="44"/>
  <c r="T53" i="44" s="1"/>
  <c r="U112" i="44"/>
  <c r="T112" i="44" s="1"/>
  <c r="U120" i="44"/>
  <c r="T120" i="44" s="1"/>
  <c r="N149" i="44"/>
  <c r="U149" i="44" s="1"/>
  <c r="T149" i="44" s="1"/>
  <c r="U100" i="44"/>
  <c r="T100" i="44" s="1"/>
  <c r="W101" i="44"/>
  <c r="N101" i="44"/>
  <c r="T101" i="44" s="1"/>
  <c r="U65" i="44"/>
  <c r="T65" i="44" s="1"/>
  <c r="U28" i="44"/>
  <c r="T28" i="44" s="1"/>
  <c r="E23" i="45" s="1"/>
  <c r="N148" i="44"/>
  <c r="U148" i="44" s="1"/>
  <c r="T148" i="44" s="1"/>
  <c r="CC59" i="37"/>
  <c r="CC60" i="37" s="1"/>
  <c r="CF58" i="37"/>
  <c r="CD58" i="37"/>
  <c r="U77" i="44"/>
  <c r="T77" i="44" s="1"/>
  <c r="I26" i="45" s="1"/>
  <c r="I27" i="45" s="1"/>
  <c r="U76" i="44"/>
  <c r="T76" i="44" s="1"/>
  <c r="BJ28" i="37"/>
  <c r="BG28" i="37"/>
  <c r="BF28" i="37"/>
  <c r="BE28" i="37"/>
  <c r="BY28" i="37" s="1"/>
  <c r="BB28" i="37"/>
  <c r="BX28" i="37" s="1"/>
  <c r="AY28" i="37"/>
  <c r="BW28" i="37" s="1"/>
  <c r="AU28" i="37"/>
  <c r="AT28" i="37"/>
  <c r="AS28" i="37"/>
  <c r="BU28" i="37" s="1"/>
  <c r="AP28" i="37"/>
  <c r="BT28" i="37" s="1"/>
  <c r="AM28" i="37"/>
  <c r="BS28" i="37" s="1"/>
  <c r="AG28" i="37"/>
  <c r="BQ28" i="37" s="1"/>
  <c r="AD28" i="37"/>
  <c r="BP28" i="37" s="1"/>
  <c r="AA28" i="37"/>
  <c r="W28" i="37"/>
  <c r="V28" i="37"/>
  <c r="U28" i="37"/>
  <c r="BM28" i="37" s="1"/>
  <c r="R28" i="37"/>
  <c r="BL28" i="37" s="1"/>
  <c r="O28" i="37"/>
  <c r="BK28" i="37" s="1"/>
  <c r="BJ58" i="37"/>
  <c r="BE58" i="37"/>
  <c r="BY58" i="37" s="1"/>
  <c r="BB58" i="37"/>
  <c r="BX58" i="37" s="1"/>
  <c r="AY58" i="37"/>
  <c r="BW58" i="37" s="1"/>
  <c r="AS58" i="37"/>
  <c r="BU58" i="37" s="1"/>
  <c r="AP58" i="37"/>
  <c r="BT58" i="37" s="1"/>
  <c r="AM58" i="37"/>
  <c r="BS58" i="37" s="1"/>
  <c r="U58" i="37"/>
  <c r="BM58" i="37" s="1"/>
  <c r="R58" i="37"/>
  <c r="BL58" i="37" s="1"/>
  <c r="O58" i="37"/>
  <c r="BJ88" i="37"/>
  <c r="BE88" i="37"/>
  <c r="BY88" i="37" s="1"/>
  <c r="BB88" i="37"/>
  <c r="BX88" i="37" s="1"/>
  <c r="AY88" i="37"/>
  <c r="AU88" i="37"/>
  <c r="AT88" i="37"/>
  <c r="AS88" i="37"/>
  <c r="BU88" i="37" s="1"/>
  <c r="AP88" i="37"/>
  <c r="BT88" i="37" s="1"/>
  <c r="AM88" i="37"/>
  <c r="BS88" i="37" s="1"/>
  <c r="AI88" i="37"/>
  <c r="AH88" i="37"/>
  <c r="AG88" i="37"/>
  <c r="BQ88" i="37" s="1"/>
  <c r="AD88" i="37"/>
  <c r="BP88" i="37" s="1"/>
  <c r="AA88" i="37"/>
  <c r="BO88" i="37" s="1"/>
  <c r="W88" i="37"/>
  <c r="V88" i="37"/>
  <c r="U88" i="37"/>
  <c r="BM88" i="37" s="1"/>
  <c r="R88" i="37"/>
  <c r="BL88" i="37" s="1"/>
  <c r="O88" i="37"/>
  <c r="BK88" i="37" s="1"/>
  <c r="BJ74" i="37"/>
  <c r="BG74" i="37"/>
  <c r="BF74" i="37"/>
  <c r="BE74" i="37"/>
  <c r="BY74" i="37" s="1"/>
  <c r="BB74" i="37"/>
  <c r="BX74" i="37" s="1"/>
  <c r="AY74" i="37"/>
  <c r="BW74" i="37" s="1"/>
  <c r="AS74" i="37"/>
  <c r="BU74" i="37" s="1"/>
  <c r="AP74" i="37"/>
  <c r="BS74" i="37"/>
  <c r="AI74" i="37"/>
  <c r="AH74" i="37"/>
  <c r="AG74" i="37"/>
  <c r="BQ74" i="37" s="1"/>
  <c r="AD74" i="37"/>
  <c r="BP74" i="37" s="1"/>
  <c r="AA74" i="37"/>
  <c r="BO74" i="37" s="1"/>
  <c r="W74" i="37"/>
  <c r="V74" i="37"/>
  <c r="U74" i="37"/>
  <c r="BM74" i="37" s="1"/>
  <c r="R74" i="37"/>
  <c r="BL74" i="37" s="1"/>
  <c r="O74" i="37"/>
  <c r="BK74" i="37" s="1"/>
  <c r="BJ114" i="37"/>
  <c r="BG114" i="37"/>
  <c r="BF114" i="37"/>
  <c r="BE114" i="37"/>
  <c r="BY114" i="37" s="1"/>
  <c r="BB114" i="37"/>
  <c r="BX114" i="37" s="1"/>
  <c r="AY114" i="37"/>
  <c r="BW114" i="37" s="1"/>
  <c r="AU114" i="37"/>
  <c r="AT114" i="37"/>
  <c r="AS114" i="37"/>
  <c r="BU114" i="37" s="1"/>
  <c r="AP114" i="37"/>
  <c r="BT114" i="37" s="1"/>
  <c r="AM114" i="37"/>
  <c r="BS114" i="37" s="1"/>
  <c r="AI114" i="37"/>
  <c r="AJ114" i="37" s="1"/>
  <c r="BR114" i="37" s="1"/>
  <c r="AG114" i="37"/>
  <c r="BQ114" i="37" s="1"/>
  <c r="AD114" i="37"/>
  <c r="BP114" i="37" s="1"/>
  <c r="AA114" i="37"/>
  <c r="BO114" i="37" s="1"/>
  <c r="W114" i="37"/>
  <c r="V114" i="37"/>
  <c r="U114" i="37"/>
  <c r="BM114" i="37" s="1"/>
  <c r="R114" i="37"/>
  <c r="BL114" i="37" s="1"/>
  <c r="O114" i="37"/>
  <c r="BK114" i="37" s="1"/>
  <c r="BJ104" i="37"/>
  <c r="BG104" i="37"/>
  <c r="BF104" i="37"/>
  <c r="BE104" i="37"/>
  <c r="BY104" i="37" s="1"/>
  <c r="BB104" i="37"/>
  <c r="BX104" i="37" s="1"/>
  <c r="AY104" i="37"/>
  <c r="BW104" i="37" s="1"/>
  <c r="AU104" i="37"/>
  <c r="AT104" i="37"/>
  <c r="AS104" i="37"/>
  <c r="BU104" i="37" s="1"/>
  <c r="AP104" i="37"/>
  <c r="BT104" i="37" s="1"/>
  <c r="AM104" i="37"/>
  <c r="BS104" i="37" s="1"/>
  <c r="AI104" i="37"/>
  <c r="AH104" i="37"/>
  <c r="AG104" i="37"/>
  <c r="BQ104" i="37" s="1"/>
  <c r="AD104" i="37"/>
  <c r="BP104" i="37" s="1"/>
  <c r="AA104" i="37"/>
  <c r="BO104" i="37" s="1"/>
  <c r="W104" i="37"/>
  <c r="V104" i="37"/>
  <c r="U104" i="37"/>
  <c r="BM104" i="37" s="1"/>
  <c r="R104" i="37"/>
  <c r="BL104" i="37" s="1"/>
  <c r="O104" i="37"/>
  <c r="BK104" i="37" s="1"/>
  <c r="D120" i="45"/>
  <c r="D119" i="45"/>
  <c r="D118" i="45"/>
  <c r="D117" i="45"/>
  <c r="D116" i="45"/>
  <c r="D115" i="45"/>
  <c r="D114" i="45"/>
  <c r="D113" i="45"/>
  <c r="D112" i="45"/>
  <c r="D111" i="45"/>
  <c r="D110" i="45"/>
  <c r="D109" i="45"/>
  <c r="D108" i="45"/>
  <c r="D107" i="45"/>
  <c r="D106" i="45"/>
  <c r="D105" i="45"/>
  <c r="D104" i="45"/>
  <c r="D103" i="45"/>
  <c r="D102" i="45"/>
  <c r="D101" i="45"/>
  <c r="D100" i="45"/>
  <c r="D99" i="45"/>
  <c r="O27" i="45"/>
  <c r="M27" i="45"/>
  <c r="L27" i="45"/>
  <c r="H27" i="45"/>
  <c r="F27" i="45"/>
  <c r="E27" i="45"/>
  <c r="O21" i="45"/>
  <c r="M21" i="45"/>
  <c r="K21" i="45"/>
  <c r="J21" i="45"/>
  <c r="H21" i="45"/>
  <c r="V18" i="45"/>
  <c r="U18" i="45"/>
  <c r="T18" i="45"/>
  <c r="S18" i="45"/>
  <c r="R18" i="45"/>
  <c r="Q18" i="45"/>
  <c r="P18" i="45"/>
  <c r="A128" i="44" l="1"/>
  <c r="A125" i="44"/>
  <c r="A126" i="44"/>
  <c r="A130" i="44" s="1"/>
  <c r="A132" i="44" s="1"/>
  <c r="A134" i="44" s="1"/>
  <c r="A136" i="44" s="1"/>
  <c r="A138" i="44" s="1"/>
  <c r="A140" i="44" s="1"/>
  <c r="A142" i="44" s="1"/>
  <c r="A145" i="44" s="1"/>
  <c r="A148" i="44" s="1"/>
  <c r="A150" i="44" s="1"/>
  <c r="A152" i="44" s="1"/>
  <c r="A154" i="44" s="1"/>
  <c r="A156" i="44" s="1"/>
  <c r="A158" i="44" s="1"/>
  <c r="A160" i="44" s="1"/>
  <c r="A162" i="44" s="1"/>
  <c r="A164" i="44" s="1"/>
  <c r="A166" i="44" s="1"/>
  <c r="A168" i="44" s="1"/>
  <c r="A170" i="44" s="1"/>
  <c r="A172" i="44" s="1"/>
  <c r="A174" i="44" s="1"/>
  <c r="A176" i="44" s="1"/>
  <c r="A178" i="44" s="1"/>
  <c r="A180" i="44" s="1"/>
  <c r="A186" i="44" s="1"/>
  <c r="A188" i="44" s="1"/>
  <c r="A190" i="44" s="1"/>
  <c r="A192" i="44" s="1"/>
  <c r="A194" i="44" s="1"/>
  <c r="A196" i="44" s="1"/>
  <c r="A198" i="44" s="1"/>
  <c r="A200" i="44" s="1"/>
  <c r="A202" i="44" s="1"/>
  <c r="A204" i="44" s="1"/>
  <c r="A206" i="44" s="1"/>
  <c r="A208" i="44" s="1"/>
  <c r="A210" i="44" s="1"/>
  <c r="A212" i="44" s="1"/>
  <c r="A214" i="44" s="1"/>
  <c r="A216" i="44" s="1"/>
  <c r="A218" i="44" s="1"/>
  <c r="A220" i="44" s="1"/>
  <c r="A222" i="44" s="1"/>
  <c r="A224" i="44" s="1"/>
  <c r="A226" i="44" s="1"/>
  <c r="A228" i="44" s="1"/>
  <c r="A230" i="44" s="1"/>
  <c r="A232" i="44" s="1"/>
  <c r="A234" i="44" s="1"/>
  <c r="A236" i="44" s="1"/>
  <c r="A238" i="44" s="1"/>
  <c r="A240" i="44" s="1"/>
  <c r="N38" i="44"/>
  <c r="U38" i="44" s="1"/>
  <c r="T38" i="44" s="1"/>
  <c r="W38" i="44"/>
  <c r="E24" i="45"/>
  <c r="CF60" i="37"/>
  <c r="CD60" i="37"/>
  <c r="K29" i="45"/>
  <c r="BW88" i="37"/>
  <c r="BH88" i="37"/>
  <c r="BZ88" i="37" s="1"/>
  <c r="BT74" i="37"/>
  <c r="AV74" i="37"/>
  <c r="BV74" i="37" s="1"/>
  <c r="BK58" i="37"/>
  <c r="X58" i="37"/>
  <c r="BN58" i="37" s="1"/>
  <c r="BO28" i="37"/>
  <c r="AJ28" i="37"/>
  <c r="BR28" i="37" s="1"/>
  <c r="M24" i="45"/>
  <c r="F19" i="45"/>
  <c r="V36" i="44"/>
  <c r="AQ2" i="44" s="1"/>
  <c r="F20" i="45"/>
  <c r="D20" i="45" s="1"/>
  <c r="H23" i="45"/>
  <c r="H24" i="45" s="1"/>
  <c r="I23" i="45"/>
  <c r="I24" i="45" s="1"/>
  <c r="N23" i="45"/>
  <c r="N24" i="45" s="1"/>
  <c r="G27" i="45"/>
  <c r="CC62" i="37"/>
  <c r="CF59" i="37"/>
  <c r="CD59" i="37"/>
  <c r="N21" i="45"/>
  <c r="E30" i="45"/>
  <c r="I21" i="45"/>
  <c r="L21" i="45"/>
  <c r="N27" i="45"/>
  <c r="I28" i="37"/>
  <c r="AJ88" i="37"/>
  <c r="BR88" i="37" s="1"/>
  <c r="J88" i="37"/>
  <c r="J58" i="37"/>
  <c r="J28" i="37"/>
  <c r="X28" i="37"/>
  <c r="BN28" i="37" s="1"/>
  <c r="BH28" i="37"/>
  <c r="BZ28" i="37" s="1"/>
  <c r="J114" i="37"/>
  <c r="AV28" i="37"/>
  <c r="BV28" i="37" s="1"/>
  <c r="I88" i="37"/>
  <c r="I58" i="37"/>
  <c r="X88" i="37"/>
  <c r="BN88" i="37" s="1"/>
  <c r="I74" i="37"/>
  <c r="BH74" i="37"/>
  <c r="BZ74" i="37" s="1"/>
  <c r="AJ74" i="37"/>
  <c r="BR74" i="37" s="1"/>
  <c r="J74" i="37"/>
  <c r="J104" i="37"/>
  <c r="AV88" i="37"/>
  <c r="BV88" i="37" s="1"/>
  <c r="I114" i="37"/>
  <c r="BH114" i="37"/>
  <c r="BZ114" i="37" s="1"/>
  <c r="X74" i="37"/>
  <c r="BN74" i="37" s="1"/>
  <c r="X114" i="37"/>
  <c r="BN114" i="37" s="1"/>
  <c r="BH104" i="37"/>
  <c r="BZ104" i="37" s="1"/>
  <c r="X104" i="37"/>
  <c r="BN104" i="37" s="1"/>
  <c r="I104" i="37"/>
  <c r="AV114" i="37"/>
  <c r="BV114" i="37" s="1"/>
  <c r="AJ104" i="37"/>
  <c r="BR104" i="37" s="1"/>
  <c r="AV104" i="37"/>
  <c r="BV104" i="37" s="1"/>
  <c r="J27" i="45"/>
  <c r="K27" i="45"/>
  <c r="G21" i="45"/>
  <c r="E18" i="45"/>
  <c r="E21" i="45"/>
  <c r="A182" i="44" l="1"/>
  <c r="A184" i="44" s="1"/>
  <c r="K30" i="45"/>
  <c r="D30" i="45" s="1"/>
  <c r="D29" i="45"/>
  <c r="D23" i="45"/>
  <c r="F21" i="45"/>
  <c r="D21" i="45" s="1"/>
  <c r="F18" i="45"/>
  <c r="D19" i="45"/>
  <c r="CC63" i="37"/>
  <c r="CC64" i="37" s="1"/>
  <c r="CF62" i="37"/>
  <c r="CD62" i="37"/>
  <c r="K58" i="37"/>
  <c r="L28" i="37"/>
  <c r="K28" i="37"/>
  <c r="L88" i="37"/>
  <c r="L58" i="37"/>
  <c r="K88" i="37"/>
  <c r="L74" i="37"/>
  <c r="K74" i="37"/>
  <c r="L114" i="37"/>
  <c r="K114" i="37"/>
  <c r="L104" i="37"/>
  <c r="K104" i="37"/>
  <c r="CC65" i="37" l="1"/>
  <c r="CF64" i="37"/>
  <c r="CD64" i="37"/>
  <c r="CB74" i="37"/>
  <c r="CB58" i="37"/>
  <c r="CB104" i="37"/>
  <c r="CC66" i="37"/>
  <c r="CC67" i="37" s="1"/>
  <c r="CC68" i="37" s="1"/>
  <c r="CC70" i="37" s="1"/>
  <c r="CF63" i="37"/>
  <c r="CD63" i="37"/>
  <c r="CB88" i="37"/>
  <c r="CB114" i="37"/>
  <c r="CB28" i="37"/>
  <c r="CD65" i="37" l="1"/>
  <c r="CF65" i="37"/>
  <c r="CF70" i="37"/>
  <c r="CD70" i="37"/>
  <c r="CF68" i="37"/>
  <c r="CD68" i="37"/>
  <c r="CF67" i="37"/>
  <c r="CD67" i="37"/>
  <c r="CC69" i="37"/>
  <c r="CF66" i="37"/>
  <c r="CD66" i="37"/>
  <c r="CC71" i="37" l="1"/>
  <c r="CF69" i="37"/>
  <c r="CD69" i="37"/>
  <c r="BZ498" i="37"/>
  <c r="BY498" i="37"/>
  <c r="BX498" i="37"/>
  <c r="BW498" i="37"/>
  <c r="BV498" i="37"/>
  <c r="BU498" i="37"/>
  <c r="BT498" i="37"/>
  <c r="BS498" i="37"/>
  <c r="BR498" i="37"/>
  <c r="BQ498" i="37"/>
  <c r="BP498" i="37"/>
  <c r="BO498" i="37"/>
  <c r="BN498" i="37"/>
  <c r="BM498" i="37"/>
  <c r="BL498" i="37"/>
  <c r="BK498" i="37"/>
  <c r="BZ497" i="37"/>
  <c r="BY497" i="37"/>
  <c r="BX497" i="37"/>
  <c r="BW497" i="37"/>
  <c r="BV497" i="37"/>
  <c r="BU497" i="37"/>
  <c r="BT497" i="37"/>
  <c r="BS497" i="37"/>
  <c r="BR497" i="37"/>
  <c r="BQ497" i="37"/>
  <c r="BP497" i="37"/>
  <c r="BO497" i="37"/>
  <c r="BN497" i="37"/>
  <c r="BM497" i="37"/>
  <c r="BL497" i="37"/>
  <c r="BK497" i="37"/>
  <c r="BE401" i="37"/>
  <c r="BY401" i="37" s="1"/>
  <c r="BB401" i="37"/>
  <c r="BX401" i="37" s="1"/>
  <c r="AY401" i="37"/>
  <c r="BW401" i="37" s="1"/>
  <c r="BU401" i="37"/>
  <c r="BT401" i="37"/>
  <c r="BS401" i="37"/>
  <c r="BE399" i="37"/>
  <c r="BY399" i="37" s="1"/>
  <c r="BB399" i="37"/>
  <c r="BX399" i="37" s="1"/>
  <c r="AY399" i="37"/>
  <c r="BW399" i="37" s="1"/>
  <c r="AS399" i="37"/>
  <c r="BU399" i="37" s="1"/>
  <c r="AP399" i="37"/>
  <c r="BT399" i="37" s="1"/>
  <c r="AM399" i="37"/>
  <c r="BS399" i="37" s="1"/>
  <c r="BG398" i="37"/>
  <c r="BG397" i="37" s="1"/>
  <c r="BF398" i="37"/>
  <c r="BF397" i="37" s="1"/>
  <c r="BE398" i="37"/>
  <c r="BB398" i="37"/>
  <c r="AY398" i="37"/>
  <c r="AU398" i="37"/>
  <c r="AU397" i="37" s="1"/>
  <c r="AT398" i="37"/>
  <c r="AT397" i="37" s="1"/>
  <c r="AS398" i="37"/>
  <c r="AP398" i="37"/>
  <c r="AM398" i="37"/>
  <c r="BG387" i="37"/>
  <c r="BG380" i="37" s="1"/>
  <c r="BF387" i="37"/>
  <c r="BF380" i="37" s="1"/>
  <c r="BE387" i="37"/>
  <c r="BY387" i="37" s="1"/>
  <c r="BB387" i="37"/>
  <c r="BX387" i="37" s="1"/>
  <c r="AY387" i="37"/>
  <c r="BW387" i="37" s="1"/>
  <c r="AU387" i="37"/>
  <c r="AT387" i="37"/>
  <c r="AS387" i="37"/>
  <c r="BU387" i="37" s="1"/>
  <c r="AP387" i="37"/>
  <c r="BT387" i="37" s="1"/>
  <c r="AM387" i="37"/>
  <c r="BS387" i="37" s="1"/>
  <c r="BY386" i="37"/>
  <c r="BX386" i="37"/>
  <c r="BW386" i="37"/>
  <c r="AU386" i="37"/>
  <c r="AT386" i="37"/>
  <c r="AS386" i="37"/>
  <c r="BU386" i="37" s="1"/>
  <c r="AP386" i="37"/>
  <c r="BT386" i="37" s="1"/>
  <c r="AM386" i="37"/>
  <c r="BS386" i="37" s="1"/>
  <c r="BE385" i="37"/>
  <c r="BY385" i="37" s="1"/>
  <c r="BB385" i="37"/>
  <c r="BX385" i="37" s="1"/>
  <c r="AY385" i="37"/>
  <c r="AU385" i="37"/>
  <c r="AT385" i="37"/>
  <c r="AS385" i="37"/>
  <c r="BU385" i="37" s="1"/>
  <c r="AP385" i="37"/>
  <c r="BT385" i="37" s="1"/>
  <c r="AM385" i="37"/>
  <c r="BS385" i="37" s="1"/>
  <c r="BZ384" i="37"/>
  <c r="BE384" i="37"/>
  <c r="BB384" i="37"/>
  <c r="AY384" i="37"/>
  <c r="AS384" i="37"/>
  <c r="AP384" i="37"/>
  <c r="AM384" i="37"/>
  <c r="BE382" i="37"/>
  <c r="BY382" i="37" s="1"/>
  <c r="BB382" i="37"/>
  <c r="BX382" i="37" s="1"/>
  <c r="AY382" i="37"/>
  <c r="BW382" i="37" s="1"/>
  <c r="AS382" i="37"/>
  <c r="BU382" i="37" s="1"/>
  <c r="AP382" i="37"/>
  <c r="BT382" i="37" s="1"/>
  <c r="AM382" i="37"/>
  <c r="BE381" i="37"/>
  <c r="BY381" i="37" s="1"/>
  <c r="BB381" i="37"/>
  <c r="BX381" i="37" s="1"/>
  <c r="AY381" i="37"/>
  <c r="BW381" i="37" s="1"/>
  <c r="AS381" i="37"/>
  <c r="BU381" i="37" s="1"/>
  <c r="AP381" i="37"/>
  <c r="BT381" i="37" s="1"/>
  <c r="AM381" i="37"/>
  <c r="BG378" i="37"/>
  <c r="BF378" i="37"/>
  <c r="BE378" i="37"/>
  <c r="BY378" i="37" s="1"/>
  <c r="BB378" i="37"/>
  <c r="BX378" i="37" s="1"/>
  <c r="AY378" i="37"/>
  <c r="BW378" i="37" s="1"/>
  <c r="AU378" i="37"/>
  <c r="AT378" i="37"/>
  <c r="AS378" i="37"/>
  <c r="BU378" i="37" s="1"/>
  <c r="AP378" i="37"/>
  <c r="BT378" i="37" s="1"/>
  <c r="AM378" i="37"/>
  <c r="BS378" i="37" s="1"/>
  <c r="BG377" i="37"/>
  <c r="BF377" i="37"/>
  <c r="BE377" i="37"/>
  <c r="BY377" i="37" s="1"/>
  <c r="BB377" i="37"/>
  <c r="BX377" i="37" s="1"/>
  <c r="AY377" i="37"/>
  <c r="BW377" i="37" s="1"/>
  <c r="AU377" i="37"/>
  <c r="AT377" i="37"/>
  <c r="AS377" i="37"/>
  <c r="BU377" i="37" s="1"/>
  <c r="AP377" i="37"/>
  <c r="BT377" i="37" s="1"/>
  <c r="AM377" i="37"/>
  <c r="BS377" i="37" s="1"/>
  <c r="BG376" i="37"/>
  <c r="BF376" i="37"/>
  <c r="BE376" i="37"/>
  <c r="BY376" i="37" s="1"/>
  <c r="BB376" i="37"/>
  <c r="BX376" i="37" s="1"/>
  <c r="AY376" i="37"/>
  <c r="BW376" i="37" s="1"/>
  <c r="AU376" i="37"/>
  <c r="AT376" i="37"/>
  <c r="AS376" i="37"/>
  <c r="BU376" i="37" s="1"/>
  <c r="AP376" i="37"/>
  <c r="BT376" i="37" s="1"/>
  <c r="AM376" i="37"/>
  <c r="BS376" i="37" s="1"/>
  <c r="BG375" i="37"/>
  <c r="BF375" i="37"/>
  <c r="BE375" i="37"/>
  <c r="BY375" i="37" s="1"/>
  <c r="BB375" i="37"/>
  <c r="BX375" i="37" s="1"/>
  <c r="AY375" i="37"/>
  <c r="BW375" i="37" s="1"/>
  <c r="AU375" i="37"/>
  <c r="AT375" i="37"/>
  <c r="AS375" i="37"/>
  <c r="BU375" i="37" s="1"/>
  <c r="AP375" i="37"/>
  <c r="BT375" i="37" s="1"/>
  <c r="AM375" i="37"/>
  <c r="BS375" i="37" s="1"/>
  <c r="BG374" i="37"/>
  <c r="BF374" i="37"/>
  <c r="BE374" i="37"/>
  <c r="BY374" i="37" s="1"/>
  <c r="BB374" i="37"/>
  <c r="BX374" i="37" s="1"/>
  <c r="AY374" i="37"/>
  <c r="BW374" i="37" s="1"/>
  <c r="AU374" i="37"/>
  <c r="AT374" i="37"/>
  <c r="AS374" i="37"/>
  <c r="BU374" i="37" s="1"/>
  <c r="AP374" i="37"/>
  <c r="BT374" i="37" s="1"/>
  <c r="AM374" i="37"/>
  <c r="BS374" i="37" s="1"/>
  <c r="BG370" i="37"/>
  <c r="BF370" i="37"/>
  <c r="BE370" i="37"/>
  <c r="BY370" i="37" s="1"/>
  <c r="BB370" i="37"/>
  <c r="BX370" i="37" s="1"/>
  <c r="AY370" i="37"/>
  <c r="BW370" i="37" s="1"/>
  <c r="AU370" i="37"/>
  <c r="AT370" i="37"/>
  <c r="AS370" i="37"/>
  <c r="BU370" i="37" s="1"/>
  <c r="AP370" i="37"/>
  <c r="BT370" i="37" s="1"/>
  <c r="AM370" i="37"/>
  <c r="BS370" i="37" s="1"/>
  <c r="BD369" i="37"/>
  <c r="BD319" i="37" s="1"/>
  <c r="BC369" i="37"/>
  <c r="BC319" i="37" s="1"/>
  <c r="BA369" i="37"/>
  <c r="BA319" i="37" s="1"/>
  <c r="AZ369" i="37"/>
  <c r="AZ319" i="37" s="1"/>
  <c r="AX369" i="37"/>
  <c r="AX319" i="37" s="1"/>
  <c r="AW369" i="37"/>
  <c r="AW319" i="37" s="1"/>
  <c r="AR369" i="37"/>
  <c r="AR319" i="37" s="1"/>
  <c r="AQ369" i="37"/>
  <c r="AQ319" i="37" s="1"/>
  <c r="AO369" i="37"/>
  <c r="AO319" i="37" s="1"/>
  <c r="AN369" i="37"/>
  <c r="AN319" i="37" s="1"/>
  <c r="AL369" i="37"/>
  <c r="AL319" i="37" s="1"/>
  <c r="AK369" i="37"/>
  <c r="AK319" i="37" s="1"/>
  <c r="BG368" i="37"/>
  <c r="BF368" i="37"/>
  <c r="BE368" i="37"/>
  <c r="BY368" i="37" s="1"/>
  <c r="BB368" i="37"/>
  <c r="BX368" i="37" s="1"/>
  <c r="AY368" i="37"/>
  <c r="BW368" i="37" s="1"/>
  <c r="AU368" i="37"/>
  <c r="AT368" i="37"/>
  <c r="AS368" i="37"/>
  <c r="BU368" i="37" s="1"/>
  <c r="AP368" i="37"/>
  <c r="BT368" i="37" s="1"/>
  <c r="AM368" i="37"/>
  <c r="BS368" i="37" s="1"/>
  <c r="BG367" i="37"/>
  <c r="BF367" i="37"/>
  <c r="BE367" i="37"/>
  <c r="BY367" i="37" s="1"/>
  <c r="BB367" i="37"/>
  <c r="BX367" i="37" s="1"/>
  <c r="AY367" i="37"/>
  <c r="BW367" i="37" s="1"/>
  <c r="AU367" i="37"/>
  <c r="AT367" i="37"/>
  <c r="AS367" i="37"/>
  <c r="BU367" i="37" s="1"/>
  <c r="AP367" i="37"/>
  <c r="BT367" i="37" s="1"/>
  <c r="AM367" i="37"/>
  <c r="BS367" i="37" s="1"/>
  <c r="BG366" i="37"/>
  <c r="BF366" i="37"/>
  <c r="BE366" i="37"/>
  <c r="BY366" i="37" s="1"/>
  <c r="BB366" i="37"/>
  <c r="BX366" i="37" s="1"/>
  <c r="AY366" i="37"/>
  <c r="BW366" i="37" s="1"/>
  <c r="AU366" i="37"/>
  <c r="AT366" i="37"/>
  <c r="AS366" i="37"/>
  <c r="BU366" i="37" s="1"/>
  <c r="AP366" i="37"/>
  <c r="BT366" i="37" s="1"/>
  <c r="AM366" i="37"/>
  <c r="BS366" i="37" s="1"/>
  <c r="BG365" i="37"/>
  <c r="BF365" i="37"/>
  <c r="BE365" i="37"/>
  <c r="BY365" i="37" s="1"/>
  <c r="BB365" i="37"/>
  <c r="BX365" i="37" s="1"/>
  <c r="AY365" i="37"/>
  <c r="BW365" i="37" s="1"/>
  <c r="AU365" i="37"/>
  <c r="AT365" i="37"/>
  <c r="AS365" i="37"/>
  <c r="BU365" i="37" s="1"/>
  <c r="AP365" i="37"/>
  <c r="BT365" i="37" s="1"/>
  <c r="AM365" i="37"/>
  <c r="BS365" i="37" s="1"/>
  <c r="BG364" i="37"/>
  <c r="BF364" i="37"/>
  <c r="BE364" i="37"/>
  <c r="BY364" i="37" s="1"/>
  <c r="BB364" i="37"/>
  <c r="BX364" i="37" s="1"/>
  <c r="AY364" i="37"/>
  <c r="BW364" i="37" s="1"/>
  <c r="AU364" i="37"/>
  <c r="AT364" i="37"/>
  <c r="AS364" i="37"/>
  <c r="BU364" i="37" s="1"/>
  <c r="AP364" i="37"/>
  <c r="BT364" i="37" s="1"/>
  <c r="AM364" i="37"/>
  <c r="BS364" i="37" s="1"/>
  <c r="BG363" i="37"/>
  <c r="BF363" i="37"/>
  <c r="BE363" i="37"/>
  <c r="BY363" i="37" s="1"/>
  <c r="BB363" i="37"/>
  <c r="BX363" i="37" s="1"/>
  <c r="AY363" i="37"/>
  <c r="BW363" i="37" s="1"/>
  <c r="AU363" i="37"/>
  <c r="AT363" i="37"/>
  <c r="AS363" i="37"/>
  <c r="BU363" i="37" s="1"/>
  <c r="AP363" i="37"/>
  <c r="BT363" i="37" s="1"/>
  <c r="AM363" i="37"/>
  <c r="BS363" i="37" s="1"/>
  <c r="BG362" i="37"/>
  <c r="BF362" i="37"/>
  <c r="BE362" i="37"/>
  <c r="BY362" i="37" s="1"/>
  <c r="BB362" i="37"/>
  <c r="BX362" i="37" s="1"/>
  <c r="AY362" i="37"/>
  <c r="BW362" i="37" s="1"/>
  <c r="AU362" i="37"/>
  <c r="AT362" i="37"/>
  <c r="AS362" i="37"/>
  <c r="BU362" i="37" s="1"/>
  <c r="AP362" i="37"/>
  <c r="BT362" i="37" s="1"/>
  <c r="AM362" i="37"/>
  <c r="BS362" i="37" s="1"/>
  <c r="BG361" i="37"/>
  <c r="BF361" i="37"/>
  <c r="BE361" i="37"/>
  <c r="BY361" i="37" s="1"/>
  <c r="BB361" i="37"/>
  <c r="BX361" i="37" s="1"/>
  <c r="AY361" i="37"/>
  <c r="BW361" i="37" s="1"/>
  <c r="AU361" i="37"/>
  <c r="AT361" i="37"/>
  <c r="AS361" i="37"/>
  <c r="BU361" i="37" s="1"/>
  <c r="AP361" i="37"/>
  <c r="BT361" i="37" s="1"/>
  <c r="AM361" i="37"/>
  <c r="BS361" i="37" s="1"/>
  <c r="BG360" i="37"/>
  <c r="BF360" i="37"/>
  <c r="BE360" i="37"/>
  <c r="BY360" i="37" s="1"/>
  <c r="BB360" i="37"/>
  <c r="BX360" i="37" s="1"/>
  <c r="AY360" i="37"/>
  <c r="BW360" i="37" s="1"/>
  <c r="AU360" i="37"/>
  <c r="AT360" i="37"/>
  <c r="AS360" i="37"/>
  <c r="BU360" i="37" s="1"/>
  <c r="AP360" i="37"/>
  <c r="BT360" i="37" s="1"/>
  <c r="AM360" i="37"/>
  <c r="BS360" i="37" s="1"/>
  <c r="BG318" i="37"/>
  <c r="BF318" i="37"/>
  <c r="BE318" i="37"/>
  <c r="BY318" i="37" s="1"/>
  <c r="BB318" i="37"/>
  <c r="BX318" i="37" s="1"/>
  <c r="AY318" i="37"/>
  <c r="BW318" i="37" s="1"/>
  <c r="AU318" i="37"/>
  <c r="AT318" i="37"/>
  <c r="AS318" i="37"/>
  <c r="BU318" i="37" s="1"/>
  <c r="AP318" i="37"/>
  <c r="BT318" i="37" s="1"/>
  <c r="AM318" i="37"/>
  <c r="BS318" i="37" s="1"/>
  <c r="BG315" i="37"/>
  <c r="BF315" i="37"/>
  <c r="BE315" i="37"/>
  <c r="BY315" i="37" s="1"/>
  <c r="BB315" i="37"/>
  <c r="BX315" i="37" s="1"/>
  <c r="AY315" i="37"/>
  <c r="BW315" i="37" s="1"/>
  <c r="AS315" i="37"/>
  <c r="BU315" i="37" s="1"/>
  <c r="AP315" i="37"/>
  <c r="BT315" i="37" s="1"/>
  <c r="AM315" i="37"/>
  <c r="BG314" i="37"/>
  <c r="BF314" i="37"/>
  <c r="BE314" i="37"/>
  <c r="BY314" i="37" s="1"/>
  <c r="BB314" i="37"/>
  <c r="BX314" i="37" s="1"/>
  <c r="AY314" i="37"/>
  <c r="BW314" i="37" s="1"/>
  <c r="AU314" i="37"/>
  <c r="AT314" i="37"/>
  <c r="AS314" i="37"/>
  <c r="BU314" i="37" s="1"/>
  <c r="AP314" i="37"/>
  <c r="BT314" i="37" s="1"/>
  <c r="AM314" i="37"/>
  <c r="BS314" i="37" s="1"/>
  <c r="BD313" i="37"/>
  <c r="BD292" i="37" s="1"/>
  <c r="BC313" i="37"/>
  <c r="BC292" i="37" s="1"/>
  <c r="BA313" i="37"/>
  <c r="BA292" i="37" s="1"/>
  <c r="AZ313" i="37"/>
  <c r="AZ292" i="37" s="1"/>
  <c r="AX313" i="37"/>
  <c r="AX292" i="37" s="1"/>
  <c r="AW313" i="37"/>
  <c r="AW292" i="37" s="1"/>
  <c r="AR313" i="37"/>
  <c r="AR292" i="37" s="1"/>
  <c r="AQ313" i="37"/>
  <c r="AQ292" i="37" s="1"/>
  <c r="AO313" i="37"/>
  <c r="AO292" i="37" s="1"/>
  <c r="AN313" i="37"/>
  <c r="AN292" i="37" s="1"/>
  <c r="AL313" i="37"/>
  <c r="AL292" i="37" s="1"/>
  <c r="AK313" i="37"/>
  <c r="AK292" i="37" s="1"/>
  <c r="BG312" i="37"/>
  <c r="BF312" i="37"/>
  <c r="BE312" i="37"/>
  <c r="BY312" i="37" s="1"/>
  <c r="BB312" i="37"/>
  <c r="BX312" i="37" s="1"/>
  <c r="AY312" i="37"/>
  <c r="BW312" i="37" s="1"/>
  <c r="AU312" i="37"/>
  <c r="AT312" i="37"/>
  <c r="AS312" i="37"/>
  <c r="BU312" i="37" s="1"/>
  <c r="AP312" i="37"/>
  <c r="BT312" i="37" s="1"/>
  <c r="AM312" i="37"/>
  <c r="BS312" i="37" s="1"/>
  <c r="BG311" i="37"/>
  <c r="BF311" i="37"/>
  <c r="BE311" i="37"/>
  <c r="BY311" i="37" s="1"/>
  <c r="BB311" i="37"/>
  <c r="BX311" i="37" s="1"/>
  <c r="AY311" i="37"/>
  <c r="BW311" i="37" s="1"/>
  <c r="AU311" i="37"/>
  <c r="AT311" i="37"/>
  <c r="AS311" i="37"/>
  <c r="BU311" i="37" s="1"/>
  <c r="AP311" i="37"/>
  <c r="BT311" i="37" s="1"/>
  <c r="AM311" i="37"/>
  <c r="BS311" i="37" s="1"/>
  <c r="BG310" i="37"/>
  <c r="BF310" i="37"/>
  <c r="BE310" i="37"/>
  <c r="BY310" i="37" s="1"/>
  <c r="BB310" i="37"/>
  <c r="BX310" i="37" s="1"/>
  <c r="AY310" i="37"/>
  <c r="BW310" i="37" s="1"/>
  <c r="AU310" i="37"/>
  <c r="AT310" i="37"/>
  <c r="AS310" i="37"/>
  <c r="BU310" i="37" s="1"/>
  <c r="AP310" i="37"/>
  <c r="BT310" i="37" s="1"/>
  <c r="AM310" i="37"/>
  <c r="BS310" i="37" s="1"/>
  <c r="BE309" i="37"/>
  <c r="BB309" i="37"/>
  <c r="BX309" i="37" s="1"/>
  <c r="AY309" i="37"/>
  <c r="BW309" i="37" s="1"/>
  <c r="AU309" i="37"/>
  <c r="AT309" i="37"/>
  <c r="AS309" i="37"/>
  <c r="BU309" i="37" s="1"/>
  <c r="AP309" i="37"/>
  <c r="BT309" i="37" s="1"/>
  <c r="AM309" i="37"/>
  <c r="BS309" i="37" s="1"/>
  <c r="BE308" i="37"/>
  <c r="BB308" i="37"/>
  <c r="BX308" i="37" s="1"/>
  <c r="AY308" i="37"/>
  <c r="BW308" i="37" s="1"/>
  <c r="AS308" i="37"/>
  <c r="BU308" i="37" s="1"/>
  <c r="AP308" i="37"/>
  <c r="BT308" i="37" s="1"/>
  <c r="AM308" i="37"/>
  <c r="BG296" i="37"/>
  <c r="BF296" i="37"/>
  <c r="BE296" i="37"/>
  <c r="BY296" i="37" s="1"/>
  <c r="BB296" i="37"/>
  <c r="BX296" i="37" s="1"/>
  <c r="AY296" i="37"/>
  <c r="BW296" i="37" s="1"/>
  <c r="AS296" i="37"/>
  <c r="BU296" i="37" s="1"/>
  <c r="AP296" i="37"/>
  <c r="BT296" i="37" s="1"/>
  <c r="AM296" i="37"/>
  <c r="BG295" i="37"/>
  <c r="BF295" i="37"/>
  <c r="BE295" i="37"/>
  <c r="BY295" i="37" s="1"/>
  <c r="BB295" i="37"/>
  <c r="BX295" i="37" s="1"/>
  <c r="AY295" i="37"/>
  <c r="BW295" i="37" s="1"/>
  <c r="AU295" i="37"/>
  <c r="AT295" i="37"/>
  <c r="AS295" i="37"/>
  <c r="BU295" i="37" s="1"/>
  <c r="AP295" i="37"/>
  <c r="BT295" i="37" s="1"/>
  <c r="BS295" i="37"/>
  <c r="BG294" i="37"/>
  <c r="BF294" i="37"/>
  <c r="BE294" i="37"/>
  <c r="BY294" i="37" s="1"/>
  <c r="BB294" i="37"/>
  <c r="BX294" i="37" s="1"/>
  <c r="AY294" i="37"/>
  <c r="BW294" i="37" s="1"/>
  <c r="AU294" i="37"/>
  <c r="AT294" i="37"/>
  <c r="AS294" i="37"/>
  <c r="BU294" i="37" s="1"/>
  <c r="AP294" i="37"/>
  <c r="BT294" i="37" s="1"/>
  <c r="AM294" i="37"/>
  <c r="BS294" i="37" s="1"/>
  <c r="BG291" i="37"/>
  <c r="BF291" i="37"/>
  <c r="BE291" i="37"/>
  <c r="BY291" i="37" s="1"/>
  <c r="BB291" i="37"/>
  <c r="BX291" i="37" s="1"/>
  <c r="AY291" i="37"/>
  <c r="BW291" i="37" s="1"/>
  <c r="AU291" i="37"/>
  <c r="AT291" i="37"/>
  <c r="AS291" i="37"/>
  <c r="BU291" i="37" s="1"/>
  <c r="AP291" i="37"/>
  <c r="BT291" i="37" s="1"/>
  <c r="AM291" i="37"/>
  <c r="BS291" i="37" s="1"/>
  <c r="BG290" i="37"/>
  <c r="BF290" i="37"/>
  <c r="BE290" i="37"/>
  <c r="BY290" i="37" s="1"/>
  <c r="BB290" i="37"/>
  <c r="BX290" i="37" s="1"/>
  <c r="AY290" i="37"/>
  <c r="BW290" i="37" s="1"/>
  <c r="AU290" i="37"/>
  <c r="AT290" i="37"/>
  <c r="AS290" i="37"/>
  <c r="BU290" i="37" s="1"/>
  <c r="AP290" i="37"/>
  <c r="BT290" i="37" s="1"/>
  <c r="AM290" i="37"/>
  <c r="BS290" i="37" s="1"/>
  <c r="BG289" i="37"/>
  <c r="BF289" i="37"/>
  <c r="BE289" i="37"/>
  <c r="BY289" i="37" s="1"/>
  <c r="BB289" i="37"/>
  <c r="BX289" i="37" s="1"/>
  <c r="AY289" i="37"/>
  <c r="BW289" i="37" s="1"/>
  <c r="AU289" i="37"/>
  <c r="AT289" i="37"/>
  <c r="AS289" i="37"/>
  <c r="BU289" i="37" s="1"/>
  <c r="AP289" i="37"/>
  <c r="BT289" i="37" s="1"/>
  <c r="AM289" i="37"/>
  <c r="BS289" i="37" s="1"/>
  <c r="BE288" i="37"/>
  <c r="BY288" i="37" s="1"/>
  <c r="BB288" i="37"/>
  <c r="BX288" i="37" s="1"/>
  <c r="AY288" i="37"/>
  <c r="AU288" i="37"/>
  <c r="AT288" i="37"/>
  <c r="AS288" i="37"/>
  <c r="BU288" i="37" s="1"/>
  <c r="AP288" i="37"/>
  <c r="BT288" i="37" s="1"/>
  <c r="AM288" i="37"/>
  <c r="BS288" i="37" s="1"/>
  <c r="BD287" i="37"/>
  <c r="BD266" i="37" s="1"/>
  <c r="BC287" i="37"/>
  <c r="BC266" i="37" s="1"/>
  <c r="BA287" i="37"/>
  <c r="BA266" i="37" s="1"/>
  <c r="AZ287" i="37"/>
  <c r="AZ266" i="37" s="1"/>
  <c r="AX287" i="37"/>
  <c r="AX266" i="37" s="1"/>
  <c r="AW287" i="37"/>
  <c r="AW266" i="37" s="1"/>
  <c r="AR287" i="37"/>
  <c r="AR266" i="37" s="1"/>
  <c r="AQ287" i="37"/>
  <c r="AQ266" i="37" s="1"/>
  <c r="AO287" i="37"/>
  <c r="AN287" i="37"/>
  <c r="AN266" i="37" s="1"/>
  <c r="AL287" i="37"/>
  <c r="AL266" i="37" s="1"/>
  <c r="AK287" i="37"/>
  <c r="AK266" i="37" s="1"/>
  <c r="BE286" i="37"/>
  <c r="BY286" i="37" s="1"/>
  <c r="BB286" i="37"/>
  <c r="BX286" i="37" s="1"/>
  <c r="AY286" i="37"/>
  <c r="AS286" i="37"/>
  <c r="BU286" i="37" s="1"/>
  <c r="AP286" i="37"/>
  <c r="BT286" i="37" s="1"/>
  <c r="AM286" i="37"/>
  <c r="BE276" i="37"/>
  <c r="BY276" i="37" s="1"/>
  <c r="BB276" i="37"/>
  <c r="BX276" i="37" s="1"/>
  <c r="AY276" i="37"/>
  <c r="AS276" i="37"/>
  <c r="BU276" i="37" s="1"/>
  <c r="AP276" i="37"/>
  <c r="BT276" i="37" s="1"/>
  <c r="AM276" i="37"/>
  <c r="BE273" i="37"/>
  <c r="BY273" i="37" s="1"/>
  <c r="BB273" i="37"/>
  <c r="BX273" i="37" s="1"/>
  <c r="AY273" i="37"/>
  <c r="AS273" i="37"/>
  <c r="BU273" i="37" s="1"/>
  <c r="AP273" i="37"/>
  <c r="BT273" i="37" s="1"/>
  <c r="AM273" i="37"/>
  <c r="BE272" i="37"/>
  <c r="BY272" i="37" s="1"/>
  <c r="BB272" i="37"/>
  <c r="BX272" i="37" s="1"/>
  <c r="AY272" i="37"/>
  <c r="AS272" i="37"/>
  <c r="BU272" i="37" s="1"/>
  <c r="AP272" i="37"/>
  <c r="BT272" i="37" s="1"/>
  <c r="AM272" i="37"/>
  <c r="BE271" i="37"/>
  <c r="BY271" i="37" s="1"/>
  <c r="BB271" i="37"/>
  <c r="BX271" i="37" s="1"/>
  <c r="AY271" i="37"/>
  <c r="AU271" i="37"/>
  <c r="AT271" i="37"/>
  <c r="AS271" i="37"/>
  <c r="BU271" i="37" s="1"/>
  <c r="AP271" i="37"/>
  <c r="BT271" i="37" s="1"/>
  <c r="AM271" i="37"/>
  <c r="BS271" i="37" s="1"/>
  <c r="BE270" i="37"/>
  <c r="BY270" i="37" s="1"/>
  <c r="BB270" i="37"/>
  <c r="BX270" i="37" s="1"/>
  <c r="AY270" i="37"/>
  <c r="AS270" i="37"/>
  <c r="BU270" i="37" s="1"/>
  <c r="AP270" i="37"/>
  <c r="BT270" i="37" s="1"/>
  <c r="AM270" i="37"/>
  <c r="BG269" i="37"/>
  <c r="BF269" i="37"/>
  <c r="BE269" i="37"/>
  <c r="BY269" i="37" s="1"/>
  <c r="BB269" i="37"/>
  <c r="BX269" i="37" s="1"/>
  <c r="AY269" i="37"/>
  <c r="BW269" i="37" s="1"/>
  <c r="AU269" i="37"/>
  <c r="AT269" i="37"/>
  <c r="AS269" i="37"/>
  <c r="BU269" i="37" s="1"/>
  <c r="AP269" i="37"/>
  <c r="BT269" i="37" s="1"/>
  <c r="AM269" i="37"/>
  <c r="BS269" i="37" s="1"/>
  <c r="BG268" i="37"/>
  <c r="BF268" i="37"/>
  <c r="BE268" i="37"/>
  <c r="BY268" i="37" s="1"/>
  <c r="BB268" i="37"/>
  <c r="BX268" i="37" s="1"/>
  <c r="AY268" i="37"/>
  <c r="BW268" i="37" s="1"/>
  <c r="AU268" i="37"/>
  <c r="AT268" i="37"/>
  <c r="AS268" i="37"/>
  <c r="BU268" i="37" s="1"/>
  <c r="AP268" i="37"/>
  <c r="BT268" i="37" s="1"/>
  <c r="AM268" i="37"/>
  <c r="BS268" i="37" s="1"/>
  <c r="BG265" i="37"/>
  <c r="BF265" i="37"/>
  <c r="BE265" i="37"/>
  <c r="BY265" i="37" s="1"/>
  <c r="BB265" i="37"/>
  <c r="BX265" i="37" s="1"/>
  <c r="AY265" i="37"/>
  <c r="BW265" i="37" s="1"/>
  <c r="AU265" i="37"/>
  <c r="AT265" i="37"/>
  <c r="AS265" i="37"/>
  <c r="BU265" i="37" s="1"/>
  <c r="AP265" i="37"/>
  <c r="BT265" i="37" s="1"/>
  <c r="AM265" i="37"/>
  <c r="BS265" i="37" s="1"/>
  <c r="BE264" i="37"/>
  <c r="BY264" i="37" s="1"/>
  <c r="BB264" i="37"/>
  <c r="BX264" i="37" s="1"/>
  <c r="AY264" i="37"/>
  <c r="AU264" i="37"/>
  <c r="AT264" i="37"/>
  <c r="AS264" i="37"/>
  <c r="BU264" i="37" s="1"/>
  <c r="AP264" i="37"/>
  <c r="BT264" i="37" s="1"/>
  <c r="AM264" i="37"/>
  <c r="BS264" i="37" s="1"/>
  <c r="BG263" i="37"/>
  <c r="BF263" i="37"/>
  <c r="BE263" i="37"/>
  <c r="BY263" i="37" s="1"/>
  <c r="BB263" i="37"/>
  <c r="BX263" i="37" s="1"/>
  <c r="AY263" i="37"/>
  <c r="BW263" i="37" s="1"/>
  <c r="AS263" i="37"/>
  <c r="BU263" i="37" s="1"/>
  <c r="AP263" i="37"/>
  <c r="BT263" i="37" s="1"/>
  <c r="AM263" i="37"/>
  <c r="BG262" i="37"/>
  <c r="BF262" i="37"/>
  <c r="BE262" i="37"/>
  <c r="BY262" i="37" s="1"/>
  <c r="BB262" i="37"/>
  <c r="BX262" i="37" s="1"/>
  <c r="AY262" i="37"/>
  <c r="BW262" i="37" s="1"/>
  <c r="AU262" i="37"/>
  <c r="AT262" i="37"/>
  <c r="AS262" i="37"/>
  <c r="BU262" i="37" s="1"/>
  <c r="AP262" i="37"/>
  <c r="BT262" i="37" s="1"/>
  <c r="AM262" i="37"/>
  <c r="BS262" i="37" s="1"/>
  <c r="BD261" i="37"/>
  <c r="BC261" i="37"/>
  <c r="BA261" i="37"/>
  <c r="AZ261" i="37"/>
  <c r="AX261" i="37"/>
  <c r="AW261" i="37"/>
  <c r="AR261" i="37"/>
  <c r="AQ261" i="37"/>
  <c r="AO261" i="37"/>
  <c r="AN261" i="37"/>
  <c r="AL261" i="37"/>
  <c r="AK261" i="37"/>
  <c r="BE260" i="37"/>
  <c r="BY260" i="37" s="1"/>
  <c r="BB260" i="37"/>
  <c r="BX260" i="37" s="1"/>
  <c r="AY260" i="37"/>
  <c r="BW260" i="37" s="1"/>
  <c r="AS260" i="37"/>
  <c r="BU260" i="37" s="1"/>
  <c r="AP260" i="37"/>
  <c r="BT260" i="37" s="1"/>
  <c r="AM260" i="37"/>
  <c r="BS260" i="37" s="1"/>
  <c r="BE259" i="37"/>
  <c r="BY259" i="37" s="1"/>
  <c r="BB259" i="37"/>
  <c r="BX259" i="37" s="1"/>
  <c r="AY259" i="37"/>
  <c r="AS259" i="37"/>
  <c r="BU259" i="37" s="1"/>
  <c r="AP259" i="37"/>
  <c r="BT259" i="37" s="1"/>
  <c r="AM259" i="37"/>
  <c r="BS259" i="37" s="1"/>
  <c r="BE255" i="37"/>
  <c r="BY255" i="37" s="1"/>
  <c r="BB255" i="37"/>
  <c r="BX255" i="37" s="1"/>
  <c r="AY255" i="37"/>
  <c r="BW255" i="37" s="1"/>
  <c r="AS255" i="37"/>
  <c r="BU255" i="37" s="1"/>
  <c r="AP255" i="37"/>
  <c r="BT255" i="37" s="1"/>
  <c r="AM255" i="37"/>
  <c r="BS255" i="37" s="1"/>
  <c r="BE254" i="37"/>
  <c r="BY254" i="37" s="1"/>
  <c r="BB254" i="37"/>
  <c r="BX254" i="37" s="1"/>
  <c r="AY254" i="37"/>
  <c r="BW254" i="37" s="1"/>
  <c r="AS254" i="37"/>
  <c r="BU254" i="37" s="1"/>
  <c r="AP254" i="37"/>
  <c r="BT254" i="37" s="1"/>
  <c r="AM254" i="37"/>
  <c r="BS254" i="37" s="1"/>
  <c r="BE253" i="37"/>
  <c r="BY253" i="37" s="1"/>
  <c r="BB253" i="37"/>
  <c r="BX253" i="37" s="1"/>
  <c r="AY253" i="37"/>
  <c r="AS253" i="37"/>
  <c r="BU253" i="37" s="1"/>
  <c r="AP253" i="37"/>
  <c r="BT253" i="37" s="1"/>
  <c r="AM253" i="37"/>
  <c r="BE252" i="37"/>
  <c r="BY252" i="37" s="1"/>
  <c r="BB252" i="37"/>
  <c r="BX252" i="37" s="1"/>
  <c r="AY252" i="37"/>
  <c r="AS252" i="37"/>
  <c r="BU252" i="37" s="1"/>
  <c r="AP252" i="37"/>
  <c r="BT252" i="37" s="1"/>
  <c r="AM252" i="37"/>
  <c r="BE249" i="37"/>
  <c r="BY249" i="37" s="1"/>
  <c r="BB249" i="37"/>
  <c r="BX249" i="37" s="1"/>
  <c r="AY249" i="37"/>
  <c r="AS249" i="37"/>
  <c r="BU249" i="37" s="1"/>
  <c r="AP249" i="37"/>
  <c r="BT249" i="37" s="1"/>
  <c r="AM249" i="37"/>
  <c r="BE248" i="37"/>
  <c r="BY248" i="37" s="1"/>
  <c r="BB248" i="37"/>
  <c r="BX248" i="37" s="1"/>
  <c r="AY248" i="37"/>
  <c r="BW248" i="37" s="1"/>
  <c r="AS248" i="37"/>
  <c r="BU248" i="37" s="1"/>
  <c r="AP248" i="37"/>
  <c r="BT248" i="37" s="1"/>
  <c r="AM248" i="37"/>
  <c r="BS248" i="37" s="1"/>
  <c r="BE246" i="37"/>
  <c r="BY246" i="37" s="1"/>
  <c r="BB246" i="37"/>
  <c r="BX246" i="37" s="1"/>
  <c r="AY246" i="37"/>
  <c r="BW246" i="37" s="1"/>
  <c r="AS246" i="37"/>
  <c r="BU246" i="37" s="1"/>
  <c r="AP246" i="37"/>
  <c r="BT246" i="37" s="1"/>
  <c r="AM246" i="37"/>
  <c r="BS246" i="37" s="1"/>
  <c r="BE245" i="37"/>
  <c r="BY245" i="37" s="1"/>
  <c r="BB245" i="37"/>
  <c r="BX245" i="37" s="1"/>
  <c r="AY245" i="37"/>
  <c r="BW245" i="37" s="1"/>
  <c r="AS245" i="37"/>
  <c r="BU245" i="37" s="1"/>
  <c r="AP245" i="37"/>
  <c r="BT245" i="37" s="1"/>
  <c r="AM245" i="37"/>
  <c r="BS245" i="37" s="1"/>
  <c r="BE244" i="37"/>
  <c r="BY244" i="37" s="1"/>
  <c r="BB244" i="37"/>
  <c r="BX244" i="37" s="1"/>
  <c r="AY244" i="37"/>
  <c r="BW244" i="37" s="1"/>
  <c r="AS244" i="37"/>
  <c r="BU244" i="37" s="1"/>
  <c r="AP244" i="37"/>
  <c r="BT244" i="37" s="1"/>
  <c r="AM244" i="37"/>
  <c r="BS244" i="37" s="1"/>
  <c r="BD243" i="37"/>
  <c r="BC243" i="37"/>
  <c r="BA243" i="37"/>
  <c r="AZ243" i="37"/>
  <c r="AX243" i="37"/>
  <c r="AW243" i="37"/>
  <c r="AR243" i="37"/>
  <c r="AQ243" i="37"/>
  <c r="AO243" i="37"/>
  <c r="AN243" i="37"/>
  <c r="AL243" i="37"/>
  <c r="AK243" i="37"/>
  <c r="BE241" i="37"/>
  <c r="BY241" i="37" s="1"/>
  <c r="BB241" i="37"/>
  <c r="BX241" i="37" s="1"/>
  <c r="AY241" i="37"/>
  <c r="BW241" i="37" s="1"/>
  <c r="AS241" i="37"/>
  <c r="BU241" i="37" s="1"/>
  <c r="AP241" i="37"/>
  <c r="BT241" i="37" s="1"/>
  <c r="AM241" i="37"/>
  <c r="BS241" i="37" s="1"/>
  <c r="BE240" i="37"/>
  <c r="BY240" i="37" s="1"/>
  <c r="BB240" i="37"/>
  <c r="BX240" i="37" s="1"/>
  <c r="AY240" i="37"/>
  <c r="BW240" i="37" s="1"/>
  <c r="AS240" i="37"/>
  <c r="BU240" i="37" s="1"/>
  <c r="AP240" i="37"/>
  <c r="BT240" i="37" s="1"/>
  <c r="AM240" i="37"/>
  <c r="BS240" i="37" s="1"/>
  <c r="BE239" i="37"/>
  <c r="BY239" i="37" s="1"/>
  <c r="BB239" i="37"/>
  <c r="BX239" i="37" s="1"/>
  <c r="AY239" i="37"/>
  <c r="AS239" i="37"/>
  <c r="BU239" i="37" s="1"/>
  <c r="AP239" i="37"/>
  <c r="BT239" i="37" s="1"/>
  <c r="AM239" i="37"/>
  <c r="BS239" i="37" s="1"/>
  <c r="BE238" i="37"/>
  <c r="BB238" i="37"/>
  <c r="BX238" i="37" s="1"/>
  <c r="AY238" i="37"/>
  <c r="BW238" i="37" s="1"/>
  <c r="AS238" i="37"/>
  <c r="BU238" i="37" s="1"/>
  <c r="AP238" i="37"/>
  <c r="BT238" i="37" s="1"/>
  <c r="AM238" i="37"/>
  <c r="BE237" i="37"/>
  <c r="BY237" i="37" s="1"/>
  <c r="BB237" i="37"/>
  <c r="BX237" i="37" s="1"/>
  <c r="AY237" i="37"/>
  <c r="AS237" i="37"/>
  <c r="BU237" i="37" s="1"/>
  <c r="AP237" i="37"/>
  <c r="BT237" i="37" s="1"/>
  <c r="AM237" i="37"/>
  <c r="BD214" i="37"/>
  <c r="BC214" i="37"/>
  <c r="BA214" i="37"/>
  <c r="AZ214" i="37"/>
  <c r="AX214" i="37"/>
  <c r="AW214" i="37"/>
  <c r="AR214" i="37"/>
  <c r="AQ214" i="37"/>
  <c r="AO214" i="37"/>
  <c r="AN214" i="37"/>
  <c r="AL214" i="37"/>
  <c r="AK214" i="37"/>
  <c r="BE235" i="37"/>
  <c r="BY235" i="37" s="1"/>
  <c r="BB235" i="37"/>
  <c r="BX235" i="37" s="1"/>
  <c r="AY235" i="37"/>
  <c r="AS235" i="37"/>
  <c r="BU235" i="37" s="1"/>
  <c r="AP235" i="37"/>
  <c r="BT235" i="37" s="1"/>
  <c r="AM235" i="37"/>
  <c r="BE234" i="37"/>
  <c r="BY234" i="37" s="1"/>
  <c r="BB234" i="37"/>
  <c r="BX234" i="37" s="1"/>
  <c r="AY234" i="37"/>
  <c r="AS234" i="37"/>
  <c r="BU234" i="37" s="1"/>
  <c r="AP234" i="37"/>
  <c r="BT234" i="37" s="1"/>
  <c r="AM234" i="37"/>
  <c r="BE233" i="37"/>
  <c r="BY233" i="37" s="1"/>
  <c r="BB233" i="37"/>
  <c r="BX233" i="37" s="1"/>
  <c r="AY233" i="37"/>
  <c r="AS233" i="37"/>
  <c r="BU233" i="37" s="1"/>
  <c r="AP233" i="37"/>
  <c r="BT233" i="37" s="1"/>
  <c r="AM233" i="37"/>
  <c r="BE232" i="37"/>
  <c r="BY232" i="37" s="1"/>
  <c r="BB232" i="37"/>
  <c r="BX232" i="37" s="1"/>
  <c r="AY232" i="37"/>
  <c r="AS232" i="37"/>
  <c r="BU232" i="37" s="1"/>
  <c r="AP232" i="37"/>
  <c r="BT232" i="37" s="1"/>
  <c r="AM232" i="37"/>
  <c r="BE231" i="37"/>
  <c r="BY231" i="37" s="1"/>
  <c r="BB231" i="37"/>
  <c r="BX231" i="37" s="1"/>
  <c r="AY231" i="37"/>
  <c r="AS231" i="37"/>
  <c r="BU231" i="37" s="1"/>
  <c r="AP231" i="37"/>
  <c r="BT231" i="37" s="1"/>
  <c r="AM231" i="37"/>
  <c r="BE230" i="37"/>
  <c r="BY230" i="37" s="1"/>
  <c r="BB230" i="37"/>
  <c r="BX230" i="37" s="1"/>
  <c r="AY230" i="37"/>
  <c r="AS230" i="37"/>
  <c r="BU230" i="37" s="1"/>
  <c r="AP230" i="37"/>
  <c r="BT230" i="37" s="1"/>
  <c r="AM230" i="37"/>
  <c r="BE229" i="37"/>
  <c r="BY229" i="37" s="1"/>
  <c r="BB229" i="37"/>
  <c r="BX229" i="37" s="1"/>
  <c r="AY229" i="37"/>
  <c r="AS229" i="37"/>
  <c r="BU229" i="37" s="1"/>
  <c r="AP229" i="37"/>
  <c r="BT229" i="37" s="1"/>
  <c r="AM229" i="37"/>
  <c r="BE227" i="37"/>
  <c r="BY227" i="37" s="1"/>
  <c r="BB227" i="37"/>
  <c r="BX227" i="37" s="1"/>
  <c r="AY227" i="37"/>
  <c r="AS227" i="37"/>
  <c r="BU227" i="37" s="1"/>
  <c r="AP227" i="37"/>
  <c r="BT227" i="37" s="1"/>
  <c r="AM227" i="37"/>
  <c r="BE225" i="37"/>
  <c r="BY225" i="37" s="1"/>
  <c r="BB225" i="37"/>
  <c r="BX225" i="37" s="1"/>
  <c r="AY225" i="37"/>
  <c r="AS225" i="37"/>
  <c r="BU225" i="37" s="1"/>
  <c r="AP225" i="37"/>
  <c r="BT225" i="37" s="1"/>
  <c r="AM225" i="37"/>
  <c r="BE216" i="37"/>
  <c r="BY216" i="37" s="1"/>
  <c r="BB216" i="37"/>
  <c r="BX216" i="37" s="1"/>
  <c r="AY216" i="37"/>
  <c r="AS216" i="37"/>
  <c r="AP216" i="37"/>
  <c r="BT216" i="37" s="1"/>
  <c r="AM216" i="37"/>
  <c r="BS216" i="37" s="1"/>
  <c r="BG213" i="37"/>
  <c r="BF213" i="37"/>
  <c r="BE213" i="37"/>
  <c r="BY213" i="37" s="1"/>
  <c r="BB213" i="37"/>
  <c r="BX213" i="37" s="1"/>
  <c r="AY213" i="37"/>
  <c r="BW213" i="37" s="1"/>
  <c r="AU213" i="37"/>
  <c r="AT213" i="37"/>
  <c r="AS213" i="37"/>
  <c r="BU213" i="37" s="1"/>
  <c r="AP213" i="37"/>
  <c r="BT213" i="37" s="1"/>
  <c r="AM213" i="37"/>
  <c r="BS213" i="37" s="1"/>
  <c r="BG212" i="37"/>
  <c r="BF212" i="37"/>
  <c r="BE212" i="37"/>
  <c r="BY212" i="37" s="1"/>
  <c r="BB212" i="37"/>
  <c r="BX212" i="37" s="1"/>
  <c r="AY212" i="37"/>
  <c r="BW212" i="37" s="1"/>
  <c r="AU212" i="37"/>
  <c r="AT212" i="37"/>
  <c r="AS212" i="37"/>
  <c r="BU212" i="37" s="1"/>
  <c r="AP212" i="37"/>
  <c r="BT212" i="37" s="1"/>
  <c r="AM212" i="37"/>
  <c r="BS212" i="37" s="1"/>
  <c r="BG211" i="37"/>
  <c r="BF211" i="37"/>
  <c r="BE211" i="37"/>
  <c r="BY211" i="37" s="1"/>
  <c r="BB211" i="37"/>
  <c r="BX211" i="37" s="1"/>
  <c r="AY211" i="37"/>
  <c r="BW211" i="37" s="1"/>
  <c r="AU211" i="37"/>
  <c r="AT211" i="37"/>
  <c r="AS211" i="37"/>
  <c r="BU211" i="37" s="1"/>
  <c r="AP211" i="37"/>
  <c r="BT211" i="37" s="1"/>
  <c r="AM211" i="37"/>
  <c r="BS211" i="37" s="1"/>
  <c r="BG210" i="37"/>
  <c r="BF210" i="37"/>
  <c r="BE210" i="37"/>
  <c r="BY210" i="37" s="1"/>
  <c r="BB210" i="37"/>
  <c r="BX210" i="37" s="1"/>
  <c r="AY210" i="37"/>
  <c r="BW210" i="37" s="1"/>
  <c r="AU210" i="37"/>
  <c r="AT210" i="37"/>
  <c r="AS210" i="37"/>
  <c r="BU210" i="37" s="1"/>
  <c r="AP210" i="37"/>
  <c r="BT210" i="37" s="1"/>
  <c r="AM210" i="37"/>
  <c r="BS210" i="37" s="1"/>
  <c r="BG209" i="37"/>
  <c r="BF209" i="37"/>
  <c r="BE209" i="37"/>
  <c r="BY209" i="37" s="1"/>
  <c r="BB209" i="37"/>
  <c r="BX209" i="37" s="1"/>
  <c r="AY209" i="37"/>
  <c r="BW209" i="37" s="1"/>
  <c r="AU209" i="37"/>
  <c r="AT209" i="37"/>
  <c r="AS209" i="37"/>
  <c r="BU209" i="37" s="1"/>
  <c r="AP209" i="37"/>
  <c r="BT209" i="37" s="1"/>
  <c r="AM209" i="37"/>
  <c r="BS209" i="37" s="1"/>
  <c r="BG208" i="37"/>
  <c r="BF208" i="37"/>
  <c r="BE208" i="37"/>
  <c r="BY208" i="37" s="1"/>
  <c r="BB208" i="37"/>
  <c r="BX208" i="37" s="1"/>
  <c r="AY208" i="37"/>
  <c r="BW208" i="37" s="1"/>
  <c r="AU208" i="37"/>
  <c r="AT208" i="37"/>
  <c r="AS208" i="37"/>
  <c r="BU208" i="37" s="1"/>
  <c r="AP208" i="37"/>
  <c r="BT208" i="37" s="1"/>
  <c r="AM208" i="37"/>
  <c r="BS208" i="37" s="1"/>
  <c r="BD207" i="37"/>
  <c r="BD190" i="37" s="1"/>
  <c r="BC207" i="37"/>
  <c r="BC190" i="37" s="1"/>
  <c r="BA207" i="37"/>
  <c r="BA190" i="37" s="1"/>
  <c r="AZ207" i="37"/>
  <c r="AZ190" i="37" s="1"/>
  <c r="AX207" i="37"/>
  <c r="AX190" i="37" s="1"/>
  <c r="AW207" i="37"/>
  <c r="AW190" i="37" s="1"/>
  <c r="AR207" i="37"/>
  <c r="AR190" i="37" s="1"/>
  <c r="AQ207" i="37"/>
  <c r="AQ190" i="37" s="1"/>
  <c r="AO207" i="37"/>
  <c r="AO190" i="37" s="1"/>
  <c r="AN207" i="37"/>
  <c r="AN190" i="37" s="1"/>
  <c r="AL207" i="37"/>
  <c r="AL190" i="37" s="1"/>
  <c r="AK207" i="37"/>
  <c r="AK190" i="37" s="1"/>
  <c r="BE206" i="37"/>
  <c r="BY206" i="37" s="1"/>
  <c r="BB206" i="37"/>
  <c r="BX206" i="37" s="1"/>
  <c r="AY206" i="37"/>
  <c r="BW206" i="37" s="1"/>
  <c r="AS206" i="37"/>
  <c r="BU206" i="37" s="1"/>
  <c r="AP206" i="37"/>
  <c r="BT206" i="37" s="1"/>
  <c r="AM206" i="37"/>
  <c r="BS206" i="37" s="1"/>
  <c r="BE205" i="37"/>
  <c r="BY205" i="37" s="1"/>
  <c r="BB205" i="37"/>
  <c r="BX205" i="37" s="1"/>
  <c r="AY205" i="37"/>
  <c r="AS205" i="37"/>
  <c r="BU205" i="37" s="1"/>
  <c r="AP205" i="37"/>
  <c r="BT205" i="37" s="1"/>
  <c r="AM205" i="37"/>
  <c r="BS205" i="37" s="1"/>
  <c r="BE204" i="37"/>
  <c r="BY204" i="37" s="1"/>
  <c r="BB204" i="37"/>
  <c r="BX204" i="37" s="1"/>
  <c r="AY204" i="37"/>
  <c r="AS204" i="37"/>
  <c r="BU204" i="37" s="1"/>
  <c r="AP204" i="37"/>
  <c r="BT204" i="37" s="1"/>
  <c r="AM204" i="37"/>
  <c r="BS204" i="37" s="1"/>
  <c r="BE203" i="37"/>
  <c r="BY203" i="37" s="1"/>
  <c r="BB203" i="37"/>
  <c r="BX203" i="37" s="1"/>
  <c r="AY203" i="37"/>
  <c r="AS203" i="37"/>
  <c r="BU203" i="37" s="1"/>
  <c r="AP203" i="37"/>
  <c r="BT203" i="37" s="1"/>
  <c r="AM203" i="37"/>
  <c r="BE202" i="37"/>
  <c r="BB202" i="37"/>
  <c r="BX202" i="37" s="1"/>
  <c r="AY202" i="37"/>
  <c r="BW202" i="37" s="1"/>
  <c r="AS202" i="37"/>
  <c r="AP202" i="37"/>
  <c r="BT202" i="37" s="1"/>
  <c r="AM202" i="37"/>
  <c r="BE201" i="37"/>
  <c r="BY201" i="37" s="1"/>
  <c r="BB201" i="37"/>
  <c r="BX201" i="37" s="1"/>
  <c r="AY201" i="37"/>
  <c r="AS201" i="37"/>
  <c r="AP201" i="37"/>
  <c r="BT201" i="37" s="1"/>
  <c r="AM201" i="37"/>
  <c r="BE197" i="37"/>
  <c r="BY197" i="37" s="1"/>
  <c r="BB197" i="37"/>
  <c r="BX197" i="37" s="1"/>
  <c r="AY197" i="37"/>
  <c r="AS197" i="37"/>
  <c r="BU197" i="37" s="1"/>
  <c r="AP197" i="37"/>
  <c r="BT197" i="37" s="1"/>
  <c r="AM197" i="37"/>
  <c r="BE195" i="37"/>
  <c r="BY195" i="37" s="1"/>
  <c r="BB195" i="37"/>
  <c r="BX195" i="37" s="1"/>
  <c r="AY195" i="37"/>
  <c r="AS195" i="37"/>
  <c r="BU195" i="37" s="1"/>
  <c r="AP195" i="37"/>
  <c r="BT195" i="37" s="1"/>
  <c r="AM195" i="37"/>
  <c r="BE192" i="37"/>
  <c r="BY192" i="37" s="1"/>
  <c r="BB192" i="37"/>
  <c r="BX192" i="37" s="1"/>
  <c r="AY192" i="37"/>
  <c r="AS192" i="37"/>
  <c r="BU192" i="37" s="1"/>
  <c r="AP192" i="37"/>
  <c r="BT192" i="37" s="1"/>
  <c r="AM192" i="37"/>
  <c r="BE189" i="37"/>
  <c r="BY189" i="37" s="1"/>
  <c r="BB189" i="37"/>
  <c r="BX189" i="37" s="1"/>
  <c r="AY189" i="37"/>
  <c r="BW189" i="37" s="1"/>
  <c r="AS189" i="37"/>
  <c r="BU189" i="37" s="1"/>
  <c r="AP189" i="37"/>
  <c r="BT189" i="37" s="1"/>
  <c r="AM189" i="37"/>
  <c r="BS189" i="37" s="1"/>
  <c r="BE187" i="37"/>
  <c r="BY187" i="37" s="1"/>
  <c r="BB187" i="37"/>
  <c r="BX187" i="37" s="1"/>
  <c r="AY187" i="37"/>
  <c r="AS187" i="37"/>
  <c r="BU187" i="37" s="1"/>
  <c r="AP187" i="37"/>
  <c r="BT187" i="37" s="1"/>
  <c r="AM187" i="37"/>
  <c r="BE186" i="37"/>
  <c r="BY186" i="37" s="1"/>
  <c r="BB186" i="37"/>
  <c r="BX186" i="37" s="1"/>
  <c r="AY186" i="37"/>
  <c r="AS186" i="37"/>
  <c r="BU186" i="37" s="1"/>
  <c r="AP186" i="37"/>
  <c r="BT186" i="37" s="1"/>
  <c r="AM186" i="37"/>
  <c r="BD185" i="37"/>
  <c r="BD165" i="37" s="1"/>
  <c r="BC185" i="37"/>
  <c r="BC165" i="37" s="1"/>
  <c r="BA185" i="37"/>
  <c r="AZ185" i="37"/>
  <c r="AZ165" i="37" s="1"/>
  <c r="AX185" i="37"/>
  <c r="AX165" i="37" s="1"/>
  <c r="AW185" i="37"/>
  <c r="AW165" i="37" s="1"/>
  <c r="AR185" i="37"/>
  <c r="AR165" i="37" s="1"/>
  <c r="AQ185" i="37"/>
  <c r="AQ165" i="37" s="1"/>
  <c r="AO185" i="37"/>
  <c r="AO165" i="37" s="1"/>
  <c r="AN185" i="37"/>
  <c r="AN165" i="37" s="1"/>
  <c r="AL185" i="37"/>
  <c r="AL165" i="37" s="1"/>
  <c r="AK185" i="37"/>
  <c r="AK165" i="37" s="1"/>
  <c r="BE181" i="37"/>
  <c r="BY181" i="37" s="1"/>
  <c r="BB181" i="37"/>
  <c r="BX181" i="37" s="1"/>
  <c r="AY181" i="37"/>
  <c r="AS181" i="37"/>
  <c r="BU181" i="37" s="1"/>
  <c r="AP181" i="37"/>
  <c r="BT181" i="37" s="1"/>
  <c r="AM181" i="37"/>
  <c r="BS181" i="37" s="1"/>
  <c r="BE180" i="37"/>
  <c r="BY180" i="37" s="1"/>
  <c r="BB180" i="37"/>
  <c r="BX180" i="37" s="1"/>
  <c r="AY180" i="37"/>
  <c r="AS180" i="37"/>
  <c r="BU180" i="37" s="1"/>
  <c r="AP180" i="37"/>
  <c r="BT180" i="37" s="1"/>
  <c r="AM180" i="37"/>
  <c r="BE179" i="37"/>
  <c r="BY179" i="37" s="1"/>
  <c r="BB179" i="37"/>
  <c r="BX179" i="37" s="1"/>
  <c r="AY179" i="37"/>
  <c r="AS179" i="37"/>
  <c r="BU179" i="37" s="1"/>
  <c r="AP179" i="37"/>
  <c r="BT179" i="37" s="1"/>
  <c r="AM179" i="37"/>
  <c r="BE178" i="37"/>
  <c r="BY178" i="37" s="1"/>
  <c r="BB178" i="37"/>
  <c r="BX178" i="37" s="1"/>
  <c r="AY178" i="37"/>
  <c r="BW178" i="37" s="1"/>
  <c r="AS178" i="37"/>
  <c r="BU178" i="37" s="1"/>
  <c r="AP178" i="37"/>
  <c r="AM178" i="37"/>
  <c r="BS178" i="37" s="1"/>
  <c r="BE177" i="37"/>
  <c r="BY177" i="37" s="1"/>
  <c r="BB177" i="37"/>
  <c r="BX177" i="37" s="1"/>
  <c r="AY177" i="37"/>
  <c r="AS177" i="37"/>
  <c r="BU177" i="37" s="1"/>
  <c r="AP177" i="37"/>
  <c r="BT177" i="37" s="1"/>
  <c r="AM177" i="37"/>
  <c r="BE175" i="37"/>
  <c r="BB175" i="37"/>
  <c r="BX175" i="37" s="1"/>
  <c r="AY175" i="37"/>
  <c r="BW175" i="37" s="1"/>
  <c r="AS175" i="37"/>
  <c r="BU175" i="37" s="1"/>
  <c r="AP175" i="37"/>
  <c r="BT175" i="37" s="1"/>
  <c r="AM175" i="37"/>
  <c r="BE173" i="37"/>
  <c r="BY173" i="37" s="1"/>
  <c r="BB173" i="37"/>
  <c r="BX173" i="37" s="1"/>
  <c r="AY173" i="37"/>
  <c r="AS173" i="37"/>
  <c r="BU173" i="37" s="1"/>
  <c r="AP173" i="37"/>
  <c r="BT173" i="37" s="1"/>
  <c r="AM173" i="37"/>
  <c r="BE172" i="37"/>
  <c r="BY172" i="37" s="1"/>
  <c r="BB172" i="37"/>
  <c r="BX172" i="37" s="1"/>
  <c r="AY172" i="37"/>
  <c r="AS172" i="37"/>
  <c r="BU172" i="37" s="1"/>
  <c r="AP172" i="37"/>
  <c r="BT172" i="37" s="1"/>
  <c r="AM172" i="37"/>
  <c r="BE171" i="37"/>
  <c r="BY171" i="37" s="1"/>
  <c r="BB171" i="37"/>
  <c r="BX171" i="37" s="1"/>
  <c r="AY171" i="37"/>
  <c r="AS171" i="37"/>
  <c r="BU171" i="37" s="1"/>
  <c r="AP171" i="37"/>
  <c r="BT171" i="37" s="1"/>
  <c r="AM171" i="37"/>
  <c r="BE168" i="37"/>
  <c r="BY168" i="37" s="1"/>
  <c r="BB168" i="37"/>
  <c r="BX168" i="37" s="1"/>
  <c r="AY168" i="37"/>
  <c r="AS168" i="37"/>
  <c r="BU168" i="37" s="1"/>
  <c r="AP168" i="37"/>
  <c r="BT168" i="37" s="1"/>
  <c r="AM168" i="37"/>
  <c r="BE167" i="37"/>
  <c r="BB167" i="37"/>
  <c r="AY167" i="37"/>
  <c r="AS167" i="37"/>
  <c r="AP167" i="37"/>
  <c r="AM167" i="37"/>
  <c r="BG164" i="37"/>
  <c r="BF164" i="37"/>
  <c r="BE164" i="37"/>
  <c r="BY164" i="37" s="1"/>
  <c r="BB164" i="37"/>
  <c r="BX164" i="37" s="1"/>
  <c r="AY164" i="37"/>
  <c r="BW164" i="37" s="1"/>
  <c r="AU164" i="37"/>
  <c r="AT164" i="37"/>
  <c r="AS164" i="37"/>
  <c r="BU164" i="37" s="1"/>
  <c r="AP164" i="37"/>
  <c r="BT164" i="37" s="1"/>
  <c r="AM164" i="37"/>
  <c r="BS164" i="37" s="1"/>
  <c r="BE162" i="37"/>
  <c r="BY162" i="37" s="1"/>
  <c r="BB162" i="37"/>
  <c r="BX162" i="37" s="1"/>
  <c r="AY162" i="37"/>
  <c r="AU162" i="37"/>
  <c r="AT162" i="37"/>
  <c r="AS162" i="37"/>
  <c r="BU162" i="37" s="1"/>
  <c r="AP162" i="37"/>
  <c r="BT162" i="37" s="1"/>
  <c r="AM162" i="37"/>
  <c r="BS162" i="37" s="1"/>
  <c r="BD161" i="37"/>
  <c r="BD148" i="37" s="1"/>
  <c r="BC161" i="37"/>
  <c r="BC148" i="37" s="1"/>
  <c r="BA161" i="37"/>
  <c r="BA148" i="37" s="1"/>
  <c r="AZ161" i="37"/>
  <c r="AZ148" i="37" s="1"/>
  <c r="AX161" i="37"/>
  <c r="AX148" i="37" s="1"/>
  <c r="AW161" i="37"/>
  <c r="AW148" i="37" s="1"/>
  <c r="AR161" i="37"/>
  <c r="AR148" i="37" s="1"/>
  <c r="AQ161" i="37"/>
  <c r="AQ148" i="37" s="1"/>
  <c r="AO161" i="37"/>
  <c r="AO148" i="37" s="1"/>
  <c r="AN161" i="37"/>
  <c r="AN148" i="37" s="1"/>
  <c r="AL161" i="37"/>
  <c r="AL148" i="37" s="1"/>
  <c r="AK161" i="37"/>
  <c r="AK148" i="37" s="1"/>
  <c r="BG160" i="37"/>
  <c r="BF160" i="37"/>
  <c r="BE160" i="37"/>
  <c r="BY160" i="37" s="1"/>
  <c r="BB160" i="37"/>
  <c r="BX160" i="37" s="1"/>
  <c r="AY160" i="37"/>
  <c r="BW160" i="37" s="1"/>
  <c r="AU160" i="37"/>
  <c r="AT160" i="37"/>
  <c r="AS160" i="37"/>
  <c r="BU160" i="37" s="1"/>
  <c r="AP160" i="37"/>
  <c r="BT160" i="37" s="1"/>
  <c r="AM160" i="37"/>
  <c r="BS160" i="37" s="1"/>
  <c r="BG152" i="37"/>
  <c r="BF152" i="37"/>
  <c r="BE152" i="37"/>
  <c r="BY152" i="37" s="1"/>
  <c r="BB152" i="37"/>
  <c r="BX152" i="37" s="1"/>
  <c r="AY152" i="37"/>
  <c r="BW152" i="37" s="1"/>
  <c r="AU152" i="37"/>
  <c r="AT152" i="37"/>
  <c r="AS152" i="37"/>
  <c r="BU152" i="37" s="1"/>
  <c r="AP152" i="37"/>
  <c r="BT152" i="37" s="1"/>
  <c r="AM152" i="37"/>
  <c r="BS152" i="37" s="1"/>
  <c r="BG151" i="37"/>
  <c r="BF151" i="37"/>
  <c r="BE151" i="37"/>
  <c r="BY151" i="37" s="1"/>
  <c r="BB151" i="37"/>
  <c r="BX151" i="37" s="1"/>
  <c r="AY151" i="37"/>
  <c r="BW151" i="37" s="1"/>
  <c r="AS151" i="37"/>
  <c r="BU151" i="37" s="1"/>
  <c r="AP151" i="37"/>
  <c r="BT151" i="37" s="1"/>
  <c r="AM151" i="37"/>
  <c r="BG150" i="37"/>
  <c r="BF150" i="37"/>
  <c r="BE150" i="37"/>
  <c r="BY150" i="37" s="1"/>
  <c r="BB150" i="37"/>
  <c r="BX150" i="37" s="1"/>
  <c r="AY150" i="37"/>
  <c r="BW150" i="37" s="1"/>
  <c r="AU150" i="37"/>
  <c r="AT150" i="37"/>
  <c r="AS150" i="37"/>
  <c r="BU150" i="37" s="1"/>
  <c r="AP150" i="37"/>
  <c r="BT150" i="37" s="1"/>
  <c r="AM150" i="37"/>
  <c r="BS150" i="37" s="1"/>
  <c r="BG147" i="37"/>
  <c r="BF147" i="37"/>
  <c r="BE147" i="37"/>
  <c r="BY147" i="37" s="1"/>
  <c r="BB147" i="37"/>
  <c r="BX147" i="37" s="1"/>
  <c r="AY147" i="37"/>
  <c r="BW147" i="37" s="1"/>
  <c r="AU147" i="37"/>
  <c r="AT147" i="37"/>
  <c r="AS147" i="37"/>
  <c r="BU147" i="37" s="1"/>
  <c r="AP147" i="37"/>
  <c r="BT147" i="37" s="1"/>
  <c r="AM147" i="37"/>
  <c r="BS147" i="37" s="1"/>
  <c r="BE146" i="37"/>
  <c r="BY146" i="37" s="1"/>
  <c r="BB146" i="37"/>
  <c r="BX146" i="37" s="1"/>
  <c r="AY146" i="37"/>
  <c r="BW146" i="37" s="1"/>
  <c r="AU146" i="37"/>
  <c r="AT146" i="37"/>
  <c r="AS146" i="37"/>
  <c r="BU146" i="37" s="1"/>
  <c r="AP146" i="37"/>
  <c r="BT146" i="37" s="1"/>
  <c r="AM146" i="37"/>
  <c r="BS146" i="37" s="1"/>
  <c r="BD145" i="37"/>
  <c r="BC145" i="37"/>
  <c r="AZ145" i="37"/>
  <c r="AX145" i="37"/>
  <c r="AW145" i="37"/>
  <c r="AR145" i="37"/>
  <c r="AQ145" i="37"/>
  <c r="AO145" i="37"/>
  <c r="AN145" i="37"/>
  <c r="AL145" i="37"/>
  <c r="AK145" i="37"/>
  <c r="BG144" i="37"/>
  <c r="BF144" i="37"/>
  <c r="BE144" i="37"/>
  <c r="BY144" i="37" s="1"/>
  <c r="BB144" i="37"/>
  <c r="BX144" i="37" s="1"/>
  <c r="AY144" i="37"/>
  <c r="BW144" i="37" s="1"/>
  <c r="AU144" i="37"/>
  <c r="AT144" i="37"/>
  <c r="AS144" i="37"/>
  <c r="BU144" i="37" s="1"/>
  <c r="AP144" i="37"/>
  <c r="BT144" i="37" s="1"/>
  <c r="AM144" i="37"/>
  <c r="BS144" i="37" s="1"/>
  <c r="BE142" i="37"/>
  <c r="BY142" i="37" s="1"/>
  <c r="BB142" i="37"/>
  <c r="BX142" i="37" s="1"/>
  <c r="AY142" i="37"/>
  <c r="AS142" i="37"/>
  <c r="BU142" i="37" s="1"/>
  <c r="AP142" i="37"/>
  <c r="BT142" i="37" s="1"/>
  <c r="AM142" i="37"/>
  <c r="BE141" i="37"/>
  <c r="BY141" i="37" s="1"/>
  <c r="BB141" i="37"/>
  <c r="BX141" i="37" s="1"/>
  <c r="AY141" i="37"/>
  <c r="BW141" i="37" s="1"/>
  <c r="AS141" i="37"/>
  <c r="BU141" i="37" s="1"/>
  <c r="AP141" i="37"/>
  <c r="BT141" i="37" s="1"/>
  <c r="AM141" i="37"/>
  <c r="BE140" i="37"/>
  <c r="BY140" i="37" s="1"/>
  <c r="BB140" i="37"/>
  <c r="BX140" i="37" s="1"/>
  <c r="AY140" i="37"/>
  <c r="BW140" i="37" s="1"/>
  <c r="AS140" i="37"/>
  <c r="BU140" i="37" s="1"/>
  <c r="AP140" i="37"/>
  <c r="BT140" i="37" s="1"/>
  <c r="AM140" i="37"/>
  <c r="BD139" i="37"/>
  <c r="BC139" i="37"/>
  <c r="BA139" i="37"/>
  <c r="AZ139" i="37"/>
  <c r="AX139" i="37"/>
  <c r="AW139" i="37"/>
  <c r="AR139" i="37"/>
  <c r="AQ139" i="37"/>
  <c r="AO139" i="37"/>
  <c r="AN139" i="37"/>
  <c r="AL139" i="37"/>
  <c r="AK139" i="37"/>
  <c r="BG137" i="37"/>
  <c r="BF137" i="37"/>
  <c r="BE137" i="37"/>
  <c r="BY137" i="37" s="1"/>
  <c r="BB137" i="37"/>
  <c r="BX137" i="37" s="1"/>
  <c r="AY137" i="37"/>
  <c r="BW137" i="37" s="1"/>
  <c r="AU137" i="37"/>
  <c r="AT137" i="37"/>
  <c r="AS137" i="37"/>
  <c r="BU137" i="37" s="1"/>
  <c r="AP137" i="37"/>
  <c r="BT137" i="37" s="1"/>
  <c r="AM137" i="37"/>
  <c r="BS137" i="37" s="1"/>
  <c r="BE136" i="37"/>
  <c r="BY136" i="37" s="1"/>
  <c r="BB136" i="37"/>
  <c r="BX136" i="37" s="1"/>
  <c r="AY136" i="37"/>
  <c r="AU136" i="37"/>
  <c r="AT136" i="37"/>
  <c r="AS136" i="37"/>
  <c r="BU136" i="37" s="1"/>
  <c r="AP136" i="37"/>
  <c r="BT136" i="37" s="1"/>
  <c r="AM136" i="37"/>
  <c r="BS136" i="37" s="1"/>
  <c r="BD135" i="37"/>
  <c r="BC135" i="37"/>
  <c r="BA135" i="37"/>
  <c r="AZ135" i="37"/>
  <c r="AX135" i="37"/>
  <c r="AW135" i="37"/>
  <c r="AR135" i="37"/>
  <c r="AQ135" i="37"/>
  <c r="AO135" i="37"/>
  <c r="AN135" i="37"/>
  <c r="AL135" i="37"/>
  <c r="AK135" i="37"/>
  <c r="BE134" i="37"/>
  <c r="BY134" i="37" s="1"/>
  <c r="BB134" i="37"/>
  <c r="BX134" i="37" s="1"/>
  <c r="AY134" i="37"/>
  <c r="AS134" i="37"/>
  <c r="BU134" i="37" s="1"/>
  <c r="AP134" i="37"/>
  <c r="BT134" i="37" s="1"/>
  <c r="AM134" i="37"/>
  <c r="BE133" i="37"/>
  <c r="BY133" i="37" s="1"/>
  <c r="BB133" i="37"/>
  <c r="BX133" i="37" s="1"/>
  <c r="AY133" i="37"/>
  <c r="AS133" i="37"/>
  <c r="BU133" i="37" s="1"/>
  <c r="AP133" i="37"/>
  <c r="BT133" i="37" s="1"/>
  <c r="AM133" i="37"/>
  <c r="BE129" i="37"/>
  <c r="BY129" i="37" s="1"/>
  <c r="BB129" i="37"/>
  <c r="BX129" i="37" s="1"/>
  <c r="AY129" i="37"/>
  <c r="AS129" i="37"/>
  <c r="BU129" i="37" s="1"/>
  <c r="AP129" i="37"/>
  <c r="BT129" i="37" s="1"/>
  <c r="AM129" i="37"/>
  <c r="BE128" i="37"/>
  <c r="BY128" i="37" s="1"/>
  <c r="BB128" i="37"/>
  <c r="BX128" i="37" s="1"/>
  <c r="AY128" i="37"/>
  <c r="AS128" i="37"/>
  <c r="BU128" i="37" s="1"/>
  <c r="AP128" i="37"/>
  <c r="BT128" i="37" s="1"/>
  <c r="AM128" i="37"/>
  <c r="BD127" i="37"/>
  <c r="BC127" i="37"/>
  <c r="BA127" i="37"/>
  <c r="AZ127" i="37"/>
  <c r="AX127" i="37"/>
  <c r="AW127" i="37"/>
  <c r="AR127" i="37"/>
  <c r="AQ127" i="37"/>
  <c r="AO127" i="37"/>
  <c r="AN127" i="37"/>
  <c r="AL127" i="37"/>
  <c r="AK127" i="37"/>
  <c r="BG125" i="37"/>
  <c r="BF125" i="37"/>
  <c r="BE125" i="37"/>
  <c r="BY125" i="37" s="1"/>
  <c r="BB125" i="37"/>
  <c r="BX125" i="37" s="1"/>
  <c r="AY125" i="37"/>
  <c r="BW125" i="37" s="1"/>
  <c r="AU125" i="37"/>
  <c r="AT125" i="37"/>
  <c r="AS125" i="37"/>
  <c r="BU125" i="37" s="1"/>
  <c r="AP125" i="37"/>
  <c r="BT125" i="37" s="1"/>
  <c r="AM125" i="37"/>
  <c r="BS125" i="37" s="1"/>
  <c r="BE124" i="37"/>
  <c r="BB124" i="37"/>
  <c r="BX124" i="37" s="1"/>
  <c r="AY124" i="37"/>
  <c r="AU124" i="37"/>
  <c r="AT124" i="37"/>
  <c r="AS124" i="37"/>
  <c r="AP124" i="37"/>
  <c r="AM124" i="37"/>
  <c r="BD123" i="37"/>
  <c r="BD116" i="37" s="1"/>
  <c r="BC123" i="37"/>
  <c r="BC116" i="37" s="1"/>
  <c r="BA123" i="37"/>
  <c r="BA116" i="37" s="1"/>
  <c r="AZ123" i="37"/>
  <c r="AZ116" i="37" s="1"/>
  <c r="AX123" i="37"/>
  <c r="AX116" i="37" s="1"/>
  <c r="AW123" i="37"/>
  <c r="AW116" i="37" s="1"/>
  <c r="AR123" i="37"/>
  <c r="AR116" i="37" s="1"/>
  <c r="AQ123" i="37"/>
  <c r="AQ116" i="37" s="1"/>
  <c r="AO123" i="37"/>
  <c r="AO116" i="37" s="1"/>
  <c r="AN123" i="37"/>
  <c r="AN116" i="37" s="1"/>
  <c r="AL123" i="37"/>
  <c r="AL116" i="37" s="1"/>
  <c r="AK123" i="37"/>
  <c r="AK116" i="37" s="1"/>
  <c r="BG122" i="37"/>
  <c r="BF122" i="37"/>
  <c r="BE122" i="37"/>
  <c r="BY122" i="37" s="1"/>
  <c r="BB122" i="37"/>
  <c r="BX122" i="37" s="1"/>
  <c r="AY122" i="37"/>
  <c r="BW122" i="37" s="1"/>
  <c r="AU122" i="37"/>
  <c r="AT122" i="37"/>
  <c r="AS122" i="37"/>
  <c r="BU122" i="37" s="1"/>
  <c r="AP122" i="37"/>
  <c r="BT122" i="37" s="1"/>
  <c r="AM122" i="37"/>
  <c r="BS122" i="37" s="1"/>
  <c r="BG120" i="37"/>
  <c r="BF120" i="37"/>
  <c r="BE120" i="37"/>
  <c r="BY120" i="37" s="1"/>
  <c r="BB120" i="37"/>
  <c r="BX120" i="37" s="1"/>
  <c r="AY120" i="37"/>
  <c r="BW120" i="37" s="1"/>
  <c r="AS120" i="37"/>
  <c r="BU120" i="37" s="1"/>
  <c r="AP120" i="37"/>
  <c r="BT120" i="37" s="1"/>
  <c r="AM120" i="37"/>
  <c r="BG119" i="37"/>
  <c r="BF119" i="37"/>
  <c r="BE119" i="37"/>
  <c r="BY119" i="37" s="1"/>
  <c r="BB119" i="37"/>
  <c r="BX119" i="37" s="1"/>
  <c r="AY119" i="37"/>
  <c r="BW119" i="37" s="1"/>
  <c r="AU119" i="37"/>
  <c r="AT119" i="37"/>
  <c r="AS119" i="37"/>
  <c r="BU119" i="37" s="1"/>
  <c r="AP119" i="37"/>
  <c r="BT119" i="37" s="1"/>
  <c r="AM119" i="37"/>
  <c r="BS119" i="37" s="1"/>
  <c r="BG118" i="37"/>
  <c r="BF118" i="37"/>
  <c r="BE118" i="37"/>
  <c r="BY118" i="37" s="1"/>
  <c r="BB118" i="37"/>
  <c r="BX118" i="37" s="1"/>
  <c r="AY118" i="37"/>
  <c r="BW118" i="37" s="1"/>
  <c r="AU118" i="37"/>
  <c r="AT118" i="37"/>
  <c r="AS118" i="37"/>
  <c r="BU118" i="37" s="1"/>
  <c r="AP118" i="37"/>
  <c r="BT118" i="37" s="1"/>
  <c r="AM118" i="37"/>
  <c r="BS118" i="37" s="1"/>
  <c r="BG115" i="37"/>
  <c r="BF115" i="37"/>
  <c r="BE115" i="37"/>
  <c r="BY115" i="37" s="1"/>
  <c r="BB115" i="37"/>
  <c r="BX115" i="37" s="1"/>
  <c r="AY115" i="37"/>
  <c r="BW115" i="37" s="1"/>
  <c r="AU115" i="37"/>
  <c r="AT115" i="37"/>
  <c r="AS115" i="37"/>
  <c r="BU115" i="37" s="1"/>
  <c r="AP115" i="37"/>
  <c r="BT115" i="37" s="1"/>
  <c r="AM115" i="37"/>
  <c r="BS115" i="37" s="1"/>
  <c r="BG113" i="37"/>
  <c r="BF113" i="37"/>
  <c r="BE113" i="37"/>
  <c r="BY113" i="37" s="1"/>
  <c r="BB113" i="37"/>
  <c r="BX113" i="37" s="1"/>
  <c r="AY113" i="37"/>
  <c r="BW113" i="37" s="1"/>
  <c r="AS113" i="37"/>
  <c r="BU113" i="37" s="1"/>
  <c r="AP113" i="37"/>
  <c r="BT113" i="37" s="1"/>
  <c r="AM113" i="37"/>
  <c r="BD112" i="37"/>
  <c r="BC112" i="37"/>
  <c r="BA112" i="37"/>
  <c r="AZ112" i="37"/>
  <c r="AX112" i="37"/>
  <c r="AW112" i="37"/>
  <c r="AR112" i="37"/>
  <c r="AQ112" i="37"/>
  <c r="AO112" i="37"/>
  <c r="AN112" i="37"/>
  <c r="AL112" i="37"/>
  <c r="AK112" i="37"/>
  <c r="BG111" i="37"/>
  <c r="BF111" i="37"/>
  <c r="BE111" i="37"/>
  <c r="BY111" i="37" s="1"/>
  <c r="BB111" i="37"/>
  <c r="BX111" i="37" s="1"/>
  <c r="AY111" i="37"/>
  <c r="BW111" i="37" s="1"/>
  <c r="AU111" i="37"/>
  <c r="AT111" i="37"/>
  <c r="AS111" i="37"/>
  <c r="BU111" i="37" s="1"/>
  <c r="AP111" i="37"/>
  <c r="BT111" i="37" s="1"/>
  <c r="AM111" i="37"/>
  <c r="BS111" i="37" s="1"/>
  <c r="BG110" i="37"/>
  <c r="BF110" i="37"/>
  <c r="BE110" i="37"/>
  <c r="BY110" i="37" s="1"/>
  <c r="BB110" i="37"/>
  <c r="BX110" i="37" s="1"/>
  <c r="AY110" i="37"/>
  <c r="BW110" i="37" s="1"/>
  <c r="AU110" i="37"/>
  <c r="AT110" i="37"/>
  <c r="AS110" i="37"/>
  <c r="BU110" i="37" s="1"/>
  <c r="AP110" i="37"/>
  <c r="BT110" i="37" s="1"/>
  <c r="AM110" i="37"/>
  <c r="BS110" i="37" s="1"/>
  <c r="BE109" i="37"/>
  <c r="BY109" i="37" s="1"/>
  <c r="BB109" i="37"/>
  <c r="BX109" i="37" s="1"/>
  <c r="AY109" i="37"/>
  <c r="AU109" i="37"/>
  <c r="AT109" i="37"/>
  <c r="AS109" i="37"/>
  <c r="BU109" i="37" s="1"/>
  <c r="AP109" i="37"/>
  <c r="BT109" i="37" s="1"/>
  <c r="AM109" i="37"/>
  <c r="BS109" i="37" s="1"/>
  <c r="BG108" i="37"/>
  <c r="BF108" i="37"/>
  <c r="BE108" i="37"/>
  <c r="BY108" i="37" s="1"/>
  <c r="BB108" i="37"/>
  <c r="BX108" i="37" s="1"/>
  <c r="AY108" i="37"/>
  <c r="BW108" i="37" s="1"/>
  <c r="AU108" i="37"/>
  <c r="AT108" i="37"/>
  <c r="AS108" i="37"/>
  <c r="BU108" i="37" s="1"/>
  <c r="AP108" i="37"/>
  <c r="BT108" i="37" s="1"/>
  <c r="AM108" i="37"/>
  <c r="BS108" i="37" s="1"/>
  <c r="BD107" i="37"/>
  <c r="BC107" i="37"/>
  <c r="BA107" i="37"/>
  <c r="AZ107" i="37"/>
  <c r="AX107" i="37"/>
  <c r="AW107" i="37"/>
  <c r="AR107" i="37"/>
  <c r="AQ107" i="37"/>
  <c r="AO107" i="37"/>
  <c r="AN107" i="37"/>
  <c r="AL107" i="37"/>
  <c r="AK107" i="37"/>
  <c r="BG105" i="37"/>
  <c r="BF105" i="37"/>
  <c r="BE105" i="37"/>
  <c r="BY105" i="37" s="1"/>
  <c r="BB105" i="37"/>
  <c r="BX105" i="37" s="1"/>
  <c r="AY105" i="37"/>
  <c r="BW105" i="37" s="1"/>
  <c r="AU105" i="37"/>
  <c r="AT105" i="37"/>
  <c r="AS105" i="37"/>
  <c r="BU105" i="37" s="1"/>
  <c r="AP105" i="37"/>
  <c r="BT105" i="37" s="1"/>
  <c r="AM105" i="37"/>
  <c r="BS105" i="37" s="1"/>
  <c r="BG103" i="37"/>
  <c r="BF103" i="37"/>
  <c r="BE103" i="37"/>
  <c r="BY103" i="37" s="1"/>
  <c r="BB103" i="37"/>
  <c r="BX103" i="37" s="1"/>
  <c r="AY103" i="37"/>
  <c r="BW103" i="37" s="1"/>
  <c r="AU103" i="37"/>
  <c r="AT103" i="37"/>
  <c r="AS103" i="37"/>
  <c r="BU103" i="37" s="1"/>
  <c r="AP103" i="37"/>
  <c r="BT103" i="37" s="1"/>
  <c r="AM103" i="37"/>
  <c r="BS103" i="37" s="1"/>
  <c r="BD102" i="37"/>
  <c r="BD91" i="37" s="1"/>
  <c r="BC102" i="37"/>
  <c r="BC91" i="37" s="1"/>
  <c r="BA102" i="37"/>
  <c r="BA91" i="37" s="1"/>
  <c r="AZ102" i="37"/>
  <c r="AZ91" i="37" s="1"/>
  <c r="AX102" i="37"/>
  <c r="AX91" i="37" s="1"/>
  <c r="AW102" i="37"/>
  <c r="AW91" i="37" s="1"/>
  <c r="AR102" i="37"/>
  <c r="AR91" i="37" s="1"/>
  <c r="AQ102" i="37"/>
  <c r="AQ91" i="37" s="1"/>
  <c r="AO102" i="37"/>
  <c r="AO91" i="37" s="1"/>
  <c r="AN102" i="37"/>
  <c r="AN91" i="37" s="1"/>
  <c r="AL102" i="37"/>
  <c r="AK102" i="37"/>
  <c r="AK91" i="37" s="1"/>
  <c r="BG97" i="37"/>
  <c r="BF97" i="37"/>
  <c r="BE97" i="37"/>
  <c r="BY97" i="37" s="1"/>
  <c r="BB97" i="37"/>
  <c r="BX97" i="37" s="1"/>
  <c r="AY97" i="37"/>
  <c r="BW97" i="37" s="1"/>
  <c r="AU97" i="37"/>
  <c r="AT97" i="37"/>
  <c r="AS97" i="37"/>
  <c r="BU97" i="37" s="1"/>
  <c r="AP97" i="37"/>
  <c r="BT97" i="37" s="1"/>
  <c r="AM97" i="37"/>
  <c r="BS97" i="37" s="1"/>
  <c r="BE95" i="37"/>
  <c r="BY95" i="37" s="1"/>
  <c r="BB95" i="37"/>
  <c r="BX95" i="37" s="1"/>
  <c r="AY95" i="37"/>
  <c r="AS95" i="37"/>
  <c r="BU95" i="37" s="1"/>
  <c r="AP95" i="37"/>
  <c r="BT95" i="37" s="1"/>
  <c r="AM95" i="37"/>
  <c r="BG94" i="37"/>
  <c r="BF94" i="37"/>
  <c r="BE94" i="37"/>
  <c r="BY94" i="37" s="1"/>
  <c r="BB94" i="37"/>
  <c r="BX94" i="37" s="1"/>
  <c r="AY94" i="37"/>
  <c r="BW94" i="37" s="1"/>
  <c r="AU94" i="37"/>
  <c r="AT94" i="37"/>
  <c r="AS94" i="37"/>
  <c r="BU94" i="37" s="1"/>
  <c r="AP94" i="37"/>
  <c r="BT94" i="37" s="1"/>
  <c r="AM94" i="37"/>
  <c r="BS94" i="37" s="1"/>
  <c r="BG93" i="37"/>
  <c r="BF93" i="37"/>
  <c r="BE93" i="37"/>
  <c r="BB93" i="37"/>
  <c r="AY93" i="37"/>
  <c r="AU93" i="37"/>
  <c r="AT93" i="37"/>
  <c r="AS93" i="37"/>
  <c r="AP93" i="37"/>
  <c r="AM93" i="37"/>
  <c r="BG90" i="37"/>
  <c r="BF90" i="37"/>
  <c r="BE90" i="37"/>
  <c r="BY90" i="37" s="1"/>
  <c r="BB90" i="37"/>
  <c r="BX90" i="37" s="1"/>
  <c r="AY90" i="37"/>
  <c r="BW90" i="37" s="1"/>
  <c r="AU90" i="37"/>
  <c r="AT90" i="37"/>
  <c r="AS90" i="37"/>
  <c r="BU90" i="37" s="1"/>
  <c r="AP90" i="37"/>
  <c r="BT90" i="37" s="1"/>
  <c r="AM90" i="37"/>
  <c r="BS90" i="37" s="1"/>
  <c r="BE87" i="37"/>
  <c r="BY87" i="37" s="1"/>
  <c r="BB87" i="37"/>
  <c r="AU87" i="37"/>
  <c r="AT87" i="37"/>
  <c r="AS87" i="37"/>
  <c r="BU87" i="37" s="1"/>
  <c r="AP87" i="37"/>
  <c r="BT87" i="37" s="1"/>
  <c r="AM87" i="37"/>
  <c r="BS87" i="37" s="1"/>
  <c r="BD86" i="37"/>
  <c r="BC86" i="37"/>
  <c r="BC76" i="37" s="1"/>
  <c r="BA86" i="37"/>
  <c r="AZ86" i="37"/>
  <c r="AZ76" i="37" s="1"/>
  <c r="AX86" i="37"/>
  <c r="AW86" i="37"/>
  <c r="AW76" i="37" s="1"/>
  <c r="AR86" i="37"/>
  <c r="AQ86" i="37"/>
  <c r="AQ76" i="37" s="1"/>
  <c r="AO86" i="37"/>
  <c r="AN86" i="37"/>
  <c r="AN76" i="37" s="1"/>
  <c r="AL86" i="37"/>
  <c r="AK86" i="37"/>
  <c r="AK76" i="37" s="1"/>
  <c r="BG85" i="37"/>
  <c r="BF85" i="37"/>
  <c r="BE85" i="37"/>
  <c r="BY85" i="37" s="1"/>
  <c r="BB85" i="37"/>
  <c r="BX85" i="37" s="1"/>
  <c r="AY85" i="37"/>
  <c r="BW85" i="37" s="1"/>
  <c r="AU85" i="37"/>
  <c r="AT85" i="37"/>
  <c r="AS85" i="37"/>
  <c r="BU85" i="37" s="1"/>
  <c r="AP85" i="37"/>
  <c r="BT85" i="37" s="1"/>
  <c r="AM85" i="37"/>
  <c r="BS85" i="37" s="1"/>
  <c r="BG84" i="37"/>
  <c r="BF84" i="37"/>
  <c r="BE84" i="37"/>
  <c r="BY84" i="37" s="1"/>
  <c r="BB84" i="37"/>
  <c r="BX84" i="37" s="1"/>
  <c r="AY84" i="37"/>
  <c r="BW84" i="37" s="1"/>
  <c r="AU84" i="37"/>
  <c r="AT84" i="37"/>
  <c r="AS84" i="37"/>
  <c r="BU84" i="37" s="1"/>
  <c r="AP84" i="37"/>
  <c r="BT84" i="37" s="1"/>
  <c r="AM84" i="37"/>
  <c r="BS84" i="37" s="1"/>
  <c r="BG83" i="37"/>
  <c r="BF83" i="37"/>
  <c r="BE83" i="37"/>
  <c r="BY83" i="37" s="1"/>
  <c r="BB83" i="37"/>
  <c r="BX83" i="37" s="1"/>
  <c r="AY83" i="37"/>
  <c r="BW83" i="37" s="1"/>
  <c r="AU83" i="37"/>
  <c r="AT83" i="37"/>
  <c r="AS83" i="37"/>
  <c r="BU83" i="37" s="1"/>
  <c r="AP83" i="37"/>
  <c r="BT83" i="37" s="1"/>
  <c r="AM83" i="37"/>
  <c r="BS83" i="37" s="1"/>
  <c r="BG82" i="37"/>
  <c r="BF82" i="37"/>
  <c r="BE82" i="37"/>
  <c r="BY82" i="37" s="1"/>
  <c r="BB82" i="37"/>
  <c r="BX82" i="37" s="1"/>
  <c r="AY82" i="37"/>
  <c r="BW82" i="37" s="1"/>
  <c r="AU82" i="37"/>
  <c r="AT82" i="37"/>
  <c r="AS82" i="37"/>
  <c r="BU82" i="37" s="1"/>
  <c r="AP82" i="37"/>
  <c r="BT82" i="37" s="1"/>
  <c r="AM82" i="37"/>
  <c r="BS82" i="37" s="1"/>
  <c r="BG78" i="37"/>
  <c r="BF78" i="37"/>
  <c r="BE78" i="37"/>
  <c r="BY78" i="37" s="1"/>
  <c r="BB78" i="37"/>
  <c r="BX78" i="37" s="1"/>
  <c r="AY78" i="37"/>
  <c r="BW78" i="37" s="1"/>
  <c r="AU78" i="37"/>
  <c r="AT78" i="37"/>
  <c r="AS78" i="37"/>
  <c r="BU78" i="37" s="1"/>
  <c r="AP78" i="37"/>
  <c r="BT78" i="37" s="1"/>
  <c r="AM78" i="37"/>
  <c r="BS78" i="37" s="1"/>
  <c r="BD77" i="37"/>
  <c r="BA77" i="37"/>
  <c r="AX77" i="37"/>
  <c r="AL77" i="37"/>
  <c r="BG75" i="37"/>
  <c r="BF75" i="37"/>
  <c r="BE75" i="37"/>
  <c r="BY75" i="37" s="1"/>
  <c r="BB75" i="37"/>
  <c r="BX75" i="37" s="1"/>
  <c r="AY75" i="37"/>
  <c r="BW75" i="37" s="1"/>
  <c r="AU75" i="37"/>
  <c r="AT75" i="37"/>
  <c r="AS75" i="37"/>
  <c r="BU75" i="37" s="1"/>
  <c r="AP75" i="37"/>
  <c r="BT75" i="37" s="1"/>
  <c r="AM75" i="37"/>
  <c r="BS75" i="37" s="1"/>
  <c r="BG73" i="37"/>
  <c r="BF73" i="37"/>
  <c r="BE73" i="37"/>
  <c r="BY73" i="37" s="1"/>
  <c r="BB73" i="37"/>
  <c r="BX73" i="37" s="1"/>
  <c r="AY73" i="37"/>
  <c r="BW73" i="37" s="1"/>
  <c r="AU73" i="37"/>
  <c r="AT73" i="37"/>
  <c r="AS73" i="37"/>
  <c r="BU73" i="37" s="1"/>
  <c r="AP73" i="37"/>
  <c r="BT73" i="37" s="1"/>
  <c r="AM73" i="37"/>
  <c r="BS73" i="37" s="1"/>
  <c r="BD72" i="37"/>
  <c r="BC72" i="37"/>
  <c r="BA72" i="37"/>
  <c r="AZ72" i="37"/>
  <c r="AX72" i="37"/>
  <c r="AW72" i="37"/>
  <c r="AR72" i="37"/>
  <c r="AQ72" i="37"/>
  <c r="AO72" i="37"/>
  <c r="AN72" i="37"/>
  <c r="AL72" i="37"/>
  <c r="AK72" i="37"/>
  <c r="BG71" i="37"/>
  <c r="BF71" i="37"/>
  <c r="BE71" i="37"/>
  <c r="BY71" i="37" s="1"/>
  <c r="BB71" i="37"/>
  <c r="BX71" i="37" s="1"/>
  <c r="AY71" i="37"/>
  <c r="BW71" i="37" s="1"/>
  <c r="AU71" i="37"/>
  <c r="AT71" i="37"/>
  <c r="AS71" i="37"/>
  <c r="BU71" i="37" s="1"/>
  <c r="AP71" i="37"/>
  <c r="BT71" i="37" s="1"/>
  <c r="AM71" i="37"/>
  <c r="BS71" i="37" s="1"/>
  <c r="BE69" i="37"/>
  <c r="BY69" i="37" s="1"/>
  <c r="BB69" i="37"/>
  <c r="BX69" i="37" s="1"/>
  <c r="AY69" i="37"/>
  <c r="BW69" i="37" s="1"/>
  <c r="AU69" i="37"/>
  <c r="AT69" i="37"/>
  <c r="AS69" i="37"/>
  <c r="BU69" i="37" s="1"/>
  <c r="AP69" i="37"/>
  <c r="BT69" i="37" s="1"/>
  <c r="AM69" i="37"/>
  <c r="BS69" i="37" s="1"/>
  <c r="BG66" i="37"/>
  <c r="BF66" i="37"/>
  <c r="BE66" i="37"/>
  <c r="BY66" i="37" s="1"/>
  <c r="BB66" i="37"/>
  <c r="BX66" i="37" s="1"/>
  <c r="AY66" i="37"/>
  <c r="BW66" i="37" s="1"/>
  <c r="AU66" i="37"/>
  <c r="AT66" i="37"/>
  <c r="AS66" i="37"/>
  <c r="BU66" i="37" s="1"/>
  <c r="AP66" i="37"/>
  <c r="BT66" i="37" s="1"/>
  <c r="AM66" i="37"/>
  <c r="BS66" i="37" s="1"/>
  <c r="BG63" i="37"/>
  <c r="BF63" i="37"/>
  <c r="BE63" i="37"/>
  <c r="BY63" i="37" s="1"/>
  <c r="BB63" i="37"/>
  <c r="BX63" i="37" s="1"/>
  <c r="AY63" i="37"/>
  <c r="BW63" i="37" s="1"/>
  <c r="AU63" i="37"/>
  <c r="AT63" i="37"/>
  <c r="AS63" i="37"/>
  <c r="BU63" i="37" s="1"/>
  <c r="AP63" i="37"/>
  <c r="BT63" i="37" s="1"/>
  <c r="AM63" i="37"/>
  <c r="BS63" i="37" s="1"/>
  <c r="BD62" i="37"/>
  <c r="BC62" i="37"/>
  <c r="BA62" i="37"/>
  <c r="AZ62" i="37"/>
  <c r="AX62" i="37"/>
  <c r="AW62" i="37"/>
  <c r="AR62" i="37"/>
  <c r="AQ62" i="37"/>
  <c r="AO62" i="37"/>
  <c r="AN62" i="37"/>
  <c r="AL62" i="37"/>
  <c r="AK62" i="37"/>
  <c r="BG59" i="37"/>
  <c r="BG56" i="37" s="1"/>
  <c r="BF59" i="37"/>
  <c r="BF56" i="37" s="1"/>
  <c r="BE59" i="37"/>
  <c r="BY59" i="37" s="1"/>
  <c r="BB59" i="37"/>
  <c r="BX59" i="37" s="1"/>
  <c r="AY59" i="37"/>
  <c r="BW59" i="37" s="1"/>
  <c r="AU59" i="37"/>
  <c r="AU56" i="37" s="1"/>
  <c r="AT59" i="37"/>
  <c r="AT56" i="37" s="1"/>
  <c r="AS59" i="37"/>
  <c r="BU59" i="37" s="1"/>
  <c r="AP59" i="37"/>
  <c r="BT59" i="37" s="1"/>
  <c r="AM59" i="37"/>
  <c r="BS59" i="37" s="1"/>
  <c r="BE57" i="37"/>
  <c r="BY57" i="37" s="1"/>
  <c r="BB57" i="37"/>
  <c r="BX57" i="37" s="1"/>
  <c r="AY57" i="37"/>
  <c r="BW57" i="37" s="1"/>
  <c r="AS57" i="37"/>
  <c r="BU57" i="37" s="1"/>
  <c r="AP57" i="37"/>
  <c r="BT57" i="37" s="1"/>
  <c r="AM57" i="37"/>
  <c r="BS57" i="37" s="1"/>
  <c r="BG51" i="37"/>
  <c r="BF51" i="37"/>
  <c r="BE51" i="37"/>
  <c r="BY51" i="37" s="1"/>
  <c r="BB51" i="37"/>
  <c r="BX51" i="37" s="1"/>
  <c r="AY51" i="37"/>
  <c r="BW51" i="37" s="1"/>
  <c r="AU51" i="37"/>
  <c r="AT51" i="37"/>
  <c r="AS51" i="37"/>
  <c r="BU51" i="37" s="1"/>
  <c r="AP51" i="37"/>
  <c r="BT51" i="37" s="1"/>
  <c r="AM51" i="37"/>
  <c r="BS51" i="37" s="1"/>
  <c r="BG49" i="37"/>
  <c r="BF49" i="37"/>
  <c r="BE49" i="37"/>
  <c r="BY49" i="37" s="1"/>
  <c r="BB49" i="37"/>
  <c r="BX49" i="37" s="1"/>
  <c r="AY49" i="37"/>
  <c r="BW49" i="37" s="1"/>
  <c r="AS49" i="37"/>
  <c r="BU49" i="37" s="1"/>
  <c r="AP49" i="37"/>
  <c r="BT49" i="37" s="1"/>
  <c r="AM49" i="37"/>
  <c r="BE48" i="37"/>
  <c r="BY48" i="37" s="1"/>
  <c r="BB48" i="37"/>
  <c r="BX48" i="37" s="1"/>
  <c r="AY48" i="37"/>
  <c r="AS48" i="37"/>
  <c r="BU48" i="37" s="1"/>
  <c r="AP48" i="37"/>
  <c r="BT48" i="37" s="1"/>
  <c r="AM48" i="37"/>
  <c r="BG46" i="37"/>
  <c r="BF46" i="37"/>
  <c r="BE46" i="37"/>
  <c r="BB46" i="37"/>
  <c r="AY46" i="37"/>
  <c r="AU46" i="37"/>
  <c r="AT46" i="37"/>
  <c r="AS46" i="37"/>
  <c r="AP46" i="37"/>
  <c r="AM46" i="37"/>
  <c r="BG43" i="37"/>
  <c r="BF43" i="37"/>
  <c r="BE43" i="37"/>
  <c r="BY43" i="37" s="1"/>
  <c r="BB43" i="37"/>
  <c r="BX43" i="37" s="1"/>
  <c r="AY43" i="37"/>
  <c r="BW43" i="37" s="1"/>
  <c r="AU43" i="37"/>
  <c r="AT43" i="37"/>
  <c r="AS43" i="37"/>
  <c r="BU43" i="37" s="1"/>
  <c r="AP43" i="37"/>
  <c r="BT43" i="37" s="1"/>
  <c r="AM43" i="37"/>
  <c r="BS43" i="37" s="1"/>
  <c r="BG40" i="37"/>
  <c r="BF40" i="37"/>
  <c r="BE40" i="37"/>
  <c r="BY40" i="37" s="1"/>
  <c r="BB40" i="37"/>
  <c r="BX40" i="37" s="1"/>
  <c r="AY40" i="37"/>
  <c r="BW40" i="37" s="1"/>
  <c r="AS40" i="37"/>
  <c r="BU40" i="37" s="1"/>
  <c r="AP40" i="37"/>
  <c r="BT40" i="37" s="1"/>
  <c r="AM40" i="37"/>
  <c r="BD39" i="37"/>
  <c r="BD30" i="37" s="1"/>
  <c r="BC39" i="37"/>
  <c r="BC30" i="37" s="1"/>
  <c r="BA39" i="37"/>
  <c r="BA30" i="37" s="1"/>
  <c r="AZ39" i="37"/>
  <c r="AZ30" i="37" s="1"/>
  <c r="AX39" i="37"/>
  <c r="AX30" i="37" s="1"/>
  <c r="AW39" i="37"/>
  <c r="AW30" i="37" s="1"/>
  <c r="AR39" i="37"/>
  <c r="AR30" i="37" s="1"/>
  <c r="AQ39" i="37"/>
  <c r="AQ30" i="37" s="1"/>
  <c r="AO39" i="37"/>
  <c r="AO30" i="37" s="1"/>
  <c r="AN39" i="37"/>
  <c r="AN30" i="37" s="1"/>
  <c r="AL39" i="37"/>
  <c r="AL30" i="37" s="1"/>
  <c r="AK39" i="37"/>
  <c r="AK30" i="37" s="1"/>
  <c r="BG38" i="37"/>
  <c r="BF38" i="37"/>
  <c r="BE38" i="37"/>
  <c r="BY38" i="37" s="1"/>
  <c r="BB38" i="37"/>
  <c r="BX38" i="37" s="1"/>
  <c r="AY38" i="37"/>
  <c r="BW38" i="37" s="1"/>
  <c r="AU38" i="37"/>
  <c r="AT38" i="37"/>
  <c r="AS38" i="37"/>
  <c r="BU38" i="37" s="1"/>
  <c r="AP38" i="37"/>
  <c r="BT38" i="37" s="1"/>
  <c r="AM38" i="37"/>
  <c r="BS38" i="37" s="1"/>
  <c r="BG37" i="37"/>
  <c r="BF37" i="37"/>
  <c r="BE37" i="37"/>
  <c r="BY37" i="37" s="1"/>
  <c r="BB37" i="37"/>
  <c r="BX37" i="37" s="1"/>
  <c r="AY37" i="37"/>
  <c r="BW37" i="37" s="1"/>
  <c r="AU37" i="37"/>
  <c r="AT37" i="37"/>
  <c r="AS37" i="37"/>
  <c r="BU37" i="37" s="1"/>
  <c r="AP37" i="37"/>
  <c r="BT37" i="37" s="1"/>
  <c r="AM37" i="37"/>
  <c r="BS37" i="37" s="1"/>
  <c r="BE33" i="37"/>
  <c r="BY33" i="37" s="1"/>
  <c r="BB33" i="37"/>
  <c r="BX33" i="37" s="1"/>
  <c r="AY33" i="37"/>
  <c r="AU33" i="37"/>
  <c r="AT33" i="37"/>
  <c r="AS33" i="37"/>
  <c r="BU33" i="37" s="1"/>
  <c r="AP33" i="37"/>
  <c r="BT33" i="37" s="1"/>
  <c r="AM33" i="37"/>
  <c r="BS33" i="37" s="1"/>
  <c r="BG32" i="37"/>
  <c r="BF32" i="37"/>
  <c r="BE32" i="37"/>
  <c r="BY32" i="37" s="1"/>
  <c r="BB32" i="37"/>
  <c r="BX32" i="37" s="1"/>
  <c r="AY32" i="37"/>
  <c r="BW32" i="37" s="1"/>
  <c r="AS32" i="37"/>
  <c r="BU32" i="37" s="1"/>
  <c r="AP32" i="37"/>
  <c r="BT32" i="37" s="1"/>
  <c r="AM32" i="37"/>
  <c r="BG29" i="37"/>
  <c r="BF29" i="37"/>
  <c r="BE29" i="37"/>
  <c r="BY29" i="37" s="1"/>
  <c r="BB29" i="37"/>
  <c r="BX29" i="37" s="1"/>
  <c r="AY29" i="37"/>
  <c r="BW29" i="37" s="1"/>
  <c r="AU29" i="37"/>
  <c r="AT29" i="37"/>
  <c r="AS29" i="37"/>
  <c r="BU29" i="37" s="1"/>
  <c r="AP29" i="37"/>
  <c r="BT29" i="37" s="1"/>
  <c r="AM29" i="37"/>
  <c r="BS29" i="37" s="1"/>
  <c r="BE27" i="37"/>
  <c r="BB27" i="37"/>
  <c r="BX27" i="37" s="1"/>
  <c r="AY27" i="37"/>
  <c r="BW27" i="37" s="1"/>
  <c r="AS27" i="37"/>
  <c r="BU27" i="37" s="1"/>
  <c r="AP27" i="37"/>
  <c r="AM27" i="37"/>
  <c r="BD26" i="37"/>
  <c r="BC26" i="37"/>
  <c r="BA26" i="37"/>
  <c r="AZ26" i="37"/>
  <c r="AX26" i="37"/>
  <c r="AW26" i="37"/>
  <c r="AR26" i="37"/>
  <c r="AQ26" i="37"/>
  <c r="AO26" i="37"/>
  <c r="AN26" i="37"/>
  <c r="AL26" i="37"/>
  <c r="AK26" i="37"/>
  <c r="BG25" i="37"/>
  <c r="BF25" i="37"/>
  <c r="BE25" i="37"/>
  <c r="BY25" i="37" s="1"/>
  <c r="BB25" i="37"/>
  <c r="BX25" i="37" s="1"/>
  <c r="AY25" i="37"/>
  <c r="BW25" i="37" s="1"/>
  <c r="AU25" i="37"/>
  <c r="AT25" i="37"/>
  <c r="AS25" i="37"/>
  <c r="BU25" i="37" s="1"/>
  <c r="AP25" i="37"/>
  <c r="BT25" i="37" s="1"/>
  <c r="AM25" i="37"/>
  <c r="BS25" i="37" s="1"/>
  <c r="BG22" i="37"/>
  <c r="BF22" i="37"/>
  <c r="BE22" i="37"/>
  <c r="BY22" i="37" s="1"/>
  <c r="BB22" i="37"/>
  <c r="BX22" i="37" s="1"/>
  <c r="AY22" i="37"/>
  <c r="BW22" i="37" s="1"/>
  <c r="AU22" i="37"/>
  <c r="AT22" i="37"/>
  <c r="AS22" i="37"/>
  <c r="BU22" i="37" s="1"/>
  <c r="AP22" i="37"/>
  <c r="BT22" i="37" s="1"/>
  <c r="AM22" i="37"/>
  <c r="BS22" i="37" s="1"/>
  <c r="BG21" i="37"/>
  <c r="BF21" i="37"/>
  <c r="BE21" i="37"/>
  <c r="BY21" i="37" s="1"/>
  <c r="BB21" i="37"/>
  <c r="BX21" i="37" s="1"/>
  <c r="AY21" i="37"/>
  <c r="BW21" i="37" s="1"/>
  <c r="AU21" i="37"/>
  <c r="AT21" i="37"/>
  <c r="AS21" i="37"/>
  <c r="BU21" i="37" s="1"/>
  <c r="AP21" i="37"/>
  <c r="BT21" i="37" s="1"/>
  <c r="AM21" i="37"/>
  <c r="BS21" i="37" s="1"/>
  <c r="BG20" i="37"/>
  <c r="BF20" i="37"/>
  <c r="BE20" i="37"/>
  <c r="BY20" i="37" s="1"/>
  <c r="BB20" i="37"/>
  <c r="BX20" i="37" s="1"/>
  <c r="AY20" i="37"/>
  <c r="BW20" i="37" s="1"/>
  <c r="AU20" i="37"/>
  <c r="AT20" i="37"/>
  <c r="AS20" i="37"/>
  <c r="BU20" i="37" s="1"/>
  <c r="AP20" i="37"/>
  <c r="BT20" i="37" s="1"/>
  <c r="AM20" i="37"/>
  <c r="BS20" i="37" s="1"/>
  <c r="BE19" i="37"/>
  <c r="BY19" i="37" s="1"/>
  <c r="BB19" i="37"/>
  <c r="BX19" i="37" s="1"/>
  <c r="AY19" i="37"/>
  <c r="AS19" i="37"/>
  <c r="BU19" i="37" s="1"/>
  <c r="AP19" i="37"/>
  <c r="BT19" i="37" s="1"/>
  <c r="AM19" i="37"/>
  <c r="BD18" i="37"/>
  <c r="BC18" i="37"/>
  <c r="BA18" i="37"/>
  <c r="AZ18" i="37"/>
  <c r="AX18" i="37"/>
  <c r="AW18" i="37"/>
  <c r="AR18" i="37"/>
  <c r="AQ18" i="37"/>
  <c r="AO18" i="37"/>
  <c r="AN18" i="37"/>
  <c r="AL18" i="37"/>
  <c r="AK18" i="37"/>
  <c r="BQ401" i="37"/>
  <c r="BP401" i="37"/>
  <c r="BO401" i="37"/>
  <c r="AG399" i="37"/>
  <c r="BQ399" i="37" s="1"/>
  <c r="AD399" i="37"/>
  <c r="BP399" i="37" s="1"/>
  <c r="AA399" i="37"/>
  <c r="AG398" i="37"/>
  <c r="AD398" i="37"/>
  <c r="AA398" i="37"/>
  <c r="AI387" i="37"/>
  <c r="AH387" i="37"/>
  <c r="AG387" i="37"/>
  <c r="BQ387" i="37" s="1"/>
  <c r="AD387" i="37"/>
  <c r="BP387" i="37" s="1"/>
  <c r="AA387" i="37"/>
  <c r="BO387" i="37" s="1"/>
  <c r="AI386" i="37"/>
  <c r="AH386" i="37"/>
  <c r="AG386" i="37"/>
  <c r="BQ386" i="37" s="1"/>
  <c r="AD386" i="37"/>
  <c r="BP386" i="37" s="1"/>
  <c r="AA386" i="37"/>
  <c r="BO386" i="37" s="1"/>
  <c r="AH385" i="37"/>
  <c r="AG385" i="37"/>
  <c r="BQ385" i="37" s="1"/>
  <c r="AD385" i="37"/>
  <c r="BP385" i="37" s="1"/>
  <c r="AA385" i="37"/>
  <c r="BO385" i="37" s="1"/>
  <c r="AG384" i="37"/>
  <c r="AD384" i="37"/>
  <c r="AA384" i="37"/>
  <c r="AG382" i="37"/>
  <c r="AG381" i="37"/>
  <c r="BQ381" i="37" s="1"/>
  <c r="AD381" i="37"/>
  <c r="BP381" i="37" s="1"/>
  <c r="AA381" i="37"/>
  <c r="BO381" i="37" s="1"/>
  <c r="AI378" i="37"/>
  <c r="AH378" i="37"/>
  <c r="AG378" i="37"/>
  <c r="BQ378" i="37" s="1"/>
  <c r="AD378" i="37"/>
  <c r="BP378" i="37" s="1"/>
  <c r="AA378" i="37"/>
  <c r="BO378" i="37" s="1"/>
  <c r="AI377" i="37"/>
  <c r="AH377" i="37"/>
  <c r="AG377" i="37"/>
  <c r="BQ377" i="37" s="1"/>
  <c r="AD377" i="37"/>
  <c r="BP377" i="37" s="1"/>
  <c r="AA377" i="37"/>
  <c r="BO377" i="37" s="1"/>
  <c r="AI376" i="37"/>
  <c r="AH376" i="37"/>
  <c r="AG376" i="37"/>
  <c r="BQ376" i="37" s="1"/>
  <c r="AD376" i="37"/>
  <c r="BP376" i="37" s="1"/>
  <c r="AA376" i="37"/>
  <c r="BO376" i="37" s="1"/>
  <c r="AI375" i="37"/>
  <c r="AH375" i="37"/>
  <c r="AG375" i="37"/>
  <c r="BQ375" i="37" s="1"/>
  <c r="AD375" i="37"/>
  <c r="BP375" i="37" s="1"/>
  <c r="AA375" i="37"/>
  <c r="BO375" i="37" s="1"/>
  <c r="AI374" i="37"/>
  <c r="AH374" i="37"/>
  <c r="AG374" i="37"/>
  <c r="BQ374" i="37" s="1"/>
  <c r="AD374" i="37"/>
  <c r="BP374" i="37" s="1"/>
  <c r="AA374" i="37"/>
  <c r="BO374" i="37" s="1"/>
  <c r="AI370" i="37"/>
  <c r="AH370" i="37"/>
  <c r="AG370" i="37"/>
  <c r="BQ370" i="37" s="1"/>
  <c r="AD370" i="37"/>
  <c r="BP370" i="37" s="1"/>
  <c r="AA370" i="37"/>
  <c r="BO370" i="37" s="1"/>
  <c r="AF369" i="37"/>
  <c r="AF319" i="37" s="1"/>
  <c r="AE369" i="37"/>
  <c r="AE319" i="37" s="1"/>
  <c r="AC369" i="37"/>
  <c r="AC319" i="37" s="1"/>
  <c r="AB369" i="37"/>
  <c r="AB319" i="37" s="1"/>
  <c r="Z369" i="37"/>
  <c r="Z319" i="37" s="1"/>
  <c r="Y369" i="37"/>
  <c r="Y319" i="37" s="1"/>
  <c r="AI368" i="37"/>
  <c r="AH368" i="37"/>
  <c r="AG368" i="37"/>
  <c r="BQ368" i="37" s="1"/>
  <c r="AD368" i="37"/>
  <c r="BP368" i="37" s="1"/>
  <c r="AA368" i="37"/>
  <c r="BO368" i="37" s="1"/>
  <c r="AI367" i="37"/>
  <c r="AH367" i="37"/>
  <c r="AG367" i="37"/>
  <c r="BQ367" i="37" s="1"/>
  <c r="AD367" i="37"/>
  <c r="BP367" i="37" s="1"/>
  <c r="AA367" i="37"/>
  <c r="BO367" i="37" s="1"/>
  <c r="AI366" i="37"/>
  <c r="AH366" i="37"/>
  <c r="AG366" i="37"/>
  <c r="BQ366" i="37" s="1"/>
  <c r="AD366" i="37"/>
  <c r="BP366" i="37" s="1"/>
  <c r="AA366" i="37"/>
  <c r="BO366" i="37" s="1"/>
  <c r="AI365" i="37"/>
  <c r="AH365" i="37"/>
  <c r="AG365" i="37"/>
  <c r="BQ365" i="37" s="1"/>
  <c r="AD365" i="37"/>
  <c r="BP365" i="37" s="1"/>
  <c r="AA365" i="37"/>
  <c r="BO365" i="37" s="1"/>
  <c r="AI364" i="37"/>
  <c r="AH364" i="37"/>
  <c r="AG364" i="37"/>
  <c r="BQ364" i="37" s="1"/>
  <c r="AD364" i="37"/>
  <c r="BP364" i="37" s="1"/>
  <c r="AA364" i="37"/>
  <c r="BO364" i="37" s="1"/>
  <c r="AI363" i="37"/>
  <c r="AH363" i="37"/>
  <c r="AG363" i="37"/>
  <c r="BQ363" i="37" s="1"/>
  <c r="AD363" i="37"/>
  <c r="BP363" i="37" s="1"/>
  <c r="AA363" i="37"/>
  <c r="BO363" i="37" s="1"/>
  <c r="AI362" i="37"/>
  <c r="AH362" i="37"/>
  <c r="AG362" i="37"/>
  <c r="BQ362" i="37" s="1"/>
  <c r="AD362" i="37"/>
  <c r="BP362" i="37" s="1"/>
  <c r="AA362" i="37"/>
  <c r="BO362" i="37" s="1"/>
  <c r="AI361" i="37"/>
  <c r="AH361" i="37"/>
  <c r="AG361" i="37"/>
  <c r="BQ361" i="37" s="1"/>
  <c r="AD361" i="37"/>
  <c r="BP361" i="37" s="1"/>
  <c r="AA361" i="37"/>
  <c r="BO361" i="37" s="1"/>
  <c r="AI360" i="37"/>
  <c r="AH360" i="37"/>
  <c r="AG360" i="37"/>
  <c r="BQ360" i="37" s="1"/>
  <c r="AD360" i="37"/>
  <c r="BP360" i="37" s="1"/>
  <c r="AA360" i="37"/>
  <c r="BO360" i="37" s="1"/>
  <c r="AI318" i="37"/>
  <c r="AH318" i="37"/>
  <c r="AG318" i="37"/>
  <c r="BQ318" i="37" s="1"/>
  <c r="AD318" i="37"/>
  <c r="BP318" i="37" s="1"/>
  <c r="AA318" i="37"/>
  <c r="BO318" i="37" s="1"/>
  <c r="AG315" i="37"/>
  <c r="BQ315" i="37" s="1"/>
  <c r="BP315" i="37"/>
  <c r="AA315" i="37"/>
  <c r="AI314" i="37"/>
  <c r="AH314" i="37"/>
  <c r="AG314" i="37"/>
  <c r="BQ314" i="37" s="1"/>
  <c r="AD314" i="37"/>
  <c r="BP314" i="37" s="1"/>
  <c r="AA314" i="37"/>
  <c r="BO314" i="37" s="1"/>
  <c r="AF313" i="37"/>
  <c r="AF292" i="37" s="1"/>
  <c r="AE313" i="37"/>
  <c r="AE292" i="37" s="1"/>
  <c r="AC313" i="37"/>
  <c r="AC292" i="37" s="1"/>
  <c r="AB313" i="37"/>
  <c r="AB292" i="37" s="1"/>
  <c r="Z313" i="37"/>
  <c r="Z292" i="37" s="1"/>
  <c r="Y313" i="37"/>
  <c r="Y292" i="37" s="1"/>
  <c r="AI312" i="37"/>
  <c r="AH312" i="37"/>
  <c r="AG312" i="37"/>
  <c r="BQ312" i="37" s="1"/>
  <c r="AD312" i="37"/>
  <c r="BP312" i="37" s="1"/>
  <c r="AA312" i="37"/>
  <c r="BO312" i="37" s="1"/>
  <c r="AI311" i="37"/>
  <c r="AH311" i="37"/>
  <c r="AG311" i="37"/>
  <c r="BQ311" i="37" s="1"/>
  <c r="AD311" i="37"/>
  <c r="BP311" i="37" s="1"/>
  <c r="AA311" i="37"/>
  <c r="BO311" i="37" s="1"/>
  <c r="AI310" i="37"/>
  <c r="AH310" i="37"/>
  <c r="AG310" i="37"/>
  <c r="BQ310" i="37" s="1"/>
  <c r="AD310" i="37"/>
  <c r="BP310" i="37" s="1"/>
  <c r="AA310" i="37"/>
  <c r="BO310" i="37" s="1"/>
  <c r="AI309" i="37"/>
  <c r="AH309" i="37"/>
  <c r="AG309" i="37"/>
  <c r="BQ309" i="37" s="1"/>
  <c r="AD309" i="37"/>
  <c r="BP309" i="37" s="1"/>
  <c r="AA309" i="37"/>
  <c r="BO309" i="37" s="1"/>
  <c r="AG308" i="37"/>
  <c r="BQ308" i="37" s="1"/>
  <c r="AD308" i="37"/>
  <c r="BP308" i="37" s="1"/>
  <c r="AA308" i="37"/>
  <c r="BQ296" i="37"/>
  <c r="AD296" i="37"/>
  <c r="BP296" i="37" s="1"/>
  <c r="AA296" i="37"/>
  <c r="AI295" i="37"/>
  <c r="AH295" i="37"/>
  <c r="AG295" i="37"/>
  <c r="BQ295" i="37" s="1"/>
  <c r="AD295" i="37"/>
  <c r="BP295" i="37" s="1"/>
  <c r="AA295" i="37"/>
  <c r="BO295" i="37" s="1"/>
  <c r="AI294" i="37"/>
  <c r="AH294" i="37"/>
  <c r="AG294" i="37"/>
  <c r="BQ294" i="37" s="1"/>
  <c r="AD294" i="37"/>
  <c r="BP294" i="37" s="1"/>
  <c r="AA294" i="37"/>
  <c r="BO294" i="37" s="1"/>
  <c r="AI291" i="37"/>
  <c r="AH291" i="37"/>
  <c r="AG291" i="37"/>
  <c r="BQ291" i="37" s="1"/>
  <c r="AD291" i="37"/>
  <c r="BP291" i="37" s="1"/>
  <c r="AA291" i="37"/>
  <c r="BO291" i="37" s="1"/>
  <c r="AI290" i="37"/>
  <c r="AH290" i="37"/>
  <c r="AG290" i="37"/>
  <c r="BQ290" i="37" s="1"/>
  <c r="AD290" i="37"/>
  <c r="BP290" i="37" s="1"/>
  <c r="AA290" i="37"/>
  <c r="BO290" i="37" s="1"/>
  <c r="AI289" i="37"/>
  <c r="AH289" i="37"/>
  <c r="AG289" i="37"/>
  <c r="BQ289" i="37" s="1"/>
  <c r="AD289" i="37"/>
  <c r="BP289" i="37" s="1"/>
  <c r="AA289" i="37"/>
  <c r="BO289" i="37" s="1"/>
  <c r="AI288" i="37"/>
  <c r="AH288" i="37"/>
  <c r="AG288" i="37"/>
  <c r="BQ288" i="37" s="1"/>
  <c r="AD288" i="37"/>
  <c r="BP288" i="37" s="1"/>
  <c r="AA288" i="37"/>
  <c r="BO288" i="37" s="1"/>
  <c r="AF287" i="37"/>
  <c r="AF266" i="37" s="1"/>
  <c r="AE287" i="37"/>
  <c r="AE266" i="37" s="1"/>
  <c r="AC287" i="37"/>
  <c r="AC266" i="37" s="1"/>
  <c r="AB287" i="37"/>
  <c r="AB266" i="37" s="1"/>
  <c r="Z287" i="37"/>
  <c r="Z266" i="37" s="1"/>
  <c r="Y287" i="37"/>
  <c r="Y266" i="37" s="1"/>
  <c r="AG286" i="37"/>
  <c r="BQ286" i="37" s="1"/>
  <c r="AD286" i="37"/>
  <c r="BP286" i="37" s="1"/>
  <c r="AA286" i="37"/>
  <c r="BO286" i="37" s="1"/>
  <c r="AG276" i="37"/>
  <c r="BQ276" i="37" s="1"/>
  <c r="AD276" i="37"/>
  <c r="BP276" i="37" s="1"/>
  <c r="AA276" i="37"/>
  <c r="AI273" i="37"/>
  <c r="AH273" i="37"/>
  <c r="AG273" i="37"/>
  <c r="BQ273" i="37" s="1"/>
  <c r="AD273" i="37"/>
  <c r="BP273" i="37" s="1"/>
  <c r="AA273" i="37"/>
  <c r="BO273" i="37" s="1"/>
  <c r="AI271" i="37"/>
  <c r="AH271" i="37"/>
  <c r="AG271" i="37"/>
  <c r="BQ271" i="37" s="1"/>
  <c r="AD271" i="37"/>
  <c r="BP271" i="37" s="1"/>
  <c r="AA271" i="37"/>
  <c r="BO271" i="37" s="1"/>
  <c r="AG270" i="37"/>
  <c r="BQ270" i="37" s="1"/>
  <c r="AD270" i="37"/>
  <c r="BP270" i="37" s="1"/>
  <c r="AA270" i="37"/>
  <c r="AG269" i="37"/>
  <c r="BQ269" i="37" s="1"/>
  <c r="AD269" i="37"/>
  <c r="BP269" i="37" s="1"/>
  <c r="AA269" i="37"/>
  <c r="AI268" i="37"/>
  <c r="AH268" i="37"/>
  <c r="AG268" i="37"/>
  <c r="BQ268" i="37" s="1"/>
  <c r="AD268" i="37"/>
  <c r="BP268" i="37" s="1"/>
  <c r="AA268" i="37"/>
  <c r="BO268" i="37" s="1"/>
  <c r="AI265" i="37"/>
  <c r="AH265" i="37"/>
  <c r="AG265" i="37"/>
  <c r="BQ265" i="37" s="1"/>
  <c r="AD265" i="37"/>
  <c r="BP265" i="37" s="1"/>
  <c r="AA265" i="37"/>
  <c r="BO265" i="37" s="1"/>
  <c r="AI264" i="37"/>
  <c r="AH264" i="37"/>
  <c r="AG264" i="37"/>
  <c r="BQ264" i="37" s="1"/>
  <c r="AD264" i="37"/>
  <c r="BP264" i="37" s="1"/>
  <c r="AA264" i="37"/>
  <c r="BO264" i="37" s="1"/>
  <c r="AI263" i="37"/>
  <c r="AH263" i="37"/>
  <c r="AG263" i="37"/>
  <c r="BQ263" i="37" s="1"/>
  <c r="AD263" i="37"/>
  <c r="BP263" i="37" s="1"/>
  <c r="AA263" i="37"/>
  <c r="BO263" i="37" s="1"/>
  <c r="AI262" i="37"/>
  <c r="AH262" i="37"/>
  <c r="AG262" i="37"/>
  <c r="BQ262" i="37" s="1"/>
  <c r="AD262" i="37"/>
  <c r="BP262" i="37" s="1"/>
  <c r="AA262" i="37"/>
  <c r="BO262" i="37" s="1"/>
  <c r="AF261" i="37"/>
  <c r="AE261" i="37"/>
  <c r="AC261" i="37"/>
  <c r="AB261" i="37"/>
  <c r="Z261" i="37"/>
  <c r="Y261" i="37"/>
  <c r="AG260" i="37"/>
  <c r="BQ260" i="37" s="1"/>
  <c r="AD260" i="37"/>
  <c r="BP260" i="37" s="1"/>
  <c r="AA260" i="37"/>
  <c r="BO260" i="37" s="1"/>
  <c r="AG259" i="37"/>
  <c r="BQ259" i="37" s="1"/>
  <c r="AD259" i="37"/>
  <c r="BP259" i="37" s="1"/>
  <c r="AA259" i="37"/>
  <c r="BO259" i="37" s="1"/>
  <c r="AG255" i="37"/>
  <c r="BQ255" i="37" s="1"/>
  <c r="AD255" i="37"/>
  <c r="BP255" i="37" s="1"/>
  <c r="AA255" i="37"/>
  <c r="BO255" i="37" s="1"/>
  <c r="AG254" i="37"/>
  <c r="BQ254" i="37" s="1"/>
  <c r="AD254" i="37"/>
  <c r="BP254" i="37" s="1"/>
  <c r="AA254" i="37"/>
  <c r="BO254" i="37" s="1"/>
  <c r="AG253" i="37"/>
  <c r="BQ253" i="37" s="1"/>
  <c r="AD253" i="37"/>
  <c r="BP253" i="37" s="1"/>
  <c r="AA253" i="37"/>
  <c r="AG252" i="37"/>
  <c r="BQ252" i="37" s="1"/>
  <c r="AD252" i="37"/>
  <c r="BP252" i="37" s="1"/>
  <c r="AA252" i="37"/>
  <c r="AG249" i="37"/>
  <c r="BQ249" i="37" s="1"/>
  <c r="AD249" i="37"/>
  <c r="BP249" i="37" s="1"/>
  <c r="AA249" i="37"/>
  <c r="AG248" i="37"/>
  <c r="BQ248" i="37" s="1"/>
  <c r="AD248" i="37"/>
  <c r="BP248" i="37" s="1"/>
  <c r="AA248" i="37"/>
  <c r="BO248" i="37" s="1"/>
  <c r="AG246" i="37"/>
  <c r="BQ246" i="37" s="1"/>
  <c r="AD246" i="37"/>
  <c r="BP246" i="37" s="1"/>
  <c r="AA246" i="37"/>
  <c r="BO246" i="37" s="1"/>
  <c r="AG245" i="37"/>
  <c r="BQ245" i="37" s="1"/>
  <c r="AD245" i="37"/>
  <c r="BP245" i="37" s="1"/>
  <c r="AA245" i="37"/>
  <c r="BO245" i="37" s="1"/>
  <c r="AG244" i="37"/>
  <c r="BQ244" i="37" s="1"/>
  <c r="AD244" i="37"/>
  <c r="BP244" i="37" s="1"/>
  <c r="AA244" i="37"/>
  <c r="BO244" i="37" s="1"/>
  <c r="AF243" i="37"/>
  <c r="AE243" i="37"/>
  <c r="AC243" i="37"/>
  <c r="AB243" i="37"/>
  <c r="Z243" i="37"/>
  <c r="Y243" i="37"/>
  <c r="AG241" i="37"/>
  <c r="BQ241" i="37" s="1"/>
  <c r="AD241" i="37"/>
  <c r="BP241" i="37" s="1"/>
  <c r="AA241" i="37"/>
  <c r="BO241" i="37" s="1"/>
  <c r="AG240" i="37"/>
  <c r="BQ240" i="37" s="1"/>
  <c r="AD240" i="37"/>
  <c r="BP240" i="37" s="1"/>
  <c r="AA240" i="37"/>
  <c r="BO240" i="37" s="1"/>
  <c r="AG239" i="37"/>
  <c r="BQ239" i="37" s="1"/>
  <c r="AD239" i="37"/>
  <c r="BP239" i="37" s="1"/>
  <c r="AA239" i="37"/>
  <c r="BO239" i="37" s="1"/>
  <c r="AG238" i="37"/>
  <c r="BQ238" i="37" s="1"/>
  <c r="AD238" i="37"/>
  <c r="BP238" i="37" s="1"/>
  <c r="AA238" i="37"/>
  <c r="BO238" i="37" s="1"/>
  <c r="AG237" i="37"/>
  <c r="BQ237" i="37" s="1"/>
  <c r="AD237" i="37"/>
  <c r="BP237" i="37" s="1"/>
  <c r="AA237" i="37"/>
  <c r="AF214" i="37"/>
  <c r="AE214" i="37"/>
  <c r="AC214" i="37"/>
  <c r="AB214" i="37"/>
  <c r="Z214" i="37"/>
  <c r="Y214" i="37"/>
  <c r="AG235" i="37"/>
  <c r="BQ235" i="37" s="1"/>
  <c r="AD235" i="37"/>
  <c r="BP235" i="37" s="1"/>
  <c r="AA235" i="37"/>
  <c r="AG234" i="37"/>
  <c r="BQ234" i="37" s="1"/>
  <c r="AD234" i="37"/>
  <c r="BP234" i="37" s="1"/>
  <c r="AA234" i="37"/>
  <c r="AG233" i="37"/>
  <c r="BQ233" i="37" s="1"/>
  <c r="AD233" i="37"/>
  <c r="BP233" i="37" s="1"/>
  <c r="AA233" i="37"/>
  <c r="AG232" i="37"/>
  <c r="BQ232" i="37" s="1"/>
  <c r="AD232" i="37"/>
  <c r="BP232" i="37" s="1"/>
  <c r="AA232" i="37"/>
  <c r="AG231" i="37"/>
  <c r="BQ231" i="37" s="1"/>
  <c r="AD231" i="37"/>
  <c r="BP231" i="37" s="1"/>
  <c r="AA231" i="37"/>
  <c r="AG230" i="37"/>
  <c r="AD230" i="37"/>
  <c r="BP230" i="37" s="1"/>
  <c r="AA230" i="37"/>
  <c r="BO230" i="37" s="1"/>
  <c r="AG229" i="37"/>
  <c r="BQ229" i="37" s="1"/>
  <c r="AD229" i="37"/>
  <c r="BP229" i="37" s="1"/>
  <c r="AA229" i="37"/>
  <c r="AG227" i="37"/>
  <c r="BQ227" i="37" s="1"/>
  <c r="AD227" i="37"/>
  <c r="BP227" i="37" s="1"/>
  <c r="AA227" i="37"/>
  <c r="AG225" i="37"/>
  <c r="BQ225" i="37" s="1"/>
  <c r="AD225" i="37"/>
  <c r="BP225" i="37" s="1"/>
  <c r="AA225" i="37"/>
  <c r="AG216" i="37"/>
  <c r="BQ216" i="37" s="1"/>
  <c r="AD216" i="37"/>
  <c r="BP216" i="37" s="1"/>
  <c r="AA216" i="37"/>
  <c r="AI213" i="37"/>
  <c r="AH213" i="37"/>
  <c r="AG213" i="37"/>
  <c r="BQ213" i="37" s="1"/>
  <c r="AD213" i="37"/>
  <c r="BP213" i="37" s="1"/>
  <c r="AA213" i="37"/>
  <c r="BO213" i="37" s="1"/>
  <c r="AI212" i="37"/>
  <c r="AH212" i="37"/>
  <c r="AG212" i="37"/>
  <c r="BQ212" i="37" s="1"/>
  <c r="AD212" i="37"/>
  <c r="BP212" i="37" s="1"/>
  <c r="AA212" i="37"/>
  <c r="BO212" i="37" s="1"/>
  <c r="AI211" i="37"/>
  <c r="AH211" i="37"/>
  <c r="AG211" i="37"/>
  <c r="BQ211" i="37" s="1"/>
  <c r="AD211" i="37"/>
  <c r="BP211" i="37" s="1"/>
  <c r="AA211" i="37"/>
  <c r="BO211" i="37" s="1"/>
  <c r="AI210" i="37"/>
  <c r="AH210" i="37"/>
  <c r="AG210" i="37"/>
  <c r="BQ210" i="37" s="1"/>
  <c r="AD210" i="37"/>
  <c r="BP210" i="37" s="1"/>
  <c r="AA210" i="37"/>
  <c r="BO210" i="37" s="1"/>
  <c r="AI209" i="37"/>
  <c r="AH209" i="37"/>
  <c r="AG209" i="37"/>
  <c r="BQ209" i="37" s="1"/>
  <c r="AD209" i="37"/>
  <c r="BP209" i="37" s="1"/>
  <c r="AA209" i="37"/>
  <c r="BO209" i="37" s="1"/>
  <c r="AI208" i="37"/>
  <c r="AH208" i="37"/>
  <c r="AG208" i="37"/>
  <c r="BQ208" i="37" s="1"/>
  <c r="AD208" i="37"/>
  <c r="BP208" i="37" s="1"/>
  <c r="AA208" i="37"/>
  <c r="BO208" i="37" s="1"/>
  <c r="AF207" i="37"/>
  <c r="AF190" i="37" s="1"/>
  <c r="AE207" i="37"/>
  <c r="AE190" i="37" s="1"/>
  <c r="AC207" i="37"/>
  <c r="AC190" i="37" s="1"/>
  <c r="AB207" i="37"/>
  <c r="AB190" i="37" s="1"/>
  <c r="Z207" i="37"/>
  <c r="Z190" i="37" s="1"/>
  <c r="Y207" i="37"/>
  <c r="Y190" i="37" s="1"/>
  <c r="AG206" i="37"/>
  <c r="BQ206" i="37" s="1"/>
  <c r="AD206" i="37"/>
  <c r="BP206" i="37" s="1"/>
  <c r="AA206" i="37"/>
  <c r="BO206" i="37" s="1"/>
  <c r="AG205" i="37"/>
  <c r="BQ205" i="37" s="1"/>
  <c r="AD205" i="37"/>
  <c r="BP205" i="37" s="1"/>
  <c r="AA205" i="37"/>
  <c r="AG204" i="37"/>
  <c r="BQ204" i="37" s="1"/>
  <c r="AD204" i="37"/>
  <c r="BP204" i="37" s="1"/>
  <c r="AA204" i="37"/>
  <c r="AG203" i="37"/>
  <c r="BQ203" i="37" s="1"/>
  <c r="AD203" i="37"/>
  <c r="BP203" i="37" s="1"/>
  <c r="AA203" i="37"/>
  <c r="AG202" i="37"/>
  <c r="BQ202" i="37" s="1"/>
  <c r="AD202" i="37"/>
  <c r="BP202" i="37" s="1"/>
  <c r="AA202" i="37"/>
  <c r="AG201" i="37"/>
  <c r="BQ201" i="37" s="1"/>
  <c r="AD201" i="37"/>
  <c r="BP201" i="37" s="1"/>
  <c r="AA201" i="37"/>
  <c r="AG197" i="37"/>
  <c r="BQ197" i="37" s="1"/>
  <c r="AD197" i="37"/>
  <c r="BP197" i="37" s="1"/>
  <c r="AA197" i="37"/>
  <c r="AG195" i="37"/>
  <c r="BQ195" i="37" s="1"/>
  <c r="AD195" i="37"/>
  <c r="BP195" i="37" s="1"/>
  <c r="AA195" i="37"/>
  <c r="AG192" i="37"/>
  <c r="BQ192" i="37" s="1"/>
  <c r="AD192" i="37"/>
  <c r="BP192" i="37" s="1"/>
  <c r="AA192" i="37"/>
  <c r="AG189" i="37"/>
  <c r="BQ189" i="37" s="1"/>
  <c r="AD189" i="37"/>
  <c r="BP189" i="37" s="1"/>
  <c r="AA189" i="37"/>
  <c r="BO189" i="37" s="1"/>
  <c r="AG186" i="37"/>
  <c r="BQ186" i="37" s="1"/>
  <c r="AD186" i="37"/>
  <c r="BP186" i="37" s="1"/>
  <c r="AA186" i="37"/>
  <c r="AF185" i="37"/>
  <c r="AF165" i="37" s="1"/>
  <c r="AE185" i="37"/>
  <c r="AE165" i="37" s="1"/>
  <c r="AC185" i="37"/>
  <c r="AC165" i="37" s="1"/>
  <c r="AB185" i="37"/>
  <c r="AB165" i="37" s="1"/>
  <c r="Z185" i="37"/>
  <c r="Z165" i="37" s="1"/>
  <c r="Y185" i="37"/>
  <c r="Y165" i="37" s="1"/>
  <c r="AG181" i="37"/>
  <c r="BQ181" i="37" s="1"/>
  <c r="AD181" i="37"/>
  <c r="BP181" i="37" s="1"/>
  <c r="AA181" i="37"/>
  <c r="BO181" i="37" s="1"/>
  <c r="AG180" i="37"/>
  <c r="BQ180" i="37" s="1"/>
  <c r="AD180" i="37"/>
  <c r="BP180" i="37" s="1"/>
  <c r="AA180" i="37"/>
  <c r="BO180" i="37" s="1"/>
  <c r="AG179" i="37"/>
  <c r="BQ179" i="37" s="1"/>
  <c r="AD179" i="37"/>
  <c r="BP179" i="37" s="1"/>
  <c r="AA179" i="37"/>
  <c r="BO179" i="37" s="1"/>
  <c r="AG178" i="37"/>
  <c r="BQ178" i="37" s="1"/>
  <c r="AD178" i="37"/>
  <c r="BP178" i="37" s="1"/>
  <c r="AA178" i="37"/>
  <c r="AG177" i="37"/>
  <c r="BQ177" i="37" s="1"/>
  <c r="AD177" i="37"/>
  <c r="AA177" i="37"/>
  <c r="BO177" i="37" s="1"/>
  <c r="AG175" i="37"/>
  <c r="BQ175" i="37" s="1"/>
  <c r="AD175" i="37"/>
  <c r="BP175" i="37" s="1"/>
  <c r="AA175" i="37"/>
  <c r="BO175" i="37" s="1"/>
  <c r="AG173" i="37"/>
  <c r="BQ173" i="37" s="1"/>
  <c r="AD173" i="37"/>
  <c r="BP173" i="37" s="1"/>
  <c r="AA173" i="37"/>
  <c r="BO173" i="37" s="1"/>
  <c r="AG172" i="37"/>
  <c r="BQ172" i="37" s="1"/>
  <c r="AD172" i="37"/>
  <c r="BP172" i="37" s="1"/>
  <c r="AA172" i="37"/>
  <c r="AG171" i="37"/>
  <c r="BQ171" i="37" s="1"/>
  <c r="AD171" i="37"/>
  <c r="BP171" i="37" s="1"/>
  <c r="AA171" i="37"/>
  <c r="AG168" i="37"/>
  <c r="BQ168" i="37" s="1"/>
  <c r="AD168" i="37"/>
  <c r="AA168" i="37"/>
  <c r="BO168" i="37" s="1"/>
  <c r="AG167" i="37"/>
  <c r="AD167" i="37"/>
  <c r="AA167" i="37"/>
  <c r="AI164" i="37"/>
  <c r="AH164" i="37"/>
  <c r="AG164" i="37"/>
  <c r="BQ164" i="37" s="1"/>
  <c r="AD164" i="37"/>
  <c r="BP164" i="37" s="1"/>
  <c r="AA164" i="37"/>
  <c r="BO164" i="37" s="1"/>
  <c r="AG162" i="37"/>
  <c r="BQ162" i="37" s="1"/>
  <c r="AD162" i="37"/>
  <c r="BP162" i="37" s="1"/>
  <c r="AA162" i="37"/>
  <c r="AF161" i="37"/>
  <c r="AF148" i="37" s="1"/>
  <c r="AE161" i="37"/>
  <c r="AE148" i="37" s="1"/>
  <c r="AC161" i="37"/>
  <c r="AC148" i="37" s="1"/>
  <c r="AB161" i="37"/>
  <c r="AB148" i="37" s="1"/>
  <c r="Z161" i="37"/>
  <c r="Z148" i="37" s="1"/>
  <c r="Y161" i="37"/>
  <c r="Y148" i="37" s="1"/>
  <c r="AI160" i="37"/>
  <c r="AH160" i="37"/>
  <c r="AG160" i="37"/>
  <c r="BQ160" i="37" s="1"/>
  <c r="AD160" i="37"/>
  <c r="BP160" i="37" s="1"/>
  <c r="AA160" i="37"/>
  <c r="BO160" i="37" s="1"/>
  <c r="AI152" i="37"/>
  <c r="AH152" i="37"/>
  <c r="AG152" i="37"/>
  <c r="BQ152" i="37" s="1"/>
  <c r="AD152" i="37"/>
  <c r="BP152" i="37" s="1"/>
  <c r="AA152" i="37"/>
  <c r="BO152" i="37" s="1"/>
  <c r="AG151" i="37"/>
  <c r="BQ151" i="37" s="1"/>
  <c r="AD151" i="37"/>
  <c r="BP151" i="37" s="1"/>
  <c r="AA151" i="37"/>
  <c r="AG150" i="37"/>
  <c r="BQ150" i="37" s="1"/>
  <c r="AD150" i="37"/>
  <c r="BP150" i="37" s="1"/>
  <c r="AA150" i="37"/>
  <c r="AI147" i="37"/>
  <c r="AH147" i="37"/>
  <c r="AG147" i="37"/>
  <c r="BQ147" i="37" s="1"/>
  <c r="AD147" i="37"/>
  <c r="BP147" i="37" s="1"/>
  <c r="AA147" i="37"/>
  <c r="BO147" i="37" s="1"/>
  <c r="AI146" i="37"/>
  <c r="AH146" i="37"/>
  <c r="AG146" i="37"/>
  <c r="BQ146" i="37" s="1"/>
  <c r="AD146" i="37"/>
  <c r="BP146" i="37" s="1"/>
  <c r="AA146" i="37"/>
  <c r="BO146" i="37" s="1"/>
  <c r="AF145" i="37"/>
  <c r="AE145" i="37"/>
  <c r="AC145" i="37"/>
  <c r="AB145" i="37"/>
  <c r="Z145" i="37"/>
  <c r="Y145" i="37"/>
  <c r="AI144" i="37"/>
  <c r="AH144" i="37"/>
  <c r="AG144" i="37"/>
  <c r="BQ144" i="37" s="1"/>
  <c r="AD144" i="37"/>
  <c r="BP144" i="37" s="1"/>
  <c r="AA144" i="37"/>
  <c r="BO144" i="37" s="1"/>
  <c r="AG142" i="37"/>
  <c r="BQ142" i="37" s="1"/>
  <c r="AD142" i="37"/>
  <c r="BP142" i="37" s="1"/>
  <c r="AA142" i="37"/>
  <c r="BO142" i="37" s="1"/>
  <c r="AG141" i="37"/>
  <c r="BQ141" i="37" s="1"/>
  <c r="AD141" i="37"/>
  <c r="BP141" i="37" s="1"/>
  <c r="AA141" i="37"/>
  <c r="BO141" i="37" s="1"/>
  <c r="AG140" i="37"/>
  <c r="BQ140" i="37" s="1"/>
  <c r="AD140" i="37"/>
  <c r="BP140" i="37" s="1"/>
  <c r="AA140" i="37"/>
  <c r="BO140" i="37" s="1"/>
  <c r="AF139" i="37"/>
  <c r="AE139" i="37"/>
  <c r="AC139" i="37"/>
  <c r="AB139" i="37"/>
  <c r="Z139" i="37"/>
  <c r="Y139" i="37"/>
  <c r="AI137" i="37"/>
  <c r="AH137" i="37"/>
  <c r="AG137" i="37"/>
  <c r="BQ137" i="37" s="1"/>
  <c r="AD137" i="37"/>
  <c r="BP137" i="37" s="1"/>
  <c r="AA137" i="37"/>
  <c r="BO137" i="37" s="1"/>
  <c r="AI136" i="37"/>
  <c r="AH136" i="37"/>
  <c r="AG136" i="37"/>
  <c r="BQ136" i="37" s="1"/>
  <c r="AD136" i="37"/>
  <c r="BP136" i="37" s="1"/>
  <c r="AA136" i="37"/>
  <c r="BO136" i="37" s="1"/>
  <c r="AF135" i="37"/>
  <c r="AE135" i="37"/>
  <c r="AC135" i="37"/>
  <c r="AB135" i="37"/>
  <c r="Z135" i="37"/>
  <c r="Y135" i="37"/>
  <c r="AG134" i="37"/>
  <c r="BQ134" i="37" s="1"/>
  <c r="AD134" i="37"/>
  <c r="BP134" i="37" s="1"/>
  <c r="AA134" i="37"/>
  <c r="AG133" i="37"/>
  <c r="BQ133" i="37" s="1"/>
  <c r="AD133" i="37"/>
  <c r="BP133" i="37" s="1"/>
  <c r="AA133" i="37"/>
  <c r="AG129" i="37"/>
  <c r="AD129" i="37"/>
  <c r="BP129" i="37" s="1"/>
  <c r="AA129" i="37"/>
  <c r="BO129" i="37" s="1"/>
  <c r="AG128" i="37"/>
  <c r="AD128" i="37"/>
  <c r="BP128" i="37" s="1"/>
  <c r="AA128" i="37"/>
  <c r="BO128" i="37" s="1"/>
  <c r="AF127" i="37"/>
  <c r="AE127" i="37"/>
  <c r="AC127" i="37"/>
  <c r="AB127" i="37"/>
  <c r="Z127" i="37"/>
  <c r="Y127" i="37"/>
  <c r="AI125" i="37"/>
  <c r="AH125" i="37"/>
  <c r="AG125" i="37"/>
  <c r="BQ125" i="37" s="1"/>
  <c r="AD125" i="37"/>
  <c r="BP125" i="37" s="1"/>
  <c r="AA125" i="37"/>
  <c r="BO125" i="37" s="1"/>
  <c r="AI124" i="37"/>
  <c r="AH124" i="37"/>
  <c r="AG124" i="37"/>
  <c r="AD124" i="37"/>
  <c r="AA124" i="37"/>
  <c r="AF123" i="37"/>
  <c r="AF116" i="37" s="1"/>
  <c r="AE123" i="37"/>
  <c r="AE116" i="37" s="1"/>
  <c r="AC123" i="37"/>
  <c r="AC116" i="37" s="1"/>
  <c r="AB123" i="37"/>
  <c r="AB116" i="37" s="1"/>
  <c r="Z123" i="37"/>
  <c r="Z116" i="37" s="1"/>
  <c r="Y123" i="37"/>
  <c r="Y116" i="37" s="1"/>
  <c r="AI122" i="37"/>
  <c r="AH122" i="37"/>
  <c r="AG122" i="37"/>
  <c r="BQ122" i="37" s="1"/>
  <c r="AD122" i="37"/>
  <c r="BP122" i="37" s="1"/>
  <c r="AA122" i="37"/>
  <c r="BO122" i="37" s="1"/>
  <c r="AI120" i="37"/>
  <c r="AH120" i="37"/>
  <c r="AG120" i="37"/>
  <c r="BQ120" i="37" s="1"/>
  <c r="AD120" i="37"/>
  <c r="BP120" i="37" s="1"/>
  <c r="AA120" i="37"/>
  <c r="BO120" i="37" s="1"/>
  <c r="AG119" i="37"/>
  <c r="BQ119" i="37" s="1"/>
  <c r="AD119" i="37"/>
  <c r="BP119" i="37" s="1"/>
  <c r="AA119" i="37"/>
  <c r="AI118" i="37"/>
  <c r="AH118" i="37"/>
  <c r="AG118" i="37"/>
  <c r="BQ118" i="37" s="1"/>
  <c r="AD118" i="37"/>
  <c r="BP118" i="37" s="1"/>
  <c r="AA118" i="37"/>
  <c r="BO118" i="37" s="1"/>
  <c r="AI115" i="37"/>
  <c r="AJ115" i="37" s="1"/>
  <c r="BR115" i="37" s="1"/>
  <c r="AG115" i="37"/>
  <c r="BQ115" i="37" s="1"/>
  <c r="AD115" i="37"/>
  <c r="BP115" i="37" s="1"/>
  <c r="AA115" i="37"/>
  <c r="BO115" i="37" s="1"/>
  <c r="AG113" i="37"/>
  <c r="BQ113" i="37" s="1"/>
  <c r="AD113" i="37"/>
  <c r="BP113" i="37" s="1"/>
  <c r="AA113" i="37"/>
  <c r="AF112" i="37"/>
  <c r="AE112" i="37"/>
  <c r="AC112" i="37"/>
  <c r="AB112" i="37"/>
  <c r="Z112" i="37"/>
  <c r="Y112" i="37"/>
  <c r="AI111" i="37"/>
  <c r="AH111" i="37"/>
  <c r="AG111" i="37"/>
  <c r="BQ111" i="37" s="1"/>
  <c r="AD111" i="37"/>
  <c r="BP111" i="37" s="1"/>
  <c r="AA111" i="37"/>
  <c r="BO111" i="37" s="1"/>
  <c r="AI110" i="37"/>
  <c r="AH110" i="37"/>
  <c r="AG110" i="37"/>
  <c r="BQ110" i="37" s="1"/>
  <c r="AD110" i="37"/>
  <c r="BP110" i="37" s="1"/>
  <c r="AA110" i="37"/>
  <c r="BO110" i="37" s="1"/>
  <c r="AI109" i="37"/>
  <c r="AH109" i="37"/>
  <c r="AG109" i="37"/>
  <c r="BQ109" i="37" s="1"/>
  <c r="AD109" i="37"/>
  <c r="BP109" i="37" s="1"/>
  <c r="AA109" i="37"/>
  <c r="BO109" i="37" s="1"/>
  <c r="AG108" i="37"/>
  <c r="BQ108" i="37" s="1"/>
  <c r="AD108" i="37"/>
  <c r="BP108" i="37" s="1"/>
  <c r="AA108" i="37"/>
  <c r="BO108" i="37" s="1"/>
  <c r="AF107" i="37"/>
  <c r="AE107" i="37"/>
  <c r="AC107" i="37"/>
  <c r="AB107" i="37"/>
  <c r="Z107" i="37"/>
  <c r="Y107" i="37"/>
  <c r="AI105" i="37"/>
  <c r="AH105" i="37"/>
  <c r="AG105" i="37"/>
  <c r="BQ105" i="37" s="1"/>
  <c r="AD105" i="37"/>
  <c r="BP105" i="37" s="1"/>
  <c r="AA105" i="37"/>
  <c r="BO105" i="37" s="1"/>
  <c r="AG103" i="37"/>
  <c r="BQ103" i="37" s="1"/>
  <c r="AD103" i="37"/>
  <c r="BP103" i="37" s="1"/>
  <c r="AA103" i="37"/>
  <c r="BO103" i="37" s="1"/>
  <c r="AF102" i="37"/>
  <c r="AF91" i="37" s="1"/>
  <c r="AE102" i="37"/>
  <c r="AE91" i="37" s="1"/>
  <c r="AC102" i="37"/>
  <c r="AC91" i="37" s="1"/>
  <c r="AB102" i="37"/>
  <c r="AB91" i="37" s="1"/>
  <c r="Z102" i="37"/>
  <c r="Z91" i="37" s="1"/>
  <c r="Y102" i="37"/>
  <c r="Y91" i="37" s="1"/>
  <c r="AI97" i="37"/>
  <c r="AH97" i="37"/>
  <c r="AG97" i="37"/>
  <c r="BQ97" i="37" s="1"/>
  <c r="AD97" i="37"/>
  <c r="BP97" i="37" s="1"/>
  <c r="AA97" i="37"/>
  <c r="BO97" i="37" s="1"/>
  <c r="AI95" i="37"/>
  <c r="AH95" i="37"/>
  <c r="AG95" i="37"/>
  <c r="BQ95" i="37" s="1"/>
  <c r="AD95" i="37"/>
  <c r="BP95" i="37" s="1"/>
  <c r="AA95" i="37"/>
  <c r="BO95" i="37" s="1"/>
  <c r="AI94" i="37"/>
  <c r="AH94" i="37"/>
  <c r="AG94" i="37"/>
  <c r="BQ94" i="37" s="1"/>
  <c r="AD94" i="37"/>
  <c r="BP94" i="37" s="1"/>
  <c r="AA94" i="37"/>
  <c r="BO94" i="37" s="1"/>
  <c r="AG93" i="37"/>
  <c r="AD93" i="37"/>
  <c r="AA93" i="37"/>
  <c r="AI90" i="37"/>
  <c r="AH90" i="37"/>
  <c r="AG90" i="37"/>
  <c r="BQ90" i="37" s="1"/>
  <c r="AD90" i="37"/>
  <c r="BP90" i="37" s="1"/>
  <c r="AA90" i="37"/>
  <c r="BO90" i="37" s="1"/>
  <c r="AI87" i="37"/>
  <c r="AH87" i="37"/>
  <c r="AG87" i="37"/>
  <c r="BQ87" i="37" s="1"/>
  <c r="AD87" i="37"/>
  <c r="BP87" i="37" s="1"/>
  <c r="AA87" i="37"/>
  <c r="BO87" i="37" s="1"/>
  <c r="AF86" i="37"/>
  <c r="AE86" i="37"/>
  <c r="AE76" i="37" s="1"/>
  <c r="AC86" i="37"/>
  <c r="AB86" i="37"/>
  <c r="AB76" i="37" s="1"/>
  <c r="Z86" i="37"/>
  <c r="Y86" i="37"/>
  <c r="Y76" i="37" s="1"/>
  <c r="AI85" i="37"/>
  <c r="AH85" i="37"/>
  <c r="AG85" i="37"/>
  <c r="BQ85" i="37" s="1"/>
  <c r="AD85" i="37"/>
  <c r="BP85" i="37" s="1"/>
  <c r="AA85" i="37"/>
  <c r="BO85" i="37" s="1"/>
  <c r="AI84" i="37"/>
  <c r="AH84" i="37"/>
  <c r="AG84" i="37"/>
  <c r="BQ84" i="37" s="1"/>
  <c r="AD84" i="37"/>
  <c r="BP84" i="37" s="1"/>
  <c r="AA84" i="37"/>
  <c r="BO84" i="37" s="1"/>
  <c r="AI83" i="37"/>
  <c r="AH83" i="37"/>
  <c r="AG83" i="37"/>
  <c r="BQ83" i="37" s="1"/>
  <c r="AD83" i="37"/>
  <c r="BP83" i="37" s="1"/>
  <c r="AA83" i="37"/>
  <c r="BO83" i="37" s="1"/>
  <c r="AG82" i="37"/>
  <c r="BQ82" i="37" s="1"/>
  <c r="AD82" i="37"/>
  <c r="BP82" i="37" s="1"/>
  <c r="AA82" i="37"/>
  <c r="AI78" i="37"/>
  <c r="AH78" i="37"/>
  <c r="AG78" i="37"/>
  <c r="BQ78" i="37" s="1"/>
  <c r="AD78" i="37"/>
  <c r="BP78" i="37" s="1"/>
  <c r="AA78" i="37"/>
  <c r="BO78" i="37" s="1"/>
  <c r="Z77" i="37"/>
  <c r="AI75" i="37"/>
  <c r="AH75" i="37"/>
  <c r="AG75" i="37"/>
  <c r="BQ75" i="37" s="1"/>
  <c r="AD75" i="37"/>
  <c r="BP75" i="37" s="1"/>
  <c r="AA75" i="37"/>
  <c r="BO75" i="37" s="1"/>
  <c r="AG73" i="37"/>
  <c r="BQ73" i="37" s="1"/>
  <c r="AD73" i="37"/>
  <c r="BP73" i="37" s="1"/>
  <c r="AA73" i="37"/>
  <c r="AF72" i="37"/>
  <c r="AE72" i="37"/>
  <c r="AC72" i="37"/>
  <c r="AB72" i="37"/>
  <c r="Z72" i="37"/>
  <c r="Y72" i="37"/>
  <c r="AI71" i="37"/>
  <c r="AH71" i="37"/>
  <c r="AG71" i="37"/>
  <c r="BQ71" i="37" s="1"/>
  <c r="AD71" i="37"/>
  <c r="BP71" i="37" s="1"/>
  <c r="AA71" i="37"/>
  <c r="BO71" i="37" s="1"/>
  <c r="AI69" i="37"/>
  <c r="AH69" i="37"/>
  <c r="AG69" i="37"/>
  <c r="BQ69" i="37" s="1"/>
  <c r="AD69" i="37"/>
  <c r="BP69" i="37" s="1"/>
  <c r="AA69" i="37"/>
  <c r="BO69" i="37" s="1"/>
  <c r="AI66" i="37"/>
  <c r="AH66" i="37"/>
  <c r="AG66" i="37"/>
  <c r="BQ66" i="37" s="1"/>
  <c r="AD66" i="37"/>
  <c r="BP66" i="37" s="1"/>
  <c r="AA66" i="37"/>
  <c r="BO66" i="37" s="1"/>
  <c r="AI63" i="37"/>
  <c r="AH63" i="37"/>
  <c r="AG63" i="37"/>
  <c r="BQ63" i="37" s="1"/>
  <c r="AD63" i="37"/>
  <c r="BP63" i="37" s="1"/>
  <c r="AA63" i="37"/>
  <c r="BO63" i="37" s="1"/>
  <c r="AF62" i="37"/>
  <c r="AE62" i="37"/>
  <c r="AC62" i="37"/>
  <c r="AB62" i="37"/>
  <c r="Z62" i="37"/>
  <c r="Y62" i="37"/>
  <c r="AI59" i="37"/>
  <c r="AI56" i="37" s="1"/>
  <c r="AH59" i="37"/>
  <c r="AH56" i="37" s="1"/>
  <c r="AG59" i="37"/>
  <c r="BQ59" i="37" s="1"/>
  <c r="AD59" i="37"/>
  <c r="BP59" i="37" s="1"/>
  <c r="AA59" i="37"/>
  <c r="BO59" i="37" s="1"/>
  <c r="AG57" i="37"/>
  <c r="BQ57" i="37" s="1"/>
  <c r="AD57" i="37"/>
  <c r="BP57" i="37" s="1"/>
  <c r="AA57" i="37"/>
  <c r="AI51" i="37"/>
  <c r="AI45" i="37" s="1"/>
  <c r="AH51" i="37"/>
  <c r="AH45" i="37" s="1"/>
  <c r="AG51" i="37"/>
  <c r="BQ51" i="37" s="1"/>
  <c r="AD51" i="37"/>
  <c r="BP51" i="37" s="1"/>
  <c r="AA51" i="37"/>
  <c r="BO51" i="37" s="1"/>
  <c r="AG49" i="37"/>
  <c r="BQ49" i="37" s="1"/>
  <c r="AD49" i="37"/>
  <c r="BP49" i="37" s="1"/>
  <c r="AA49" i="37"/>
  <c r="AG48" i="37"/>
  <c r="BQ48" i="37" s="1"/>
  <c r="AD48" i="37"/>
  <c r="BP48" i="37" s="1"/>
  <c r="AA48" i="37"/>
  <c r="AG46" i="37"/>
  <c r="AD46" i="37"/>
  <c r="AA46" i="37"/>
  <c r="AI43" i="37"/>
  <c r="AH43" i="37"/>
  <c r="AG43" i="37"/>
  <c r="BQ43" i="37" s="1"/>
  <c r="AD43" i="37"/>
  <c r="BP43" i="37" s="1"/>
  <c r="AA43" i="37"/>
  <c r="BO43" i="37" s="1"/>
  <c r="AG40" i="37"/>
  <c r="BQ40" i="37" s="1"/>
  <c r="AD40" i="37"/>
  <c r="BP40" i="37" s="1"/>
  <c r="AA40" i="37"/>
  <c r="AF39" i="37"/>
  <c r="AF30" i="37" s="1"/>
  <c r="AE39" i="37"/>
  <c r="AE30" i="37" s="1"/>
  <c r="AC39" i="37"/>
  <c r="AC30" i="37" s="1"/>
  <c r="AB39" i="37"/>
  <c r="AB30" i="37" s="1"/>
  <c r="Z39" i="37"/>
  <c r="Z30" i="37" s="1"/>
  <c r="Y39" i="37"/>
  <c r="Y30" i="37" s="1"/>
  <c r="AI38" i="37"/>
  <c r="AH38" i="37"/>
  <c r="AG38" i="37"/>
  <c r="BQ38" i="37" s="1"/>
  <c r="AD38" i="37"/>
  <c r="BP38" i="37" s="1"/>
  <c r="AA38" i="37"/>
  <c r="BO38" i="37" s="1"/>
  <c r="AI37" i="37"/>
  <c r="AH37" i="37"/>
  <c r="AG37" i="37"/>
  <c r="BQ37" i="37" s="1"/>
  <c r="AD37" i="37"/>
  <c r="BP37" i="37" s="1"/>
  <c r="AA37" i="37"/>
  <c r="BO37" i="37" s="1"/>
  <c r="AI33" i="37"/>
  <c r="AH33" i="37"/>
  <c r="AG33" i="37"/>
  <c r="BQ33" i="37" s="1"/>
  <c r="AD33" i="37"/>
  <c r="BP33" i="37" s="1"/>
  <c r="AA33" i="37"/>
  <c r="BO33" i="37" s="1"/>
  <c r="AG32" i="37"/>
  <c r="BQ32" i="37" s="1"/>
  <c r="AD32" i="37"/>
  <c r="BP32" i="37" s="1"/>
  <c r="AA32" i="37"/>
  <c r="AI29" i="37"/>
  <c r="AH29" i="37"/>
  <c r="AG29" i="37"/>
  <c r="BQ29" i="37" s="1"/>
  <c r="AD29" i="37"/>
  <c r="BP29" i="37" s="1"/>
  <c r="AA29" i="37"/>
  <c r="BO29" i="37" s="1"/>
  <c r="BQ27" i="37"/>
  <c r="BP27" i="37"/>
  <c r="BO27" i="37"/>
  <c r="AF26" i="37"/>
  <c r="AE26" i="37"/>
  <c r="AC26" i="37"/>
  <c r="AB26" i="37"/>
  <c r="Z26" i="37"/>
  <c r="Y26" i="37"/>
  <c r="AI25" i="37"/>
  <c r="AH25" i="37"/>
  <c r="AG25" i="37"/>
  <c r="BQ25" i="37" s="1"/>
  <c r="AD25" i="37"/>
  <c r="BP25" i="37" s="1"/>
  <c r="AA25" i="37"/>
  <c r="BO25" i="37" s="1"/>
  <c r="AG22" i="37"/>
  <c r="BQ22" i="37" s="1"/>
  <c r="AD22" i="37"/>
  <c r="BP22" i="37" s="1"/>
  <c r="AA22" i="37"/>
  <c r="AI21" i="37"/>
  <c r="AH21" i="37"/>
  <c r="AG21" i="37"/>
  <c r="BQ21" i="37" s="1"/>
  <c r="AD21" i="37"/>
  <c r="BP21" i="37" s="1"/>
  <c r="AA21" i="37"/>
  <c r="BO21" i="37" s="1"/>
  <c r="AI20" i="37"/>
  <c r="AH20" i="37"/>
  <c r="AG20" i="37"/>
  <c r="BQ20" i="37" s="1"/>
  <c r="AD20" i="37"/>
  <c r="BP20" i="37" s="1"/>
  <c r="AA20" i="37"/>
  <c r="BO20" i="37" s="1"/>
  <c r="AG19" i="37"/>
  <c r="BQ19" i="37" s="1"/>
  <c r="AD19" i="37"/>
  <c r="BP19" i="37" s="1"/>
  <c r="AA19" i="37"/>
  <c r="AF18" i="37"/>
  <c r="AE18" i="37"/>
  <c r="AC18" i="37"/>
  <c r="AB18" i="37"/>
  <c r="Z18" i="37"/>
  <c r="Y18" i="37"/>
  <c r="V401" i="37"/>
  <c r="V397" i="37" s="1"/>
  <c r="W401" i="37"/>
  <c r="W397" i="37" s="1"/>
  <c r="V382" i="37"/>
  <c r="W382" i="37"/>
  <c r="V384" i="37"/>
  <c r="W384" i="37"/>
  <c r="V386" i="37"/>
  <c r="W386" i="37"/>
  <c r="V387" i="37"/>
  <c r="W387" i="37"/>
  <c r="V374" i="37"/>
  <c r="W374" i="37"/>
  <c r="V375" i="37"/>
  <c r="W375" i="37"/>
  <c r="V376" i="37"/>
  <c r="W376" i="37"/>
  <c r="V377" i="37"/>
  <c r="W377" i="37"/>
  <c r="V378" i="37"/>
  <c r="W378" i="37"/>
  <c r="W370" i="37"/>
  <c r="V370" i="37"/>
  <c r="V360" i="37"/>
  <c r="W360" i="37"/>
  <c r="V361" i="37"/>
  <c r="W361" i="37"/>
  <c r="V362" i="37"/>
  <c r="W362" i="37"/>
  <c r="V363" i="37"/>
  <c r="W363" i="37"/>
  <c r="V364" i="37"/>
  <c r="W364" i="37"/>
  <c r="V365" i="37"/>
  <c r="W365" i="37"/>
  <c r="V366" i="37"/>
  <c r="W366" i="37"/>
  <c r="V367" i="37"/>
  <c r="W367" i="37"/>
  <c r="V368" i="37"/>
  <c r="W368" i="37"/>
  <c r="V315" i="37"/>
  <c r="W315" i="37"/>
  <c r="V318" i="37"/>
  <c r="W318" i="37"/>
  <c r="V295" i="37"/>
  <c r="W295" i="37"/>
  <c r="V308" i="37"/>
  <c r="W308" i="37"/>
  <c r="V309" i="37"/>
  <c r="W309" i="37"/>
  <c r="V310" i="37"/>
  <c r="W310" i="37"/>
  <c r="V311" i="37"/>
  <c r="W311" i="37"/>
  <c r="V312" i="37"/>
  <c r="W312" i="37"/>
  <c r="W294" i="37"/>
  <c r="V294" i="37"/>
  <c r="V289" i="37"/>
  <c r="W289" i="37"/>
  <c r="V290" i="37"/>
  <c r="W290" i="37"/>
  <c r="V291" i="37"/>
  <c r="W291" i="37"/>
  <c r="W288" i="37"/>
  <c r="V288" i="37"/>
  <c r="V268" i="37"/>
  <c r="W268" i="37"/>
  <c r="V263" i="37"/>
  <c r="W263" i="37"/>
  <c r="V264" i="37"/>
  <c r="W264" i="37"/>
  <c r="V265" i="37"/>
  <c r="W265" i="37"/>
  <c r="W262" i="37"/>
  <c r="V262" i="37"/>
  <c r="V209" i="37"/>
  <c r="W209" i="37"/>
  <c r="V210" i="37"/>
  <c r="W210" i="37"/>
  <c r="V211" i="37"/>
  <c r="W211" i="37"/>
  <c r="V212" i="37"/>
  <c r="W212" i="37"/>
  <c r="V213" i="37"/>
  <c r="W213" i="37"/>
  <c r="X208" i="37"/>
  <c r="BN208" i="37" s="1"/>
  <c r="V189" i="37"/>
  <c r="V164" i="37"/>
  <c r="W164" i="37"/>
  <c r="W162" i="37"/>
  <c r="V162" i="37"/>
  <c r="W150" i="37"/>
  <c r="V150" i="37"/>
  <c r="V147" i="37"/>
  <c r="W147" i="37"/>
  <c r="W146" i="37"/>
  <c r="V146" i="37"/>
  <c r="V137" i="37"/>
  <c r="W137" i="37"/>
  <c r="W136" i="37"/>
  <c r="V136" i="37"/>
  <c r="V129" i="37"/>
  <c r="X129" i="37" s="1"/>
  <c r="BN129" i="37" s="1"/>
  <c r="V125" i="37"/>
  <c r="W125" i="37"/>
  <c r="W124" i="37"/>
  <c r="V124" i="37"/>
  <c r="V118" i="37"/>
  <c r="W118" i="37"/>
  <c r="V120" i="37"/>
  <c r="W120" i="37"/>
  <c r="V122" i="37"/>
  <c r="W122" i="37"/>
  <c r="V115" i="37"/>
  <c r="W115" i="37"/>
  <c r="W113" i="37"/>
  <c r="V113" i="37"/>
  <c r="V109" i="37"/>
  <c r="W109" i="37"/>
  <c r="V110" i="37"/>
  <c r="W110" i="37"/>
  <c r="V111" i="37"/>
  <c r="W111" i="37"/>
  <c r="V105" i="37"/>
  <c r="W105" i="37"/>
  <c r="W103" i="37"/>
  <c r="V103" i="37"/>
  <c r="V95" i="37"/>
  <c r="W95" i="37"/>
  <c r="V97" i="37"/>
  <c r="W97" i="37"/>
  <c r="V90" i="37"/>
  <c r="W90" i="37"/>
  <c r="W87" i="37"/>
  <c r="V87" i="37"/>
  <c r="V82" i="37"/>
  <c r="W82" i="37"/>
  <c r="V84" i="37"/>
  <c r="W84" i="37"/>
  <c r="V85" i="37"/>
  <c r="W85" i="37"/>
  <c r="W73" i="37"/>
  <c r="V69" i="37"/>
  <c r="W69" i="37"/>
  <c r="V71" i="37"/>
  <c r="W71" i="37"/>
  <c r="W63" i="37"/>
  <c r="V63" i="37"/>
  <c r="V49" i="37"/>
  <c r="W49" i="37"/>
  <c r="V51" i="37"/>
  <c r="W51" i="37"/>
  <c r="V59" i="37"/>
  <c r="V56" i="37" s="1"/>
  <c r="W59" i="37"/>
  <c r="W56" i="37" s="1"/>
  <c r="W43" i="37"/>
  <c r="V43" i="37"/>
  <c r="W40" i="37"/>
  <c r="V40" i="37"/>
  <c r="V37" i="37"/>
  <c r="W37" i="37"/>
  <c r="V38" i="37"/>
  <c r="W38" i="37"/>
  <c r="W29" i="37"/>
  <c r="W26" i="37" s="1"/>
  <c r="V29" i="37"/>
  <c r="V26" i="37" s="1"/>
  <c r="V20" i="37"/>
  <c r="W20" i="37"/>
  <c r="V21" i="37"/>
  <c r="W21" i="37"/>
  <c r="U401" i="37"/>
  <c r="BM401" i="37" s="1"/>
  <c r="U399" i="37"/>
  <c r="BM399" i="37" s="1"/>
  <c r="U398" i="37"/>
  <c r="U387" i="37"/>
  <c r="BM387" i="37" s="1"/>
  <c r="U386" i="37"/>
  <c r="BM386" i="37" s="1"/>
  <c r="U385" i="37"/>
  <c r="BM385" i="37" s="1"/>
  <c r="U384" i="37"/>
  <c r="U382" i="37"/>
  <c r="BM382" i="37" s="1"/>
  <c r="U381" i="37"/>
  <c r="BM381" i="37" s="1"/>
  <c r="U378" i="37"/>
  <c r="BM378" i="37" s="1"/>
  <c r="U377" i="37"/>
  <c r="BM377" i="37" s="1"/>
  <c r="U376" i="37"/>
  <c r="BM376" i="37" s="1"/>
  <c r="U375" i="37"/>
  <c r="BM375" i="37" s="1"/>
  <c r="U374" i="37"/>
  <c r="BM374" i="37" s="1"/>
  <c r="U370" i="37"/>
  <c r="BM370" i="37" s="1"/>
  <c r="T369" i="37"/>
  <c r="S369" i="37"/>
  <c r="U368" i="37"/>
  <c r="BM368" i="37" s="1"/>
  <c r="U367" i="37"/>
  <c r="BM367" i="37" s="1"/>
  <c r="U366" i="37"/>
  <c r="BM366" i="37" s="1"/>
  <c r="U365" i="37"/>
  <c r="BM365" i="37" s="1"/>
  <c r="U364" i="37"/>
  <c r="BM364" i="37" s="1"/>
  <c r="U363" i="37"/>
  <c r="BM363" i="37" s="1"/>
  <c r="U362" i="37"/>
  <c r="BM362" i="37" s="1"/>
  <c r="U360" i="37"/>
  <c r="BM360" i="37" s="1"/>
  <c r="U318" i="37"/>
  <c r="BM318" i="37" s="1"/>
  <c r="U315" i="37"/>
  <c r="BM315" i="37" s="1"/>
  <c r="U314" i="37"/>
  <c r="BM314" i="37" s="1"/>
  <c r="T313" i="37"/>
  <c r="S313" i="37"/>
  <c r="U312" i="37"/>
  <c r="BM312" i="37" s="1"/>
  <c r="U311" i="37"/>
  <c r="BM311" i="37" s="1"/>
  <c r="U310" i="37"/>
  <c r="BM310" i="37" s="1"/>
  <c r="U309" i="37"/>
  <c r="BM309" i="37" s="1"/>
  <c r="U308" i="37"/>
  <c r="BM308" i="37" s="1"/>
  <c r="U296" i="37"/>
  <c r="BM296" i="37" s="1"/>
  <c r="U295" i="37"/>
  <c r="BM295" i="37" s="1"/>
  <c r="U294" i="37"/>
  <c r="BM294" i="37" s="1"/>
  <c r="U291" i="37"/>
  <c r="BM291" i="37" s="1"/>
  <c r="U290" i="37"/>
  <c r="BM290" i="37" s="1"/>
  <c r="U289" i="37"/>
  <c r="BM289" i="37" s="1"/>
  <c r="U288" i="37"/>
  <c r="BM288" i="37" s="1"/>
  <c r="S287" i="37"/>
  <c r="U286" i="37"/>
  <c r="BM286" i="37" s="1"/>
  <c r="U276" i="37"/>
  <c r="BM276" i="37" s="1"/>
  <c r="U273" i="37"/>
  <c r="BM273" i="37" s="1"/>
  <c r="U272" i="37"/>
  <c r="BM272" i="37" s="1"/>
  <c r="U271" i="37"/>
  <c r="BM271" i="37" s="1"/>
  <c r="U270" i="37"/>
  <c r="BM270" i="37" s="1"/>
  <c r="U269" i="37"/>
  <c r="BM269" i="37" s="1"/>
  <c r="U268" i="37"/>
  <c r="BM268" i="37" s="1"/>
  <c r="U265" i="37"/>
  <c r="BM265" i="37" s="1"/>
  <c r="U264" i="37"/>
  <c r="BM264" i="37" s="1"/>
  <c r="U263" i="37"/>
  <c r="BM263" i="37" s="1"/>
  <c r="U262" i="37"/>
  <c r="BM262" i="37" s="1"/>
  <c r="T261" i="37"/>
  <c r="S261" i="37"/>
  <c r="U260" i="37"/>
  <c r="BM260" i="37" s="1"/>
  <c r="U259" i="37"/>
  <c r="BM259" i="37" s="1"/>
  <c r="U255" i="37"/>
  <c r="BM255" i="37" s="1"/>
  <c r="U254" i="37"/>
  <c r="BM254" i="37" s="1"/>
  <c r="U253" i="37"/>
  <c r="BM253" i="37" s="1"/>
  <c r="U252" i="37"/>
  <c r="BM252" i="37" s="1"/>
  <c r="U248" i="37"/>
  <c r="BM248" i="37" s="1"/>
  <c r="U246" i="37"/>
  <c r="BM246" i="37" s="1"/>
  <c r="U245" i="37"/>
  <c r="BM245" i="37" s="1"/>
  <c r="U244" i="37"/>
  <c r="T243" i="37"/>
  <c r="S243" i="37"/>
  <c r="U241" i="37"/>
  <c r="BM241" i="37" s="1"/>
  <c r="U240" i="37"/>
  <c r="BM240" i="37" s="1"/>
  <c r="U239" i="37"/>
  <c r="BM239" i="37" s="1"/>
  <c r="U238" i="37"/>
  <c r="BM238" i="37" s="1"/>
  <c r="U237" i="37"/>
  <c r="BM237" i="37" s="1"/>
  <c r="T236" i="37"/>
  <c r="S236" i="37"/>
  <c r="U235" i="37"/>
  <c r="BM235" i="37" s="1"/>
  <c r="U234" i="37"/>
  <c r="BM234" i="37" s="1"/>
  <c r="U233" i="37"/>
  <c r="BM233" i="37" s="1"/>
  <c r="U232" i="37"/>
  <c r="BM232" i="37" s="1"/>
  <c r="U231" i="37"/>
  <c r="BM231" i="37" s="1"/>
  <c r="U230" i="37"/>
  <c r="BM230" i="37" s="1"/>
  <c r="U229" i="37"/>
  <c r="BM229" i="37" s="1"/>
  <c r="U227" i="37"/>
  <c r="BM227" i="37" s="1"/>
  <c r="U225" i="37"/>
  <c r="BM225" i="37" s="1"/>
  <c r="U216" i="37"/>
  <c r="BM216" i="37" s="1"/>
  <c r="U213" i="37"/>
  <c r="BM213" i="37" s="1"/>
  <c r="U212" i="37"/>
  <c r="BM212" i="37" s="1"/>
  <c r="U211" i="37"/>
  <c r="BM211" i="37" s="1"/>
  <c r="U210" i="37"/>
  <c r="BM210" i="37" s="1"/>
  <c r="U209" i="37"/>
  <c r="BM209" i="37" s="1"/>
  <c r="U208" i="37"/>
  <c r="BM208" i="37" s="1"/>
  <c r="T207" i="37"/>
  <c r="S207" i="37"/>
  <c r="U206" i="37"/>
  <c r="BM206" i="37" s="1"/>
  <c r="U205" i="37"/>
  <c r="BM205" i="37" s="1"/>
  <c r="U204" i="37"/>
  <c r="BM204" i="37" s="1"/>
  <c r="U203" i="37"/>
  <c r="BM203" i="37" s="1"/>
  <c r="U202" i="37"/>
  <c r="BM202" i="37" s="1"/>
  <c r="U201" i="37"/>
  <c r="BM201" i="37" s="1"/>
  <c r="U197" i="37"/>
  <c r="U195" i="37"/>
  <c r="U192" i="37"/>
  <c r="BM192" i="37" s="1"/>
  <c r="U189" i="37"/>
  <c r="BM189" i="37" s="1"/>
  <c r="U186" i="37"/>
  <c r="BM186" i="37" s="1"/>
  <c r="T185" i="37"/>
  <c r="S185" i="37"/>
  <c r="U181" i="37"/>
  <c r="BM181" i="37" s="1"/>
  <c r="U180" i="37"/>
  <c r="BM180" i="37" s="1"/>
  <c r="U179" i="37"/>
  <c r="BM179" i="37" s="1"/>
  <c r="U178" i="37"/>
  <c r="BM178" i="37" s="1"/>
  <c r="U177" i="37"/>
  <c r="BM177" i="37" s="1"/>
  <c r="U175" i="37"/>
  <c r="BM175" i="37" s="1"/>
  <c r="U173" i="37"/>
  <c r="BM173" i="37" s="1"/>
  <c r="U172" i="37"/>
  <c r="BM172" i="37" s="1"/>
  <c r="U171" i="37"/>
  <c r="BM171" i="37" s="1"/>
  <c r="U168" i="37"/>
  <c r="BM168" i="37" s="1"/>
  <c r="U167" i="37"/>
  <c r="U164" i="37"/>
  <c r="BM164" i="37" s="1"/>
  <c r="U162" i="37"/>
  <c r="BM162" i="37" s="1"/>
  <c r="T161" i="37"/>
  <c r="S161" i="37"/>
  <c r="U160" i="37"/>
  <c r="BM160" i="37" s="1"/>
  <c r="U152" i="37"/>
  <c r="BM152" i="37" s="1"/>
  <c r="U151" i="37"/>
  <c r="BM151" i="37" s="1"/>
  <c r="U150" i="37"/>
  <c r="BM150" i="37" s="1"/>
  <c r="U147" i="37"/>
  <c r="BM147" i="37" s="1"/>
  <c r="U146" i="37"/>
  <c r="BM146" i="37" s="1"/>
  <c r="T145" i="37"/>
  <c r="S145" i="37"/>
  <c r="U144" i="37"/>
  <c r="BM144" i="37" s="1"/>
  <c r="U142" i="37"/>
  <c r="BM142" i="37" s="1"/>
  <c r="U141" i="37"/>
  <c r="BM141" i="37" s="1"/>
  <c r="U140" i="37"/>
  <c r="BM140" i="37" s="1"/>
  <c r="T139" i="37"/>
  <c r="U137" i="37"/>
  <c r="BM137" i="37" s="1"/>
  <c r="U136" i="37"/>
  <c r="BM136" i="37" s="1"/>
  <c r="T135" i="37"/>
  <c r="S135" i="37"/>
  <c r="U134" i="37"/>
  <c r="BM134" i="37" s="1"/>
  <c r="U133" i="37"/>
  <c r="BM133" i="37" s="1"/>
  <c r="U129" i="37"/>
  <c r="BM129" i="37" s="1"/>
  <c r="U128" i="37"/>
  <c r="BM128" i="37" s="1"/>
  <c r="T127" i="37"/>
  <c r="S127" i="37"/>
  <c r="U125" i="37"/>
  <c r="BM125" i="37" s="1"/>
  <c r="U124" i="37"/>
  <c r="BM124" i="37" s="1"/>
  <c r="T123" i="37"/>
  <c r="S123" i="37"/>
  <c r="U122" i="37"/>
  <c r="BM122" i="37" s="1"/>
  <c r="U120" i="37"/>
  <c r="BM120" i="37" s="1"/>
  <c r="U119" i="37"/>
  <c r="BM119" i="37" s="1"/>
  <c r="U118" i="37"/>
  <c r="BM118" i="37" s="1"/>
  <c r="U115" i="37"/>
  <c r="BM115" i="37" s="1"/>
  <c r="U113" i="37"/>
  <c r="BM113" i="37" s="1"/>
  <c r="T112" i="37"/>
  <c r="S112" i="37"/>
  <c r="U111" i="37"/>
  <c r="BM111" i="37" s="1"/>
  <c r="U110" i="37"/>
  <c r="BM110" i="37" s="1"/>
  <c r="U109" i="37"/>
  <c r="BM109" i="37" s="1"/>
  <c r="U108" i="37"/>
  <c r="BM108" i="37" s="1"/>
  <c r="T107" i="37"/>
  <c r="S107" i="37"/>
  <c r="U105" i="37"/>
  <c r="BM105" i="37" s="1"/>
  <c r="U103" i="37"/>
  <c r="BM103" i="37" s="1"/>
  <c r="T102" i="37"/>
  <c r="S102" i="37"/>
  <c r="U97" i="37"/>
  <c r="BM97" i="37" s="1"/>
  <c r="U95" i="37"/>
  <c r="BM95" i="37" s="1"/>
  <c r="U94" i="37"/>
  <c r="BM94" i="37" s="1"/>
  <c r="U93" i="37"/>
  <c r="U90" i="37"/>
  <c r="BM90" i="37" s="1"/>
  <c r="U87" i="37"/>
  <c r="BM87" i="37" s="1"/>
  <c r="T86" i="37"/>
  <c r="S86" i="37"/>
  <c r="U85" i="37"/>
  <c r="BM85" i="37" s="1"/>
  <c r="U84" i="37"/>
  <c r="BM84" i="37" s="1"/>
  <c r="U83" i="37"/>
  <c r="BM83" i="37" s="1"/>
  <c r="U82" i="37"/>
  <c r="BM82" i="37" s="1"/>
  <c r="U78" i="37"/>
  <c r="BM78" i="37" s="1"/>
  <c r="U75" i="37"/>
  <c r="T72" i="37"/>
  <c r="U71" i="37"/>
  <c r="BM71" i="37" s="1"/>
  <c r="U69" i="37"/>
  <c r="BM69" i="37" s="1"/>
  <c r="U66" i="37"/>
  <c r="BM66" i="37" s="1"/>
  <c r="U63" i="37"/>
  <c r="BM63" i="37" s="1"/>
  <c r="T62" i="37"/>
  <c r="S62" i="37"/>
  <c r="U59" i="37"/>
  <c r="BM59" i="37" s="1"/>
  <c r="U57" i="37"/>
  <c r="BM57" i="37" s="1"/>
  <c r="U51" i="37"/>
  <c r="BM51" i="37" s="1"/>
  <c r="U49" i="37"/>
  <c r="BM49" i="37" s="1"/>
  <c r="U48" i="37"/>
  <c r="BM48" i="37" s="1"/>
  <c r="U46" i="37"/>
  <c r="T44" i="37"/>
  <c r="S44" i="37"/>
  <c r="U43" i="37"/>
  <c r="BM43" i="37" s="1"/>
  <c r="U40" i="37"/>
  <c r="BM40" i="37" s="1"/>
  <c r="T39" i="37"/>
  <c r="T30" i="37" s="1"/>
  <c r="S39" i="37"/>
  <c r="S30" i="37" s="1"/>
  <c r="U38" i="37"/>
  <c r="BM38" i="37" s="1"/>
  <c r="U37" i="37"/>
  <c r="BM37" i="37" s="1"/>
  <c r="U33" i="37"/>
  <c r="BM33" i="37" s="1"/>
  <c r="U32" i="37"/>
  <c r="BM32" i="37" s="1"/>
  <c r="U29" i="37"/>
  <c r="BM29" i="37" s="1"/>
  <c r="U27" i="37"/>
  <c r="BM27" i="37" s="1"/>
  <c r="U19" i="37"/>
  <c r="BM19" i="37" s="1"/>
  <c r="T18" i="37"/>
  <c r="T17" i="37" s="1"/>
  <c r="S18" i="37"/>
  <c r="S17" i="37" s="1"/>
  <c r="R401" i="37"/>
  <c r="BL401" i="37" s="1"/>
  <c r="R399" i="37"/>
  <c r="BL399" i="37" s="1"/>
  <c r="R398" i="37"/>
  <c r="R387" i="37"/>
  <c r="BL387" i="37" s="1"/>
  <c r="R386" i="37"/>
  <c r="BL386" i="37" s="1"/>
  <c r="R385" i="37"/>
  <c r="BL385" i="37" s="1"/>
  <c r="R384" i="37"/>
  <c r="BL384" i="37" s="1"/>
  <c r="R382" i="37"/>
  <c r="BL382" i="37" s="1"/>
  <c r="R381" i="37"/>
  <c r="R378" i="37"/>
  <c r="BL378" i="37" s="1"/>
  <c r="R377" i="37"/>
  <c r="BL377" i="37" s="1"/>
  <c r="R376" i="37"/>
  <c r="BL376" i="37" s="1"/>
  <c r="R375" i="37"/>
  <c r="BL375" i="37" s="1"/>
  <c r="R374" i="37"/>
  <c r="BL374" i="37" s="1"/>
  <c r="R370" i="37"/>
  <c r="BL370" i="37" s="1"/>
  <c r="Q369" i="37"/>
  <c r="P369" i="37"/>
  <c r="R368" i="37"/>
  <c r="BL368" i="37" s="1"/>
  <c r="R367" i="37"/>
  <c r="BL367" i="37" s="1"/>
  <c r="R366" i="37"/>
  <c r="BL366" i="37" s="1"/>
  <c r="R365" i="37"/>
  <c r="BL365" i="37" s="1"/>
  <c r="R364" i="37"/>
  <c r="BL364" i="37" s="1"/>
  <c r="R363" i="37"/>
  <c r="BL363" i="37" s="1"/>
  <c r="R362" i="37"/>
  <c r="BL362" i="37" s="1"/>
  <c r="R361" i="37"/>
  <c r="BL361" i="37" s="1"/>
  <c r="R360" i="37"/>
  <c r="BL360" i="37" s="1"/>
  <c r="R318" i="37"/>
  <c r="BL318" i="37" s="1"/>
  <c r="R315" i="37"/>
  <c r="BL315" i="37" s="1"/>
  <c r="R314" i="37"/>
  <c r="BL314" i="37" s="1"/>
  <c r="Q313" i="37"/>
  <c r="P313" i="37"/>
  <c r="R312" i="37"/>
  <c r="BL312" i="37" s="1"/>
  <c r="R311" i="37"/>
  <c r="BL311" i="37" s="1"/>
  <c r="R310" i="37"/>
  <c r="BL310" i="37" s="1"/>
  <c r="R309" i="37"/>
  <c r="BL309" i="37" s="1"/>
  <c r="R308" i="37"/>
  <c r="BL308" i="37" s="1"/>
  <c r="R296" i="37"/>
  <c r="BL296" i="37" s="1"/>
  <c r="R295" i="37"/>
  <c r="BL295" i="37" s="1"/>
  <c r="R294" i="37"/>
  <c r="BL294" i="37" s="1"/>
  <c r="R291" i="37"/>
  <c r="BL291" i="37" s="1"/>
  <c r="R290" i="37"/>
  <c r="BL290" i="37" s="1"/>
  <c r="R289" i="37"/>
  <c r="BL289" i="37" s="1"/>
  <c r="Q287" i="37"/>
  <c r="P287" i="37"/>
  <c r="R286" i="37"/>
  <c r="BL286" i="37" s="1"/>
  <c r="R276" i="37"/>
  <c r="BL276" i="37" s="1"/>
  <c r="R273" i="37"/>
  <c r="BL273" i="37" s="1"/>
  <c r="R272" i="37"/>
  <c r="BL272" i="37" s="1"/>
  <c r="R271" i="37"/>
  <c r="BL271" i="37" s="1"/>
  <c r="R270" i="37"/>
  <c r="BL270" i="37" s="1"/>
  <c r="R269" i="37"/>
  <c r="BL269" i="37" s="1"/>
  <c r="R268" i="37"/>
  <c r="BL268" i="37" s="1"/>
  <c r="R265" i="37"/>
  <c r="BL265" i="37" s="1"/>
  <c r="R264" i="37"/>
  <c r="BL264" i="37" s="1"/>
  <c r="R263" i="37"/>
  <c r="BL263" i="37" s="1"/>
  <c r="R262" i="37"/>
  <c r="BL262" i="37" s="1"/>
  <c r="Q261" i="37"/>
  <c r="P261" i="37"/>
  <c r="R260" i="37"/>
  <c r="BL260" i="37" s="1"/>
  <c r="R259" i="37"/>
  <c r="BL259" i="37" s="1"/>
  <c r="R255" i="37"/>
  <c r="BL255" i="37" s="1"/>
  <c r="R254" i="37"/>
  <c r="BL254" i="37" s="1"/>
  <c r="R253" i="37"/>
  <c r="BL253" i="37" s="1"/>
  <c r="R252" i="37"/>
  <c r="BL252" i="37" s="1"/>
  <c r="R248" i="37"/>
  <c r="BL248" i="37" s="1"/>
  <c r="R246" i="37"/>
  <c r="BL246" i="37" s="1"/>
  <c r="R245" i="37"/>
  <c r="BL245" i="37" s="1"/>
  <c r="R244" i="37"/>
  <c r="BL244" i="37" s="1"/>
  <c r="Q243" i="37"/>
  <c r="P243" i="37"/>
  <c r="R241" i="37"/>
  <c r="BL241" i="37" s="1"/>
  <c r="R240" i="37"/>
  <c r="BL240" i="37" s="1"/>
  <c r="R239" i="37"/>
  <c r="BL239" i="37" s="1"/>
  <c r="R238" i="37"/>
  <c r="BL238" i="37" s="1"/>
  <c r="R237" i="37"/>
  <c r="BL237" i="37" s="1"/>
  <c r="Q236" i="37"/>
  <c r="P236" i="37"/>
  <c r="R235" i="37"/>
  <c r="BL235" i="37" s="1"/>
  <c r="R234" i="37"/>
  <c r="BL234" i="37" s="1"/>
  <c r="R233" i="37"/>
  <c r="BL233" i="37" s="1"/>
  <c r="R232" i="37"/>
  <c r="BL232" i="37" s="1"/>
  <c r="R231" i="37"/>
  <c r="BL231" i="37" s="1"/>
  <c r="R230" i="37"/>
  <c r="BL230" i="37" s="1"/>
  <c r="R229" i="37"/>
  <c r="BL229" i="37" s="1"/>
  <c r="R227" i="37"/>
  <c r="R225" i="37"/>
  <c r="BL225" i="37" s="1"/>
  <c r="R216" i="37"/>
  <c r="BL216" i="37" s="1"/>
  <c r="R213" i="37"/>
  <c r="BL213" i="37" s="1"/>
  <c r="R212" i="37"/>
  <c r="BL212" i="37" s="1"/>
  <c r="R211" i="37"/>
  <c r="BL211" i="37" s="1"/>
  <c r="R210" i="37"/>
  <c r="BL210" i="37" s="1"/>
  <c r="R209" i="37"/>
  <c r="BL209" i="37" s="1"/>
  <c r="R208" i="37"/>
  <c r="R206" i="37"/>
  <c r="BL206" i="37" s="1"/>
  <c r="R205" i="37"/>
  <c r="BL205" i="37" s="1"/>
  <c r="R204" i="37"/>
  <c r="BL204" i="37" s="1"/>
  <c r="R203" i="37"/>
  <c r="BL203" i="37" s="1"/>
  <c r="R202" i="37"/>
  <c r="BL202" i="37" s="1"/>
  <c r="R201" i="37"/>
  <c r="BL201" i="37" s="1"/>
  <c r="R197" i="37"/>
  <c r="BL197" i="37" s="1"/>
  <c r="R195" i="37"/>
  <c r="BL195" i="37" s="1"/>
  <c r="R192" i="37"/>
  <c r="BL192" i="37" s="1"/>
  <c r="R189" i="37"/>
  <c r="BL189" i="37" s="1"/>
  <c r="R186" i="37"/>
  <c r="BL186" i="37" s="1"/>
  <c r="Q185" i="37"/>
  <c r="P185" i="37"/>
  <c r="R181" i="37"/>
  <c r="BL181" i="37" s="1"/>
  <c r="R180" i="37"/>
  <c r="BL180" i="37" s="1"/>
  <c r="R179" i="37"/>
  <c r="BL179" i="37" s="1"/>
  <c r="R178" i="37"/>
  <c r="BL178" i="37" s="1"/>
  <c r="R177" i="37"/>
  <c r="BL177" i="37" s="1"/>
  <c r="R175" i="37"/>
  <c r="BL175" i="37" s="1"/>
  <c r="R173" i="37"/>
  <c r="BL173" i="37" s="1"/>
  <c r="R172" i="37"/>
  <c r="BL172" i="37" s="1"/>
  <c r="R171" i="37"/>
  <c r="BL171" i="37" s="1"/>
  <c r="R168" i="37"/>
  <c r="BL168" i="37" s="1"/>
  <c r="R167" i="37"/>
  <c r="R164" i="37"/>
  <c r="BL164" i="37" s="1"/>
  <c r="R162" i="37"/>
  <c r="BL162" i="37" s="1"/>
  <c r="Q161" i="37"/>
  <c r="P161" i="37"/>
  <c r="R160" i="37"/>
  <c r="BL160" i="37" s="1"/>
  <c r="R152" i="37"/>
  <c r="BL152" i="37" s="1"/>
  <c r="R151" i="37"/>
  <c r="BL151" i="37" s="1"/>
  <c r="R150" i="37"/>
  <c r="BL150" i="37" s="1"/>
  <c r="R147" i="37"/>
  <c r="BL147" i="37" s="1"/>
  <c r="R146" i="37"/>
  <c r="BL146" i="37" s="1"/>
  <c r="Q145" i="37"/>
  <c r="P145" i="37"/>
  <c r="R144" i="37"/>
  <c r="BL144" i="37" s="1"/>
  <c r="R142" i="37"/>
  <c r="BL142" i="37" s="1"/>
  <c r="R141" i="37"/>
  <c r="BL141" i="37" s="1"/>
  <c r="R140" i="37"/>
  <c r="BL140" i="37" s="1"/>
  <c r="Q139" i="37"/>
  <c r="P139" i="37"/>
  <c r="R137" i="37"/>
  <c r="BL137" i="37" s="1"/>
  <c r="R136" i="37"/>
  <c r="BL136" i="37" s="1"/>
  <c r="Q135" i="37"/>
  <c r="P135" i="37"/>
  <c r="R134" i="37"/>
  <c r="BL134" i="37" s="1"/>
  <c r="R133" i="37"/>
  <c r="BL133" i="37" s="1"/>
  <c r="R129" i="37"/>
  <c r="BL129" i="37" s="1"/>
  <c r="R128" i="37"/>
  <c r="BL128" i="37" s="1"/>
  <c r="Q127" i="37"/>
  <c r="P127" i="37"/>
  <c r="R125" i="37"/>
  <c r="BL125" i="37" s="1"/>
  <c r="R124" i="37"/>
  <c r="BL124" i="37" s="1"/>
  <c r="Q123" i="37"/>
  <c r="P123" i="37"/>
  <c r="R122" i="37"/>
  <c r="BL122" i="37" s="1"/>
  <c r="R120" i="37"/>
  <c r="BL120" i="37" s="1"/>
  <c r="R119" i="37"/>
  <c r="BL119" i="37" s="1"/>
  <c r="R118" i="37"/>
  <c r="BL118" i="37" s="1"/>
  <c r="R115" i="37"/>
  <c r="BL115" i="37" s="1"/>
  <c r="R113" i="37"/>
  <c r="BL113" i="37" s="1"/>
  <c r="Q112" i="37"/>
  <c r="P112" i="37"/>
  <c r="R111" i="37"/>
  <c r="BL111" i="37" s="1"/>
  <c r="R110" i="37"/>
  <c r="BL110" i="37" s="1"/>
  <c r="R109" i="37"/>
  <c r="BL109" i="37" s="1"/>
  <c r="R108" i="37"/>
  <c r="BL108" i="37" s="1"/>
  <c r="Q107" i="37"/>
  <c r="P107" i="37"/>
  <c r="R105" i="37"/>
  <c r="BL105" i="37" s="1"/>
  <c r="R103" i="37"/>
  <c r="BL103" i="37" s="1"/>
  <c r="Q102" i="37"/>
  <c r="P102" i="37"/>
  <c r="R97" i="37"/>
  <c r="BL97" i="37" s="1"/>
  <c r="R95" i="37"/>
  <c r="BL95" i="37" s="1"/>
  <c r="R94" i="37"/>
  <c r="BL94" i="37" s="1"/>
  <c r="R93" i="37"/>
  <c r="R90" i="37"/>
  <c r="BL90" i="37" s="1"/>
  <c r="R87" i="37"/>
  <c r="BL87" i="37" s="1"/>
  <c r="Q86" i="37"/>
  <c r="P86" i="37"/>
  <c r="R85" i="37"/>
  <c r="BL85" i="37" s="1"/>
  <c r="R84" i="37"/>
  <c r="BL84" i="37" s="1"/>
  <c r="R83" i="37"/>
  <c r="BL83" i="37" s="1"/>
  <c r="R82" i="37"/>
  <c r="BL82" i="37" s="1"/>
  <c r="R78" i="37"/>
  <c r="BL78" i="37" s="1"/>
  <c r="R75" i="37"/>
  <c r="BL75" i="37" s="1"/>
  <c r="R73" i="37"/>
  <c r="BL73" i="37" s="1"/>
  <c r="Q72" i="37"/>
  <c r="P72" i="37"/>
  <c r="R71" i="37"/>
  <c r="BL71" i="37" s="1"/>
  <c r="R69" i="37"/>
  <c r="BL69" i="37" s="1"/>
  <c r="R66" i="37"/>
  <c r="BL66" i="37" s="1"/>
  <c r="R63" i="37"/>
  <c r="BL63" i="37" s="1"/>
  <c r="Q62" i="37"/>
  <c r="P62" i="37"/>
  <c r="R59" i="37"/>
  <c r="BL59" i="37" s="1"/>
  <c r="R57" i="37"/>
  <c r="BL57" i="37" s="1"/>
  <c r="R51" i="37"/>
  <c r="BL51" i="37" s="1"/>
  <c r="R49" i="37"/>
  <c r="BL49" i="37" s="1"/>
  <c r="R48" i="37"/>
  <c r="R46" i="37"/>
  <c r="Q44" i="37"/>
  <c r="P44" i="37"/>
  <c r="R43" i="37"/>
  <c r="BL43" i="37" s="1"/>
  <c r="R40" i="37"/>
  <c r="BL40" i="37" s="1"/>
  <c r="Q39" i="37"/>
  <c r="Q30" i="37" s="1"/>
  <c r="P39" i="37"/>
  <c r="P30" i="37" s="1"/>
  <c r="R38" i="37"/>
  <c r="BL38" i="37" s="1"/>
  <c r="R37" i="37"/>
  <c r="BL37" i="37" s="1"/>
  <c r="R33" i="37"/>
  <c r="R32" i="37"/>
  <c r="BL32" i="37" s="1"/>
  <c r="R29" i="37"/>
  <c r="BL29" i="37" s="1"/>
  <c r="R27" i="37"/>
  <c r="BL27" i="37" s="1"/>
  <c r="R19" i="37"/>
  <c r="BL19" i="37" s="1"/>
  <c r="Q18" i="37"/>
  <c r="Q17" i="37" s="1"/>
  <c r="P18" i="37"/>
  <c r="P17" i="37" s="1"/>
  <c r="O401" i="37"/>
  <c r="BK401" i="37" s="1"/>
  <c r="O399" i="37"/>
  <c r="BK399" i="37" s="1"/>
  <c r="O398" i="37"/>
  <c r="O387" i="37"/>
  <c r="BK387" i="37" s="1"/>
  <c r="O386" i="37"/>
  <c r="BK386" i="37" s="1"/>
  <c r="O385" i="37"/>
  <c r="O384" i="37"/>
  <c r="O382" i="37"/>
  <c r="BK382" i="37" s="1"/>
  <c r="O378" i="37"/>
  <c r="BK378" i="37" s="1"/>
  <c r="O377" i="37"/>
  <c r="BK377" i="37" s="1"/>
  <c r="O376" i="37"/>
  <c r="BK376" i="37" s="1"/>
  <c r="O375" i="37"/>
  <c r="BK375" i="37" s="1"/>
  <c r="O374" i="37"/>
  <c r="BK374" i="37" s="1"/>
  <c r="O370" i="37"/>
  <c r="BK370" i="37" s="1"/>
  <c r="N369" i="37"/>
  <c r="M369" i="37"/>
  <c r="O368" i="37"/>
  <c r="BK368" i="37" s="1"/>
  <c r="O367" i="37"/>
  <c r="BK367" i="37" s="1"/>
  <c r="O366" i="37"/>
  <c r="BK366" i="37" s="1"/>
  <c r="O365" i="37"/>
  <c r="BK365" i="37" s="1"/>
  <c r="O364" i="37"/>
  <c r="BK364" i="37" s="1"/>
  <c r="O363" i="37"/>
  <c r="BK363" i="37" s="1"/>
  <c r="O361" i="37"/>
  <c r="BK361" i="37" s="1"/>
  <c r="O360" i="37"/>
  <c r="BK360" i="37" s="1"/>
  <c r="O318" i="37"/>
  <c r="BK318" i="37" s="1"/>
  <c r="O315" i="37"/>
  <c r="BK315" i="37" s="1"/>
  <c r="O314" i="37"/>
  <c r="N313" i="37"/>
  <c r="M313" i="37"/>
  <c r="O312" i="37"/>
  <c r="BK312" i="37" s="1"/>
  <c r="O311" i="37"/>
  <c r="BK311" i="37" s="1"/>
  <c r="O310" i="37"/>
  <c r="BK310" i="37" s="1"/>
  <c r="O309" i="37"/>
  <c r="BK309" i="37" s="1"/>
  <c r="O308" i="37"/>
  <c r="BK308" i="37" s="1"/>
  <c r="O296" i="37"/>
  <c r="O295" i="37"/>
  <c r="BK295" i="37" s="1"/>
  <c r="O294" i="37"/>
  <c r="BK294" i="37" s="1"/>
  <c r="O291" i="37"/>
  <c r="BK291" i="37" s="1"/>
  <c r="O290" i="37"/>
  <c r="BK290" i="37" s="1"/>
  <c r="O289" i="37"/>
  <c r="BK289" i="37" s="1"/>
  <c r="O288" i="37"/>
  <c r="BK288" i="37" s="1"/>
  <c r="M287" i="37"/>
  <c r="O286" i="37"/>
  <c r="BK286" i="37" s="1"/>
  <c r="O276" i="37"/>
  <c r="O273" i="37"/>
  <c r="O272" i="37"/>
  <c r="O271" i="37"/>
  <c r="O270" i="37"/>
  <c r="O269" i="37"/>
  <c r="O268" i="37"/>
  <c r="BK268" i="37" s="1"/>
  <c r="O265" i="37"/>
  <c r="BK265" i="37" s="1"/>
  <c r="O264" i="37"/>
  <c r="BK264" i="37" s="1"/>
  <c r="O263" i="37"/>
  <c r="BK263" i="37" s="1"/>
  <c r="O262" i="37"/>
  <c r="BK262" i="37" s="1"/>
  <c r="N261" i="37"/>
  <c r="M261" i="37"/>
  <c r="O260" i="37"/>
  <c r="BK260" i="37" s="1"/>
  <c r="O259" i="37"/>
  <c r="BK259" i="37" s="1"/>
  <c r="O255" i="37"/>
  <c r="BK255" i="37" s="1"/>
  <c r="O254" i="37"/>
  <c r="BK254" i="37" s="1"/>
  <c r="O253" i="37"/>
  <c r="O252" i="37"/>
  <c r="O248" i="37"/>
  <c r="O246" i="37"/>
  <c r="BK246" i="37" s="1"/>
  <c r="O245" i="37"/>
  <c r="BK245" i="37" s="1"/>
  <c r="O244" i="37"/>
  <c r="BK244" i="37" s="1"/>
  <c r="N243" i="37"/>
  <c r="M243" i="37"/>
  <c r="O241" i="37"/>
  <c r="BK241" i="37" s="1"/>
  <c r="O240" i="37"/>
  <c r="BK240" i="37" s="1"/>
  <c r="O239" i="37"/>
  <c r="BK239" i="37" s="1"/>
  <c r="O238" i="37"/>
  <c r="BK238" i="37" s="1"/>
  <c r="O237" i="37"/>
  <c r="N236" i="37"/>
  <c r="M236" i="37"/>
  <c r="O235" i="37"/>
  <c r="O234" i="37"/>
  <c r="O233" i="37"/>
  <c r="O232" i="37"/>
  <c r="O231" i="37"/>
  <c r="O230" i="37"/>
  <c r="O229" i="37"/>
  <c r="O227" i="37"/>
  <c r="BK227" i="37" s="1"/>
  <c r="O225" i="37"/>
  <c r="O216" i="37"/>
  <c r="O213" i="37"/>
  <c r="BK213" i="37" s="1"/>
  <c r="O212" i="37"/>
  <c r="BK212" i="37" s="1"/>
  <c r="O211" i="37"/>
  <c r="BK211" i="37" s="1"/>
  <c r="O210" i="37"/>
  <c r="BK210" i="37" s="1"/>
  <c r="O209" i="37"/>
  <c r="BK209" i="37" s="1"/>
  <c r="O208" i="37"/>
  <c r="O206" i="37"/>
  <c r="BK206" i="37" s="1"/>
  <c r="O205" i="37"/>
  <c r="O204" i="37"/>
  <c r="O203" i="37"/>
  <c r="O202" i="37"/>
  <c r="O201" i="37"/>
  <c r="O197" i="37"/>
  <c r="O195" i="37"/>
  <c r="O192" i="37"/>
  <c r="O189" i="37"/>
  <c r="BK189" i="37" s="1"/>
  <c r="O186" i="37"/>
  <c r="N185" i="37"/>
  <c r="M185" i="37"/>
  <c r="O181" i="37"/>
  <c r="O180" i="37"/>
  <c r="O179" i="37"/>
  <c r="O178" i="37"/>
  <c r="O177" i="37"/>
  <c r="O175" i="37"/>
  <c r="BK175" i="37" s="1"/>
  <c r="O173" i="37"/>
  <c r="BK173" i="37" s="1"/>
  <c r="O172" i="37"/>
  <c r="BK172" i="37" s="1"/>
  <c r="O171" i="37"/>
  <c r="BK171" i="37" s="1"/>
  <c r="O168" i="37"/>
  <c r="O167" i="37"/>
  <c r="O164" i="37"/>
  <c r="BK164" i="37" s="1"/>
  <c r="O162" i="37"/>
  <c r="BK162" i="37" s="1"/>
  <c r="N161" i="37"/>
  <c r="M161" i="37"/>
  <c r="O160" i="37"/>
  <c r="O152" i="37"/>
  <c r="O151" i="37"/>
  <c r="O150" i="37"/>
  <c r="BK150" i="37" s="1"/>
  <c r="O147" i="37"/>
  <c r="BK147" i="37" s="1"/>
  <c r="O146" i="37"/>
  <c r="BK146" i="37" s="1"/>
  <c r="N145" i="37"/>
  <c r="M145" i="37"/>
  <c r="O144" i="37"/>
  <c r="O142" i="37"/>
  <c r="BK142" i="37" s="1"/>
  <c r="O141" i="37"/>
  <c r="BK141" i="37" s="1"/>
  <c r="O140" i="37"/>
  <c r="BK140" i="37" s="1"/>
  <c r="N139" i="37"/>
  <c r="M139" i="37"/>
  <c r="O137" i="37"/>
  <c r="BK137" i="37" s="1"/>
  <c r="O136" i="37"/>
  <c r="BK136" i="37" s="1"/>
  <c r="N135" i="37"/>
  <c r="M135" i="37"/>
  <c r="O134" i="37"/>
  <c r="BK134" i="37" s="1"/>
  <c r="O133" i="37"/>
  <c r="BK133" i="37" s="1"/>
  <c r="O129" i="37"/>
  <c r="BK129" i="37" s="1"/>
  <c r="O128" i="37"/>
  <c r="BK128" i="37" s="1"/>
  <c r="N127" i="37"/>
  <c r="M127" i="37"/>
  <c r="O125" i="37"/>
  <c r="BK125" i="37" s="1"/>
  <c r="O124" i="37"/>
  <c r="BK124" i="37" s="1"/>
  <c r="N123" i="37"/>
  <c r="M123" i="37"/>
  <c r="O122" i="37"/>
  <c r="BK122" i="37" s="1"/>
  <c r="O120" i="37"/>
  <c r="BK120" i="37" s="1"/>
  <c r="O119" i="37"/>
  <c r="O118" i="37"/>
  <c r="BK118" i="37" s="1"/>
  <c r="O115" i="37"/>
  <c r="BK115" i="37" s="1"/>
  <c r="O113" i="37"/>
  <c r="BK113" i="37" s="1"/>
  <c r="N112" i="37"/>
  <c r="M112" i="37"/>
  <c r="O111" i="37"/>
  <c r="BK111" i="37" s="1"/>
  <c r="O110" i="37"/>
  <c r="BK110" i="37" s="1"/>
  <c r="O109" i="37"/>
  <c r="BK109" i="37" s="1"/>
  <c r="O108" i="37"/>
  <c r="N107" i="37"/>
  <c r="M107" i="37"/>
  <c r="O105" i="37"/>
  <c r="BK105" i="37" s="1"/>
  <c r="O103" i="37"/>
  <c r="BK103" i="37" s="1"/>
  <c r="N102" i="37"/>
  <c r="M102" i="37"/>
  <c r="O97" i="37"/>
  <c r="BK97" i="37" s="1"/>
  <c r="O95" i="37"/>
  <c r="BK95" i="37" s="1"/>
  <c r="O94" i="37"/>
  <c r="O93" i="37"/>
  <c r="O90" i="37"/>
  <c r="BK90" i="37" s="1"/>
  <c r="O87" i="37"/>
  <c r="BK87" i="37" s="1"/>
  <c r="N86" i="37"/>
  <c r="M86" i="37"/>
  <c r="O85" i="37"/>
  <c r="BK85" i="37" s="1"/>
  <c r="O84" i="37"/>
  <c r="BK84" i="37" s="1"/>
  <c r="O83" i="37"/>
  <c r="BK83" i="37" s="1"/>
  <c r="O82" i="37"/>
  <c r="BK82" i="37" s="1"/>
  <c r="O78" i="37"/>
  <c r="N77" i="37"/>
  <c r="O75" i="37"/>
  <c r="BK75" i="37" s="1"/>
  <c r="O73" i="37"/>
  <c r="BK73" i="37" s="1"/>
  <c r="N72" i="37"/>
  <c r="M72" i="37"/>
  <c r="O71" i="37"/>
  <c r="BK71" i="37" s="1"/>
  <c r="O69" i="37"/>
  <c r="BK69" i="37" s="1"/>
  <c r="O66" i="37"/>
  <c r="O63" i="37"/>
  <c r="BK63" i="37" s="1"/>
  <c r="N62" i="37"/>
  <c r="M62" i="37"/>
  <c r="O59" i="37"/>
  <c r="BK59" i="37" s="1"/>
  <c r="O57" i="37"/>
  <c r="O51" i="37"/>
  <c r="BK51" i="37" s="1"/>
  <c r="O48" i="37"/>
  <c r="BK48" i="37" s="1"/>
  <c r="O46" i="37"/>
  <c r="N44" i="37"/>
  <c r="O43" i="37"/>
  <c r="BK43" i="37" s="1"/>
  <c r="O40" i="37"/>
  <c r="BK40" i="37" s="1"/>
  <c r="N39" i="37"/>
  <c r="N30" i="37" s="1"/>
  <c r="M39" i="37"/>
  <c r="M30" i="37" s="1"/>
  <c r="O38" i="37"/>
  <c r="BK38" i="37" s="1"/>
  <c r="O37" i="37"/>
  <c r="BK37" i="37" s="1"/>
  <c r="O33" i="37"/>
  <c r="BK33" i="37" s="1"/>
  <c r="O32" i="37"/>
  <c r="O29" i="37"/>
  <c r="BK29" i="37" s="1"/>
  <c r="O27" i="37"/>
  <c r="BK27" i="37" s="1"/>
  <c r="M26" i="37"/>
  <c r="O19" i="37"/>
  <c r="BK19" i="37" s="1"/>
  <c r="N18" i="37"/>
  <c r="N17" i="37" s="1"/>
  <c r="M18" i="37"/>
  <c r="AK143" i="44"/>
  <c r="AJ143" i="44"/>
  <c r="AH143" i="44"/>
  <c r="AG143" i="44"/>
  <c r="AF143" i="44"/>
  <c r="AD143" i="44"/>
  <c r="AC143" i="44"/>
  <c r="AB143" i="44"/>
  <c r="Z143" i="44"/>
  <c r="Y143" i="44"/>
  <c r="AL133" i="44"/>
  <c r="AK133" i="44"/>
  <c r="AJ133" i="44"/>
  <c r="AH133" i="44"/>
  <c r="AG133" i="44"/>
  <c r="AF133" i="44"/>
  <c r="AD133" i="44"/>
  <c r="AC133" i="44"/>
  <c r="AB133" i="44"/>
  <c r="Z133" i="44"/>
  <c r="Y133" i="44"/>
  <c r="X133" i="44"/>
  <c r="AL119" i="44"/>
  <c r="AK119" i="44"/>
  <c r="AJ119" i="44"/>
  <c r="AH119" i="44"/>
  <c r="AG119" i="44"/>
  <c r="AF119" i="44"/>
  <c r="AD119" i="44"/>
  <c r="AC119" i="44"/>
  <c r="AB119" i="44"/>
  <c r="Z119" i="44"/>
  <c r="Y119" i="44"/>
  <c r="X119" i="44"/>
  <c r="AL99" i="44"/>
  <c r="AK99" i="44"/>
  <c r="AJ99" i="44"/>
  <c r="AH99" i="44"/>
  <c r="AG99" i="44"/>
  <c r="AF99" i="44"/>
  <c r="AD99" i="44"/>
  <c r="AC99" i="44"/>
  <c r="AB99" i="44"/>
  <c r="Z99" i="44"/>
  <c r="Y99" i="44"/>
  <c r="X99" i="44"/>
  <c r="AL87" i="44"/>
  <c r="AK87" i="44"/>
  <c r="AJ87" i="44"/>
  <c r="AH87" i="44"/>
  <c r="AG87" i="44"/>
  <c r="AF87" i="44"/>
  <c r="AD87" i="44"/>
  <c r="AC87" i="44"/>
  <c r="AB87" i="44"/>
  <c r="Z87" i="44"/>
  <c r="X87" i="44"/>
  <c r="AL63" i="44"/>
  <c r="AK63" i="44"/>
  <c r="AJ63" i="44"/>
  <c r="AH63" i="44"/>
  <c r="AG63" i="44"/>
  <c r="AF63" i="44"/>
  <c r="AD63" i="44"/>
  <c r="AC63" i="44"/>
  <c r="AB63" i="44"/>
  <c r="Z63" i="44"/>
  <c r="Y63" i="44"/>
  <c r="X63" i="44"/>
  <c r="Z46" i="44"/>
  <c r="Y46" i="44"/>
  <c r="X46" i="44"/>
  <c r="AL36" i="44"/>
  <c r="AK36" i="44"/>
  <c r="AJ36" i="44"/>
  <c r="AH36" i="44"/>
  <c r="AG36" i="44"/>
  <c r="AF36" i="44"/>
  <c r="AD36" i="44"/>
  <c r="AC36" i="44"/>
  <c r="AB36" i="44"/>
  <c r="Z36" i="44"/>
  <c r="Y36" i="44"/>
  <c r="X36" i="44"/>
  <c r="U28" i="39"/>
  <c r="V28" i="39"/>
  <c r="W28" i="39"/>
  <c r="U9" i="39"/>
  <c r="V9" i="39"/>
  <c r="W9" i="39"/>
  <c r="U10" i="39"/>
  <c r="V10" i="39"/>
  <c r="U11" i="39"/>
  <c r="V11" i="39"/>
  <c r="U12" i="39"/>
  <c r="V12" i="39"/>
  <c r="U13" i="39"/>
  <c r="V13" i="39"/>
  <c r="W13" i="39"/>
  <c r="U14" i="39"/>
  <c r="V14" i="39"/>
  <c r="W14" i="39"/>
  <c r="U15" i="39"/>
  <c r="V15" i="39"/>
  <c r="W15" i="39"/>
  <c r="U16" i="39"/>
  <c r="V16" i="39"/>
  <c r="W16" i="39"/>
  <c r="U17" i="39"/>
  <c r="V17" i="39"/>
  <c r="W17" i="39"/>
  <c r="U18" i="39"/>
  <c r="V18" i="39"/>
  <c r="W18" i="39"/>
  <c r="U19" i="39"/>
  <c r="V19" i="39"/>
  <c r="W19" i="39"/>
  <c r="U20" i="39"/>
  <c r="V20" i="39"/>
  <c r="W20" i="39"/>
  <c r="U21" i="39"/>
  <c r="V21" i="39"/>
  <c r="W21" i="39"/>
  <c r="U22" i="39"/>
  <c r="V22" i="39"/>
  <c r="W22" i="39"/>
  <c r="U23" i="39"/>
  <c r="V23" i="39"/>
  <c r="W23" i="39"/>
  <c r="U24" i="39"/>
  <c r="V24" i="39"/>
  <c r="W24" i="39"/>
  <c r="U25" i="39"/>
  <c r="V25" i="39"/>
  <c r="W25" i="39"/>
  <c r="U26" i="39"/>
  <c r="V26" i="39"/>
  <c r="W26" i="39"/>
  <c r="U27" i="39"/>
  <c r="V27" i="39"/>
  <c r="V8" i="39"/>
  <c r="W8" i="39"/>
  <c r="U8" i="39"/>
  <c r="R27" i="31"/>
  <c r="I27" i="31"/>
  <c r="J27" i="31" s="1"/>
  <c r="H27" i="31"/>
  <c r="F26" i="31"/>
  <c r="BQ56" i="37" l="1"/>
  <c r="BL56" i="37"/>
  <c r="BT56" i="37"/>
  <c r="BW56" i="37"/>
  <c r="BM56" i="37"/>
  <c r="BS56" i="37"/>
  <c r="BU56" i="37"/>
  <c r="BX56" i="37"/>
  <c r="BP56" i="37"/>
  <c r="BY56" i="37"/>
  <c r="BK144" i="37"/>
  <c r="BK139" i="37" s="1"/>
  <c r="X144" i="37"/>
  <c r="BN144" i="37" s="1"/>
  <c r="BL243" i="37"/>
  <c r="BW253" i="37"/>
  <c r="BH253" i="37"/>
  <c r="BZ253" i="37" s="1"/>
  <c r="AJ249" i="37"/>
  <c r="BR249" i="37" s="1"/>
  <c r="BO249" i="37"/>
  <c r="BS27" i="37"/>
  <c r="AV27" i="37"/>
  <c r="BV27" i="37" s="1"/>
  <c r="BO253" i="37"/>
  <c r="AJ253" i="37"/>
  <c r="BR253" i="37" s="1"/>
  <c r="BL208" i="37"/>
  <c r="BL207" i="37" s="1"/>
  <c r="R207" i="37"/>
  <c r="BS249" i="37"/>
  <c r="AV249" i="37"/>
  <c r="BV249" i="37" s="1"/>
  <c r="BY243" i="37"/>
  <c r="BH249" i="37"/>
  <c r="BZ249" i="37" s="1"/>
  <c r="BW249" i="37"/>
  <c r="BO252" i="37"/>
  <c r="AJ252" i="37"/>
  <c r="BR252" i="37" s="1"/>
  <c r="BP243" i="37"/>
  <c r="BT243" i="37"/>
  <c r="BQ243" i="37"/>
  <c r="BU243" i="37"/>
  <c r="BS252" i="37"/>
  <c r="AV252" i="37"/>
  <c r="BV252" i="37" s="1"/>
  <c r="BX243" i="37"/>
  <c r="BW252" i="37"/>
  <c r="BH252" i="37"/>
  <c r="BZ252" i="37" s="1"/>
  <c r="X248" i="37"/>
  <c r="BN248" i="37" s="1"/>
  <c r="BK248" i="37"/>
  <c r="BK208" i="37"/>
  <c r="BK207" i="37" s="1"/>
  <c r="O207" i="37"/>
  <c r="BK252" i="37"/>
  <c r="X252" i="37"/>
  <c r="BN252" i="37" s="1"/>
  <c r="BK385" i="37"/>
  <c r="X385" i="37"/>
  <c r="BN385" i="37" s="1"/>
  <c r="AV253" i="37"/>
  <c r="BV253" i="37" s="1"/>
  <c r="BS253" i="37"/>
  <c r="X253" i="37"/>
  <c r="BN253" i="37" s="1"/>
  <c r="BK253" i="37"/>
  <c r="AJ384" i="37"/>
  <c r="BR384" i="37" s="1"/>
  <c r="BO151" i="37"/>
  <c r="AJ151" i="37"/>
  <c r="BR151" i="37" s="1"/>
  <c r="W92" i="37"/>
  <c r="AG92" i="37"/>
  <c r="AD92" i="37"/>
  <c r="BA126" i="37"/>
  <c r="AJ399" i="37"/>
  <c r="BR399" i="37" s="1"/>
  <c r="BW272" i="37"/>
  <c r="BH272" i="37"/>
  <c r="BZ272" i="37" s="1"/>
  <c r="AA397" i="37"/>
  <c r="BW273" i="37"/>
  <c r="BH273" i="37"/>
  <c r="BZ273" i="37" s="1"/>
  <c r="R92" i="37"/>
  <c r="AA92" i="37"/>
  <c r="AI92" i="37"/>
  <c r="AH92" i="37"/>
  <c r="AJ245" i="37"/>
  <c r="BR245" i="37" s="1"/>
  <c r="V92" i="37"/>
  <c r="O92" i="37"/>
  <c r="U92" i="37"/>
  <c r="BY398" i="37"/>
  <c r="BY397" i="37" s="1"/>
  <c r="BE397" i="37"/>
  <c r="BL398" i="37"/>
  <c r="BL397" i="37" s="1"/>
  <c r="R397" i="37"/>
  <c r="BS186" i="37"/>
  <c r="AV186" i="37"/>
  <c r="BV186" i="37" s="1"/>
  <c r="BT398" i="37"/>
  <c r="BT397" i="37" s="1"/>
  <c r="AP397" i="37"/>
  <c r="BX87" i="37"/>
  <c r="BX86" i="37" s="1"/>
  <c r="BH87" i="37"/>
  <c r="BZ87" i="37" s="1"/>
  <c r="BP398" i="37"/>
  <c r="BP397" i="37" s="1"/>
  <c r="AD397" i="37"/>
  <c r="BW237" i="37"/>
  <c r="BH237" i="37"/>
  <c r="BZ237" i="37" s="1"/>
  <c r="BX398" i="37"/>
  <c r="BX397" i="37" s="1"/>
  <c r="BB397" i="37"/>
  <c r="BQ398" i="37"/>
  <c r="BQ397" i="37" s="1"/>
  <c r="AG397" i="37"/>
  <c r="BS113" i="37"/>
  <c r="BS112" i="37" s="1"/>
  <c r="AV113" i="37"/>
  <c r="BV113" i="37" s="1"/>
  <c r="BW288" i="37"/>
  <c r="BW287" i="37" s="1"/>
  <c r="BH288" i="37"/>
  <c r="BZ288" i="37" s="1"/>
  <c r="AI380" i="37"/>
  <c r="BO113" i="37"/>
  <c r="BO112" i="37" s="1"/>
  <c r="AJ113" i="37"/>
  <c r="BR113" i="37" s="1"/>
  <c r="BU398" i="37"/>
  <c r="BU397" i="37" s="1"/>
  <c r="AS397" i="37"/>
  <c r="BS237" i="37"/>
  <c r="AV237" i="37"/>
  <c r="BV237" i="37" s="1"/>
  <c r="BS187" i="37"/>
  <c r="AV187" i="37"/>
  <c r="BV187" i="37" s="1"/>
  <c r="BK398" i="37"/>
  <c r="BK397" i="37" s="1"/>
  <c r="O397" i="37"/>
  <c r="BM398" i="37"/>
  <c r="BM397" i="37" s="1"/>
  <c r="U397" i="37"/>
  <c r="BW398" i="37"/>
  <c r="BW397" i="37" s="1"/>
  <c r="AY397" i="37"/>
  <c r="BK381" i="37"/>
  <c r="X381" i="37"/>
  <c r="BN381" i="37" s="1"/>
  <c r="BS398" i="37"/>
  <c r="BS397" i="37" s="1"/>
  <c r="AM397" i="37"/>
  <c r="AT380" i="37"/>
  <c r="W380" i="37"/>
  <c r="AU380" i="37"/>
  <c r="BL381" i="37"/>
  <c r="BL380" i="37" s="1"/>
  <c r="R380" i="37"/>
  <c r="AH380" i="37"/>
  <c r="V380" i="37"/>
  <c r="AM380" i="37"/>
  <c r="BY384" i="37"/>
  <c r="BY380" i="37" s="1"/>
  <c r="BE380" i="37"/>
  <c r="BX384" i="37"/>
  <c r="BX380" i="37" s="1"/>
  <c r="BB380" i="37"/>
  <c r="BW384" i="37"/>
  <c r="AY380" i="37"/>
  <c r="BU384" i="37"/>
  <c r="BU380" i="37" s="1"/>
  <c r="AS380" i="37"/>
  <c r="BT384" i="37"/>
  <c r="BT380" i="37" s="1"/>
  <c r="AP380" i="37"/>
  <c r="BQ384" i="37"/>
  <c r="AG380" i="37"/>
  <c r="BP384" i="37"/>
  <c r="BP380" i="37" s="1"/>
  <c r="AD380" i="37"/>
  <c r="BO384" i="37"/>
  <c r="BO380" i="37" s="1"/>
  <c r="AA380" i="37"/>
  <c r="BM384" i="37"/>
  <c r="BM380" i="37" s="1"/>
  <c r="U380" i="37"/>
  <c r="BK384" i="37"/>
  <c r="O380" i="37"/>
  <c r="BW385" i="37"/>
  <c r="BH385" i="37"/>
  <c r="BZ385" i="37" s="1"/>
  <c r="AJ197" i="37"/>
  <c r="BS382" i="37"/>
  <c r="AV382" i="37"/>
  <c r="BV382" i="37" s="1"/>
  <c r="BO201" i="37"/>
  <c r="AJ201" i="37"/>
  <c r="BR201" i="37" s="1"/>
  <c r="BS203" i="37"/>
  <c r="AV203" i="37"/>
  <c r="BV203" i="37" s="1"/>
  <c r="BQ382" i="37"/>
  <c r="AJ382" i="37"/>
  <c r="BR382" i="37" s="1"/>
  <c r="BS384" i="37"/>
  <c r="AV384" i="37"/>
  <c r="BO399" i="37"/>
  <c r="BO203" i="37"/>
  <c r="AJ203" i="37"/>
  <c r="BR203" i="37" s="1"/>
  <c r="BK195" i="37"/>
  <c r="X195" i="37"/>
  <c r="BK197" i="37"/>
  <c r="X197" i="37"/>
  <c r="BN197" i="37" s="1"/>
  <c r="BS201" i="37"/>
  <c r="AV201" i="37"/>
  <c r="BV201" i="37" s="1"/>
  <c r="BO398" i="37"/>
  <c r="AJ398" i="37"/>
  <c r="BW204" i="37"/>
  <c r="BH204" i="37"/>
  <c r="BZ204" i="37" s="1"/>
  <c r="BK202" i="37"/>
  <c r="X202" i="37"/>
  <c r="BN202" i="37" s="1"/>
  <c r="BO205" i="37"/>
  <c r="AJ205" i="37"/>
  <c r="BR205" i="37" s="1"/>
  <c r="BK205" i="37"/>
  <c r="X205" i="37"/>
  <c r="BN205" i="37" s="1"/>
  <c r="BW201" i="37"/>
  <c r="BH201" i="37"/>
  <c r="BZ201" i="37" s="1"/>
  <c r="BO202" i="37"/>
  <c r="AJ202" i="37"/>
  <c r="BR202" i="37" s="1"/>
  <c r="BS381" i="37"/>
  <c r="AV381" i="37"/>
  <c r="BV381" i="37" s="1"/>
  <c r="BK204" i="37"/>
  <c r="X204" i="37"/>
  <c r="BN204" i="37" s="1"/>
  <c r="BK203" i="37"/>
  <c r="X203" i="37"/>
  <c r="BN203" i="37" s="1"/>
  <c r="BW205" i="37"/>
  <c r="BH205" i="37"/>
  <c r="BZ205" i="37" s="1"/>
  <c r="BS202" i="37"/>
  <c r="AV202" i="37"/>
  <c r="BV202" i="37" s="1"/>
  <c r="BW203" i="37"/>
  <c r="BH203" i="37"/>
  <c r="BZ203" i="37" s="1"/>
  <c r="BO204" i="37"/>
  <c r="AJ204" i="37"/>
  <c r="BR204" i="37" s="1"/>
  <c r="BU202" i="37"/>
  <c r="BY202" i="37"/>
  <c r="BY191" i="37" s="1"/>
  <c r="BH202" i="37"/>
  <c r="BZ202" i="37" s="1"/>
  <c r="BU201" i="37"/>
  <c r="BK201" i="37"/>
  <c r="X201" i="37"/>
  <c r="BN201" i="37" s="1"/>
  <c r="BS195" i="37"/>
  <c r="AV195" i="37"/>
  <c r="BV195" i="37" s="1"/>
  <c r="BS315" i="37"/>
  <c r="BS313" i="37" s="1"/>
  <c r="AV315" i="37"/>
  <c r="BV315" i="37" s="1"/>
  <c r="BK273" i="37"/>
  <c r="X273" i="37"/>
  <c r="BN273" i="37" s="1"/>
  <c r="BW195" i="37"/>
  <c r="BH195" i="37"/>
  <c r="BZ195" i="37" s="1"/>
  <c r="BS276" i="37"/>
  <c r="AV276" i="37"/>
  <c r="BV276" i="37" s="1"/>
  <c r="BO308" i="37"/>
  <c r="AJ308" i="37"/>
  <c r="BR308" i="37" s="1"/>
  <c r="BW197" i="37"/>
  <c r="BH197" i="37"/>
  <c r="BZ197" i="37" s="1"/>
  <c r="BS286" i="37"/>
  <c r="AV286" i="37"/>
  <c r="BV286" i="37" s="1"/>
  <c r="BS308" i="37"/>
  <c r="AV308" i="37"/>
  <c r="BV308" i="37" s="1"/>
  <c r="BO315" i="37"/>
  <c r="BO313" i="37" s="1"/>
  <c r="AJ315" i="37"/>
  <c r="BR315" i="37" s="1"/>
  <c r="BW286" i="37"/>
  <c r="BH286" i="37"/>
  <c r="BZ286" i="37" s="1"/>
  <c r="BK192" i="37"/>
  <c r="X192" i="37"/>
  <c r="BN192" i="37" s="1"/>
  <c r="BO192" i="37"/>
  <c r="AJ192" i="37"/>
  <c r="BR192" i="37" s="1"/>
  <c r="BW271" i="37"/>
  <c r="BH271" i="37"/>
  <c r="BZ271" i="37" s="1"/>
  <c r="BW270" i="37"/>
  <c r="BH270" i="37"/>
  <c r="BZ270" i="37" s="1"/>
  <c r="BK271" i="37"/>
  <c r="X271" i="37"/>
  <c r="BN271" i="37" s="1"/>
  <c r="BO195" i="37"/>
  <c r="AJ195" i="37"/>
  <c r="BR195" i="37" s="1"/>
  <c r="BS273" i="37"/>
  <c r="AV273" i="37"/>
  <c r="BV273" i="37" s="1"/>
  <c r="BK314" i="37"/>
  <c r="BK313" i="37" s="1"/>
  <c r="X314" i="37"/>
  <c r="BN314" i="37" s="1"/>
  <c r="BO276" i="37"/>
  <c r="AJ276" i="37"/>
  <c r="BR276" i="37" s="1"/>
  <c r="BK276" i="37"/>
  <c r="X276" i="37"/>
  <c r="BN276" i="37" s="1"/>
  <c r="BS197" i="37"/>
  <c r="AV197" i="37"/>
  <c r="BV197" i="37" s="1"/>
  <c r="BO197" i="37"/>
  <c r="BM197" i="37"/>
  <c r="BM195" i="37"/>
  <c r="BW192" i="37"/>
  <c r="BH192" i="37"/>
  <c r="BS192" i="37"/>
  <c r="AV192" i="37"/>
  <c r="BW276" i="37"/>
  <c r="BH276" i="37"/>
  <c r="BZ276" i="37" s="1"/>
  <c r="BS272" i="37"/>
  <c r="AV272" i="37"/>
  <c r="BV272" i="37" s="1"/>
  <c r="BK272" i="37"/>
  <c r="X272" i="37"/>
  <c r="BN272" i="37" s="1"/>
  <c r="BO269" i="37"/>
  <c r="AJ269" i="37"/>
  <c r="BR269" i="37" s="1"/>
  <c r="BS270" i="37"/>
  <c r="AV270" i="37"/>
  <c r="BV270" i="37" s="1"/>
  <c r="BO270" i="37"/>
  <c r="AJ270" i="37"/>
  <c r="BR270" i="37" s="1"/>
  <c r="BK270" i="37"/>
  <c r="X270" i="37"/>
  <c r="BN270" i="37" s="1"/>
  <c r="BK269" i="37"/>
  <c r="X269" i="37"/>
  <c r="BN269" i="37" s="1"/>
  <c r="BY308" i="37"/>
  <c r="BH308" i="37"/>
  <c r="BZ308" i="37" s="1"/>
  <c r="BY309" i="37"/>
  <c r="BH309" i="37"/>
  <c r="BZ309" i="37" s="1"/>
  <c r="BS296" i="37"/>
  <c r="AV296" i="37"/>
  <c r="BV296" i="37" s="1"/>
  <c r="BF92" i="37"/>
  <c r="BK296" i="37"/>
  <c r="BK293" i="37" s="1"/>
  <c r="X296" i="37"/>
  <c r="BN296" i="37" s="1"/>
  <c r="BO296" i="37"/>
  <c r="AJ296" i="37"/>
  <c r="BR296" i="37" s="1"/>
  <c r="BK230" i="37"/>
  <c r="X230" i="37"/>
  <c r="BN230" i="37" s="1"/>
  <c r="BK234" i="37"/>
  <c r="X234" i="37"/>
  <c r="BN234" i="37" s="1"/>
  <c r="BO234" i="37"/>
  <c r="AJ234" i="37"/>
  <c r="BR234" i="37" s="1"/>
  <c r="BO235" i="37"/>
  <c r="AJ235" i="37"/>
  <c r="BR235" i="37" s="1"/>
  <c r="BS231" i="37"/>
  <c r="AV231" i="37"/>
  <c r="BV231" i="37" s="1"/>
  <c r="BW231" i="37"/>
  <c r="BH231" i="37"/>
  <c r="BZ231" i="37" s="1"/>
  <c r="BS232" i="37"/>
  <c r="AV232" i="37"/>
  <c r="BV232" i="37" s="1"/>
  <c r="BO229" i="37"/>
  <c r="AJ229" i="37"/>
  <c r="BR229" i="37" s="1"/>
  <c r="BS233" i="37"/>
  <c r="AV233" i="37"/>
  <c r="BV233" i="37" s="1"/>
  <c r="BW233" i="37"/>
  <c r="BH233" i="37"/>
  <c r="BZ233" i="37" s="1"/>
  <c r="BS229" i="37"/>
  <c r="AV229" i="37"/>
  <c r="BV229" i="37" s="1"/>
  <c r="BO231" i="37"/>
  <c r="AJ231" i="37"/>
  <c r="BR231" i="37" s="1"/>
  <c r="BS234" i="37"/>
  <c r="AV234" i="37"/>
  <c r="BV234" i="37" s="1"/>
  <c r="BK231" i="37"/>
  <c r="X231" i="37"/>
  <c r="BN231" i="37" s="1"/>
  <c r="BO233" i="37"/>
  <c r="AJ233" i="37"/>
  <c r="BR233" i="37" s="1"/>
  <c r="BK233" i="37"/>
  <c r="X233" i="37"/>
  <c r="BN233" i="37" s="1"/>
  <c r="BK235" i="37"/>
  <c r="X235" i="37"/>
  <c r="BN235" i="37" s="1"/>
  <c r="BW230" i="37"/>
  <c r="BH230" i="37"/>
  <c r="BZ230" i="37" s="1"/>
  <c r="BW232" i="37"/>
  <c r="BH232" i="37"/>
  <c r="BZ232" i="37" s="1"/>
  <c r="BS235" i="37"/>
  <c r="AV235" i="37"/>
  <c r="BV235" i="37" s="1"/>
  <c r="BK232" i="37"/>
  <c r="X232" i="37"/>
  <c r="BN232" i="37" s="1"/>
  <c r="BW235" i="37"/>
  <c r="BH235" i="37"/>
  <c r="BZ235" i="37" s="1"/>
  <c r="BW229" i="37"/>
  <c r="BH229" i="37"/>
  <c r="BZ229" i="37" s="1"/>
  <c r="BO232" i="37"/>
  <c r="AJ232" i="37"/>
  <c r="BR232" i="37" s="1"/>
  <c r="BW234" i="37"/>
  <c r="BH234" i="37"/>
  <c r="BZ234" i="37" s="1"/>
  <c r="BS227" i="37"/>
  <c r="AV227" i="37"/>
  <c r="BV227" i="37" s="1"/>
  <c r="BK229" i="37"/>
  <c r="X229" i="37"/>
  <c r="BN229" i="37" s="1"/>
  <c r="BS230" i="37"/>
  <c r="AV230" i="37"/>
  <c r="BV230" i="37" s="1"/>
  <c r="BQ230" i="37"/>
  <c r="BQ215" i="37" s="1"/>
  <c r="AJ230" i="37"/>
  <c r="BR230" i="37" s="1"/>
  <c r="BO227" i="37"/>
  <c r="AJ227" i="37"/>
  <c r="BR227" i="37" s="1"/>
  <c r="BL227" i="37"/>
  <c r="BL215" i="37" s="1"/>
  <c r="X227" i="37"/>
  <c r="BN227" i="37" s="1"/>
  <c r="AA45" i="37"/>
  <c r="AV175" i="37"/>
  <c r="BV175" i="37" s="1"/>
  <c r="BG92" i="37"/>
  <c r="BW93" i="37"/>
  <c r="AY92" i="37"/>
  <c r="BY167" i="37"/>
  <c r="BE166" i="37"/>
  <c r="BX93" i="37"/>
  <c r="BX92" i="37" s="1"/>
  <c r="BB92" i="37"/>
  <c r="AA166" i="37"/>
  <c r="BY93" i="37"/>
  <c r="BY92" i="37" s="1"/>
  <c r="BE92" i="37"/>
  <c r="BP93" i="37"/>
  <c r="BP92" i="37" s="1"/>
  <c r="BU167" i="37"/>
  <c r="BU166" i="37" s="1"/>
  <c r="AS166" i="37"/>
  <c r="AU92" i="37"/>
  <c r="BX167" i="37"/>
  <c r="BX166" i="37" s="1"/>
  <c r="BB166" i="37"/>
  <c r="BS263" i="37"/>
  <c r="BS261" i="37" s="1"/>
  <c r="AV263" i="37"/>
  <c r="BV263" i="37" s="1"/>
  <c r="BL167" i="37"/>
  <c r="BL166" i="37" s="1"/>
  <c r="R166" i="37"/>
  <c r="BP167" i="37"/>
  <c r="AD166" i="37"/>
  <c r="BW259" i="37"/>
  <c r="BH259" i="37"/>
  <c r="BZ259" i="37" s="1"/>
  <c r="BW264" i="37"/>
  <c r="BW261" i="37" s="1"/>
  <c r="BH264" i="37"/>
  <c r="BZ264" i="37" s="1"/>
  <c r="BK237" i="37"/>
  <c r="BK236" i="37" s="1"/>
  <c r="X237" i="37"/>
  <c r="BS167" i="37"/>
  <c r="AM166" i="37"/>
  <c r="BU93" i="37"/>
  <c r="BU92" i="37" s="1"/>
  <c r="AS92" i="37"/>
  <c r="AY166" i="37"/>
  <c r="BM93" i="37"/>
  <c r="BM92" i="37" s="1"/>
  <c r="BO237" i="37"/>
  <c r="BO236" i="37" s="1"/>
  <c r="AJ237" i="37"/>
  <c r="BS238" i="37"/>
  <c r="AV238" i="37"/>
  <c r="BT93" i="37"/>
  <c r="BT92" i="37" s="1"/>
  <c r="AP92" i="37"/>
  <c r="BM167" i="37"/>
  <c r="BM166" i="37" s="1"/>
  <c r="U166" i="37"/>
  <c r="BS93" i="37"/>
  <c r="AM92" i="37"/>
  <c r="AT92" i="37"/>
  <c r="BK93" i="37"/>
  <c r="BQ167" i="37"/>
  <c r="BQ166" i="37" s="1"/>
  <c r="AG166" i="37"/>
  <c r="O166" i="37"/>
  <c r="BQ93" i="37"/>
  <c r="BQ92" i="37" s="1"/>
  <c r="BT167" i="37"/>
  <c r="AP166" i="37"/>
  <c r="BW239" i="37"/>
  <c r="BH239" i="37"/>
  <c r="BZ239" i="37" s="1"/>
  <c r="BL93" i="37"/>
  <c r="BL92" i="37" s="1"/>
  <c r="BY238" i="37"/>
  <c r="BY236" i="37" s="1"/>
  <c r="BH238" i="37"/>
  <c r="AJ246" i="37"/>
  <c r="BR246" i="37" s="1"/>
  <c r="AJ248" i="37"/>
  <c r="BR248" i="37" s="1"/>
  <c r="BH246" i="37"/>
  <c r="BZ246" i="37" s="1"/>
  <c r="BH254" i="37"/>
  <c r="BZ254" i="37" s="1"/>
  <c r="BH248" i="37"/>
  <c r="BZ248" i="37" s="1"/>
  <c r="BH255" i="37"/>
  <c r="BZ255" i="37" s="1"/>
  <c r="AV255" i="37"/>
  <c r="BV255" i="37" s="1"/>
  <c r="AJ254" i="37"/>
  <c r="BR254" i="37" s="1"/>
  <c r="X255" i="37"/>
  <c r="BN255" i="37" s="1"/>
  <c r="X254" i="37"/>
  <c r="BN254" i="37" s="1"/>
  <c r="AV254" i="37"/>
  <c r="BV254" i="37" s="1"/>
  <c r="AV246" i="37"/>
  <c r="BV246" i="37" s="1"/>
  <c r="AV248" i="37"/>
  <c r="BV248" i="37" s="1"/>
  <c r="X245" i="37"/>
  <c r="BN245" i="37" s="1"/>
  <c r="BM244" i="37"/>
  <c r="BM243" i="37" s="1"/>
  <c r="X244" i="37"/>
  <c r="BN244" i="37" s="1"/>
  <c r="BK225" i="37"/>
  <c r="X225" i="37"/>
  <c r="BN225" i="37" s="1"/>
  <c r="BW187" i="37"/>
  <c r="BH187" i="37"/>
  <c r="BZ187" i="37" s="1"/>
  <c r="BS225" i="37"/>
  <c r="AV225" i="37"/>
  <c r="BV225" i="37" s="1"/>
  <c r="BK186" i="37"/>
  <c r="BK185" i="37" s="1"/>
  <c r="X186" i="37"/>
  <c r="BN186" i="37" s="1"/>
  <c r="BW181" i="37"/>
  <c r="BH181" i="37"/>
  <c r="BZ181" i="37" s="1"/>
  <c r="BW225" i="37"/>
  <c r="BH225" i="37"/>
  <c r="BZ225" i="37" s="1"/>
  <c r="BS177" i="37"/>
  <c r="AV177" i="37"/>
  <c r="BV177" i="37" s="1"/>
  <c r="BW186" i="37"/>
  <c r="BH186" i="37"/>
  <c r="BZ186" i="37" s="1"/>
  <c r="BW177" i="37"/>
  <c r="BH177" i="37"/>
  <c r="BZ177" i="37" s="1"/>
  <c r="BW227" i="37"/>
  <c r="BH227" i="37"/>
  <c r="BZ227" i="37" s="1"/>
  <c r="BO186" i="37"/>
  <c r="BO185" i="37" s="1"/>
  <c r="AJ186" i="37"/>
  <c r="BR186" i="37" s="1"/>
  <c r="BS179" i="37"/>
  <c r="AV179" i="37"/>
  <c r="BV179" i="37" s="1"/>
  <c r="BK177" i="37"/>
  <c r="X177" i="37"/>
  <c r="BN177" i="37" s="1"/>
  <c r="BW173" i="37"/>
  <c r="BH173" i="37"/>
  <c r="BZ173" i="37" s="1"/>
  <c r="BO178" i="37"/>
  <c r="AJ178" i="37"/>
  <c r="BR178" i="37" s="1"/>
  <c r="BK178" i="37"/>
  <c r="X178" i="37"/>
  <c r="BN178" i="37" s="1"/>
  <c r="BK179" i="37"/>
  <c r="X179" i="37"/>
  <c r="BN179" i="37" s="1"/>
  <c r="BW179" i="37"/>
  <c r="BH179" i="37"/>
  <c r="BZ179" i="37" s="1"/>
  <c r="BK181" i="37"/>
  <c r="X181" i="37"/>
  <c r="BN181" i="37" s="1"/>
  <c r="BS180" i="37"/>
  <c r="AV180" i="37"/>
  <c r="BV180" i="37" s="1"/>
  <c r="BO225" i="37"/>
  <c r="AJ225" i="37"/>
  <c r="BR225" i="37" s="1"/>
  <c r="BK180" i="37"/>
  <c r="X180" i="37"/>
  <c r="BN180" i="37" s="1"/>
  <c r="BU216" i="37"/>
  <c r="BU215" i="37" s="1"/>
  <c r="AV216" i="37"/>
  <c r="BW216" i="37"/>
  <c r="BH216" i="37"/>
  <c r="BO216" i="37"/>
  <c r="AJ216" i="37"/>
  <c r="BK216" i="37"/>
  <c r="X216" i="37"/>
  <c r="BW180" i="37"/>
  <c r="BH180" i="37"/>
  <c r="BZ180" i="37" s="1"/>
  <c r="BT178" i="37"/>
  <c r="AV178" i="37"/>
  <c r="BV178" i="37" s="1"/>
  <c r="BP177" i="37"/>
  <c r="AJ177" i="37"/>
  <c r="BR177" i="37" s="1"/>
  <c r="BY175" i="37"/>
  <c r="BH175" i="37"/>
  <c r="BZ175" i="37" s="1"/>
  <c r="AV142" i="37"/>
  <c r="BV142" i="37" s="1"/>
  <c r="BS168" i="37"/>
  <c r="AV168" i="37"/>
  <c r="BO167" i="37"/>
  <c r="AJ167" i="37"/>
  <c r="BH124" i="37"/>
  <c r="BZ124" i="37" s="1"/>
  <c r="BS171" i="37"/>
  <c r="AV171" i="37"/>
  <c r="BV171" i="37" s="1"/>
  <c r="BO171" i="37"/>
  <c r="AJ171" i="37"/>
  <c r="BR171" i="37" s="1"/>
  <c r="AU45" i="37"/>
  <c r="BW171" i="37"/>
  <c r="BH171" i="37"/>
  <c r="BZ171" i="37" s="1"/>
  <c r="BO172" i="37"/>
  <c r="AJ172" i="37"/>
  <c r="BR172" i="37" s="1"/>
  <c r="BK167" i="37"/>
  <c r="X167" i="37"/>
  <c r="BS172" i="37"/>
  <c r="AV172" i="37"/>
  <c r="BV172" i="37" s="1"/>
  <c r="O45" i="37"/>
  <c r="BK168" i="37"/>
  <c r="X168" i="37"/>
  <c r="BN168" i="37" s="1"/>
  <c r="BW172" i="37"/>
  <c r="BH172" i="37"/>
  <c r="BZ172" i="37" s="1"/>
  <c r="BS175" i="37"/>
  <c r="BW167" i="37"/>
  <c r="BH167" i="37"/>
  <c r="BW168" i="37"/>
  <c r="BH168" i="37"/>
  <c r="BZ168" i="37" s="1"/>
  <c r="BS173" i="37"/>
  <c r="AV173" i="37"/>
  <c r="BV173" i="37" s="1"/>
  <c r="BP168" i="37"/>
  <c r="AJ168" i="37"/>
  <c r="BR168" i="37" s="1"/>
  <c r="BW142" i="37"/>
  <c r="BW139" i="37" s="1"/>
  <c r="BH142" i="37"/>
  <c r="BZ142" i="37" s="1"/>
  <c r="V45" i="37"/>
  <c r="V44" i="37" s="1"/>
  <c r="BO133" i="37"/>
  <c r="AJ133" i="37"/>
  <c r="BR133" i="37" s="1"/>
  <c r="BO150" i="37"/>
  <c r="AJ150" i="37"/>
  <c r="BR150" i="37" s="1"/>
  <c r="BO73" i="37"/>
  <c r="BO72" i="37" s="1"/>
  <c r="AJ73" i="37"/>
  <c r="BR73" i="37" s="1"/>
  <c r="BO134" i="37"/>
  <c r="AJ134" i="37"/>
  <c r="BR134" i="37" s="1"/>
  <c r="BS120" i="37"/>
  <c r="BS117" i="37" s="1"/>
  <c r="AV120" i="37"/>
  <c r="BV120" i="37" s="1"/>
  <c r="BK160" i="37"/>
  <c r="X160" i="37"/>
  <c r="BN160" i="37" s="1"/>
  <c r="BS140" i="37"/>
  <c r="AV140" i="37"/>
  <c r="BV140" i="37" s="1"/>
  <c r="BS151" i="37"/>
  <c r="BS149" i="37" s="1"/>
  <c r="AV151" i="37"/>
  <c r="BV151" i="37" s="1"/>
  <c r="BK119" i="37"/>
  <c r="BK117" i="37" s="1"/>
  <c r="X119" i="37"/>
  <c r="BN119" i="37" s="1"/>
  <c r="BS133" i="37"/>
  <c r="AV133" i="37"/>
  <c r="BV133" i="37" s="1"/>
  <c r="BW162" i="37"/>
  <c r="BW161" i="37" s="1"/>
  <c r="BH162" i="37"/>
  <c r="BZ162" i="37" s="1"/>
  <c r="BW136" i="37"/>
  <c r="BW135" i="37" s="1"/>
  <c r="BH136" i="37"/>
  <c r="BZ136" i="37" s="1"/>
  <c r="BW128" i="37"/>
  <c r="BH128" i="37"/>
  <c r="BZ128" i="37" s="1"/>
  <c r="BO119" i="37"/>
  <c r="BO117" i="37" s="1"/>
  <c r="AJ119" i="37"/>
  <c r="BR119" i="37" s="1"/>
  <c r="BW133" i="37"/>
  <c r="BH133" i="37"/>
  <c r="BZ133" i="37" s="1"/>
  <c r="BK94" i="37"/>
  <c r="X94" i="37"/>
  <c r="BN94" i="37" s="1"/>
  <c r="BS141" i="37"/>
  <c r="AV141" i="37"/>
  <c r="BV141" i="37" s="1"/>
  <c r="BO93" i="37"/>
  <c r="BO92" i="37" s="1"/>
  <c r="AJ93" i="37"/>
  <c r="AT45" i="37"/>
  <c r="BW129" i="37"/>
  <c r="BH129" i="37"/>
  <c r="BZ129" i="37" s="1"/>
  <c r="BO82" i="37"/>
  <c r="BO77" i="37" s="1"/>
  <c r="AJ82" i="37"/>
  <c r="BR82" i="37" s="1"/>
  <c r="BK78" i="37"/>
  <c r="BK77" i="37" s="1"/>
  <c r="X78" i="37"/>
  <c r="BN78" i="37" s="1"/>
  <c r="BS134" i="37"/>
  <c r="AV134" i="37"/>
  <c r="BV134" i="37" s="1"/>
  <c r="BW95" i="37"/>
  <c r="BH95" i="37"/>
  <c r="BZ95" i="37" s="1"/>
  <c r="BS128" i="37"/>
  <c r="AV128" i="37"/>
  <c r="BV128" i="37" s="1"/>
  <c r="BW109" i="37"/>
  <c r="BW107" i="37" s="1"/>
  <c r="BH109" i="37"/>
  <c r="BZ109" i="37" s="1"/>
  <c r="BW134" i="37"/>
  <c r="BH134" i="37"/>
  <c r="BZ134" i="37" s="1"/>
  <c r="BK151" i="37"/>
  <c r="X151" i="37"/>
  <c r="BN151" i="37" s="1"/>
  <c r="BO162" i="37"/>
  <c r="BO161" i="37" s="1"/>
  <c r="AJ162" i="37"/>
  <c r="BR162" i="37" s="1"/>
  <c r="BK152" i="37"/>
  <c r="X152" i="37"/>
  <c r="BN152" i="37" s="1"/>
  <c r="BS142" i="37"/>
  <c r="BQ129" i="37"/>
  <c r="AJ129" i="37"/>
  <c r="BR129" i="37" s="1"/>
  <c r="BQ128" i="37"/>
  <c r="AJ128" i="37"/>
  <c r="BR128" i="37" s="1"/>
  <c r="BS129" i="37"/>
  <c r="AV129" i="37"/>
  <c r="BV129" i="37" s="1"/>
  <c r="BK108" i="37"/>
  <c r="BK107" i="37" s="1"/>
  <c r="X108" i="37"/>
  <c r="BN108" i="37" s="1"/>
  <c r="BS95" i="37"/>
  <c r="AV95" i="37"/>
  <c r="BV95" i="37" s="1"/>
  <c r="BM75" i="37"/>
  <c r="X75" i="37"/>
  <c r="BN75" i="37" s="1"/>
  <c r="BM46" i="37"/>
  <c r="BM45" i="37" s="1"/>
  <c r="BM44" i="37" s="1"/>
  <c r="U45" i="37"/>
  <c r="BQ46" i="37"/>
  <c r="BQ45" i="37" s="1"/>
  <c r="BQ44" i="37" s="1"/>
  <c r="AG45" i="37"/>
  <c r="BS46" i="37"/>
  <c r="AM45" i="37"/>
  <c r="BT46" i="37"/>
  <c r="BT45" i="37" s="1"/>
  <c r="BT44" i="37" s="1"/>
  <c r="AP45" i="37"/>
  <c r="BG45" i="37"/>
  <c r="BP46" i="37"/>
  <c r="BP45" i="37" s="1"/>
  <c r="BP44" i="37" s="1"/>
  <c r="AD45" i="37"/>
  <c r="BF45" i="37"/>
  <c r="BO57" i="37"/>
  <c r="BO56" i="37" s="1"/>
  <c r="AJ57" i="37"/>
  <c r="BR57" i="37" s="1"/>
  <c r="BK57" i="37"/>
  <c r="BK56" i="37" s="1"/>
  <c r="X57" i="37"/>
  <c r="BN57" i="37" s="1"/>
  <c r="BL46" i="37"/>
  <c r="R45" i="37"/>
  <c r="BX46" i="37"/>
  <c r="BX45" i="37" s="1"/>
  <c r="BX44" i="37" s="1"/>
  <c r="BB45" i="37"/>
  <c r="BU46" i="37"/>
  <c r="BU45" i="37" s="1"/>
  <c r="AS45" i="37"/>
  <c r="BW46" i="37"/>
  <c r="AY45" i="37"/>
  <c r="BY46" i="37"/>
  <c r="BY45" i="37" s="1"/>
  <c r="BE45" i="37"/>
  <c r="BK66" i="37"/>
  <c r="BK62" i="37" s="1"/>
  <c r="X66" i="37"/>
  <c r="BN66" i="37" s="1"/>
  <c r="W45" i="37"/>
  <c r="W44" i="37" s="1"/>
  <c r="BW33" i="37"/>
  <c r="BW31" i="37" s="1"/>
  <c r="BH33" i="37"/>
  <c r="BZ33" i="37" s="1"/>
  <c r="BO40" i="37"/>
  <c r="BO39" i="37" s="1"/>
  <c r="AJ40" i="37"/>
  <c r="BR40" i="37" s="1"/>
  <c r="BS48" i="37"/>
  <c r="AV48" i="37"/>
  <c r="BV48" i="37" s="1"/>
  <c r="BW48" i="37"/>
  <c r="BH48" i="37"/>
  <c r="BZ48" i="37" s="1"/>
  <c r="BO32" i="37"/>
  <c r="BO31" i="37" s="1"/>
  <c r="AJ32" i="37"/>
  <c r="BR32" i="37" s="1"/>
  <c r="BO46" i="37"/>
  <c r="AJ46" i="37"/>
  <c r="BS40" i="37"/>
  <c r="BS39" i="37" s="1"/>
  <c r="AV40" i="37"/>
  <c r="BV40" i="37" s="1"/>
  <c r="BK32" i="37"/>
  <c r="BK31" i="37" s="1"/>
  <c r="X32" i="37"/>
  <c r="BN32" i="37" s="1"/>
  <c r="BS49" i="37"/>
  <c r="AV49" i="37"/>
  <c r="BV49" i="37" s="1"/>
  <c r="BS32" i="37"/>
  <c r="BS31" i="37" s="1"/>
  <c r="AV32" i="37"/>
  <c r="BV32" i="37" s="1"/>
  <c r="BO49" i="37"/>
  <c r="AJ49" i="37"/>
  <c r="BR49" i="37" s="1"/>
  <c r="BO48" i="37"/>
  <c r="AJ48" i="37"/>
  <c r="BR48" i="37" s="1"/>
  <c r="BL48" i="37"/>
  <c r="X48" i="37"/>
  <c r="BN48" i="37" s="1"/>
  <c r="BK46" i="37"/>
  <c r="BK45" i="37" s="1"/>
  <c r="BK44" i="37" s="1"/>
  <c r="X46" i="37"/>
  <c r="BL33" i="37"/>
  <c r="BL31" i="37" s="1"/>
  <c r="X33" i="37"/>
  <c r="BN33" i="37" s="1"/>
  <c r="BO19" i="37"/>
  <c r="AJ19" i="37"/>
  <c r="BR19" i="37" s="1"/>
  <c r="BS19" i="37"/>
  <c r="BS18" i="37" s="1"/>
  <c r="AV19" i="37"/>
  <c r="BV19" i="37" s="1"/>
  <c r="BO22" i="37"/>
  <c r="AJ22" i="37"/>
  <c r="BR22" i="37" s="1"/>
  <c r="BY27" i="37"/>
  <c r="BY26" i="37" s="1"/>
  <c r="BH27" i="37"/>
  <c r="BZ27" i="37" s="1"/>
  <c r="BT27" i="37"/>
  <c r="BT26" i="37" s="1"/>
  <c r="BW19" i="37"/>
  <c r="BW18" i="37" s="1"/>
  <c r="BH19" i="37"/>
  <c r="BZ19" i="37" s="1"/>
  <c r="M17" i="37"/>
  <c r="BY124" i="37"/>
  <c r="BY123" i="37" s="1"/>
  <c r="BO124" i="37"/>
  <c r="BO123" i="37" s="1"/>
  <c r="BP124" i="37"/>
  <c r="BP123" i="37" s="1"/>
  <c r="BQ124" i="37"/>
  <c r="BQ123" i="37" s="1"/>
  <c r="BW124" i="37"/>
  <c r="BW123" i="37" s="1"/>
  <c r="BS124" i="37"/>
  <c r="BS123" i="37" s="1"/>
  <c r="BT124" i="37"/>
  <c r="BT123" i="37" s="1"/>
  <c r="BU124" i="37"/>
  <c r="BU123" i="37" s="1"/>
  <c r="BX123" i="37"/>
  <c r="BL123" i="37"/>
  <c r="BM123" i="37"/>
  <c r="BK123" i="37"/>
  <c r="AM77" i="37"/>
  <c r="AP77" i="37"/>
  <c r="AA77" i="37"/>
  <c r="AS77" i="37"/>
  <c r="BP77" i="37"/>
  <c r="AD77" i="37"/>
  <c r="BQ77" i="37"/>
  <c r="AG77" i="37"/>
  <c r="BK26" i="37"/>
  <c r="O26" i="37"/>
  <c r="BL77" i="37"/>
  <c r="R77" i="37"/>
  <c r="U77" i="37"/>
  <c r="O56" i="37"/>
  <c r="R26" i="37"/>
  <c r="R56" i="37"/>
  <c r="U26" i="37"/>
  <c r="U56" i="37"/>
  <c r="BC379" i="37"/>
  <c r="AS56" i="37"/>
  <c r="BA379" i="37"/>
  <c r="AV398" i="37"/>
  <c r="BV401" i="37"/>
  <c r="X401" i="37"/>
  <c r="BH398" i="37"/>
  <c r="BN399" i="37"/>
  <c r="BR401" i="37"/>
  <c r="BZ401" i="37"/>
  <c r="AD56" i="37"/>
  <c r="AP56" i="37"/>
  <c r="AG56" i="37"/>
  <c r="AY56" i="37"/>
  <c r="BB56" i="37"/>
  <c r="AJ385" i="37"/>
  <c r="BR385" i="37" s="1"/>
  <c r="BE56" i="37"/>
  <c r="AA56" i="37"/>
  <c r="AM56" i="37"/>
  <c r="AZ379" i="37"/>
  <c r="AM191" i="37"/>
  <c r="BT191" i="37"/>
  <c r="AP191" i="37"/>
  <c r="AS191" i="37"/>
  <c r="O191" i="37"/>
  <c r="AA191" i="37"/>
  <c r="AY191" i="37"/>
  <c r="AD191" i="37"/>
  <c r="BX191" i="37"/>
  <c r="BB191" i="37"/>
  <c r="BQ191" i="37"/>
  <c r="AG191" i="37"/>
  <c r="BE191" i="37"/>
  <c r="BL191" i="37"/>
  <c r="R191" i="37"/>
  <c r="U191" i="37"/>
  <c r="AU267" i="37"/>
  <c r="R215" i="37"/>
  <c r="AA215" i="37"/>
  <c r="BT236" i="37"/>
  <c r="AP236" i="37"/>
  <c r="BP215" i="37"/>
  <c r="AD215" i="37"/>
  <c r="AM215" i="37"/>
  <c r="BU236" i="37"/>
  <c r="AS236" i="37"/>
  <c r="AM236" i="37"/>
  <c r="AG215" i="37"/>
  <c r="BT215" i="37"/>
  <c r="AP215" i="37"/>
  <c r="AY236" i="37"/>
  <c r="AS215" i="37"/>
  <c r="BX236" i="37"/>
  <c r="BB236" i="37"/>
  <c r="BM215" i="37"/>
  <c r="U215" i="37"/>
  <c r="AY215" i="37"/>
  <c r="BE236" i="37"/>
  <c r="BX215" i="37"/>
  <c r="BB215" i="37"/>
  <c r="BY215" i="37"/>
  <c r="BE215" i="37"/>
  <c r="O215" i="37"/>
  <c r="AA236" i="37"/>
  <c r="BP236" i="37"/>
  <c r="AD236" i="37"/>
  <c r="BQ236" i="37"/>
  <c r="AG236" i="37"/>
  <c r="BG267" i="37"/>
  <c r="AT267" i="37"/>
  <c r="BG31" i="37"/>
  <c r="AI267" i="37"/>
  <c r="BX267" i="37"/>
  <c r="BB267" i="37"/>
  <c r="BF267" i="37"/>
  <c r="BY267" i="37"/>
  <c r="BE267" i="37"/>
  <c r="U267" i="37"/>
  <c r="BF117" i="37"/>
  <c r="O267" i="37"/>
  <c r="AA267" i="37"/>
  <c r="BF293" i="37"/>
  <c r="BP267" i="37"/>
  <c r="AD267" i="37"/>
  <c r="AM267" i="37"/>
  <c r="BQ267" i="37"/>
  <c r="AG267" i="37"/>
  <c r="BT267" i="37"/>
  <c r="AP267" i="37"/>
  <c r="AH267" i="37"/>
  <c r="BU267" i="37"/>
  <c r="AS267" i="37"/>
  <c r="W267" i="37"/>
  <c r="BL267" i="37"/>
  <c r="R267" i="37"/>
  <c r="V267" i="37"/>
  <c r="AY267" i="37"/>
  <c r="AT293" i="37"/>
  <c r="BG293" i="37"/>
  <c r="AU31" i="37"/>
  <c r="AU293" i="37"/>
  <c r="AH293" i="37"/>
  <c r="V293" i="37"/>
  <c r="AT31" i="37"/>
  <c r="BQ293" i="37"/>
  <c r="AG293" i="37"/>
  <c r="AI293" i="37"/>
  <c r="BW293" i="37"/>
  <c r="AY293" i="37"/>
  <c r="BX293" i="37"/>
  <c r="BB293" i="37"/>
  <c r="BL293" i="37"/>
  <c r="R293" i="37"/>
  <c r="BE293" i="37"/>
  <c r="W293" i="37"/>
  <c r="BM293" i="37"/>
  <c r="U293" i="37"/>
  <c r="AM293" i="37"/>
  <c r="O293" i="37"/>
  <c r="AA293" i="37"/>
  <c r="BT293" i="37"/>
  <c r="AP293" i="37"/>
  <c r="BP293" i="37"/>
  <c r="AD293" i="37"/>
  <c r="BU293" i="37"/>
  <c r="AS293" i="37"/>
  <c r="AH117" i="37"/>
  <c r="BF31" i="37"/>
  <c r="BG149" i="37"/>
  <c r="AT149" i="37"/>
  <c r="W31" i="37"/>
  <c r="AU149" i="37"/>
  <c r="AI149" i="37"/>
  <c r="AT117" i="37"/>
  <c r="AU117" i="37"/>
  <c r="V31" i="37"/>
  <c r="BG117" i="37"/>
  <c r="R31" i="37"/>
  <c r="BL149" i="37"/>
  <c r="R149" i="37"/>
  <c r="BP149" i="37"/>
  <c r="AD149" i="37"/>
  <c r="AM31" i="37"/>
  <c r="BQ149" i="37"/>
  <c r="AG149" i="37"/>
  <c r="BT31" i="37"/>
  <c r="AP31" i="37"/>
  <c r="BU31" i="37"/>
  <c r="AS31" i="37"/>
  <c r="BM31" i="37"/>
  <c r="U31" i="37"/>
  <c r="BM149" i="37"/>
  <c r="U149" i="37"/>
  <c r="AH31" i="37"/>
  <c r="AA117" i="37"/>
  <c r="AY31" i="37"/>
  <c r="AM149" i="37"/>
  <c r="W117" i="37"/>
  <c r="AI31" i="37"/>
  <c r="BP117" i="37"/>
  <c r="AD117" i="37"/>
  <c r="BX31" i="37"/>
  <c r="BB31" i="37"/>
  <c r="AM117" i="37"/>
  <c r="BT149" i="37"/>
  <c r="AP149" i="37"/>
  <c r="V117" i="37"/>
  <c r="BQ117" i="37"/>
  <c r="AG117" i="37"/>
  <c r="AH149" i="37"/>
  <c r="BY31" i="37"/>
  <c r="BE31" i="37"/>
  <c r="BT117" i="37"/>
  <c r="AP117" i="37"/>
  <c r="BU149" i="37"/>
  <c r="AS149" i="37"/>
  <c r="BU117" i="37"/>
  <c r="AS117" i="37"/>
  <c r="AI117" i="37"/>
  <c r="BL117" i="37"/>
  <c r="R117" i="37"/>
  <c r="BW149" i="37"/>
  <c r="AY149" i="37"/>
  <c r="AA31" i="37"/>
  <c r="BW117" i="37"/>
  <c r="AY117" i="37"/>
  <c r="BX149" i="37"/>
  <c r="BB149" i="37"/>
  <c r="O117" i="37"/>
  <c r="O31" i="37"/>
  <c r="O149" i="37"/>
  <c r="V149" i="37"/>
  <c r="BP31" i="37"/>
  <c r="AD31" i="37"/>
  <c r="BX117" i="37"/>
  <c r="BB117" i="37"/>
  <c r="BY149" i="37"/>
  <c r="BE149" i="37"/>
  <c r="BM117" i="37"/>
  <c r="U117" i="37"/>
  <c r="W149" i="37"/>
  <c r="BQ31" i="37"/>
  <c r="AG31" i="37"/>
  <c r="AA149" i="37"/>
  <c r="BY117" i="37"/>
  <c r="BE117" i="37"/>
  <c r="BF149" i="37"/>
  <c r="V77" i="37"/>
  <c r="AH77" i="37"/>
  <c r="AT77" i="37"/>
  <c r="BF320" i="37"/>
  <c r="BG320" i="37"/>
  <c r="AT320" i="37"/>
  <c r="AI320" i="37"/>
  <c r="BY320" i="37"/>
  <c r="BE320" i="37"/>
  <c r="W320" i="37"/>
  <c r="V320" i="37"/>
  <c r="BL320" i="37"/>
  <c r="R320" i="37"/>
  <c r="BS320" i="37"/>
  <c r="AM320" i="37"/>
  <c r="BO320" i="37"/>
  <c r="AA320" i="37"/>
  <c r="BT320" i="37"/>
  <c r="AP320" i="37"/>
  <c r="BP320" i="37"/>
  <c r="AD320" i="37"/>
  <c r="BU320" i="37"/>
  <c r="AS320" i="37"/>
  <c r="BQ320" i="37"/>
  <c r="AG320" i="37"/>
  <c r="AH320" i="37"/>
  <c r="AU320" i="37"/>
  <c r="BW320" i="37"/>
  <c r="AY320" i="37"/>
  <c r="BX320" i="37"/>
  <c r="BB320" i="37"/>
  <c r="AN379" i="37"/>
  <c r="AK379" i="37"/>
  <c r="AL379" i="37"/>
  <c r="BX102" i="37"/>
  <c r="BU135" i="37"/>
  <c r="BY102" i="37"/>
  <c r="BQ145" i="37"/>
  <c r="BY145" i="37"/>
  <c r="BX161" i="37"/>
  <c r="BY112" i="37"/>
  <c r="BY135" i="37"/>
  <c r="BU161" i="37"/>
  <c r="BU313" i="37"/>
  <c r="BK72" i="37"/>
  <c r="J399" i="37"/>
  <c r="BL112" i="37"/>
  <c r="BW207" i="37"/>
  <c r="I206" i="37"/>
  <c r="I255" i="37"/>
  <c r="I366" i="37"/>
  <c r="I46" i="37"/>
  <c r="I124" i="37"/>
  <c r="J286" i="37"/>
  <c r="J122" i="37"/>
  <c r="I151" i="37"/>
  <c r="I264" i="37"/>
  <c r="BY161" i="37"/>
  <c r="J105" i="37"/>
  <c r="I146" i="37"/>
  <c r="I208" i="37"/>
  <c r="I205" i="37"/>
  <c r="BO369" i="37"/>
  <c r="BW102" i="37"/>
  <c r="BT135" i="37"/>
  <c r="BW145" i="37"/>
  <c r="BX185" i="37"/>
  <c r="BS287" i="37"/>
  <c r="X19" i="37"/>
  <c r="BN19" i="37" s="1"/>
  <c r="BL135" i="37"/>
  <c r="I113" i="37"/>
  <c r="J129" i="37"/>
  <c r="J264" i="37"/>
  <c r="BT287" i="37"/>
  <c r="I270" i="37"/>
  <c r="BU287" i="37"/>
  <c r="I136" i="37"/>
  <c r="J212" i="37"/>
  <c r="J269" i="37"/>
  <c r="I171" i="37"/>
  <c r="I246" i="37"/>
  <c r="J136" i="37"/>
  <c r="I212" i="37"/>
  <c r="BQ112" i="37"/>
  <c r="BW26" i="37"/>
  <c r="BT39" i="37"/>
  <c r="BT72" i="37"/>
  <c r="BT107" i="37"/>
  <c r="BW112" i="37"/>
  <c r="BT145" i="37"/>
  <c r="BS161" i="37"/>
  <c r="BX261" i="37"/>
  <c r="BM102" i="37"/>
  <c r="J51" i="37"/>
  <c r="J295" i="37"/>
  <c r="BU107" i="37"/>
  <c r="BX112" i="37"/>
  <c r="BX135" i="37"/>
  <c r="BU145" i="37"/>
  <c r="BT161" i="37"/>
  <c r="BY261" i="37"/>
  <c r="CC72" i="37"/>
  <c r="CF71" i="37"/>
  <c r="CD71" i="37"/>
  <c r="BK18" i="37"/>
  <c r="I195" i="37"/>
  <c r="I238" i="37"/>
  <c r="I377" i="37"/>
  <c r="J312" i="37"/>
  <c r="BX107" i="37"/>
  <c r="BU112" i="37"/>
  <c r="BU127" i="37"/>
  <c r="BU139" i="37"/>
  <c r="BY207" i="37"/>
  <c r="J273" i="37"/>
  <c r="I314" i="37"/>
  <c r="CA314" i="37" s="1"/>
  <c r="BT185" i="37"/>
  <c r="BT261" i="37"/>
  <c r="I95" i="37"/>
  <c r="I189" i="37"/>
  <c r="I367" i="37"/>
  <c r="I361" i="37"/>
  <c r="I375" i="37"/>
  <c r="I384" i="37"/>
  <c r="J120" i="37"/>
  <c r="J235" i="37"/>
  <c r="J291" i="37"/>
  <c r="J374" i="37"/>
  <c r="J382" i="37"/>
  <c r="BX127" i="37"/>
  <c r="BX139" i="37"/>
  <c r="I32" i="37"/>
  <c r="I110" i="37"/>
  <c r="J142" i="37"/>
  <c r="J40" i="37"/>
  <c r="J73" i="37"/>
  <c r="BQ313" i="37"/>
  <c r="J364" i="37"/>
  <c r="BW313" i="37"/>
  <c r="BL139" i="37"/>
  <c r="BO207" i="37"/>
  <c r="I129" i="37"/>
  <c r="BX369" i="37"/>
  <c r="BL145" i="37"/>
  <c r="BL369" i="37"/>
  <c r="BM112" i="37"/>
  <c r="BM161" i="37"/>
  <c r="BM313" i="37"/>
  <c r="J232" i="37"/>
  <c r="J225" i="37"/>
  <c r="BP369" i="37"/>
  <c r="BY369" i="37"/>
  <c r="I204" i="37"/>
  <c r="BQ102" i="37"/>
  <c r="J265" i="37"/>
  <c r="BP135" i="37"/>
  <c r="BS135" i="37"/>
  <c r="BS145" i="37"/>
  <c r="BY287" i="37"/>
  <c r="BM207" i="37"/>
  <c r="BU185" i="37"/>
  <c r="BM107" i="37"/>
  <c r="BM135" i="37"/>
  <c r="J213" i="37"/>
  <c r="I173" i="37"/>
  <c r="BQ261" i="37"/>
  <c r="J152" i="37"/>
  <c r="J248" i="37"/>
  <c r="BP112" i="37"/>
  <c r="BQ139" i="37"/>
  <c r="BO145" i="37"/>
  <c r="BQ207" i="37"/>
  <c r="J179" i="37"/>
  <c r="J171" i="37"/>
  <c r="J206" i="37"/>
  <c r="J197" i="37"/>
  <c r="J239" i="37"/>
  <c r="BP145" i="37"/>
  <c r="BT313" i="37"/>
  <c r="BM236" i="37"/>
  <c r="BO135" i="37"/>
  <c r="BK39" i="37"/>
  <c r="BK112" i="37"/>
  <c r="BK161" i="37"/>
  <c r="BL261" i="37"/>
  <c r="BL161" i="37"/>
  <c r="BT207" i="37"/>
  <c r="BL102" i="37"/>
  <c r="BM127" i="37"/>
  <c r="BK127" i="37"/>
  <c r="BQ107" i="37"/>
  <c r="BY127" i="37"/>
  <c r="BY139" i="37"/>
  <c r="BM267" i="37"/>
  <c r="BP185" i="37"/>
  <c r="BK261" i="37"/>
  <c r="BL107" i="37"/>
  <c r="I225" i="37"/>
  <c r="I269" i="37"/>
  <c r="BO102" i="37"/>
  <c r="BP161" i="37"/>
  <c r="BQ185" i="37"/>
  <c r="BO287" i="37"/>
  <c r="BQ369" i="37"/>
  <c r="BT102" i="37"/>
  <c r="BT112" i="37"/>
  <c r="BT127" i="37"/>
  <c r="BT139" i="37"/>
  <c r="BX207" i="37"/>
  <c r="BK287" i="37"/>
  <c r="BM185" i="37"/>
  <c r="BM369" i="37"/>
  <c r="BP102" i="37"/>
  <c r="BP127" i="37"/>
  <c r="BQ161" i="37"/>
  <c r="BP287" i="37"/>
  <c r="BL72" i="37"/>
  <c r="BM26" i="37"/>
  <c r="BM145" i="37"/>
  <c r="BQ287" i="37"/>
  <c r="BY107" i="37"/>
  <c r="BX287" i="37"/>
  <c r="BX313" i="37"/>
  <c r="J33" i="37"/>
  <c r="BY313" i="37"/>
  <c r="I57" i="37"/>
  <c r="I203" i="37"/>
  <c r="J208" i="37"/>
  <c r="I265" i="37"/>
  <c r="I273" i="37"/>
  <c r="J314" i="37"/>
  <c r="BO107" i="37"/>
  <c r="BQ135" i="37"/>
  <c r="BP191" i="37"/>
  <c r="BO261" i="37"/>
  <c r="BU261" i="37"/>
  <c r="BS369" i="37"/>
  <c r="BK102" i="37"/>
  <c r="BP107" i="37"/>
  <c r="BP261" i="37"/>
  <c r="BT369" i="37"/>
  <c r="BK369" i="37"/>
  <c r="BL127" i="37"/>
  <c r="BL236" i="37"/>
  <c r="BL313" i="37"/>
  <c r="I213" i="37"/>
  <c r="I360" i="37"/>
  <c r="BO139" i="37"/>
  <c r="BS207" i="37"/>
  <c r="BU369" i="37"/>
  <c r="BK145" i="37"/>
  <c r="BM261" i="37"/>
  <c r="I40" i="37"/>
  <c r="J49" i="37"/>
  <c r="BP139" i="37"/>
  <c r="BP207" i="37"/>
  <c r="BP313" i="37"/>
  <c r="BM139" i="37"/>
  <c r="BM287" i="37"/>
  <c r="I152" i="37"/>
  <c r="BU207" i="37"/>
  <c r="BK86" i="37"/>
  <c r="BK135" i="37"/>
  <c r="BL185" i="37"/>
  <c r="BX145" i="37"/>
  <c r="BY185" i="37"/>
  <c r="BW369" i="37"/>
  <c r="I248" i="37"/>
  <c r="I239" i="37"/>
  <c r="I286" i="37"/>
  <c r="I376" i="37"/>
  <c r="I66" i="37"/>
  <c r="J288" i="37"/>
  <c r="I29" i="37"/>
  <c r="J110" i="37"/>
  <c r="J167" i="37"/>
  <c r="J150" i="37"/>
  <c r="J94" i="37"/>
  <c r="J134" i="37"/>
  <c r="J144" i="37"/>
  <c r="J187" i="37"/>
  <c r="J310" i="37"/>
  <c r="J318" i="37"/>
  <c r="BO86" i="37"/>
  <c r="I272" i="37"/>
  <c r="I374" i="37"/>
  <c r="I382" i="37"/>
  <c r="J237" i="37"/>
  <c r="I43" i="37"/>
  <c r="J109" i="37"/>
  <c r="J263" i="37"/>
  <c r="BM39" i="37"/>
  <c r="I75" i="37"/>
  <c r="I240" i="37"/>
  <c r="I290" i="37"/>
  <c r="I83" i="37"/>
  <c r="J38" i="37"/>
  <c r="J90" i="37"/>
  <c r="J211" i="37"/>
  <c r="I175" i="37"/>
  <c r="I289" i="37"/>
  <c r="I364" i="37"/>
  <c r="J71" i="37"/>
  <c r="I111" i="37"/>
  <c r="I210" i="37"/>
  <c r="I399" i="37"/>
  <c r="J177" i="37"/>
  <c r="I262" i="37"/>
  <c r="J362" i="37"/>
  <c r="I125" i="37"/>
  <c r="J95" i="37"/>
  <c r="I150" i="37"/>
  <c r="I167" i="37"/>
  <c r="J189" i="37"/>
  <c r="J384" i="37"/>
  <c r="I51" i="37"/>
  <c r="I122" i="37"/>
  <c r="J128" i="37"/>
  <c r="J140" i="37"/>
  <c r="I230" i="37"/>
  <c r="I311" i="37"/>
  <c r="I315" i="37"/>
  <c r="I164" i="37"/>
  <c r="J82" i="37"/>
  <c r="J181" i="37"/>
  <c r="J173" i="37"/>
  <c r="J202" i="37"/>
  <c r="J241" i="37"/>
  <c r="J366" i="37"/>
  <c r="J360" i="37"/>
  <c r="BL62" i="37"/>
  <c r="I94" i="37"/>
  <c r="I134" i="37"/>
  <c r="I144" i="37"/>
  <c r="I187" i="37"/>
  <c r="BX77" i="37"/>
  <c r="I370" i="37"/>
  <c r="I381" i="37"/>
  <c r="I398" i="37"/>
  <c r="BL26" i="37"/>
  <c r="I109" i="37"/>
  <c r="I263" i="37"/>
  <c r="J246" i="37"/>
  <c r="J401" i="37"/>
  <c r="I38" i="37"/>
  <c r="J46" i="37"/>
  <c r="I90" i="37"/>
  <c r="J113" i="37"/>
  <c r="I211" i="37"/>
  <c r="J178" i="37"/>
  <c r="J195" i="37"/>
  <c r="J238" i="37"/>
  <c r="I294" i="37"/>
  <c r="I71" i="37"/>
  <c r="J124" i="37"/>
  <c r="J146" i="37"/>
  <c r="J162" i="37"/>
  <c r="I254" i="37"/>
  <c r="I245" i="37"/>
  <c r="I363" i="37"/>
  <c r="J57" i="37"/>
  <c r="J231" i="37"/>
  <c r="J376" i="37"/>
  <c r="BX62" i="37"/>
  <c r="J259" i="37"/>
  <c r="J249" i="37"/>
  <c r="BP39" i="37"/>
  <c r="BP72" i="37"/>
  <c r="I318" i="37"/>
  <c r="J75" i="37"/>
  <c r="I87" i="37"/>
  <c r="J201" i="37"/>
  <c r="J240" i="37"/>
  <c r="J271" i="37"/>
  <c r="J290" i="37"/>
  <c r="J309" i="37"/>
  <c r="J365" i="37"/>
  <c r="J43" i="37"/>
  <c r="I48" i="37"/>
  <c r="J87" i="37"/>
  <c r="I119" i="37"/>
  <c r="J370" i="37"/>
  <c r="J398" i="37"/>
  <c r="I229" i="37"/>
  <c r="I310" i="37"/>
  <c r="J22" i="37"/>
  <c r="I78" i="37"/>
  <c r="I103" i="37"/>
  <c r="J118" i="37"/>
  <c r="J151" i="37"/>
  <c r="J233" i="37"/>
  <c r="J227" i="37"/>
  <c r="J255" i="37"/>
  <c r="J270" i="37"/>
  <c r="J289" i="37"/>
  <c r="J315" i="37"/>
  <c r="J378" i="37"/>
  <c r="I235" i="37"/>
  <c r="I401" i="37"/>
  <c r="J59" i="37"/>
  <c r="J115" i="37"/>
  <c r="I162" i="37"/>
  <c r="J168" i="37"/>
  <c r="J205" i="37"/>
  <c r="J210" i="37"/>
  <c r="J296" i="37"/>
  <c r="J377" i="37"/>
  <c r="J386" i="37"/>
  <c r="I241" i="37"/>
  <c r="J103" i="37"/>
  <c r="I179" i="37"/>
  <c r="I197" i="37"/>
  <c r="I115" i="37"/>
  <c r="I232" i="37"/>
  <c r="J63" i="37"/>
  <c r="I308" i="37"/>
  <c r="I378" i="37"/>
  <c r="I59" i="37"/>
  <c r="I105" i="37"/>
  <c r="J84" i="37"/>
  <c r="J125" i="37"/>
  <c r="J137" i="37"/>
  <c r="J147" i="37"/>
  <c r="J164" i="37"/>
  <c r="I186" i="37"/>
  <c r="J209" i="37"/>
  <c r="J216" i="37"/>
  <c r="I244" i="37"/>
  <c r="J253" i="37"/>
  <c r="BP86" i="37"/>
  <c r="BM86" i="37"/>
  <c r="I97" i="37"/>
  <c r="J108" i="37"/>
  <c r="I137" i="37"/>
  <c r="I147" i="37"/>
  <c r="I177" i="37"/>
  <c r="J186" i="37"/>
  <c r="I192" i="37"/>
  <c r="I209" i="37"/>
  <c r="J262" i="37"/>
  <c r="I312" i="37"/>
  <c r="I295" i="37"/>
  <c r="I362" i="37"/>
  <c r="I385" i="37"/>
  <c r="I291" i="37"/>
  <c r="J32" i="37"/>
  <c r="J203" i="37"/>
  <c r="I237" i="37"/>
  <c r="I288" i="37"/>
  <c r="J367" i="37"/>
  <c r="J361" i="37"/>
  <c r="J375" i="37"/>
  <c r="BP26" i="37"/>
  <c r="I49" i="37"/>
  <c r="I82" i="37"/>
  <c r="I120" i="37"/>
  <c r="I160" i="37"/>
  <c r="I181" i="37"/>
  <c r="I259" i="37"/>
  <c r="I249" i="37"/>
  <c r="BY77" i="37"/>
  <c r="BW86" i="37"/>
  <c r="J25" i="37"/>
  <c r="J93" i="37"/>
  <c r="J119" i="37"/>
  <c r="J133" i="37"/>
  <c r="J180" i="37"/>
  <c r="J234" i="37"/>
  <c r="AS102" i="37"/>
  <c r="I202" i="37"/>
  <c r="I252" i="37"/>
  <c r="I260" i="37"/>
  <c r="J48" i="37"/>
  <c r="J172" i="37"/>
  <c r="I133" i="37"/>
  <c r="I201" i="37"/>
  <c r="I234" i="37"/>
  <c r="I271" i="37"/>
  <c r="I309" i="37"/>
  <c r="I365" i="37"/>
  <c r="J381" i="37"/>
  <c r="I128" i="37"/>
  <c r="I172" i="37"/>
  <c r="I180" i="37"/>
  <c r="BM62" i="37"/>
  <c r="I63" i="37"/>
  <c r="J141" i="37"/>
  <c r="J308" i="37"/>
  <c r="J387" i="37"/>
  <c r="BQ18" i="37"/>
  <c r="I142" i="37"/>
  <c r="I37" i="37"/>
  <c r="I93" i="37"/>
  <c r="J78" i="37"/>
  <c r="I118" i="37"/>
  <c r="I141" i="37"/>
  <c r="I233" i="37"/>
  <c r="I227" i="37"/>
  <c r="I387" i="37"/>
  <c r="J37" i="37"/>
  <c r="J254" i="37"/>
  <c r="J245" i="37"/>
  <c r="J363" i="37"/>
  <c r="J85" i="37"/>
  <c r="I85" i="37"/>
  <c r="I178" i="37"/>
  <c r="I168" i="37"/>
  <c r="J294" i="37"/>
  <c r="I296" i="37"/>
  <c r="I386" i="37"/>
  <c r="J229" i="37"/>
  <c r="J20" i="37"/>
  <c r="J69" i="37"/>
  <c r="J97" i="37"/>
  <c r="I108" i="37"/>
  <c r="J204" i="37"/>
  <c r="J192" i="37"/>
  <c r="J276" i="37"/>
  <c r="J268" i="37"/>
  <c r="J368" i="37"/>
  <c r="J385" i="37"/>
  <c r="I22" i="37"/>
  <c r="I33" i="37"/>
  <c r="I69" i="37"/>
  <c r="I84" i="37"/>
  <c r="I231" i="37"/>
  <c r="I216" i="37"/>
  <c r="J244" i="37"/>
  <c r="I253" i="37"/>
  <c r="I276" i="37"/>
  <c r="I268" i="37"/>
  <c r="I368" i="37"/>
  <c r="J160" i="37"/>
  <c r="J272" i="37"/>
  <c r="BL18" i="37"/>
  <c r="J66" i="37"/>
  <c r="J83" i="37"/>
  <c r="J111" i="37"/>
  <c r="I140" i="37"/>
  <c r="J175" i="37"/>
  <c r="J230" i="37"/>
  <c r="J260" i="37"/>
  <c r="J252" i="37"/>
  <c r="J311" i="37"/>
  <c r="BL86" i="37"/>
  <c r="BW62" i="37"/>
  <c r="BX26" i="37"/>
  <c r="BU39" i="37"/>
  <c r="BU72" i="37"/>
  <c r="J21" i="37"/>
  <c r="I21" i="37"/>
  <c r="BY62" i="37"/>
  <c r="BT77" i="37"/>
  <c r="BU77" i="37"/>
  <c r="BS86" i="37"/>
  <c r="I20" i="37"/>
  <c r="BO26" i="37"/>
  <c r="BQ86" i="37"/>
  <c r="BW39" i="37"/>
  <c r="BW72" i="37"/>
  <c r="BT86" i="37"/>
  <c r="I27" i="37"/>
  <c r="BP62" i="37"/>
  <c r="BX39" i="37"/>
  <c r="BX72" i="37"/>
  <c r="BU86" i="37"/>
  <c r="BL39" i="37"/>
  <c r="S379" i="37"/>
  <c r="BQ26" i="37"/>
  <c r="BQ62" i="37"/>
  <c r="BT18" i="37"/>
  <c r="BY39" i="37"/>
  <c r="BY72" i="37"/>
  <c r="BU18" i="37"/>
  <c r="BX18" i="37"/>
  <c r="BM77" i="37"/>
  <c r="J19" i="37"/>
  <c r="J29" i="37"/>
  <c r="BQ39" i="37"/>
  <c r="BQ72" i="37"/>
  <c r="BU26" i="37"/>
  <c r="AV59" i="37"/>
  <c r="BV59" i="37" s="1"/>
  <c r="BV56" i="37" s="1"/>
  <c r="BU62" i="37"/>
  <c r="I25" i="37"/>
  <c r="BY86" i="37"/>
  <c r="BO62" i="37"/>
  <c r="BM18" i="37"/>
  <c r="BW77" i="37"/>
  <c r="BS26" i="37"/>
  <c r="BT62" i="37"/>
  <c r="BS72" i="37"/>
  <c r="BY18" i="37"/>
  <c r="BS77" i="37"/>
  <c r="AV51" i="37"/>
  <c r="BV51" i="37" s="1"/>
  <c r="AV109" i="37"/>
  <c r="BV109" i="37" s="1"/>
  <c r="AV66" i="37"/>
  <c r="BV66" i="37" s="1"/>
  <c r="AV105" i="37"/>
  <c r="BV105" i="37" s="1"/>
  <c r="BS102" i="37"/>
  <c r="BU102" i="37"/>
  <c r="BH269" i="37"/>
  <c r="BZ269" i="37" s="1"/>
  <c r="BH291" i="37"/>
  <c r="BZ291" i="37" s="1"/>
  <c r="BS107" i="37"/>
  <c r="BS62" i="37"/>
  <c r="AI26" i="37"/>
  <c r="AV294" i="37"/>
  <c r="BV294" i="37" s="1"/>
  <c r="AV309" i="37"/>
  <c r="BV309" i="37" s="1"/>
  <c r="BH376" i="37"/>
  <c r="BZ376" i="37" s="1"/>
  <c r="AK17" i="37"/>
  <c r="AU26" i="37"/>
  <c r="AV375" i="37"/>
  <c r="BV375" i="37" s="1"/>
  <c r="X363" i="37"/>
  <c r="BN363" i="37" s="1"/>
  <c r="X370" i="37"/>
  <c r="BN370" i="37" s="1"/>
  <c r="AY26" i="37"/>
  <c r="AH26" i="37"/>
  <c r="BH122" i="37"/>
  <c r="BZ122" i="37" s="1"/>
  <c r="X289" i="37"/>
  <c r="BN289" i="37" s="1"/>
  <c r="AE44" i="37"/>
  <c r="AR106" i="37"/>
  <c r="AK138" i="37"/>
  <c r="AZ138" i="37"/>
  <c r="BF145" i="37"/>
  <c r="AJ38" i="37"/>
  <c r="BR38" i="37" s="1"/>
  <c r="AS112" i="37"/>
  <c r="AV212" i="37"/>
  <c r="BV212" i="37" s="1"/>
  <c r="AF17" i="37"/>
  <c r="AO44" i="37"/>
  <c r="BD44" i="37"/>
  <c r="AV290" i="37"/>
  <c r="BV290" i="37" s="1"/>
  <c r="BC44" i="37"/>
  <c r="AW44" i="37"/>
  <c r="BE145" i="37"/>
  <c r="AH39" i="37"/>
  <c r="AJ310" i="37"/>
  <c r="BR310" i="37" s="1"/>
  <c r="Z379" i="37"/>
  <c r="AV21" i="37"/>
  <c r="BV21" i="37" s="1"/>
  <c r="AM39" i="37"/>
  <c r="AQ44" i="37"/>
  <c r="BF86" i="37"/>
  <c r="BF76" i="37" s="1"/>
  <c r="AP145" i="37"/>
  <c r="AO242" i="37"/>
  <c r="AG26" i="37"/>
  <c r="BH49" i="37"/>
  <c r="BZ49" i="37" s="1"/>
  <c r="AV162" i="37"/>
  <c r="BV162" i="37" s="1"/>
  <c r="AK242" i="37"/>
  <c r="AQ242" i="37"/>
  <c r="AC106" i="37"/>
  <c r="Z126" i="37"/>
  <c r="AJ152" i="37"/>
  <c r="BR152" i="37" s="1"/>
  <c r="AL76" i="37"/>
  <c r="BF135" i="37"/>
  <c r="BE161" i="37"/>
  <c r="BH103" i="37"/>
  <c r="BZ103" i="37" s="1"/>
  <c r="AL138" i="37"/>
  <c r="BA138" i="37"/>
  <c r="AR138" i="37"/>
  <c r="AL242" i="37"/>
  <c r="BA242" i="37"/>
  <c r="BH360" i="37"/>
  <c r="BZ360" i="37" s="1"/>
  <c r="AV111" i="37"/>
  <c r="BV111" i="37" s="1"/>
  <c r="AV115" i="37"/>
  <c r="BV115" i="37" s="1"/>
  <c r="BF123" i="37"/>
  <c r="AW126" i="37"/>
  <c r="AN126" i="37"/>
  <c r="AV146" i="37"/>
  <c r="BV146" i="37" s="1"/>
  <c r="BH374" i="37"/>
  <c r="BZ374" i="37" s="1"/>
  <c r="AB106" i="37"/>
  <c r="AG123" i="37"/>
  <c r="Y126" i="37"/>
  <c r="AF242" i="37"/>
  <c r="AJ318" i="37"/>
  <c r="BR318" i="37" s="1"/>
  <c r="BH83" i="37"/>
  <c r="BZ83" i="37" s="1"/>
  <c r="AX76" i="37"/>
  <c r="AO106" i="37"/>
  <c r="AT112" i="37"/>
  <c r="BH211" i="37"/>
  <c r="BZ211" i="37" s="1"/>
  <c r="AV97" i="37"/>
  <c r="BV97" i="37" s="1"/>
  <c r="BE102" i="37"/>
  <c r="BE107" i="37"/>
  <c r="BH110" i="37"/>
  <c r="BZ110" i="37" s="1"/>
  <c r="BH367" i="37"/>
  <c r="BZ367" i="37" s="1"/>
  <c r="BE72" i="37"/>
  <c r="BC242" i="37"/>
  <c r="AH145" i="37"/>
  <c r="AI161" i="37"/>
  <c r="AV38" i="37"/>
  <c r="BV38" i="37" s="1"/>
  <c r="AU102" i="37"/>
  <c r="AV150" i="37"/>
  <c r="BV150" i="37" s="1"/>
  <c r="BB185" i="37"/>
  <c r="AV265" i="37"/>
  <c r="BV265" i="37" s="1"/>
  <c r="AN242" i="37"/>
  <c r="AH123" i="37"/>
  <c r="AD127" i="37"/>
  <c r="AB138" i="37"/>
  <c r="AA161" i="37"/>
  <c r="BE26" i="37"/>
  <c r="AK106" i="37"/>
  <c r="BG145" i="37"/>
  <c r="AV210" i="37"/>
  <c r="BV210" i="37" s="1"/>
  <c r="AD313" i="37"/>
  <c r="AN17" i="37"/>
  <c r="AS161" i="37"/>
  <c r="AW242" i="37"/>
  <c r="AI123" i="37"/>
  <c r="AJ147" i="37"/>
  <c r="BR147" i="37" s="1"/>
  <c r="AD161" i="37"/>
  <c r="BH144" i="37"/>
  <c r="BZ144" i="37" s="1"/>
  <c r="AS145" i="37"/>
  <c r="AV152" i="37"/>
  <c r="BV152" i="37" s="1"/>
  <c r="BH46" i="37"/>
  <c r="AJ37" i="37"/>
  <c r="BR37" i="37" s="1"/>
  <c r="AE61" i="37"/>
  <c r="AA313" i="37"/>
  <c r="AJ370" i="37"/>
  <c r="BR370" i="37" s="1"/>
  <c r="BF39" i="37"/>
  <c r="BH90" i="37"/>
  <c r="BZ90" i="37" s="1"/>
  <c r="BG112" i="37"/>
  <c r="AO126" i="37"/>
  <c r="BD126" i="37"/>
  <c r="AT135" i="37"/>
  <c r="AW138" i="37"/>
  <c r="BC138" i="37"/>
  <c r="AV311" i="37"/>
  <c r="BV311" i="37" s="1"/>
  <c r="AV314" i="37"/>
  <c r="BV314" i="37" s="1"/>
  <c r="AV361" i="37"/>
  <c r="BV361" i="37" s="1"/>
  <c r="AV365" i="37"/>
  <c r="BV365" i="37" s="1"/>
  <c r="AV378" i="37"/>
  <c r="BV378" i="37" s="1"/>
  <c r="AC17" i="37"/>
  <c r="AJ29" i="37"/>
  <c r="BR29" i="37" s="1"/>
  <c r="AJ109" i="37"/>
  <c r="BR109" i="37" s="1"/>
  <c r="AJ366" i="37"/>
  <c r="BR366" i="37" s="1"/>
  <c r="BH25" i="37"/>
  <c r="BZ25" i="37" s="1"/>
  <c r="AK44" i="37"/>
  <c r="AK61" i="37"/>
  <c r="AZ61" i="37"/>
  <c r="AP123" i="37"/>
  <c r="BG123" i="37"/>
  <c r="BH150" i="37"/>
  <c r="BZ150" i="37" s="1"/>
  <c r="AV208" i="37"/>
  <c r="BV208" i="37" s="1"/>
  <c r="AV268" i="37"/>
  <c r="BV268" i="37" s="1"/>
  <c r="BH310" i="37"/>
  <c r="BZ310" i="37" s="1"/>
  <c r="BE77" i="37"/>
  <c r="W161" i="37"/>
  <c r="Z44" i="37"/>
  <c r="Z61" i="37"/>
  <c r="AD72" i="37"/>
  <c r="AF106" i="37"/>
  <c r="AE242" i="37"/>
  <c r="AV33" i="37"/>
  <c r="BV33" i="37" s="1"/>
  <c r="BH40" i="37"/>
  <c r="BZ40" i="37" s="1"/>
  <c r="AU62" i="37"/>
  <c r="AV82" i="37"/>
  <c r="BV82" i="37" s="1"/>
  <c r="BB135" i="37"/>
  <c r="AV370" i="37"/>
  <c r="BV370" i="37" s="1"/>
  <c r="AI112" i="37"/>
  <c r="V161" i="37"/>
  <c r="AJ85" i="37"/>
  <c r="BR85" i="37" s="1"/>
  <c r="AJ122" i="37"/>
  <c r="BR122" i="37" s="1"/>
  <c r="AG161" i="37"/>
  <c r="AW17" i="37"/>
  <c r="BE18" i="37"/>
  <c r="AV25" i="37"/>
  <c r="BV25" i="37" s="1"/>
  <c r="AO61" i="37"/>
  <c r="BE62" i="37"/>
  <c r="AM72" i="37"/>
  <c r="BH113" i="37"/>
  <c r="BZ113" i="37" s="1"/>
  <c r="BB123" i="37"/>
  <c r="AL126" i="37"/>
  <c r="AM185" i="37"/>
  <c r="BF185" i="37"/>
  <c r="BH375" i="37"/>
  <c r="BZ375" i="37" s="1"/>
  <c r="AV377" i="37"/>
  <c r="BV377" i="37" s="1"/>
  <c r="AV84" i="37"/>
  <c r="BV84" i="37" s="1"/>
  <c r="BH209" i="37"/>
  <c r="BZ209" i="37" s="1"/>
  <c r="V86" i="37"/>
  <c r="V145" i="37"/>
  <c r="AG39" i="37"/>
  <c r="AH161" i="37"/>
  <c r="AJ212" i="37"/>
  <c r="BR212" i="37" s="1"/>
  <c r="AJ362" i="37"/>
  <c r="BR362" i="37" s="1"/>
  <c r="AJ376" i="37"/>
  <c r="BR376" i="37" s="1"/>
  <c r="AT18" i="37"/>
  <c r="AM18" i="37"/>
  <c r="BH21" i="37"/>
  <c r="BZ21" i="37" s="1"/>
  <c r="BG26" i="37"/>
  <c r="BH32" i="37"/>
  <c r="BZ32" i="37" s="1"/>
  <c r="AV71" i="37"/>
  <c r="BV71" i="37" s="1"/>
  <c r="BB107" i="37"/>
  <c r="AU107" i="37"/>
  <c r="AQ106" i="37"/>
  <c r="AM112" i="37"/>
  <c r="BB112" i="37"/>
  <c r="BE123" i="37"/>
  <c r="BC126" i="37"/>
  <c r="AU161" i="37"/>
  <c r="AP161" i="37"/>
  <c r="BG161" i="37"/>
  <c r="AP185" i="37"/>
  <c r="BG185" i="37"/>
  <c r="AB17" i="37"/>
  <c r="AC138" i="37"/>
  <c r="AV386" i="37"/>
  <c r="BV386" i="37" s="1"/>
  <c r="AR379" i="37"/>
  <c r="AM26" i="37"/>
  <c r="X37" i="37"/>
  <c r="BN37" i="37" s="1"/>
  <c r="X162" i="37"/>
  <c r="BN162" i="37" s="1"/>
  <c r="X364" i="37"/>
  <c r="BN364" i="37" s="1"/>
  <c r="AN138" i="37"/>
  <c r="X38" i="37"/>
  <c r="BN38" i="37" s="1"/>
  <c r="X122" i="37"/>
  <c r="BN122" i="37" s="1"/>
  <c r="X147" i="37"/>
  <c r="BN147" i="37" s="1"/>
  <c r="X164" i="37"/>
  <c r="BN164" i="37" s="1"/>
  <c r="X212" i="37"/>
  <c r="BN212" i="37" s="1"/>
  <c r="X268" i="37"/>
  <c r="BN268" i="37" s="1"/>
  <c r="X308" i="37"/>
  <c r="BN308" i="37" s="1"/>
  <c r="X315" i="37"/>
  <c r="BN315" i="37" s="1"/>
  <c r="X365" i="37"/>
  <c r="BN365" i="37" s="1"/>
  <c r="X375" i="37"/>
  <c r="BN375" i="37" s="1"/>
  <c r="X384" i="37"/>
  <c r="X103" i="37"/>
  <c r="BN103" i="37" s="1"/>
  <c r="AD39" i="37"/>
  <c r="AJ90" i="37"/>
  <c r="BR90" i="37" s="1"/>
  <c r="AI207" i="37"/>
  <c r="AI190" i="37" s="1"/>
  <c r="AJ213" i="37"/>
  <c r="BR213" i="37" s="1"/>
  <c r="AJ311" i="37"/>
  <c r="BR311" i="37" s="1"/>
  <c r="AJ314" i="37"/>
  <c r="BR314" i="37" s="1"/>
  <c r="BH85" i="37"/>
  <c r="BZ85" i="37" s="1"/>
  <c r="AV136" i="37"/>
  <c r="BV136" i="37" s="1"/>
  <c r="BD242" i="37"/>
  <c r="BE369" i="37"/>
  <c r="AC14" i="37"/>
  <c r="BF26" i="37"/>
  <c r="X120" i="37"/>
  <c r="BN120" i="37" s="1"/>
  <c r="X265" i="37"/>
  <c r="BN265" i="37" s="1"/>
  <c r="X374" i="37"/>
  <c r="BN374" i="37" s="1"/>
  <c r="X111" i="37"/>
  <c r="BN111" i="37" s="1"/>
  <c r="AF44" i="37"/>
  <c r="AJ59" i="37"/>
  <c r="BR59" i="37" s="1"/>
  <c r="Z76" i="37"/>
  <c r="AH243" i="37"/>
  <c r="AB242" i="37"/>
  <c r="BC61" i="37"/>
  <c r="BH73" i="37"/>
  <c r="BZ73" i="37" s="1"/>
  <c r="AU185" i="37"/>
  <c r="AV318" i="37"/>
  <c r="BV318" i="37" s="1"/>
  <c r="AX14" i="37"/>
  <c r="AQ61" i="37"/>
  <c r="BH387" i="37"/>
  <c r="X110" i="37"/>
  <c r="BN110" i="37" s="1"/>
  <c r="X146" i="37"/>
  <c r="BN146" i="37" s="1"/>
  <c r="X211" i="37"/>
  <c r="BN211" i="37" s="1"/>
  <c r="X382" i="37"/>
  <c r="BN382" i="37" s="1"/>
  <c r="X367" i="37"/>
  <c r="BN367" i="37" s="1"/>
  <c r="AJ21" i="37"/>
  <c r="BR21" i="37" s="1"/>
  <c r="BH63" i="37"/>
  <c r="BZ63" i="37" s="1"/>
  <c r="BE127" i="37"/>
  <c r="BH152" i="37"/>
  <c r="BZ152" i="37" s="1"/>
  <c r="AV288" i="37"/>
  <c r="BV288" i="37" s="1"/>
  <c r="BH312" i="37"/>
  <c r="BZ312" i="37" s="1"/>
  <c r="BH315" i="37"/>
  <c r="BZ315" i="37" s="1"/>
  <c r="BH362" i="37"/>
  <c r="BZ362" i="37" s="1"/>
  <c r="AT123" i="37"/>
  <c r="AS261" i="37"/>
  <c r="X51" i="37"/>
  <c r="BN51" i="37" s="1"/>
  <c r="AG135" i="37"/>
  <c r="AI139" i="37"/>
  <c r="AE17" i="37"/>
  <c r="AJ20" i="37"/>
  <c r="BR20" i="37" s="1"/>
  <c r="AD26" i="37"/>
  <c r="AF76" i="37"/>
  <c r="AA86" i="37"/>
  <c r="AH135" i="37"/>
  <c r="Y138" i="37"/>
  <c r="AG139" i="37"/>
  <c r="AJ377" i="37"/>
  <c r="BR377" i="37" s="1"/>
  <c r="AO17" i="37"/>
  <c r="BA17" i="37"/>
  <c r="BG39" i="37"/>
  <c r="BB39" i="37"/>
  <c r="AL44" i="37"/>
  <c r="AZ44" i="37"/>
  <c r="AW61" i="37"/>
  <c r="AX61" i="37"/>
  <c r="AV75" i="37"/>
  <c r="BV75" i="37" s="1"/>
  <c r="AX106" i="37"/>
  <c r="AZ106" i="37"/>
  <c r="AU112" i="37"/>
  <c r="BH125" i="37"/>
  <c r="BZ125" i="37" s="1"/>
  <c r="AT127" i="37"/>
  <c r="BF127" i="37"/>
  <c r="BE139" i="37"/>
  <c r="BB161" i="37"/>
  <c r="AV310" i="37"/>
  <c r="BV310" i="37" s="1"/>
  <c r="BE112" i="37"/>
  <c r="AR126" i="37"/>
  <c r="AP287" i="37"/>
  <c r="AU369" i="37"/>
  <c r="BG369" i="37"/>
  <c r="BB102" i="37"/>
  <c r="AW106" i="37"/>
  <c r="AR242" i="37"/>
  <c r="AB14" i="37"/>
  <c r="Y44" i="37"/>
  <c r="Y106" i="37"/>
  <c r="AI135" i="37"/>
  <c r="AJ265" i="37"/>
  <c r="BR265" i="37" s="1"/>
  <c r="AJ268" i="37"/>
  <c r="BR268" i="37" s="1"/>
  <c r="AS39" i="37"/>
  <c r="BE39" i="37"/>
  <c r="BA44" i="37"/>
  <c r="AM102" i="37"/>
  <c r="BF102" i="37"/>
  <c r="BA106" i="37"/>
  <c r="AK126" i="37"/>
  <c r="AZ126" i="37"/>
  <c r="AU127" i="37"/>
  <c r="AQ138" i="37"/>
  <c r="AV363" i="37"/>
  <c r="BV363" i="37" s="1"/>
  <c r="BH368" i="37"/>
  <c r="BZ368" i="37" s="1"/>
  <c r="AO379" i="37"/>
  <c r="BD379" i="37"/>
  <c r="AU39" i="37"/>
  <c r="AM62" i="37"/>
  <c r="AM107" i="37"/>
  <c r="BB127" i="37"/>
  <c r="BE207" i="37"/>
  <c r="AP369" i="37"/>
  <c r="BR27" i="37"/>
  <c r="Y61" i="37"/>
  <c r="AJ69" i="37"/>
  <c r="BR69" i="37" s="1"/>
  <c r="AJ94" i="37"/>
  <c r="BR94" i="37" s="1"/>
  <c r="AD112" i="37"/>
  <c r="AC126" i="37"/>
  <c r="AG313" i="37"/>
  <c r="Y379" i="37"/>
  <c r="BG18" i="37"/>
  <c r="AU18" i="37"/>
  <c r="BH29" i="37"/>
  <c r="BZ29" i="37" s="1"/>
  <c r="AT39" i="37"/>
  <c r="AV43" i="37"/>
  <c r="BV43" i="37" s="1"/>
  <c r="AR44" i="37"/>
  <c r="BA61" i="37"/>
  <c r="AU72" i="37"/>
  <c r="BD76" i="37"/>
  <c r="BG102" i="37"/>
  <c r="BE135" i="37"/>
  <c r="AT161" i="37"/>
  <c r="BF161" i="37"/>
  <c r="AV367" i="37"/>
  <c r="BV367" i="37" s="1"/>
  <c r="AV385" i="37"/>
  <c r="BV385" i="37" s="1"/>
  <c r="AR61" i="37"/>
  <c r="AR14" i="37"/>
  <c r="AY161" i="37"/>
  <c r="X27" i="37"/>
  <c r="BN27" i="37" s="1"/>
  <c r="X82" i="37"/>
  <c r="BN82" i="37" s="1"/>
  <c r="X113" i="37"/>
  <c r="BN113" i="37" s="1"/>
  <c r="X290" i="37"/>
  <c r="BN290" i="37" s="1"/>
  <c r="X368" i="37"/>
  <c r="BN368" i="37" s="1"/>
  <c r="V39" i="37"/>
  <c r="V287" i="37"/>
  <c r="AD18" i="37"/>
  <c r="BG107" i="37"/>
  <c r="AY185" i="37"/>
  <c r="X376" i="37"/>
  <c r="BN376" i="37" s="1"/>
  <c r="X386" i="37"/>
  <c r="BN386" i="37" s="1"/>
  <c r="AV22" i="37"/>
  <c r="BV22" i="37" s="1"/>
  <c r="AX44" i="37"/>
  <c r="BG62" i="37"/>
  <c r="AV94" i="37"/>
  <c r="BV94" i="37" s="1"/>
  <c r="AT261" i="37"/>
  <c r="BH364" i="37"/>
  <c r="BZ364" i="37" s="1"/>
  <c r="X366" i="37"/>
  <c r="BN366" i="37" s="1"/>
  <c r="AK14" i="37"/>
  <c r="BH289" i="37"/>
  <c r="BZ289" i="37" s="1"/>
  <c r="BE287" i="37"/>
  <c r="X105" i="37"/>
  <c r="BN105" i="37" s="1"/>
  <c r="X69" i="37"/>
  <c r="BN69" i="37" s="1"/>
  <c r="X311" i="37"/>
  <c r="BN311" i="37" s="1"/>
  <c r="X387" i="37"/>
  <c r="BN387" i="37" s="1"/>
  <c r="V123" i="37"/>
  <c r="V261" i="37"/>
  <c r="AG18" i="37"/>
  <c r="AU261" i="37"/>
  <c r="BF313" i="37"/>
  <c r="X90" i="37"/>
  <c r="BN90" i="37" s="1"/>
  <c r="X318" i="37"/>
  <c r="BN318" i="37" s="1"/>
  <c r="X377" i="37"/>
  <c r="BN377" i="37" s="1"/>
  <c r="AN15" i="37"/>
  <c r="X40" i="37"/>
  <c r="BN40" i="37" s="1"/>
  <c r="X93" i="37"/>
  <c r="X124" i="37"/>
  <c r="BN124" i="37" s="1"/>
  <c r="X378" i="37"/>
  <c r="BN378" i="37" s="1"/>
  <c r="X84" i="37"/>
  <c r="BN84" i="37" s="1"/>
  <c r="X95" i="37"/>
  <c r="BN95" i="37" s="1"/>
  <c r="X136" i="37"/>
  <c r="BN136" i="37" s="1"/>
  <c r="X209" i="37"/>
  <c r="BN209" i="37" s="1"/>
  <c r="X263" i="37"/>
  <c r="BN263" i="37" s="1"/>
  <c r="X59" i="37"/>
  <c r="BN59" i="37" s="1"/>
  <c r="X85" i="37"/>
  <c r="BN85" i="37" s="1"/>
  <c r="X109" i="37"/>
  <c r="BN109" i="37" s="1"/>
  <c r="X210" i="37"/>
  <c r="BN210" i="37" s="1"/>
  <c r="AI39" i="37"/>
  <c r="AA72" i="37"/>
  <c r="AG72" i="37"/>
  <c r="AJ363" i="37"/>
  <c r="BR363" i="37" s="1"/>
  <c r="AI369" i="37"/>
  <c r="BF18" i="37"/>
  <c r="BH37" i="37"/>
  <c r="BZ37" i="37" s="1"/>
  <c r="BH119" i="37"/>
  <c r="BZ119" i="37" s="1"/>
  <c r="BH140" i="37"/>
  <c r="BZ140" i="37" s="1"/>
  <c r="AS185" i="37"/>
  <c r="BH213" i="37"/>
  <c r="BZ213" i="37" s="1"/>
  <c r="BF214" i="37"/>
  <c r="AX242" i="37"/>
  <c r="AP313" i="37"/>
  <c r="BG313" i="37"/>
  <c r="V369" i="37"/>
  <c r="X310" i="37"/>
  <c r="BN310" i="37" s="1"/>
  <c r="X20" i="37"/>
  <c r="BN20" i="37" s="1"/>
  <c r="X118" i="37"/>
  <c r="W102" i="37"/>
  <c r="W261" i="37"/>
  <c r="AG185" i="37"/>
  <c r="AL14" i="37"/>
  <c r="AZ14" i="37"/>
  <c r="BH78" i="37"/>
  <c r="BZ78" i="37" s="1"/>
  <c r="BH93" i="37"/>
  <c r="BH108" i="37"/>
  <c r="BZ108" i="37" s="1"/>
  <c r="AM123" i="37"/>
  <c r="AV124" i="37"/>
  <c r="BV124" i="37" s="1"/>
  <c r="AX126" i="37"/>
  <c r="AO138" i="37"/>
  <c r="BD138" i="37"/>
  <c r="BG214" i="37"/>
  <c r="AZ242" i="37"/>
  <c r="BB261" i="37"/>
  <c r="BF369" i="37"/>
  <c r="AF61" i="37"/>
  <c r="AI107" i="37"/>
  <c r="AJ289" i="37"/>
  <c r="BR289" i="37" s="1"/>
  <c r="AJ295" i="37"/>
  <c r="BR295" i="37" s="1"/>
  <c r="AC379" i="37"/>
  <c r="AX17" i="37"/>
  <c r="BD61" i="37"/>
  <c r="AT72" i="37"/>
  <c r="AU77" i="37"/>
  <c r="AM86" i="37"/>
  <c r="BE86" i="37"/>
  <c r="AS123" i="37"/>
  <c r="BH137" i="37"/>
  <c r="BZ137" i="37" s="1"/>
  <c r="AU145" i="37"/>
  <c r="AU207" i="37"/>
  <c r="AU190" i="37" s="1"/>
  <c r="AP207" i="37"/>
  <c r="BG207" i="37"/>
  <c r="BG190" i="37" s="1"/>
  <c r="BH210" i="37"/>
  <c r="BZ210" i="37" s="1"/>
  <c r="AS243" i="37"/>
  <c r="BB243" i="37"/>
  <c r="AQ379" i="37"/>
  <c r="AH72" i="37"/>
  <c r="AD102" i="37"/>
  <c r="AI102" i="37"/>
  <c r="AI127" i="37"/>
  <c r="AA135" i="37"/>
  <c r="AJ271" i="37"/>
  <c r="BR271" i="37" s="1"/>
  <c r="AG369" i="37"/>
  <c r="AF379" i="37"/>
  <c r="AL61" i="37"/>
  <c r="BB77" i="37"/>
  <c r="AU86" i="37"/>
  <c r="BG86" i="37"/>
  <c r="AT102" i="37"/>
  <c r="AS107" i="37"/>
  <c r="BC15" i="37"/>
  <c r="AP127" i="37"/>
  <c r="BG127" i="37"/>
  <c r="AU135" i="37"/>
  <c r="AP135" i="37"/>
  <c r="BG135" i="37"/>
  <c r="BH265" i="37"/>
  <c r="BZ265" i="37" s="1"/>
  <c r="AV364" i="37"/>
  <c r="BV364" i="37" s="1"/>
  <c r="BH365" i="37"/>
  <c r="BZ365" i="37" s="1"/>
  <c r="BH378" i="37"/>
  <c r="BZ378" i="37" s="1"/>
  <c r="AI72" i="37"/>
  <c r="AG102" i="37"/>
  <c r="AD135" i="37"/>
  <c r="AH369" i="37"/>
  <c r="AS26" i="37"/>
  <c r="AT62" i="37"/>
  <c r="BF72" i="37"/>
  <c r="AV78" i="37"/>
  <c r="BV78" i="37" s="1"/>
  <c r="BH82" i="37"/>
  <c r="BZ82" i="37" s="1"/>
  <c r="AV87" i="37"/>
  <c r="BV87" i="37" s="1"/>
  <c r="AS86" i="37"/>
  <c r="AN106" i="37"/>
  <c r="AT107" i="37"/>
  <c r="BD15" i="37"/>
  <c r="AV118" i="37"/>
  <c r="BV118" i="37" s="1"/>
  <c r="AY127" i="37"/>
  <c r="AS135" i="37"/>
  <c r="BB139" i="37"/>
  <c r="AX138" i="37"/>
  <c r="AU313" i="37"/>
  <c r="AX379" i="37"/>
  <c r="BZ386" i="37"/>
  <c r="AG107" i="37"/>
  <c r="AG145" i="37"/>
  <c r="AT26" i="37"/>
  <c r="AN61" i="37"/>
  <c r="BG72" i="37"/>
  <c r="AT86" i="37"/>
  <c r="AT139" i="37"/>
  <c r="AV160" i="37"/>
  <c r="BV160" i="37" s="1"/>
  <c r="AT185" i="37"/>
  <c r="BB287" i="37"/>
  <c r="AS313" i="37"/>
  <c r="AD86" i="37"/>
  <c r="Z106" i="37"/>
  <c r="AJ125" i="37"/>
  <c r="BR125" i="37" s="1"/>
  <c r="AB126" i="37"/>
  <c r="Z138" i="37"/>
  <c r="AH185" i="37"/>
  <c r="AJ209" i="37"/>
  <c r="BR209" i="37" s="1"/>
  <c r="AJ367" i="37"/>
  <c r="BR367" i="37" s="1"/>
  <c r="BB18" i="37"/>
  <c r="BB26" i="37"/>
  <c r="AS72" i="37"/>
  <c r="BB72" i="37"/>
  <c r="BB86" i="37"/>
  <c r="AL106" i="37"/>
  <c r="BF112" i="37"/>
  <c r="AU123" i="37"/>
  <c r="AU139" i="37"/>
  <c r="BF139" i="37"/>
  <c r="AT145" i="37"/>
  <c r="BF207" i="37"/>
  <c r="BF190" i="37" s="1"/>
  <c r="AT214" i="37"/>
  <c r="AK15" i="37"/>
  <c r="AV262" i="37"/>
  <c r="BV262" i="37" s="1"/>
  <c r="AT313" i="37"/>
  <c r="BH366" i="37"/>
  <c r="BZ366" i="37" s="1"/>
  <c r="AJ43" i="37"/>
  <c r="BR43" i="37" s="1"/>
  <c r="AA39" i="37"/>
  <c r="AO76" i="37"/>
  <c r="AO14" i="37"/>
  <c r="AS18" i="37"/>
  <c r="AV93" i="37"/>
  <c r="BH94" i="37"/>
  <c r="BZ94" i="37" s="1"/>
  <c r="AV360" i="37"/>
  <c r="BV360" i="37" s="1"/>
  <c r="AV46" i="37"/>
  <c r="AJ374" i="37"/>
  <c r="BR374" i="37" s="1"/>
  <c r="AA369" i="37"/>
  <c r="AX15" i="37"/>
  <c r="X21" i="37"/>
  <c r="BN21" i="37" s="1"/>
  <c r="X97" i="37"/>
  <c r="BN97" i="37" s="1"/>
  <c r="X137" i="37"/>
  <c r="BN137" i="37" s="1"/>
  <c r="X264" i="37"/>
  <c r="BN264" i="37" s="1"/>
  <c r="X295" i="37"/>
  <c r="BN295" i="37" s="1"/>
  <c r="Y17" i="37"/>
  <c r="Y14" i="37"/>
  <c r="AB44" i="37"/>
  <c r="AB15" i="37"/>
  <c r="AC76" i="37"/>
  <c r="AH207" i="37"/>
  <c r="AH190" i="37" s="1"/>
  <c r="BC106" i="37"/>
  <c r="AQ126" i="37"/>
  <c r="AQ14" i="37"/>
  <c r="BH151" i="37"/>
  <c r="BZ151" i="37" s="1"/>
  <c r="V139" i="37"/>
  <c r="Z17" i="37"/>
  <c r="Z14" i="37"/>
  <c r="AJ51" i="37"/>
  <c r="BR51" i="37" s="1"/>
  <c r="AC15" i="37"/>
  <c r="AJ264" i="37"/>
  <c r="BR264" i="37" s="1"/>
  <c r="BD106" i="37"/>
  <c r="AJ124" i="37"/>
  <c r="AD139" i="37"/>
  <c r="AH261" i="37"/>
  <c r="BF62" i="37"/>
  <c r="AV90" i="37"/>
  <c r="BV90" i="37" s="1"/>
  <c r="AP86" i="37"/>
  <c r="AY145" i="37"/>
  <c r="AO266" i="37"/>
  <c r="AO15" i="37"/>
  <c r="AB61" i="37"/>
  <c r="Y242" i="37"/>
  <c r="BC17" i="37"/>
  <c r="BC14" i="37"/>
  <c r="AV20" i="37"/>
  <c r="BV20" i="37" s="1"/>
  <c r="AP18" i="37"/>
  <c r="AN14" i="37"/>
  <c r="AN44" i="37"/>
  <c r="X49" i="37"/>
  <c r="BN49" i="37" s="1"/>
  <c r="X63" i="37"/>
  <c r="BN63" i="37" s="1"/>
  <c r="X87" i="37"/>
  <c r="BN87" i="37" s="1"/>
  <c r="X150" i="37"/>
  <c r="BN150" i="37" s="1"/>
  <c r="X213" i="37"/>
  <c r="BN213" i="37" s="1"/>
  <c r="X309" i="37"/>
  <c r="BN309" i="37" s="1"/>
  <c r="W369" i="37"/>
  <c r="AJ78" i="37"/>
  <c r="BR78" i="37" s="1"/>
  <c r="AD107" i="37"/>
  <c r="AH127" i="37"/>
  <c r="AJ211" i="37"/>
  <c r="BR211" i="37" s="1"/>
  <c r="AD287" i="37"/>
  <c r="AJ294" i="37"/>
  <c r="BR294" i="37" s="1"/>
  <c r="AH313" i="37"/>
  <c r="AL17" i="37"/>
  <c r="BD17" i="37"/>
  <c r="BD14" i="37"/>
  <c r="AV63" i="37"/>
  <c r="BV63" i="37" s="1"/>
  <c r="AP62" i="37"/>
  <c r="BH66" i="37"/>
  <c r="BZ66" i="37" s="1"/>
  <c r="AY62" i="37"/>
  <c r="AY123" i="37"/>
  <c r="AF14" i="37"/>
  <c r="AH107" i="37"/>
  <c r="W18" i="37"/>
  <c r="W17" i="37" s="1"/>
  <c r="V185" i="37"/>
  <c r="AC44" i="37"/>
  <c r="AJ208" i="37"/>
  <c r="BR208" i="37" s="1"/>
  <c r="AG287" i="37"/>
  <c r="AJ387" i="37"/>
  <c r="AS62" i="37"/>
  <c r="BB62" i="37"/>
  <c r="BA76" i="37"/>
  <c r="BA14" i="37"/>
  <c r="AL91" i="37"/>
  <c r="AL15" i="37"/>
  <c r="BH118" i="37"/>
  <c r="BZ118" i="37" s="1"/>
  <c r="AE15" i="37"/>
  <c r="AJ71" i="37"/>
  <c r="BR71" i="37" s="1"/>
  <c r="AE138" i="37"/>
  <c r="AV108" i="37"/>
  <c r="BV108" i="37" s="1"/>
  <c r="AP107" i="37"/>
  <c r="AY107" i="37"/>
  <c r="AE106" i="37"/>
  <c r="AJ120" i="37"/>
  <c r="BR120" i="37" s="1"/>
  <c r="AJ290" i="37"/>
  <c r="BR290" i="37" s="1"/>
  <c r="X29" i="37"/>
  <c r="BN29" i="37" s="1"/>
  <c r="X43" i="37"/>
  <c r="BN43" i="37" s="1"/>
  <c r="X71" i="37"/>
  <c r="BN71" i="37" s="1"/>
  <c r="X115" i="37"/>
  <c r="BN115" i="37" s="1"/>
  <c r="X125" i="37"/>
  <c r="BN125" i="37" s="1"/>
  <c r="X262" i="37"/>
  <c r="BN262" i="37" s="1"/>
  <c r="X291" i="37"/>
  <c r="BN291" i="37" s="1"/>
  <c r="X312" i="37"/>
  <c r="BN312" i="37" s="1"/>
  <c r="X360" i="37"/>
  <c r="BN360" i="37" s="1"/>
  <c r="X294" i="37"/>
  <c r="BN294" i="37" s="1"/>
  <c r="V112" i="37"/>
  <c r="V127" i="37"/>
  <c r="AF15" i="37"/>
  <c r="AH62" i="37"/>
  <c r="AI145" i="37"/>
  <c r="AB379" i="37"/>
  <c r="BH20" i="37"/>
  <c r="BZ20" i="37" s="1"/>
  <c r="AY18" i="37"/>
  <c r="AV83" i="37"/>
  <c r="BV83" i="37" s="1"/>
  <c r="BH84" i="37"/>
  <c r="BZ84" i="37" s="1"/>
  <c r="AY86" i="37"/>
  <c r="AD62" i="37"/>
  <c r="AD123" i="37"/>
  <c r="AG127" i="37"/>
  <c r="AF138" i="37"/>
  <c r="AI185" i="37"/>
  <c r="AD185" i="37"/>
  <c r="AD207" i="37"/>
  <c r="AI214" i="37"/>
  <c r="AD261" i="37"/>
  <c r="AH287" i="37"/>
  <c r="AJ309" i="37"/>
  <c r="BR309" i="37" s="1"/>
  <c r="AJ312" i="37"/>
  <c r="BR312" i="37" s="1"/>
  <c r="AI313" i="37"/>
  <c r="AV29" i="37"/>
  <c r="BV29" i="37" s="1"/>
  <c r="AV37" i="37"/>
  <c r="BV37" i="37" s="1"/>
  <c r="BH38" i="37"/>
  <c r="BZ38" i="37" s="1"/>
  <c r="AP39" i="37"/>
  <c r="BH43" i="37"/>
  <c r="BZ43" i="37" s="1"/>
  <c r="AY39" i="37"/>
  <c r="BH51" i="37"/>
  <c r="BZ51" i="37" s="1"/>
  <c r="BH59" i="37"/>
  <c r="BZ59" i="37" s="1"/>
  <c r="BZ56" i="37" s="1"/>
  <c r="AV69" i="37"/>
  <c r="BV69" i="37" s="1"/>
  <c r="BH71" i="37"/>
  <c r="BZ71" i="37" s="1"/>
  <c r="AV73" i="37"/>
  <c r="BV73" i="37" s="1"/>
  <c r="AP72" i="37"/>
  <c r="BH75" i="37"/>
  <c r="BZ75" i="37" s="1"/>
  <c r="AY72" i="37"/>
  <c r="AV85" i="37"/>
  <c r="BV85" i="37" s="1"/>
  <c r="AV119" i="37"/>
  <c r="BV119" i="37" s="1"/>
  <c r="BH120" i="37"/>
  <c r="BZ120" i="37" s="1"/>
  <c r="AM127" i="37"/>
  <c r="BH361" i="37"/>
  <c r="BZ361" i="37" s="1"/>
  <c r="AV366" i="37"/>
  <c r="BV366" i="37" s="1"/>
  <c r="AV269" i="37"/>
  <c r="BV269" i="37" s="1"/>
  <c r="AW379" i="37"/>
  <c r="AW14" i="37"/>
  <c r="V135" i="37"/>
  <c r="V313" i="37"/>
  <c r="AH18" i="37"/>
  <c r="AC61" i="37"/>
  <c r="AJ75" i="37"/>
  <c r="BR75" i="37" s="1"/>
  <c r="AH102" i="37"/>
  <c r="AE126" i="37"/>
  <c r="AH139" i="37"/>
  <c r="AD145" i="37"/>
  <c r="Z242" i="37"/>
  <c r="AG243" i="37"/>
  <c r="AC242" i="37"/>
  <c r="AP26" i="37"/>
  <c r="AZ17" i="37"/>
  <c r="AZ15" i="37"/>
  <c r="AR76" i="37"/>
  <c r="BG77" i="37"/>
  <c r="AM139" i="37"/>
  <c r="BA165" i="37"/>
  <c r="BA15" i="37"/>
  <c r="V207" i="37"/>
  <c r="V190" i="37" s="1"/>
  <c r="AI18" i="37"/>
  <c r="AI62" i="37"/>
  <c r="AI77" i="37"/>
  <c r="AG86" i="37"/>
  <c r="AJ97" i="37"/>
  <c r="BR97" i="37" s="1"/>
  <c r="AF126" i="37"/>
  <c r="AJ136" i="37"/>
  <c r="BR136" i="37" s="1"/>
  <c r="AI261" i="37"/>
  <c r="AJ288" i="37"/>
  <c r="BR288" i="37" s="1"/>
  <c r="AE379" i="37"/>
  <c r="AQ17" i="37"/>
  <c r="AQ15" i="37"/>
  <c r="BH97" i="37"/>
  <c r="BZ97" i="37" s="1"/>
  <c r="AV103" i="37"/>
  <c r="BV103" i="37" s="1"/>
  <c r="AP102" i="37"/>
  <c r="BH105" i="37"/>
  <c r="BZ105" i="37" s="1"/>
  <c r="AY102" i="37"/>
  <c r="AV110" i="37"/>
  <c r="BV110" i="37" s="1"/>
  <c r="BH111" i="37"/>
  <c r="BZ111" i="37" s="1"/>
  <c r="AP112" i="37"/>
  <c r="BH115" i="37"/>
  <c r="BZ115" i="37" s="1"/>
  <c r="AY112" i="37"/>
  <c r="AY135" i="37"/>
  <c r="AP139" i="37"/>
  <c r="BG139" i="37"/>
  <c r="AM161" i="37"/>
  <c r="AV164" i="37"/>
  <c r="BV164" i="37" s="1"/>
  <c r="BH314" i="37"/>
  <c r="BZ314" i="37" s="1"/>
  <c r="AY313" i="37"/>
  <c r="AJ25" i="37"/>
  <c r="BR25" i="37" s="1"/>
  <c r="AH86" i="37"/>
  <c r="AJ105" i="37"/>
  <c r="BR105" i="37" s="1"/>
  <c r="AJ146" i="37"/>
  <c r="BR146" i="37" s="1"/>
  <c r="AG207" i="37"/>
  <c r="AI243" i="37"/>
  <c r="AD243" i="37"/>
  <c r="AG261" i="37"/>
  <c r="AI287" i="37"/>
  <c r="BH22" i="37"/>
  <c r="BZ22" i="37" s="1"/>
  <c r="AR17" i="37"/>
  <c r="AR15" i="37"/>
  <c r="AY77" i="37"/>
  <c r="BF107" i="37"/>
  <c r="AV122" i="37"/>
  <c r="BV122" i="37" s="1"/>
  <c r="AW15" i="37"/>
  <c r="AY139" i="37"/>
  <c r="AT243" i="37"/>
  <c r="AM243" i="37"/>
  <c r="AS127" i="37"/>
  <c r="AS139" i="37"/>
  <c r="AM207" i="37"/>
  <c r="AV209" i="37"/>
  <c r="BV209" i="37" s="1"/>
  <c r="AU243" i="37"/>
  <c r="AV291" i="37"/>
  <c r="BV291" i="37" s="1"/>
  <c r="BH311" i="37"/>
  <c r="BZ311" i="37" s="1"/>
  <c r="BB313" i="37"/>
  <c r="AT369" i="37"/>
  <c r="AV374" i="37"/>
  <c r="BV374" i="37" s="1"/>
  <c r="BE313" i="37"/>
  <c r="BH318" i="37"/>
  <c r="BZ318" i="37" s="1"/>
  <c r="BB145" i="37"/>
  <c r="BH147" i="37"/>
  <c r="BZ147" i="37" s="1"/>
  <c r="AS207" i="37"/>
  <c r="AV264" i="37"/>
  <c r="BV264" i="37" s="1"/>
  <c r="AM261" i="37"/>
  <c r="BH268" i="37"/>
  <c r="BZ268" i="37" s="1"/>
  <c r="AS369" i="37"/>
  <c r="BH141" i="37"/>
  <c r="BZ141" i="37" s="1"/>
  <c r="BH160" i="37"/>
  <c r="BZ160" i="37" s="1"/>
  <c r="BH164" i="37"/>
  <c r="BZ164" i="37" s="1"/>
  <c r="BE185" i="37"/>
  <c r="BH208" i="37"/>
  <c r="BZ208" i="37" s="1"/>
  <c r="AY207" i="37"/>
  <c r="AT207" i="37"/>
  <c r="AT190" i="37" s="1"/>
  <c r="AM287" i="37"/>
  <c r="AV289" i="37"/>
  <c r="BV289" i="37" s="1"/>
  <c r="BF287" i="37"/>
  <c r="BH290" i="37"/>
  <c r="BZ290" i="37" s="1"/>
  <c r="AY287" i="37"/>
  <c r="AV368" i="37"/>
  <c r="BV368" i="37" s="1"/>
  <c r="BH370" i="37"/>
  <c r="BZ370" i="37" s="1"/>
  <c r="AY369" i="37"/>
  <c r="AV125" i="37"/>
  <c r="BV125" i="37" s="1"/>
  <c r="AM135" i="37"/>
  <c r="AV137" i="37"/>
  <c r="BV137" i="37" s="1"/>
  <c r="AV144" i="37"/>
  <c r="BV144" i="37" s="1"/>
  <c r="AM145" i="37"/>
  <c r="AV147" i="37"/>
  <c r="BV147" i="37" s="1"/>
  <c r="BE261" i="37"/>
  <c r="BH262" i="37"/>
  <c r="BZ262" i="37" s="1"/>
  <c r="AU287" i="37"/>
  <c r="BG287" i="37"/>
  <c r="BH295" i="37"/>
  <c r="BZ295" i="37" s="1"/>
  <c r="AV387" i="37"/>
  <c r="BV387" i="37" s="1"/>
  <c r="BB207" i="37"/>
  <c r="AV213" i="37"/>
  <c r="BV213" i="37" s="1"/>
  <c r="BF261" i="37"/>
  <c r="AS287" i="37"/>
  <c r="AV295" i="37"/>
  <c r="BV295" i="37" s="1"/>
  <c r="BB369" i="37"/>
  <c r="BE243" i="37"/>
  <c r="AP261" i="37"/>
  <c r="BG261" i="37"/>
  <c r="BH263" i="37"/>
  <c r="BZ263" i="37" s="1"/>
  <c r="AY261" i="37"/>
  <c r="AT287" i="37"/>
  <c r="BH296" i="37"/>
  <c r="BZ296" i="37" s="1"/>
  <c r="AM369" i="37"/>
  <c r="AV211" i="37"/>
  <c r="BV211" i="37" s="1"/>
  <c r="BF243" i="37"/>
  <c r="AV271" i="37"/>
  <c r="BV271" i="37" s="1"/>
  <c r="AV312" i="37"/>
  <c r="BV312" i="37" s="1"/>
  <c r="AM313" i="37"/>
  <c r="AV362" i="37"/>
  <c r="BV362" i="37" s="1"/>
  <c r="AV376" i="37"/>
  <c r="BV376" i="37" s="1"/>
  <c r="BH212" i="37"/>
  <c r="BZ212" i="37" s="1"/>
  <c r="AP243" i="37"/>
  <c r="BG243" i="37"/>
  <c r="AY243" i="37"/>
  <c r="BH294" i="37"/>
  <c r="BZ294" i="37" s="1"/>
  <c r="BH363" i="37"/>
  <c r="BZ363" i="37" s="1"/>
  <c r="BH377" i="37"/>
  <c r="BZ377" i="37" s="1"/>
  <c r="T379" i="37"/>
  <c r="AJ291" i="37"/>
  <c r="BR291" i="37" s="1"/>
  <c r="AA287" i="37"/>
  <c r="V107" i="37"/>
  <c r="W139" i="37"/>
  <c r="W185" i="37"/>
  <c r="AG62" i="37"/>
  <c r="AI86" i="37"/>
  <c r="AA112" i="37"/>
  <c r="AJ137" i="37"/>
  <c r="BR137" i="37" s="1"/>
  <c r="AJ164" i="37"/>
  <c r="BR164" i="37" s="1"/>
  <c r="AJ273" i="37"/>
  <c r="BR273" i="37" s="1"/>
  <c r="AJ365" i="37"/>
  <c r="BR365" i="37" s="1"/>
  <c r="AJ368" i="37"/>
  <c r="BR368" i="37" s="1"/>
  <c r="AA62" i="37"/>
  <c r="AJ63" i="37"/>
  <c r="BR63" i="37" s="1"/>
  <c r="AA18" i="37"/>
  <c r="AA26" i="37"/>
  <c r="V102" i="37"/>
  <c r="V243" i="37"/>
  <c r="AJ33" i="37"/>
  <c r="BR33" i="37" s="1"/>
  <c r="AJ84" i="37"/>
  <c r="BR84" i="37" s="1"/>
  <c r="AJ95" i="37"/>
  <c r="BR95" i="37" s="1"/>
  <c r="AG112" i="37"/>
  <c r="AJ144" i="37"/>
  <c r="BR144" i="37" s="1"/>
  <c r="AA139" i="37"/>
  <c r="AA207" i="37"/>
  <c r="AA243" i="37"/>
  <c r="AJ263" i="37"/>
  <c r="BR263" i="37" s="1"/>
  <c r="AJ361" i="37"/>
  <c r="BR361" i="37" s="1"/>
  <c r="AJ364" i="37"/>
  <c r="BR364" i="37" s="1"/>
  <c r="AJ375" i="37"/>
  <c r="BR375" i="37" s="1"/>
  <c r="AJ378" i="37"/>
  <c r="BR378" i="37" s="1"/>
  <c r="M379" i="37"/>
  <c r="P379" i="37"/>
  <c r="AJ110" i="37"/>
  <c r="BR110" i="37" s="1"/>
  <c r="AA107" i="37"/>
  <c r="W62" i="37"/>
  <c r="W77" i="37"/>
  <c r="W127" i="37"/>
  <c r="V214" i="37"/>
  <c r="W313" i="37"/>
  <c r="Y15" i="37"/>
  <c r="AJ66" i="37"/>
  <c r="BR66" i="37" s="1"/>
  <c r="AJ111" i="37"/>
  <c r="BR111" i="37" s="1"/>
  <c r="AH112" i="37"/>
  <c r="AA123" i="37"/>
  <c r="AA127" i="37"/>
  <c r="AJ210" i="37"/>
  <c r="BR210" i="37" s="1"/>
  <c r="AJ386" i="37"/>
  <c r="BR386" i="37" s="1"/>
  <c r="AA145" i="37"/>
  <c r="V62" i="37"/>
  <c r="W72" i="37"/>
  <c r="W145" i="37"/>
  <c r="Z15" i="37"/>
  <c r="AA102" i="37"/>
  <c r="AJ118" i="37"/>
  <c r="BR118" i="37" s="1"/>
  <c r="AJ160" i="37"/>
  <c r="BR160" i="37" s="1"/>
  <c r="AH214" i="37"/>
  <c r="AJ360" i="37"/>
  <c r="BR360" i="37" s="1"/>
  <c r="AA185" i="37"/>
  <c r="W107" i="37"/>
  <c r="AE14" i="37"/>
  <c r="AJ83" i="37"/>
  <c r="BR83" i="37" s="1"/>
  <c r="AA261" i="37"/>
  <c r="AJ262" i="37"/>
  <c r="BR262" i="37" s="1"/>
  <c r="AD369" i="37"/>
  <c r="AJ87" i="37"/>
  <c r="BR87" i="37" s="1"/>
  <c r="W243" i="37"/>
  <c r="W214" i="37"/>
  <c r="W207" i="37"/>
  <c r="W135" i="37"/>
  <c r="W123" i="37"/>
  <c r="W112" i="37"/>
  <c r="W86" i="37"/>
  <c r="W39" i="37"/>
  <c r="Q379" i="37"/>
  <c r="S266" i="37"/>
  <c r="T292" i="37"/>
  <c r="O39" i="37"/>
  <c r="W287" i="37"/>
  <c r="U123" i="37"/>
  <c r="R112" i="37"/>
  <c r="N190" i="37"/>
  <c r="N379" i="37"/>
  <c r="T138" i="37"/>
  <c r="Q138" i="37"/>
  <c r="T190" i="37"/>
  <c r="N138" i="37"/>
  <c r="Q165" i="37"/>
  <c r="Q214" i="37"/>
  <c r="U161" i="37"/>
  <c r="Q61" i="37"/>
  <c r="R86" i="37"/>
  <c r="P165" i="37"/>
  <c r="U39" i="37"/>
  <c r="S165" i="37"/>
  <c r="U185" i="37"/>
  <c r="S242" i="37"/>
  <c r="S91" i="37"/>
  <c r="U112" i="37"/>
  <c r="S190" i="37"/>
  <c r="P319" i="37"/>
  <c r="T148" i="37"/>
  <c r="S319" i="37"/>
  <c r="R288" i="37"/>
  <c r="BL288" i="37" s="1"/>
  <c r="T91" i="37"/>
  <c r="T242" i="37"/>
  <c r="U243" i="37"/>
  <c r="P190" i="37"/>
  <c r="Q242" i="37"/>
  <c r="S76" i="37"/>
  <c r="U107" i="37"/>
  <c r="P148" i="37"/>
  <c r="T76" i="37"/>
  <c r="S148" i="37"/>
  <c r="M165" i="37"/>
  <c r="U102" i="37"/>
  <c r="N165" i="37"/>
  <c r="S106" i="37"/>
  <c r="S138" i="37"/>
  <c r="O72" i="37"/>
  <c r="P76" i="37"/>
  <c r="Q292" i="37"/>
  <c r="U86" i="37"/>
  <c r="M242" i="37"/>
  <c r="R72" i="37"/>
  <c r="P126" i="37"/>
  <c r="P266" i="37"/>
  <c r="S126" i="37"/>
  <c r="U236" i="37"/>
  <c r="S292" i="37"/>
  <c r="M106" i="37"/>
  <c r="M190" i="37"/>
  <c r="M214" i="37"/>
  <c r="Q91" i="37"/>
  <c r="P91" i="37"/>
  <c r="R145" i="37"/>
  <c r="U18" i="37"/>
  <c r="T61" i="37"/>
  <c r="T126" i="37"/>
  <c r="S214" i="37"/>
  <c r="U369" i="37"/>
  <c r="O243" i="37"/>
  <c r="T214" i="37"/>
  <c r="M76" i="37"/>
  <c r="O107" i="37"/>
  <c r="O135" i="37"/>
  <c r="N148" i="37"/>
  <c r="Q76" i="37"/>
  <c r="R102" i="37"/>
  <c r="R107" i="37"/>
  <c r="R135" i="37"/>
  <c r="S116" i="37"/>
  <c r="U135" i="37"/>
  <c r="U145" i="37"/>
  <c r="U207" i="37"/>
  <c r="N76" i="37"/>
  <c r="R243" i="37"/>
  <c r="T116" i="37"/>
  <c r="U139" i="37"/>
  <c r="U287" i="37"/>
  <c r="U313" i="37"/>
  <c r="T319" i="37"/>
  <c r="M292" i="37"/>
  <c r="P61" i="37"/>
  <c r="P106" i="37"/>
  <c r="R161" i="37"/>
  <c r="U62" i="37"/>
  <c r="T106" i="37"/>
  <c r="U127" i="37"/>
  <c r="T165" i="37"/>
  <c r="U261" i="37"/>
  <c r="U361" i="37"/>
  <c r="BM361" i="37" s="1"/>
  <c r="M266" i="37"/>
  <c r="M319" i="37"/>
  <c r="R18" i="37"/>
  <c r="Q126" i="37"/>
  <c r="Q190" i="37"/>
  <c r="R261" i="37"/>
  <c r="P292" i="37"/>
  <c r="R369" i="37"/>
  <c r="S14" i="37"/>
  <c r="P242" i="37"/>
  <c r="M15" i="37"/>
  <c r="O123" i="37"/>
  <c r="M138" i="37"/>
  <c r="M148" i="37"/>
  <c r="O161" i="37"/>
  <c r="N214" i="37"/>
  <c r="R236" i="37"/>
  <c r="T287" i="37"/>
  <c r="T15" i="37" s="1"/>
  <c r="Q266" i="37"/>
  <c r="P138" i="37"/>
  <c r="M44" i="37"/>
  <c r="O86" i="37"/>
  <c r="P116" i="37"/>
  <c r="P214" i="37"/>
  <c r="R313" i="37"/>
  <c r="Q319" i="37"/>
  <c r="N287" i="37"/>
  <c r="N266" i="37" s="1"/>
  <c r="R139" i="37"/>
  <c r="M91" i="37"/>
  <c r="O112" i="37"/>
  <c r="O145" i="37"/>
  <c r="N319" i="37"/>
  <c r="R39" i="37"/>
  <c r="R62" i="37"/>
  <c r="Q106" i="37"/>
  <c r="Q116" i="37"/>
  <c r="R127" i="37"/>
  <c r="R185" i="37"/>
  <c r="N91" i="37"/>
  <c r="P15" i="37"/>
  <c r="R123" i="37"/>
  <c r="Q148" i="37"/>
  <c r="M126" i="37"/>
  <c r="P14" i="37"/>
  <c r="O18" i="37"/>
  <c r="N61" i="37"/>
  <c r="O102" i="37"/>
  <c r="N126" i="37"/>
  <c r="O369" i="37"/>
  <c r="M61" i="37"/>
  <c r="O77" i="37"/>
  <c r="M116" i="37"/>
  <c r="N242" i="37"/>
  <c r="O261" i="37"/>
  <c r="N292" i="37"/>
  <c r="O139" i="37"/>
  <c r="O236" i="37"/>
  <c r="O313" i="37"/>
  <c r="Q15" i="37"/>
  <c r="O62" i="37"/>
  <c r="N106" i="37"/>
  <c r="N116" i="37"/>
  <c r="O127" i="37"/>
  <c r="O185" i="37"/>
  <c r="O287" i="37"/>
  <c r="M14" i="37"/>
  <c r="O362" i="37"/>
  <c r="BK362" i="37" s="1"/>
  <c r="V7" i="39"/>
  <c r="U7" i="39"/>
  <c r="O27" i="31"/>
  <c r="D26" i="51" l="1"/>
  <c r="D40" i="51"/>
  <c r="D46" i="51"/>
  <c r="D49" i="51" s="1"/>
  <c r="D63" i="51"/>
  <c r="D28" i="51"/>
  <c r="D52" i="51"/>
  <c r="I419" i="37"/>
  <c r="BY44" i="37"/>
  <c r="BW45" i="37"/>
  <c r="BW44" i="37" s="1"/>
  <c r="BU44" i="37"/>
  <c r="BO45" i="37"/>
  <c r="BO44" i="37" s="1"/>
  <c r="I417" i="37"/>
  <c r="D23" i="51" s="1"/>
  <c r="BS45" i="37"/>
  <c r="BS44" i="37" s="1"/>
  <c r="AF45" i="44" s="1"/>
  <c r="AF44" i="44" s="1"/>
  <c r="BL45" i="37"/>
  <c r="BL44" i="37" s="1"/>
  <c r="BN56" i="37"/>
  <c r="BO149" i="37"/>
  <c r="BO148" i="37" s="1"/>
  <c r="AB142" i="44" s="1"/>
  <c r="BY166" i="37"/>
  <c r="BY165" i="37" s="1"/>
  <c r="AL154" i="44" s="1"/>
  <c r="BS243" i="37"/>
  <c r="BS242" i="37" s="1"/>
  <c r="AF166" i="44" s="1"/>
  <c r="AF165" i="44" s="1"/>
  <c r="BR56" i="37"/>
  <c r="I416" i="37"/>
  <c r="CB416" i="37" s="1"/>
  <c r="I423" i="37"/>
  <c r="CB423" i="37" s="1"/>
  <c r="I418" i="37"/>
  <c r="CB418" i="37" s="1"/>
  <c r="I844" i="37"/>
  <c r="BO243" i="37"/>
  <c r="BO242" i="37" s="1"/>
  <c r="AB166" i="44" s="1"/>
  <c r="BW243" i="37"/>
  <c r="BW242" i="37" s="1"/>
  <c r="AJ166" i="44" s="1"/>
  <c r="AJ165" i="44" s="1"/>
  <c r="BW236" i="37"/>
  <c r="BN243" i="37"/>
  <c r="BT166" i="37"/>
  <c r="BT165" i="37" s="1"/>
  <c r="AG154" i="44" s="1"/>
  <c r="AG153" i="44" s="1"/>
  <c r="BV243" i="37"/>
  <c r="BR243" i="37"/>
  <c r="BZ243" i="37"/>
  <c r="J243" i="37"/>
  <c r="BS185" i="37"/>
  <c r="I56" i="37"/>
  <c r="J56" i="37"/>
  <c r="BS380" i="37"/>
  <c r="BS379" i="37" s="1"/>
  <c r="AF182" i="44" s="1"/>
  <c r="X92" i="37"/>
  <c r="BW380" i="37"/>
  <c r="BW379" i="37" s="1"/>
  <c r="AJ182" i="44" s="1"/>
  <c r="BQ380" i="37"/>
  <c r="BQ379" i="37" s="1"/>
  <c r="AD182" i="44" s="1"/>
  <c r="AD181" i="44" s="1"/>
  <c r="BY379" i="37"/>
  <c r="AL182" i="44" s="1"/>
  <c r="AL181" i="44" s="1"/>
  <c r="BK380" i="37"/>
  <c r="BK379" i="37" s="1"/>
  <c r="X182" i="44" s="1"/>
  <c r="BM379" i="37"/>
  <c r="Z182" i="44" s="1"/>
  <c r="Z181" i="44" s="1"/>
  <c r="BW92" i="37"/>
  <c r="BW91" i="37" s="1"/>
  <c r="AJ86" i="44" s="1"/>
  <c r="BL379" i="37"/>
  <c r="Y182" i="44" s="1"/>
  <c r="Y181" i="44" s="1"/>
  <c r="BS166" i="37"/>
  <c r="BP379" i="37"/>
  <c r="AC182" i="44" s="1"/>
  <c r="AC181" i="44" s="1"/>
  <c r="BU379" i="37"/>
  <c r="AH182" i="44" s="1"/>
  <c r="AH181" i="44" s="1"/>
  <c r="BX379" i="37"/>
  <c r="AK182" i="44" s="1"/>
  <c r="BP166" i="37"/>
  <c r="BP165" i="37" s="1"/>
  <c r="AC154" i="44" s="1"/>
  <c r="AC153" i="44" s="1"/>
  <c r="BW166" i="37"/>
  <c r="BK166" i="37"/>
  <c r="BK165" i="37" s="1"/>
  <c r="X154" i="44" s="1"/>
  <c r="X153" i="44" s="1"/>
  <c r="BK92" i="37"/>
  <c r="BK91" i="37" s="1"/>
  <c r="X86" i="44" s="1"/>
  <c r="X85" i="44" s="1"/>
  <c r="BT379" i="37"/>
  <c r="AG182" i="44" s="1"/>
  <c r="AG181" i="44" s="1"/>
  <c r="BS92" i="37"/>
  <c r="BS91" i="37" s="1"/>
  <c r="AF86" i="44" s="1"/>
  <c r="AF85" i="44" s="1"/>
  <c r="I92" i="37"/>
  <c r="AJ92" i="37"/>
  <c r="J92" i="37"/>
  <c r="J166" i="37"/>
  <c r="I166" i="37"/>
  <c r="BO166" i="37"/>
  <c r="BO165" i="37" s="1"/>
  <c r="AB154" i="44" s="1"/>
  <c r="AB153" i="44" s="1"/>
  <c r="BV398" i="37"/>
  <c r="BV397" i="37" s="1"/>
  <c r="AV397" i="37"/>
  <c r="BO191" i="37"/>
  <c r="BO190" i="37" s="1"/>
  <c r="AB158" i="44" s="1"/>
  <c r="AB157" i="44" s="1"/>
  <c r="BR398" i="37"/>
  <c r="BR397" i="37" s="1"/>
  <c r="AJ397" i="37"/>
  <c r="BO397" i="37"/>
  <c r="BO379" i="37" s="1"/>
  <c r="AB182" i="44" s="1"/>
  <c r="AB181" i="44" s="1"/>
  <c r="BO293" i="37"/>
  <c r="BO292" i="37" s="1"/>
  <c r="AB174" i="44" s="1"/>
  <c r="AB173" i="44" s="1"/>
  <c r="BM191" i="37"/>
  <c r="BM190" i="37" s="1"/>
  <c r="Z158" i="44" s="1"/>
  <c r="Z157" i="44" s="1"/>
  <c r="BZ398" i="37"/>
  <c r="BZ397" i="37" s="1"/>
  <c r="BH397" i="37"/>
  <c r="BN401" i="37"/>
  <c r="L401" i="37" s="1"/>
  <c r="X397" i="37"/>
  <c r="BS236" i="37"/>
  <c r="J397" i="37"/>
  <c r="I397" i="37"/>
  <c r="BS293" i="37"/>
  <c r="BS292" i="37" s="1"/>
  <c r="AF174" i="44" s="1"/>
  <c r="AF173" i="44" s="1"/>
  <c r="BS191" i="37"/>
  <c r="BS190" i="37" s="1"/>
  <c r="AF158" i="44" s="1"/>
  <c r="AF157" i="44" s="1"/>
  <c r="BU191" i="37"/>
  <c r="BU190" i="37" s="1"/>
  <c r="AH158" i="44" s="1"/>
  <c r="AH157" i="44" s="1"/>
  <c r="J380" i="37"/>
  <c r="BR387" i="37"/>
  <c r="AJ380" i="37"/>
  <c r="I380" i="37"/>
  <c r="BZ387" i="37"/>
  <c r="BZ380" i="37" s="1"/>
  <c r="BH380" i="37"/>
  <c r="BV384" i="37"/>
  <c r="BV380" i="37" s="1"/>
  <c r="AV380" i="37"/>
  <c r="BN384" i="37"/>
  <c r="BN380" i="37" s="1"/>
  <c r="X380" i="37"/>
  <c r="BW191" i="37"/>
  <c r="BW190" i="37" s="1"/>
  <c r="AJ158" i="44" s="1"/>
  <c r="AJ157" i="44" s="1"/>
  <c r="BW267" i="37"/>
  <c r="BW266" i="37" s="1"/>
  <c r="AJ170" i="44" s="1"/>
  <c r="AJ169" i="44" s="1"/>
  <c r="BK191" i="37"/>
  <c r="BK190" i="37" s="1"/>
  <c r="X158" i="44" s="1"/>
  <c r="X157" i="44" s="1"/>
  <c r="BS267" i="37"/>
  <c r="BS266" i="37" s="1"/>
  <c r="AF170" i="44" s="1"/>
  <c r="AF169" i="44" s="1"/>
  <c r="BK267" i="37"/>
  <c r="BK266" i="37" s="1"/>
  <c r="X170" i="44" s="1"/>
  <c r="X169" i="44" s="1"/>
  <c r="BY293" i="37"/>
  <c r="BY292" i="37" s="1"/>
  <c r="AL174" i="44" s="1"/>
  <c r="AL173" i="44" s="1"/>
  <c r="BO267" i="37"/>
  <c r="BO266" i="37" s="1"/>
  <c r="AB170" i="44" s="1"/>
  <c r="AB169" i="44" s="1"/>
  <c r="BR197" i="37"/>
  <c r="BR191" i="37" s="1"/>
  <c r="AJ191" i="37"/>
  <c r="BN195" i="37"/>
  <c r="L195" i="37" s="1"/>
  <c r="X191" i="37"/>
  <c r="BZ192" i="37"/>
  <c r="BZ191" i="37" s="1"/>
  <c r="BH191" i="37"/>
  <c r="BV192" i="37"/>
  <c r="BV191" i="37" s="1"/>
  <c r="AV191" i="37"/>
  <c r="BS215" i="37"/>
  <c r="BO215" i="37"/>
  <c r="BO214" i="37" s="1"/>
  <c r="AB162" i="44" s="1"/>
  <c r="AB161" i="44" s="1"/>
  <c r="BK243" i="37"/>
  <c r="BK242" i="37" s="1"/>
  <c r="X166" i="44" s="1"/>
  <c r="BQ127" i="37"/>
  <c r="BQ126" i="37" s="1"/>
  <c r="BW215" i="37"/>
  <c r="BM242" i="37"/>
  <c r="Z166" i="44" s="1"/>
  <c r="BO127" i="37"/>
  <c r="BO126" i="37" s="1"/>
  <c r="BZ93" i="37"/>
  <c r="BZ92" i="37" s="1"/>
  <c r="BH92" i="37"/>
  <c r="AJ236" i="37"/>
  <c r="BR237" i="37"/>
  <c r="BR236" i="37" s="1"/>
  <c r="BN167" i="37"/>
  <c r="BN166" i="37" s="1"/>
  <c r="X166" i="37"/>
  <c r="BR167" i="37"/>
  <c r="AJ166" i="37"/>
  <c r="BV93" i="37"/>
  <c r="BV92" i="37" s="1"/>
  <c r="AV92" i="37"/>
  <c r="BV168" i="37"/>
  <c r="L168" i="37" s="1"/>
  <c r="AV166" i="37"/>
  <c r="BZ167" i="37"/>
  <c r="BZ166" i="37" s="1"/>
  <c r="BH166" i="37"/>
  <c r="BR93" i="37"/>
  <c r="BR92" i="37" s="1"/>
  <c r="X236" i="37"/>
  <c r="BN237" i="37"/>
  <c r="AV236" i="37"/>
  <c r="BV238" i="37"/>
  <c r="BV236" i="37" s="1"/>
  <c r="BN93" i="37"/>
  <c r="BN92" i="37" s="1"/>
  <c r="BZ238" i="37"/>
  <c r="BZ236" i="37" s="1"/>
  <c r="BH236" i="37"/>
  <c r="BK215" i="37"/>
  <c r="BK214" i="37" s="1"/>
  <c r="X162" i="44" s="1"/>
  <c r="X161" i="44" s="1"/>
  <c r="BW185" i="37"/>
  <c r="BK149" i="37"/>
  <c r="BK148" i="37" s="1"/>
  <c r="X142" i="44" s="1"/>
  <c r="X141" i="44" s="1"/>
  <c r="BV216" i="37"/>
  <c r="BV215" i="37" s="1"/>
  <c r="AV215" i="37"/>
  <c r="BZ216" i="37"/>
  <c r="BZ215" i="37" s="1"/>
  <c r="BH215" i="37"/>
  <c r="BR216" i="37"/>
  <c r="BR215" i="37" s="1"/>
  <c r="AJ215" i="37"/>
  <c r="BN216" i="37"/>
  <c r="X215" i="37"/>
  <c r="BS139" i="37"/>
  <c r="BS138" i="37" s="1"/>
  <c r="AF132" i="44" s="1"/>
  <c r="AF131" i="44" s="1"/>
  <c r="BW127" i="37"/>
  <c r="BW126" i="37" s="1"/>
  <c r="BO18" i="37"/>
  <c r="BO17" i="37" s="1"/>
  <c r="BS127" i="37"/>
  <c r="BS126" i="37" s="1"/>
  <c r="AC45" i="44"/>
  <c r="AC44" i="44" s="1"/>
  <c r="AL45" i="44"/>
  <c r="AL44" i="44" s="1"/>
  <c r="AJ45" i="44"/>
  <c r="AJ44" i="44" s="1"/>
  <c r="AH45" i="44"/>
  <c r="AH44" i="44" s="1"/>
  <c r="AK45" i="44"/>
  <c r="AK44" i="44" s="1"/>
  <c r="X45" i="44"/>
  <c r="X44" i="44" s="1"/>
  <c r="I45" i="37"/>
  <c r="BV46" i="37"/>
  <c r="BV45" i="37" s="1"/>
  <c r="BV44" i="37" s="1"/>
  <c r="AV45" i="37"/>
  <c r="J45" i="37"/>
  <c r="BR46" i="37"/>
  <c r="BR45" i="37" s="1"/>
  <c r="AJ45" i="37"/>
  <c r="BF116" i="37"/>
  <c r="AG45" i="44"/>
  <c r="AG44" i="44" s="1"/>
  <c r="BL14" i="37"/>
  <c r="AD45" i="44"/>
  <c r="AD44" i="44" s="1"/>
  <c r="BZ46" i="37"/>
  <c r="BZ45" i="37" s="1"/>
  <c r="BZ44" i="37" s="1"/>
  <c r="BH45" i="37"/>
  <c r="BN46" i="37"/>
  <c r="BN45" i="37" s="1"/>
  <c r="X45" i="37"/>
  <c r="Z45" i="44"/>
  <c r="Z44" i="44" s="1"/>
  <c r="AT116" i="37"/>
  <c r="AU148" i="37"/>
  <c r="AU116" i="37"/>
  <c r="AI30" i="37"/>
  <c r="BR124" i="37"/>
  <c r="BR123" i="37" s="1"/>
  <c r="AI165" i="37"/>
  <c r="AT165" i="37"/>
  <c r="V292" i="37"/>
  <c r="BN118" i="37"/>
  <c r="BN117" i="37" s="1"/>
  <c r="U17" i="37"/>
  <c r="BV123" i="37"/>
  <c r="BN123" i="37"/>
  <c r="BZ123" i="37"/>
  <c r="O17" i="37"/>
  <c r="AU266" i="37"/>
  <c r="AH165" i="37"/>
  <c r="X26" i="37"/>
  <c r="R30" i="37"/>
  <c r="U44" i="37"/>
  <c r="U30" i="37"/>
  <c r="V30" i="37"/>
  <c r="R44" i="37"/>
  <c r="O30" i="37"/>
  <c r="R17" i="37"/>
  <c r="O44" i="37"/>
  <c r="W30" i="37"/>
  <c r="AU165" i="37"/>
  <c r="BG165" i="37"/>
  <c r="BF165" i="37"/>
  <c r="BG116" i="37"/>
  <c r="AI116" i="37"/>
  <c r="BY138" i="37"/>
  <c r="AL132" i="44" s="1"/>
  <c r="AL131" i="44" s="1"/>
  <c r="AH266" i="37"/>
  <c r="W319" i="37"/>
  <c r="V165" i="37"/>
  <c r="AI148" i="37"/>
  <c r="AT30" i="37"/>
  <c r="W266" i="37"/>
  <c r="AH319" i="37"/>
  <c r="AJ56" i="37"/>
  <c r="AV56" i="37"/>
  <c r="BH56" i="37"/>
  <c r="X56" i="37"/>
  <c r="AU319" i="37"/>
  <c r="AI292" i="37"/>
  <c r="W292" i="37"/>
  <c r="AH17" i="37"/>
  <c r="BG266" i="37"/>
  <c r="BG30" i="37"/>
  <c r="W165" i="37"/>
  <c r="AT266" i="37"/>
  <c r="AI266" i="37"/>
  <c r="BG292" i="37"/>
  <c r="BG319" i="37"/>
  <c r="AU30" i="37"/>
  <c r="BF30" i="37"/>
  <c r="AH116" i="37"/>
  <c r="BG148" i="37"/>
  <c r="AT148" i="37"/>
  <c r="BF266" i="37"/>
  <c r="AI319" i="37"/>
  <c r="AH292" i="37"/>
  <c r="AU292" i="37"/>
  <c r="V76" i="37"/>
  <c r="V266" i="37"/>
  <c r="V148" i="37"/>
  <c r="BF148" i="37"/>
  <c r="AH76" i="37"/>
  <c r="BF292" i="37"/>
  <c r="X267" i="37"/>
  <c r="BV267" i="37"/>
  <c r="AV267" i="37"/>
  <c r="BZ267" i="37"/>
  <c r="BH267" i="37"/>
  <c r="BR267" i="37"/>
  <c r="AJ267" i="37"/>
  <c r="AT292" i="37"/>
  <c r="X293" i="37"/>
  <c r="BR293" i="37"/>
  <c r="AJ293" i="37"/>
  <c r="BV293" i="37"/>
  <c r="AV293" i="37"/>
  <c r="BZ293" i="37"/>
  <c r="BH293" i="37"/>
  <c r="AH30" i="37"/>
  <c r="AT76" i="37"/>
  <c r="BS106" i="37"/>
  <c r="AF98" i="44" s="1"/>
  <c r="AF97" i="44" s="1"/>
  <c r="BF319" i="37"/>
  <c r="V116" i="37"/>
  <c r="AT319" i="37"/>
  <c r="AH148" i="37"/>
  <c r="AT91" i="37"/>
  <c r="W148" i="37"/>
  <c r="W116" i="37"/>
  <c r="BV31" i="37"/>
  <c r="AV31" i="37"/>
  <c r="X149" i="37"/>
  <c r="BR117" i="37"/>
  <c r="AJ117" i="37"/>
  <c r="AV149" i="37"/>
  <c r="AJ149" i="37"/>
  <c r="BV117" i="37"/>
  <c r="AV117" i="37"/>
  <c r="BZ31" i="37"/>
  <c r="BH31" i="37"/>
  <c r="BZ149" i="37"/>
  <c r="BH149" i="37"/>
  <c r="X117" i="37"/>
  <c r="BR31" i="37"/>
  <c r="AJ31" i="37"/>
  <c r="BZ117" i="37"/>
  <c r="BH117" i="37"/>
  <c r="L37" i="37"/>
  <c r="X31" i="37"/>
  <c r="V319" i="37"/>
  <c r="BU165" i="37"/>
  <c r="AH154" i="44" s="1"/>
  <c r="AH153" i="44" s="1"/>
  <c r="BV320" i="37"/>
  <c r="AV320" i="37"/>
  <c r="BH320" i="37"/>
  <c r="BR320" i="37"/>
  <c r="AJ320" i="37"/>
  <c r="U320" i="37"/>
  <c r="U14" i="37" s="1"/>
  <c r="O320" i="37"/>
  <c r="O319" i="37" s="1"/>
  <c r="BX319" i="37"/>
  <c r="AK178" i="44" s="1"/>
  <c r="AK177" i="44" s="1"/>
  <c r="BQ138" i="37"/>
  <c r="AD132" i="44" s="1"/>
  <c r="AD131" i="44" s="1"/>
  <c r="BX91" i="37"/>
  <c r="AK86" i="44" s="1"/>
  <c r="BY126" i="37"/>
  <c r="BT214" i="37"/>
  <c r="AG162" i="44" s="1"/>
  <c r="AG161" i="44" s="1"/>
  <c r="BT138" i="37"/>
  <c r="AG132" i="44" s="1"/>
  <c r="AG131" i="44" s="1"/>
  <c r="BQ106" i="37"/>
  <c r="AD98" i="44" s="1"/>
  <c r="AD97" i="44" s="1"/>
  <c r="BU148" i="37"/>
  <c r="AH142" i="44" s="1"/>
  <c r="AH141" i="44" s="1"/>
  <c r="BY91" i="37"/>
  <c r="AL86" i="44" s="1"/>
  <c r="AL85" i="44" s="1"/>
  <c r="BU126" i="37"/>
  <c r="BY242" i="37"/>
  <c r="AL166" i="44" s="1"/>
  <c r="AL165" i="44" s="1"/>
  <c r="BX292" i="37"/>
  <c r="AK174" i="44" s="1"/>
  <c r="AK173" i="44" s="1"/>
  <c r="BQ190" i="37"/>
  <c r="AD158" i="44" s="1"/>
  <c r="AD157" i="44" s="1"/>
  <c r="BX30" i="37"/>
  <c r="AK35" i="44" s="1"/>
  <c r="AK34" i="44" s="1"/>
  <c r="BY106" i="37"/>
  <c r="AL98" i="44" s="1"/>
  <c r="AL97" i="44" s="1"/>
  <c r="BY148" i="37"/>
  <c r="AL142" i="44" s="1"/>
  <c r="AL141" i="44" s="1"/>
  <c r="BW106" i="37"/>
  <c r="AJ98" i="44" s="1"/>
  <c r="AJ97" i="44" s="1"/>
  <c r="BL106" i="37"/>
  <c r="Y98" i="44" s="1"/>
  <c r="Y97" i="44" s="1"/>
  <c r="BX148" i="37"/>
  <c r="AK142" i="44" s="1"/>
  <c r="AK141" i="44" s="1"/>
  <c r="BL126" i="37"/>
  <c r="BP214" i="37"/>
  <c r="AC162" i="44" s="1"/>
  <c r="AC161" i="44" s="1"/>
  <c r="BO319" i="37"/>
  <c r="AB178" i="44" s="1"/>
  <c r="AB177" i="44" s="1"/>
  <c r="BL76" i="37"/>
  <c r="Y73" i="44" s="1"/>
  <c r="Y72" i="44" s="1"/>
  <c r="BO138" i="37"/>
  <c r="AB132" i="44" s="1"/>
  <c r="AB131" i="44" s="1"/>
  <c r="BK61" i="37"/>
  <c r="X62" i="44" s="1"/>
  <c r="X61" i="44" s="1"/>
  <c r="X109" i="44" s="1"/>
  <c r="X21" i="44" s="1"/>
  <c r="BS148" i="37"/>
  <c r="AF142" i="44" s="1"/>
  <c r="AF141" i="44" s="1"/>
  <c r="BK320" i="37"/>
  <c r="BK319" i="37" s="1"/>
  <c r="X178" i="44" s="1"/>
  <c r="X177" i="44" s="1"/>
  <c r="BU91" i="37"/>
  <c r="AH86" i="44" s="1"/>
  <c r="AH85" i="44" s="1"/>
  <c r="BY30" i="37"/>
  <c r="AL35" i="44" s="1"/>
  <c r="AL34" i="44" s="1"/>
  <c r="BU292" i="37"/>
  <c r="AH174" i="44" s="1"/>
  <c r="AH173" i="44" s="1"/>
  <c r="BZ26" i="37"/>
  <c r="BW148" i="37"/>
  <c r="AJ142" i="44" s="1"/>
  <c r="AJ141" i="44" s="1"/>
  <c r="BY266" i="37"/>
  <c r="AL170" i="44" s="1"/>
  <c r="AL169" i="44" s="1"/>
  <c r="BW30" i="37"/>
  <c r="AJ35" i="44" s="1"/>
  <c r="AJ34" i="44" s="1"/>
  <c r="L19" i="37"/>
  <c r="V19" i="37"/>
  <c r="V18" i="37" s="1"/>
  <c r="V17" i="37" s="1"/>
  <c r="BT148" i="37"/>
  <c r="AG142" i="44" s="1"/>
  <c r="AG141" i="44" s="1"/>
  <c r="BP76" i="37"/>
  <c r="AC73" i="44" s="1"/>
  <c r="AC72" i="44" s="1"/>
  <c r="BP148" i="37"/>
  <c r="AC142" i="44" s="1"/>
  <c r="BU266" i="37"/>
  <c r="AH170" i="44" s="1"/>
  <c r="AH169" i="44" s="1"/>
  <c r="BX126" i="37"/>
  <c r="BX138" i="37"/>
  <c r="AK132" i="44" s="1"/>
  <c r="AK131" i="44" s="1"/>
  <c r="BG91" i="37"/>
  <c r="BX242" i="37"/>
  <c r="AK166" i="44" s="1"/>
  <c r="AK165" i="44" s="1"/>
  <c r="BT30" i="37"/>
  <c r="AG35" i="44" s="1"/>
  <c r="BT126" i="37"/>
  <c r="BU106" i="37"/>
  <c r="AH98" i="44" s="1"/>
  <c r="AH97" i="44" s="1"/>
  <c r="BL138" i="37"/>
  <c r="Y132" i="44" s="1"/>
  <c r="Y131" i="44" s="1"/>
  <c r="BU138" i="37"/>
  <c r="AH132" i="44" s="1"/>
  <c r="AH131" i="44" s="1"/>
  <c r="AS148" i="37"/>
  <c r="BW17" i="37"/>
  <c r="BM148" i="37"/>
  <c r="Z142" i="44" s="1"/>
  <c r="BT190" i="37"/>
  <c r="AG158" i="44" s="1"/>
  <c r="AG157" i="44" s="1"/>
  <c r="AI91" i="37"/>
  <c r="BK106" i="37"/>
  <c r="X98" i="44" s="1"/>
  <c r="X97" i="44" s="1"/>
  <c r="BQ91" i="37"/>
  <c r="AD86" i="44" s="1"/>
  <c r="AD85" i="44" s="1"/>
  <c r="BP106" i="37"/>
  <c r="AC98" i="44" s="1"/>
  <c r="AC97" i="44" s="1"/>
  <c r="BV112" i="37"/>
  <c r="BL61" i="37"/>
  <c r="Y62" i="44" s="1"/>
  <c r="Y61" i="44" s="1"/>
  <c r="Y109" i="44" s="1"/>
  <c r="BL91" i="37"/>
  <c r="Y86" i="44" s="1"/>
  <c r="BT61" i="37"/>
  <c r="AG62" i="44" s="1"/>
  <c r="AG61" i="44" s="1"/>
  <c r="AG109" i="44" s="1"/>
  <c r="AG21" i="44" s="1"/>
  <c r="BM76" i="37"/>
  <c r="Z73" i="44" s="1"/>
  <c r="Z72" i="44" s="1"/>
  <c r="BM30" i="37"/>
  <c r="Z35" i="44" s="1"/>
  <c r="Z34" i="44" s="1"/>
  <c r="BT106" i="37"/>
  <c r="AG98" i="44" s="1"/>
  <c r="AG97" i="44" s="1"/>
  <c r="AD61" i="37"/>
  <c r="BK30" i="37"/>
  <c r="X35" i="44" s="1"/>
  <c r="X34" i="44" s="1"/>
  <c r="BW138" i="37"/>
  <c r="AJ132" i="44" s="1"/>
  <c r="AJ131" i="44" s="1"/>
  <c r="V242" i="37"/>
  <c r="BZ135" i="37"/>
  <c r="AD126" i="37"/>
  <c r="AU91" i="37"/>
  <c r="BQ242" i="37"/>
  <c r="AD166" i="44" s="1"/>
  <c r="BM91" i="37"/>
  <c r="Z86" i="44" s="1"/>
  <c r="Z85" i="44" s="1"/>
  <c r="BP319" i="37"/>
  <c r="AC178" i="44" s="1"/>
  <c r="AC177" i="44" s="1"/>
  <c r="BY214" i="37"/>
  <c r="AL162" i="44" s="1"/>
  <c r="AL161" i="44" s="1"/>
  <c r="AU242" i="37"/>
  <c r="BW292" i="37"/>
  <c r="AJ174" i="44" s="1"/>
  <c r="AJ173" i="44" s="1"/>
  <c r="BY190" i="37"/>
  <c r="AL158" i="44" s="1"/>
  <c r="AL157" i="44" s="1"/>
  <c r="BT266" i="37"/>
  <c r="AG170" i="44" s="1"/>
  <c r="AG169" i="44" s="1"/>
  <c r="CC73" i="37"/>
  <c r="CF72" i="37"/>
  <c r="CD72" i="37"/>
  <c r="BX165" i="37"/>
  <c r="AK154" i="44" s="1"/>
  <c r="AK153" i="44" s="1"/>
  <c r="BS30" i="37"/>
  <c r="AF35" i="44" s="1"/>
  <c r="BX106" i="37"/>
  <c r="AK98" i="44" s="1"/>
  <c r="AK97" i="44" s="1"/>
  <c r="BO106" i="37"/>
  <c r="AB98" i="44" s="1"/>
  <c r="AB97" i="44" s="1"/>
  <c r="BL17" i="37"/>
  <c r="AT17" i="37"/>
  <c r="BW319" i="37"/>
  <c r="AJ178" i="44" s="1"/>
  <c r="AJ177" i="44" s="1"/>
  <c r="BT242" i="37"/>
  <c r="AG166" i="44" s="1"/>
  <c r="AG165" i="44" s="1"/>
  <c r="BL319" i="37"/>
  <c r="Y178" i="44" s="1"/>
  <c r="Y177" i="44" s="1"/>
  <c r="BZ185" i="37"/>
  <c r="AS91" i="37"/>
  <c r="BK138" i="37"/>
  <c r="X132" i="44" s="1"/>
  <c r="X131" i="44" s="1"/>
  <c r="BW76" i="37"/>
  <c r="AJ73" i="44" s="1"/>
  <c r="AJ72" i="44" s="1"/>
  <c r="W91" i="37"/>
  <c r="BM138" i="37"/>
  <c r="Z132" i="44" s="1"/>
  <c r="Z131" i="44" s="1"/>
  <c r="BP126" i="37"/>
  <c r="BT292" i="37"/>
  <c r="AG174" i="44" s="1"/>
  <c r="AG173" i="44" s="1"/>
  <c r="BO76" i="37"/>
  <c r="AB73" i="44" s="1"/>
  <c r="AB72" i="44" s="1"/>
  <c r="BM106" i="37"/>
  <c r="Z98" i="44" s="1"/>
  <c r="Z97" i="44" s="1"/>
  <c r="BM214" i="37"/>
  <c r="Z162" i="44" s="1"/>
  <c r="Z161" i="44" s="1"/>
  <c r="AS106" i="37"/>
  <c r="BM292" i="37"/>
  <c r="Z174" i="44" s="1"/>
  <c r="Z173" i="44" s="1"/>
  <c r="BQ292" i="37"/>
  <c r="AD174" i="44" s="1"/>
  <c r="AD173" i="44" s="1"/>
  <c r="BU30" i="37"/>
  <c r="AH35" i="44" s="1"/>
  <c r="BK126" i="37"/>
  <c r="BQ165" i="37"/>
  <c r="AD154" i="44" s="1"/>
  <c r="AD153" i="44" s="1"/>
  <c r="V91" i="37"/>
  <c r="BZ86" i="37"/>
  <c r="AS138" i="37"/>
  <c r="BW61" i="37"/>
  <c r="AJ62" i="44" s="1"/>
  <c r="AJ61" i="44" s="1"/>
  <c r="AJ109" i="44" s="1"/>
  <c r="AJ21" i="44" s="1"/>
  <c r="AH91" i="37"/>
  <c r="BL242" i="37"/>
  <c r="Y166" i="44" s="1"/>
  <c r="BP138" i="37"/>
  <c r="AC132" i="44" s="1"/>
  <c r="AC131" i="44" s="1"/>
  <c r="BM126" i="37"/>
  <c r="BR102" i="37"/>
  <c r="BV185" i="37"/>
  <c r="BY319" i="37"/>
  <c r="AL178" i="44" s="1"/>
  <c r="AL177" i="44" s="1"/>
  <c r="BR261" i="37"/>
  <c r="BF91" i="37"/>
  <c r="BP61" i="37"/>
  <c r="AC62" i="44" s="1"/>
  <c r="AC61" i="44" s="1"/>
  <c r="AC109" i="44" s="1"/>
  <c r="AC21" i="44" s="1"/>
  <c r="BQ214" i="37"/>
  <c r="AD162" i="44" s="1"/>
  <c r="AD161" i="44" s="1"/>
  <c r="BL148" i="37"/>
  <c r="Y142" i="44" s="1"/>
  <c r="Y141" i="44" s="1"/>
  <c r="BS61" i="37"/>
  <c r="AF62" i="44" s="1"/>
  <c r="AF61" i="44" s="1"/>
  <c r="AF109" i="44" s="1"/>
  <c r="AF21" i="44" s="1"/>
  <c r="BM17" i="37"/>
  <c r="BP266" i="37"/>
  <c r="BX190" i="37"/>
  <c r="AK158" i="44" s="1"/>
  <c r="AK157" i="44" s="1"/>
  <c r="BQ148" i="37"/>
  <c r="AD142" i="44" s="1"/>
  <c r="BO61" i="37"/>
  <c r="AB62" i="44" s="1"/>
  <c r="AB61" i="44" s="1"/>
  <c r="AB109" i="44" s="1"/>
  <c r="AB21" i="44" s="1"/>
  <c r="BL214" i="37"/>
  <c r="Y162" i="44" s="1"/>
  <c r="Y161" i="44" s="1"/>
  <c r="BK292" i="37"/>
  <c r="X174" i="44" s="1"/>
  <c r="X173" i="44" s="1"/>
  <c r="BQ30" i="37"/>
  <c r="AD35" i="44" s="1"/>
  <c r="AD34" i="44" s="1"/>
  <c r="BQ76" i="37"/>
  <c r="AD73" i="44" s="1"/>
  <c r="AD72" i="44" s="1"/>
  <c r="BL165" i="37"/>
  <c r="Y154" i="44" s="1"/>
  <c r="Y153" i="44" s="1"/>
  <c r="BR145" i="37"/>
  <c r="BU61" i="37"/>
  <c r="AH62" i="44" s="1"/>
  <c r="AH61" i="44" s="1"/>
  <c r="AH109" i="44" s="1"/>
  <c r="AH21" i="44" s="1"/>
  <c r="BP292" i="37"/>
  <c r="AC174" i="44" s="1"/>
  <c r="AC173" i="44" s="1"/>
  <c r="BU214" i="37"/>
  <c r="AH162" i="44" s="1"/>
  <c r="AH161" i="44" s="1"/>
  <c r="BT76" i="37"/>
  <c r="AG73" i="44" s="1"/>
  <c r="AG72" i="44" s="1"/>
  <c r="BQ319" i="37"/>
  <c r="AD178" i="44" s="1"/>
  <c r="AD177" i="44" s="1"/>
  <c r="BX266" i="37"/>
  <c r="AK170" i="44" s="1"/>
  <c r="AK169" i="44" s="1"/>
  <c r="BZ112" i="37"/>
  <c r="BE61" i="37"/>
  <c r="BX17" i="37"/>
  <c r="BQ17" i="37"/>
  <c r="BT17" i="37"/>
  <c r="BO30" i="37"/>
  <c r="AB35" i="44" s="1"/>
  <c r="AB34" i="44" s="1"/>
  <c r="BR139" i="37"/>
  <c r="BR127" i="37"/>
  <c r="BV145" i="37"/>
  <c r="BV161" i="37"/>
  <c r="BT91" i="37"/>
  <c r="AG86" i="44" s="1"/>
  <c r="AG85" i="44" s="1"/>
  <c r="BR135" i="37"/>
  <c r="BV261" i="37"/>
  <c r="BZ102" i="37"/>
  <c r="BX61" i="37"/>
  <c r="AK62" i="44" s="1"/>
  <c r="AK61" i="44" s="1"/>
  <c r="AK109" i="44" s="1"/>
  <c r="AK21" i="44" s="1"/>
  <c r="BZ369" i="37"/>
  <c r="BZ320" i="37"/>
  <c r="BZ107" i="37"/>
  <c r="BV287" i="37"/>
  <c r="BU17" i="37"/>
  <c r="BU76" i="37"/>
  <c r="AH73" i="44" s="1"/>
  <c r="AH72" i="44" s="1"/>
  <c r="BX214" i="37"/>
  <c r="AK162" i="44" s="1"/>
  <c r="AK161" i="44" s="1"/>
  <c r="BP190" i="37"/>
  <c r="AC158" i="44" s="1"/>
  <c r="AC157" i="44" s="1"/>
  <c r="BL30" i="37"/>
  <c r="Y35" i="44" s="1"/>
  <c r="Y34" i="44" s="1"/>
  <c r="BZ145" i="37"/>
  <c r="BV127" i="37"/>
  <c r="BS17" i="37"/>
  <c r="BR369" i="37"/>
  <c r="BY61" i="37"/>
  <c r="AL62" i="44" s="1"/>
  <c r="AL61" i="44" s="1"/>
  <c r="AL109" i="44" s="1"/>
  <c r="AL21" i="44" s="1"/>
  <c r="BK76" i="37"/>
  <c r="X73" i="44" s="1"/>
  <c r="X72" i="44" s="1"/>
  <c r="BT319" i="37"/>
  <c r="AG178" i="44" s="1"/>
  <c r="AG177" i="44" s="1"/>
  <c r="BP91" i="37"/>
  <c r="AC86" i="44" s="1"/>
  <c r="AC85" i="44" s="1"/>
  <c r="BR112" i="37"/>
  <c r="BV139" i="37"/>
  <c r="BZ313" i="37"/>
  <c r="BR107" i="37"/>
  <c r="BV135" i="37"/>
  <c r="BV313" i="37"/>
  <c r="BS76" i="37"/>
  <c r="AF73" i="44" s="1"/>
  <c r="AF72" i="44" s="1"/>
  <c r="BQ61" i="37"/>
  <c r="AD62" i="44" s="1"/>
  <c r="AD61" i="44" s="1"/>
  <c r="AD109" i="44" s="1"/>
  <c r="AD21" i="44" s="1"/>
  <c r="BM165" i="37"/>
  <c r="Z154" i="44" s="1"/>
  <c r="Z153" i="44" s="1"/>
  <c r="BO91" i="37"/>
  <c r="AB86" i="44" s="1"/>
  <c r="AB85" i="44" s="1"/>
  <c r="BM266" i="37"/>
  <c r="Z170" i="44" s="1"/>
  <c r="Z169" i="44" s="1"/>
  <c r="BR207" i="37"/>
  <c r="BR161" i="37"/>
  <c r="BE138" i="37"/>
  <c r="BV369" i="37"/>
  <c r="BY17" i="37"/>
  <c r="BY76" i="37"/>
  <c r="AL73" i="44" s="1"/>
  <c r="AL72" i="44" s="1"/>
  <c r="BZ261" i="37"/>
  <c r="BR287" i="37"/>
  <c r="BV207" i="37"/>
  <c r="BX76" i="37"/>
  <c r="AK73" i="44" s="1"/>
  <c r="AK72" i="44" s="1"/>
  <c r="BZ287" i="37"/>
  <c r="BZ139" i="37"/>
  <c r="BR185" i="37"/>
  <c r="BR313" i="37"/>
  <c r="BZ127" i="37"/>
  <c r="BL292" i="37"/>
  <c r="Y174" i="44" s="1"/>
  <c r="Y173" i="44" s="1"/>
  <c r="BU319" i="37"/>
  <c r="AH178" i="44" s="1"/>
  <c r="AH177" i="44" s="1"/>
  <c r="BQ266" i="37"/>
  <c r="AD170" i="44" s="1"/>
  <c r="AD169" i="44" s="1"/>
  <c r="BP30" i="37"/>
  <c r="AC35" i="44" s="1"/>
  <c r="AC34" i="44" s="1"/>
  <c r="BS319" i="37"/>
  <c r="AF178" i="44" s="1"/>
  <c r="AF177" i="44" s="1"/>
  <c r="BL190" i="37"/>
  <c r="Y158" i="44" s="1"/>
  <c r="Y157" i="44" s="1"/>
  <c r="BZ207" i="37"/>
  <c r="BV107" i="37"/>
  <c r="BZ161" i="37"/>
  <c r="BV149" i="37"/>
  <c r="BK17" i="37"/>
  <c r="BU242" i="37"/>
  <c r="AH166" i="44" s="1"/>
  <c r="AH165" i="44" s="1"/>
  <c r="BP242" i="37"/>
  <c r="AC166" i="44" s="1"/>
  <c r="BR86" i="37"/>
  <c r="K43" i="37"/>
  <c r="L239" i="37"/>
  <c r="K239" i="37"/>
  <c r="L263" i="37"/>
  <c r="K263" i="37"/>
  <c r="L240" i="37"/>
  <c r="K240" i="37"/>
  <c r="L187" i="37"/>
  <c r="K187" i="37"/>
  <c r="L374" i="37"/>
  <c r="K374" i="37"/>
  <c r="K238" i="37"/>
  <c r="K398" i="37"/>
  <c r="K208" i="37"/>
  <c r="L209" i="37"/>
  <c r="K209" i="37"/>
  <c r="K57" i="37"/>
  <c r="K146" i="37"/>
  <c r="L212" i="37"/>
  <c r="K212" i="37"/>
  <c r="K370" i="37"/>
  <c r="L213" i="37"/>
  <c r="K213" i="37"/>
  <c r="K124" i="37"/>
  <c r="L105" i="37"/>
  <c r="K105" i="37"/>
  <c r="L265" i="37"/>
  <c r="K265" i="37"/>
  <c r="K103" i="37"/>
  <c r="L137" i="37"/>
  <c r="K137" i="37"/>
  <c r="K113" i="37"/>
  <c r="L211" i="37"/>
  <c r="K211" i="37"/>
  <c r="K136" i="37"/>
  <c r="L90" i="37"/>
  <c r="K90" i="37"/>
  <c r="K237" i="37"/>
  <c r="K401" i="37"/>
  <c r="L189" i="37"/>
  <c r="K189" i="37"/>
  <c r="L210" i="37"/>
  <c r="K210" i="37"/>
  <c r="K162" i="37"/>
  <c r="L40" i="37"/>
  <c r="K40" i="37"/>
  <c r="L375" i="37"/>
  <c r="K375" i="37"/>
  <c r="L164" i="37"/>
  <c r="K164" i="37"/>
  <c r="L125" i="37"/>
  <c r="K125" i="37"/>
  <c r="K186" i="37"/>
  <c r="L147" i="37"/>
  <c r="K147" i="37"/>
  <c r="L291" i="37"/>
  <c r="K291" i="37"/>
  <c r="L115" i="37"/>
  <c r="K115" i="37"/>
  <c r="L264" i="37"/>
  <c r="K264" i="37"/>
  <c r="L377" i="37"/>
  <c r="K377" i="37"/>
  <c r="L376" i="37"/>
  <c r="K376" i="37"/>
  <c r="L315" i="37"/>
  <c r="K315" i="37"/>
  <c r="L289" i="37"/>
  <c r="K289" i="37"/>
  <c r="K87" i="37"/>
  <c r="L378" i="37"/>
  <c r="K378" i="37"/>
  <c r="L318" i="37"/>
  <c r="K318" i="37"/>
  <c r="L290" i="37"/>
  <c r="K290" i="37"/>
  <c r="K262" i="37"/>
  <c r="L241" i="37"/>
  <c r="K241" i="37"/>
  <c r="K314" i="37"/>
  <c r="L399" i="37"/>
  <c r="K399" i="37"/>
  <c r="K59" i="37"/>
  <c r="L75" i="37"/>
  <c r="K75" i="37"/>
  <c r="L272" i="37"/>
  <c r="K272" i="37"/>
  <c r="L94" i="37"/>
  <c r="K94" i="37"/>
  <c r="L309" i="37"/>
  <c r="K309" i="37"/>
  <c r="L255" i="37"/>
  <c r="K255" i="37"/>
  <c r="K173" i="37"/>
  <c r="L109" i="37"/>
  <c r="K109" i="37"/>
  <c r="L225" i="37"/>
  <c r="K225" i="37"/>
  <c r="K168" i="37"/>
  <c r="L382" i="37"/>
  <c r="K382" i="37"/>
  <c r="L308" i="37"/>
  <c r="K308" i="37"/>
  <c r="L38" i="37"/>
  <c r="K38" i="37"/>
  <c r="AI17" i="37"/>
  <c r="L83" i="37"/>
  <c r="K83" i="37"/>
  <c r="L269" i="37"/>
  <c r="K269" i="37"/>
  <c r="L63" i="37"/>
  <c r="K63" i="37"/>
  <c r="K244" i="37"/>
  <c r="K118" i="37"/>
  <c r="L85" i="37"/>
  <c r="K85" i="37"/>
  <c r="L270" i="37"/>
  <c r="K270" i="37"/>
  <c r="L181" i="37"/>
  <c r="K181" i="37"/>
  <c r="L111" i="37"/>
  <c r="K111" i="37"/>
  <c r="K268" i="37"/>
  <c r="K108" i="37"/>
  <c r="L235" i="37"/>
  <c r="K235" i="37"/>
  <c r="L248" i="37"/>
  <c r="K248" i="37"/>
  <c r="K33" i="37"/>
  <c r="L234" i="37"/>
  <c r="K234" i="37"/>
  <c r="L233" i="37"/>
  <c r="K233" i="37"/>
  <c r="L254" i="37"/>
  <c r="K254" i="37"/>
  <c r="L69" i="37"/>
  <c r="K69" i="37"/>
  <c r="K151" i="37"/>
  <c r="L246" i="37"/>
  <c r="K246" i="37"/>
  <c r="L229" i="37"/>
  <c r="K229" i="37"/>
  <c r="L227" i="37"/>
  <c r="K227" i="37"/>
  <c r="L97" i="37"/>
  <c r="K97" i="37"/>
  <c r="BV26" i="37"/>
  <c r="L310" i="37"/>
  <c r="K310" i="37"/>
  <c r="K197" i="37"/>
  <c r="K216" i="37"/>
  <c r="L82" i="37"/>
  <c r="K82" i="37"/>
  <c r="L51" i="37"/>
  <c r="K51" i="37"/>
  <c r="BZ72" i="37"/>
  <c r="L179" i="37"/>
  <c r="K179" i="37"/>
  <c r="L364" i="37"/>
  <c r="K364" i="37"/>
  <c r="BR72" i="37"/>
  <c r="K381" i="37"/>
  <c r="L253" i="37"/>
  <c r="K253" i="37"/>
  <c r="K29" i="37"/>
  <c r="L232" i="37"/>
  <c r="K232" i="37"/>
  <c r="K195" i="37"/>
  <c r="L152" i="37"/>
  <c r="K152" i="37"/>
  <c r="L180" i="37"/>
  <c r="K180" i="37"/>
  <c r="L141" i="37"/>
  <c r="K141" i="37"/>
  <c r="L296" i="37"/>
  <c r="K296" i="37"/>
  <c r="K140" i="37"/>
  <c r="L286" i="37"/>
  <c r="K286" i="37"/>
  <c r="L249" i="37"/>
  <c r="K249" i="37"/>
  <c r="L201" i="37"/>
  <c r="K201" i="37"/>
  <c r="L202" i="37"/>
  <c r="K202" i="37"/>
  <c r="L134" i="37"/>
  <c r="K134" i="37"/>
  <c r="L110" i="37"/>
  <c r="K110" i="37"/>
  <c r="L205" i="37"/>
  <c r="K205" i="37"/>
  <c r="L245" i="37"/>
  <c r="K245" i="37"/>
  <c r="L363" i="37"/>
  <c r="K363" i="37"/>
  <c r="L142" i="37"/>
  <c r="K142" i="37"/>
  <c r="K294" i="37"/>
  <c r="L172" i="37"/>
  <c r="K172" i="37"/>
  <c r="L206" i="37"/>
  <c r="K206" i="37"/>
  <c r="L385" i="37"/>
  <c r="K385" i="37"/>
  <c r="L276" i="37"/>
  <c r="K276" i="37"/>
  <c r="K93" i="37"/>
  <c r="L66" i="37"/>
  <c r="K66" i="37"/>
  <c r="L230" i="37"/>
  <c r="K230" i="37"/>
  <c r="L119" i="37"/>
  <c r="K119" i="37"/>
  <c r="L49" i="37"/>
  <c r="K49" i="37"/>
  <c r="L271" i="37"/>
  <c r="K271" i="37"/>
  <c r="L259" i="37"/>
  <c r="K259" i="37"/>
  <c r="L273" i="37"/>
  <c r="K273" i="37"/>
  <c r="L160" i="37"/>
  <c r="K160" i="37"/>
  <c r="K192" i="37"/>
  <c r="L95" i="37"/>
  <c r="K95" i="37"/>
  <c r="L78" i="37"/>
  <c r="K78" i="37"/>
  <c r="L204" i="37"/>
  <c r="K204" i="37"/>
  <c r="K384" i="37"/>
  <c r="L178" i="37"/>
  <c r="K178" i="37"/>
  <c r="L171" i="37"/>
  <c r="K171" i="37"/>
  <c r="K360" i="37"/>
  <c r="L144" i="37"/>
  <c r="K144" i="37"/>
  <c r="K167" i="37"/>
  <c r="L203" i="37"/>
  <c r="K203" i="37"/>
  <c r="L84" i="37"/>
  <c r="K84" i="37"/>
  <c r="K387" i="37"/>
  <c r="L367" i="37"/>
  <c r="K367" i="37"/>
  <c r="L177" i="37"/>
  <c r="K177" i="37"/>
  <c r="K128" i="37"/>
  <c r="L312" i="37"/>
  <c r="K312" i="37"/>
  <c r="K150" i="37"/>
  <c r="L295" i="37"/>
  <c r="K295" i="37"/>
  <c r="K32" i="37"/>
  <c r="L311" i="37"/>
  <c r="K311" i="37"/>
  <c r="L386" i="37"/>
  <c r="K386" i="37"/>
  <c r="L129" i="37"/>
  <c r="K129" i="37"/>
  <c r="L120" i="37"/>
  <c r="K120" i="37"/>
  <c r="L365" i="37"/>
  <c r="K365" i="37"/>
  <c r="K37" i="37"/>
  <c r="L71" i="37"/>
  <c r="K71" i="37"/>
  <c r="L260" i="37"/>
  <c r="K260" i="37"/>
  <c r="BV72" i="37"/>
  <c r="L133" i="37"/>
  <c r="K133" i="37"/>
  <c r="L231" i="37"/>
  <c r="K231" i="37"/>
  <c r="L175" i="37"/>
  <c r="K175" i="37"/>
  <c r="L252" i="37"/>
  <c r="K252" i="37"/>
  <c r="L366" i="37"/>
  <c r="K366" i="37"/>
  <c r="L368" i="37"/>
  <c r="K368" i="37"/>
  <c r="L48" i="37"/>
  <c r="K48" i="37"/>
  <c r="K46" i="37"/>
  <c r="L122" i="37"/>
  <c r="K122" i="37"/>
  <c r="L20" i="37"/>
  <c r="K20" i="37"/>
  <c r="K19" i="37"/>
  <c r="L21" i="37"/>
  <c r="K21" i="37"/>
  <c r="K27" i="37"/>
  <c r="BZ62" i="37"/>
  <c r="BV62" i="37"/>
  <c r="BR26" i="37"/>
  <c r="AG30" i="37"/>
  <c r="BR18" i="37"/>
  <c r="BR77" i="37"/>
  <c r="L22" i="37"/>
  <c r="K22" i="37"/>
  <c r="BV39" i="37"/>
  <c r="BV86" i="37"/>
  <c r="AS44" i="37"/>
  <c r="BR62" i="37"/>
  <c r="BV18" i="37"/>
  <c r="AU44" i="37"/>
  <c r="BV77" i="37"/>
  <c r="BZ77" i="37"/>
  <c r="BZ39" i="37"/>
  <c r="L25" i="37"/>
  <c r="K25" i="37"/>
  <c r="BZ18" i="37"/>
  <c r="AV102" i="37"/>
  <c r="BV102" i="37"/>
  <c r="R287" i="37"/>
  <c r="R266" i="37" s="1"/>
  <c r="BL287" i="37"/>
  <c r="BL266" i="37" s="1"/>
  <c r="Y170" i="44" s="1"/>
  <c r="Y169" i="44" s="1"/>
  <c r="L29" i="37"/>
  <c r="AJ39" i="37"/>
  <c r="BR39" i="37"/>
  <c r="BM320" i="37"/>
  <c r="BM319" i="37" s="1"/>
  <c r="Z178" i="44" s="1"/>
  <c r="Z177" i="44" s="1"/>
  <c r="AM30" i="37"/>
  <c r="W242" i="37"/>
  <c r="X102" i="37"/>
  <c r="BE148" i="37"/>
  <c r="AV161" i="37"/>
  <c r="BG44" i="37"/>
  <c r="AM379" i="37"/>
  <c r="BF138" i="37"/>
  <c r="AU17" i="37"/>
  <c r="AI61" i="37"/>
  <c r="AI126" i="37"/>
  <c r="AV145" i="37"/>
  <c r="AP138" i="37"/>
  <c r="AM106" i="37"/>
  <c r="AU61" i="37"/>
  <c r="BG17" i="37"/>
  <c r="AV39" i="37"/>
  <c r="BE30" i="37"/>
  <c r="X145" i="37"/>
  <c r="BB165" i="37"/>
  <c r="BB44" i="37"/>
  <c r="X39" i="37"/>
  <c r="V126" i="37"/>
  <c r="AJ72" i="37"/>
  <c r="BH139" i="37"/>
  <c r="AI242" i="37"/>
  <c r="AT61" i="37"/>
  <c r="BB61" i="37"/>
  <c r="AG319" i="37"/>
  <c r="AG17" i="37"/>
  <c r="BE91" i="37"/>
  <c r="AV112" i="37"/>
  <c r="AP148" i="37"/>
  <c r="AD17" i="37"/>
  <c r="AD116" i="37"/>
  <c r="AG106" i="37"/>
  <c r="AY126" i="37"/>
  <c r="W126" i="37"/>
  <c r="V106" i="37"/>
  <c r="AM116" i="37"/>
  <c r="AA148" i="37"/>
  <c r="AH61" i="37"/>
  <c r="AP379" i="37"/>
  <c r="BB242" i="37"/>
  <c r="BE76" i="37"/>
  <c r="BE126" i="37"/>
  <c r="BE106" i="37"/>
  <c r="BH102" i="37"/>
  <c r="AS30" i="37"/>
  <c r="AP190" i="37"/>
  <c r="AT138" i="37"/>
  <c r="AT106" i="37"/>
  <c r="AS126" i="37"/>
  <c r="AD76" i="37"/>
  <c r="AS116" i="37"/>
  <c r="BF126" i="37"/>
  <c r="AG116" i="37"/>
  <c r="AI44" i="37"/>
  <c r="AG91" i="37"/>
  <c r="AS165" i="37"/>
  <c r="AU106" i="37"/>
  <c r="AJ26" i="37"/>
  <c r="BG138" i="37"/>
  <c r="AD148" i="37"/>
  <c r="BB126" i="37"/>
  <c r="AD292" i="37"/>
  <c r="BB116" i="37"/>
  <c r="BH127" i="37"/>
  <c r="X161" i="37"/>
  <c r="AI76" i="37"/>
  <c r="AH242" i="37"/>
  <c r="AV313" i="37"/>
  <c r="AG214" i="37"/>
  <c r="AV261" i="37"/>
  <c r="BB292" i="37"/>
  <c r="AY138" i="37"/>
  <c r="BH86" i="37"/>
  <c r="AM61" i="37"/>
  <c r="BB106" i="37"/>
  <c r="AP266" i="37"/>
  <c r="AJ145" i="37"/>
  <c r="BG106" i="37"/>
  <c r="AU126" i="37"/>
  <c r="AT126" i="37"/>
  <c r="AV369" i="37"/>
  <c r="AP319" i="37"/>
  <c r="AA61" i="37"/>
  <c r="BH112" i="37"/>
  <c r="AH138" i="37"/>
  <c r="BH123" i="37"/>
  <c r="BE17" i="37"/>
  <c r="AI106" i="37"/>
  <c r="AK16" i="37"/>
  <c r="AK13" i="37" s="1"/>
  <c r="AV77" i="37"/>
  <c r="AD44" i="37"/>
  <c r="AS292" i="37"/>
  <c r="BH77" i="37"/>
  <c r="BE319" i="37"/>
  <c r="AM44" i="37"/>
  <c r="BF379" i="37"/>
  <c r="AM17" i="37"/>
  <c r="AJ86" i="37"/>
  <c r="AA292" i="37"/>
  <c r="AP165" i="37"/>
  <c r="AG76" i="37"/>
  <c r="AD138" i="37"/>
  <c r="AM126" i="37"/>
  <c r="AV72" i="37"/>
  <c r="AG148" i="37"/>
  <c r="AP76" i="37"/>
  <c r="AV123" i="37"/>
  <c r="X261" i="37"/>
  <c r="BF106" i="37"/>
  <c r="AV139" i="37"/>
  <c r="BH62" i="37"/>
  <c r="X127" i="37"/>
  <c r="AV86" i="37"/>
  <c r="V138" i="37"/>
  <c r="BH185" i="37"/>
  <c r="BE116" i="37"/>
  <c r="X107" i="37"/>
  <c r="X207" i="37"/>
  <c r="AM91" i="37"/>
  <c r="AA379" i="37"/>
  <c r="BC16" i="37"/>
  <c r="BC13" i="37" s="1"/>
  <c r="AG44" i="37"/>
  <c r="AQ16" i="37"/>
  <c r="AQ13" i="37" s="1"/>
  <c r="BH72" i="37"/>
  <c r="BB17" i="37"/>
  <c r="AD91" i="37"/>
  <c r="AP116" i="37"/>
  <c r="AM165" i="37"/>
  <c r="BE165" i="37"/>
  <c r="BH39" i="37"/>
  <c r="AG126" i="37"/>
  <c r="X86" i="37"/>
  <c r="BG379" i="37"/>
  <c r="X185" i="37"/>
  <c r="AW16" i="37"/>
  <c r="AW13" i="37" s="1"/>
  <c r="BB91" i="37"/>
  <c r="BE44" i="37"/>
  <c r="BH243" i="37"/>
  <c r="BH161" i="37"/>
  <c r="AY165" i="37"/>
  <c r="BB148" i="37"/>
  <c r="AY148" i="37"/>
  <c r="AY292" i="37"/>
  <c r="AA76" i="37"/>
  <c r="AM242" i="37"/>
  <c r="AJ123" i="37"/>
  <c r="BG126" i="37"/>
  <c r="X313" i="37"/>
  <c r="X77" i="37"/>
  <c r="X139" i="37"/>
  <c r="X112" i="37"/>
  <c r="AD190" i="37"/>
  <c r="AV287" i="37"/>
  <c r="AA44" i="37"/>
  <c r="AV127" i="37"/>
  <c r="BB30" i="37"/>
  <c r="AS242" i="37"/>
  <c r="BE190" i="37"/>
  <c r="X369" i="37"/>
  <c r="V379" i="37"/>
  <c r="BB379" i="37"/>
  <c r="AV135" i="37"/>
  <c r="AS214" i="37"/>
  <c r="BE379" i="37"/>
  <c r="AS76" i="37"/>
  <c r="AD30" i="37"/>
  <c r="AI138" i="37"/>
  <c r="AP106" i="37"/>
  <c r="AH126" i="37"/>
  <c r="BH26" i="37"/>
  <c r="AB16" i="37"/>
  <c r="AB13" i="37" s="1"/>
  <c r="X135" i="37"/>
  <c r="X123" i="37"/>
  <c r="AG15" i="37"/>
  <c r="AE16" i="37"/>
  <c r="AE13" i="37" s="1"/>
  <c r="AY76" i="37"/>
  <c r="AG379" i="37"/>
  <c r="AD266" i="37"/>
  <c r="AY319" i="37"/>
  <c r="AN16" i="37"/>
  <c r="AN13" i="37" s="1"/>
  <c r="AG138" i="37"/>
  <c r="AJ77" i="37"/>
  <c r="AG266" i="37"/>
  <c r="AJ161" i="37"/>
  <c r="BF242" i="37"/>
  <c r="AS190" i="37"/>
  <c r="BH135" i="37"/>
  <c r="AV107" i="37"/>
  <c r="AG292" i="37"/>
  <c r="AD106" i="37"/>
  <c r="AU138" i="37"/>
  <c r="AM76" i="37"/>
  <c r="BF17" i="37"/>
  <c r="AH44" i="37"/>
  <c r="X243" i="37"/>
  <c r="AX16" i="37"/>
  <c r="AX13" i="37" s="1"/>
  <c r="BB190" i="37"/>
  <c r="BE266" i="37"/>
  <c r="W138" i="37"/>
  <c r="AM15" i="37"/>
  <c r="AJ243" i="37"/>
  <c r="AG165" i="37"/>
  <c r="AS61" i="37"/>
  <c r="X62" i="37"/>
  <c r="BF61" i="37"/>
  <c r="AY44" i="37"/>
  <c r="AY379" i="37"/>
  <c r="AT379" i="37"/>
  <c r="BG61" i="37"/>
  <c r="AV207" i="37"/>
  <c r="BA16" i="37"/>
  <c r="BA13" i="37" s="1"/>
  <c r="AJ107" i="37"/>
  <c r="AU15" i="37"/>
  <c r="BG15" i="37"/>
  <c r="AS15" i="37"/>
  <c r="AT242" i="37"/>
  <c r="BH18" i="37"/>
  <c r="BH107" i="37"/>
  <c r="AH14" i="37"/>
  <c r="AC16" i="37"/>
  <c r="AC13" i="37" s="1"/>
  <c r="AZ16" i="37"/>
  <c r="AZ13" i="37" s="1"/>
  <c r="AA319" i="37"/>
  <c r="AV243" i="37"/>
  <c r="AT15" i="37"/>
  <c r="AM148" i="37"/>
  <c r="AV26" i="37"/>
  <c r="BB319" i="37"/>
  <c r="AU76" i="37"/>
  <c r="AJ185" i="37"/>
  <c r="W61" i="37"/>
  <c r="AI15" i="37"/>
  <c r="W379" i="37"/>
  <c r="AP292" i="37"/>
  <c r="BB266" i="37"/>
  <c r="BB15" i="37"/>
  <c r="AJ135" i="37"/>
  <c r="BG76" i="37"/>
  <c r="BF44" i="37"/>
  <c r="AG190" i="37"/>
  <c r="BD16" i="37"/>
  <c r="BD13" i="37" s="1"/>
  <c r="BB76" i="37"/>
  <c r="AS379" i="37"/>
  <c r="AJ207" i="37"/>
  <c r="BH287" i="37"/>
  <c r="AA126" i="37"/>
  <c r="AD15" i="37"/>
  <c r="AH106" i="37"/>
  <c r="AJ287" i="37"/>
  <c r="AY242" i="37"/>
  <c r="BF15" i="37"/>
  <c r="BE292" i="37"/>
  <c r="AP214" i="37"/>
  <c r="AF16" i="37"/>
  <c r="AF13" i="37" s="1"/>
  <c r="Z16" i="37"/>
  <c r="Z13" i="37" s="1"/>
  <c r="AY15" i="37"/>
  <c r="AH379" i="37"/>
  <c r="Y16" i="37"/>
  <c r="Y13" i="37" s="1"/>
  <c r="X18" i="37"/>
  <c r="AP126" i="37"/>
  <c r="BB214" i="37"/>
  <c r="AU214" i="37"/>
  <c r="AY116" i="37"/>
  <c r="AP44" i="37"/>
  <c r="AV18" i="37"/>
  <c r="AJ313" i="37"/>
  <c r="AU379" i="37"/>
  <c r="AV185" i="37"/>
  <c r="BB138" i="37"/>
  <c r="AY266" i="37"/>
  <c r="AR16" i="37"/>
  <c r="AR13" i="37" s="1"/>
  <c r="BE15" i="37"/>
  <c r="AS319" i="37"/>
  <c r="AS17" i="37"/>
  <c r="AS14" i="37"/>
  <c r="BH313" i="37"/>
  <c r="AP15" i="37"/>
  <c r="AY17" i="37"/>
  <c r="AY14" i="37"/>
  <c r="BB14" i="37"/>
  <c r="AY61" i="37"/>
  <c r="AY30" i="37"/>
  <c r="AM14" i="37"/>
  <c r="AM319" i="37"/>
  <c r="BE242" i="37"/>
  <c r="BH369" i="37"/>
  <c r="AA242" i="37"/>
  <c r="AI14" i="37"/>
  <c r="BG242" i="37"/>
  <c r="AM190" i="37"/>
  <c r="AY91" i="37"/>
  <c r="AO16" i="37"/>
  <c r="AO13" i="37" s="1"/>
  <c r="AP17" i="37"/>
  <c r="AP14" i="37"/>
  <c r="BE214" i="37"/>
  <c r="AJ18" i="37"/>
  <c r="AP242" i="37"/>
  <c r="AM292" i="37"/>
  <c r="AM214" i="37"/>
  <c r="AM266" i="37"/>
  <c r="AD242" i="37"/>
  <c r="AY106" i="37"/>
  <c r="AU14" i="37"/>
  <c r="AP61" i="37"/>
  <c r="AL16" i="37"/>
  <c r="AL13" i="37" s="1"/>
  <c r="AP30" i="37"/>
  <c r="AD165" i="37"/>
  <c r="AY214" i="37"/>
  <c r="AI379" i="37"/>
  <c r="AM138" i="37"/>
  <c r="AY190" i="37"/>
  <c r="BE14" i="37"/>
  <c r="AJ102" i="37"/>
  <c r="W76" i="37"/>
  <c r="W106" i="37"/>
  <c r="AH15" i="37"/>
  <c r="AD214" i="37"/>
  <c r="X361" i="37"/>
  <c r="BN361" i="37" s="1"/>
  <c r="BH261" i="37"/>
  <c r="BH207" i="37"/>
  <c r="AS266" i="37"/>
  <c r="AG242" i="37"/>
  <c r="AD379" i="37"/>
  <c r="AV62" i="37"/>
  <c r="BH145" i="37"/>
  <c r="BF14" i="37"/>
  <c r="AT44" i="37"/>
  <c r="AT14" i="37"/>
  <c r="AP91" i="37"/>
  <c r="BG14" i="37"/>
  <c r="AJ139" i="37"/>
  <c r="AA15" i="37"/>
  <c r="AD319" i="37"/>
  <c r="AJ369" i="37"/>
  <c r="AA17" i="37"/>
  <c r="AA14" i="37"/>
  <c r="AA106" i="37"/>
  <c r="AA214" i="37"/>
  <c r="AG61" i="37"/>
  <c r="AG14" i="37"/>
  <c r="W15" i="37"/>
  <c r="AA165" i="37"/>
  <c r="AA30" i="37"/>
  <c r="AJ127" i="37"/>
  <c r="AJ62" i="37"/>
  <c r="X288" i="37"/>
  <c r="BN288" i="37" s="1"/>
  <c r="X362" i="37"/>
  <c r="BN362" i="37" s="1"/>
  <c r="U148" i="37"/>
  <c r="AJ261" i="37"/>
  <c r="AA266" i="37"/>
  <c r="AA91" i="37"/>
  <c r="AA190" i="37"/>
  <c r="AA116" i="37"/>
  <c r="AA138" i="37"/>
  <c r="AJ112" i="37"/>
  <c r="AD14" i="37"/>
  <c r="W190" i="37"/>
  <c r="O76" i="37"/>
  <c r="U116" i="37"/>
  <c r="O138" i="37"/>
  <c r="U242" i="37"/>
  <c r="N15" i="37"/>
  <c r="U165" i="37"/>
  <c r="R76" i="37"/>
  <c r="R126" i="37"/>
  <c r="R106" i="37"/>
  <c r="U379" i="37"/>
  <c r="R214" i="37"/>
  <c r="O61" i="37"/>
  <c r="R242" i="37"/>
  <c r="U76" i="37"/>
  <c r="W14" i="37"/>
  <c r="O148" i="37"/>
  <c r="O242" i="37"/>
  <c r="R165" i="37"/>
  <c r="R148" i="37"/>
  <c r="N14" i="37"/>
  <c r="O106" i="37"/>
  <c r="U91" i="37"/>
  <c r="O116" i="37"/>
  <c r="U106" i="37"/>
  <c r="R379" i="37"/>
  <c r="U190" i="37"/>
  <c r="R91" i="37"/>
  <c r="U292" i="37"/>
  <c r="R116" i="37"/>
  <c r="R319" i="37"/>
  <c r="U214" i="37"/>
  <c r="O379" i="37"/>
  <c r="Q14" i="37"/>
  <c r="U138" i="37"/>
  <c r="R138" i="37"/>
  <c r="Q16" i="37"/>
  <c r="Q13" i="37" s="1"/>
  <c r="R61" i="37"/>
  <c r="O126" i="37"/>
  <c r="R190" i="37"/>
  <c r="O165" i="37"/>
  <c r="U126" i="37"/>
  <c r="T14" i="37"/>
  <c r="P16" i="37"/>
  <c r="P13" i="37" s="1"/>
  <c r="U266" i="37"/>
  <c r="O266" i="37"/>
  <c r="M16" i="37"/>
  <c r="M13" i="37" s="1"/>
  <c r="N16" i="37"/>
  <c r="N13" i="37" s="1"/>
  <c r="R292" i="37"/>
  <c r="T266" i="37"/>
  <c r="T16" i="37" s="1"/>
  <c r="T13" i="37" s="1"/>
  <c r="O214" i="37"/>
  <c r="O292" i="37"/>
  <c r="R14" i="37"/>
  <c r="O190" i="37"/>
  <c r="O91" i="37"/>
  <c r="O15" i="37"/>
  <c r="F3" i="31"/>
  <c r="AL29" i="39"/>
  <c r="R26" i="31"/>
  <c r="I26" i="31"/>
  <c r="J26" i="31" s="1"/>
  <c r="H26" i="31"/>
  <c r="R25" i="31"/>
  <c r="I25" i="31"/>
  <c r="J25" i="31" s="1"/>
  <c r="H25" i="31"/>
  <c r="R21" i="31"/>
  <c r="I21" i="31"/>
  <c r="J21" i="31" s="1"/>
  <c r="H21" i="31"/>
  <c r="H22" i="31"/>
  <c r="I22" i="31"/>
  <c r="J22" i="31" s="1"/>
  <c r="R22" i="31"/>
  <c r="R20" i="31"/>
  <c r="I20" i="31"/>
  <c r="J20" i="31" s="1"/>
  <c r="H20" i="31"/>
  <c r="AC26" i="39"/>
  <c r="AC28" i="39"/>
  <c r="O7" i="39"/>
  <c r="P7" i="39"/>
  <c r="R7" i="39"/>
  <c r="S7" i="39"/>
  <c r="T7" i="39"/>
  <c r="X7" i="39"/>
  <c r="Y7" i="39"/>
  <c r="C7" i="39"/>
  <c r="D7" i="39"/>
  <c r="E7" i="39"/>
  <c r="AA28" i="39"/>
  <c r="AB28" i="39"/>
  <c r="Q27" i="39"/>
  <c r="W27" i="39" s="1"/>
  <c r="Q12" i="39"/>
  <c r="W12" i="39" s="1"/>
  <c r="Q11" i="39"/>
  <c r="W11" i="39" s="1"/>
  <c r="Q10" i="39"/>
  <c r="W10" i="39" s="1"/>
  <c r="AA9" i="39"/>
  <c r="AB9" i="39"/>
  <c r="AA10" i="39"/>
  <c r="AB10" i="39"/>
  <c r="AA11" i="39"/>
  <c r="AB11" i="39"/>
  <c r="AA12" i="39"/>
  <c r="AB12" i="39"/>
  <c r="AA13" i="39"/>
  <c r="AB13" i="39"/>
  <c r="AA14" i="39"/>
  <c r="AB14" i="39"/>
  <c r="AA15" i="39"/>
  <c r="AB15" i="39"/>
  <c r="AA16" i="39"/>
  <c r="AB16" i="39"/>
  <c r="AA17" i="39"/>
  <c r="AB17" i="39"/>
  <c r="AA18" i="39"/>
  <c r="AB18" i="39"/>
  <c r="AA19" i="39"/>
  <c r="AB19" i="39"/>
  <c r="AA20" i="39"/>
  <c r="AB20" i="39"/>
  <c r="AA21" i="39"/>
  <c r="AB21" i="39"/>
  <c r="AA22" i="39"/>
  <c r="AB22" i="39"/>
  <c r="AA23" i="39"/>
  <c r="AB23" i="39"/>
  <c r="AA24" i="39"/>
  <c r="AB24" i="39"/>
  <c r="AA25" i="39"/>
  <c r="AB25" i="39"/>
  <c r="AA26" i="39"/>
  <c r="AB26" i="39"/>
  <c r="AA27" i="39"/>
  <c r="AB27" i="39"/>
  <c r="AB8" i="39"/>
  <c r="AA8" i="39"/>
  <c r="CB412" i="37"/>
  <c r="CB413" i="37"/>
  <c r="CB414" i="37"/>
  <c r="CB415" i="37"/>
  <c r="CB424" i="37"/>
  <c r="CB425" i="37"/>
  <c r="CB426" i="37"/>
  <c r="CB427" i="37"/>
  <c r="CB428" i="37"/>
  <c r="CB429" i="37"/>
  <c r="CB430" i="37"/>
  <c r="CB431" i="37"/>
  <c r="CB432" i="37"/>
  <c r="CB433" i="37"/>
  <c r="CB434" i="37"/>
  <c r="CB435" i="37"/>
  <c r="CB436" i="37"/>
  <c r="CB437" i="37"/>
  <c r="CB438" i="37"/>
  <c r="CB439" i="37"/>
  <c r="CB440" i="37"/>
  <c r="CB441" i="37"/>
  <c r="CB442" i="37"/>
  <c r="CB443" i="37"/>
  <c r="CB444" i="37"/>
  <c r="CB445" i="37"/>
  <c r="CB446" i="37"/>
  <c r="CB447" i="37"/>
  <c r="CB448" i="37"/>
  <c r="CB449" i="37"/>
  <c r="CB450" i="37"/>
  <c r="CB451" i="37"/>
  <c r="CB452" i="37"/>
  <c r="CB453" i="37"/>
  <c r="CB454" i="37"/>
  <c r="CB455" i="37"/>
  <c r="CB456" i="37"/>
  <c r="CB457" i="37"/>
  <c r="CB458" i="37"/>
  <c r="CB459" i="37"/>
  <c r="CB460" i="37"/>
  <c r="CB461" i="37"/>
  <c r="CB462" i="37"/>
  <c r="CB463" i="37"/>
  <c r="CB464" i="37"/>
  <c r="CB465" i="37"/>
  <c r="CB466" i="37"/>
  <c r="BJ21" i="37"/>
  <c r="BJ62" i="37"/>
  <c r="BJ63" i="37"/>
  <c r="BJ66" i="37"/>
  <c r="BJ69" i="37"/>
  <c r="BJ71" i="37"/>
  <c r="CB496" i="37"/>
  <c r="BJ22" i="37"/>
  <c r="BJ253" i="37"/>
  <c r="BJ255" i="37"/>
  <c r="BJ254" i="37"/>
  <c r="BJ231" i="37"/>
  <c r="BJ230" i="37"/>
  <c r="BJ239" i="37"/>
  <c r="BJ240" i="37"/>
  <c r="BJ178" i="37"/>
  <c r="BJ179" i="37"/>
  <c r="BJ180" i="37"/>
  <c r="BJ187" i="37"/>
  <c r="BJ173" i="37"/>
  <c r="BJ172" i="37"/>
  <c r="BJ175" i="37"/>
  <c r="BJ177" i="37"/>
  <c r="BJ399" i="37"/>
  <c r="BJ384" i="37"/>
  <c r="BJ382" i="37"/>
  <c r="BJ375" i="37"/>
  <c r="BJ374" i="37"/>
  <c r="BJ376" i="37"/>
  <c r="BJ377" i="37"/>
  <c r="BJ361" i="37"/>
  <c r="BJ360" i="37"/>
  <c r="BJ363" i="37"/>
  <c r="BJ362" i="37"/>
  <c r="BJ365" i="37"/>
  <c r="BJ364" i="37"/>
  <c r="BJ315" i="37"/>
  <c r="BJ296" i="37"/>
  <c r="BJ295" i="37"/>
  <c r="BJ309" i="37"/>
  <c r="BJ308" i="37"/>
  <c r="BJ289" i="37"/>
  <c r="BJ290" i="37"/>
  <c r="BJ270" i="37"/>
  <c r="BJ269" i="37"/>
  <c r="BJ272" i="37"/>
  <c r="BJ271" i="37"/>
  <c r="BJ263" i="37"/>
  <c r="BJ264" i="37"/>
  <c r="BJ227" i="37"/>
  <c r="BJ225" i="37"/>
  <c r="BJ232" i="37"/>
  <c r="BJ229" i="37"/>
  <c r="BJ203" i="37"/>
  <c r="BJ202" i="37"/>
  <c r="BJ204" i="37"/>
  <c r="BJ205" i="37"/>
  <c r="BJ210" i="37"/>
  <c r="BJ209" i="37"/>
  <c r="BJ211" i="37"/>
  <c r="BJ238" i="37"/>
  <c r="BJ212" i="37"/>
  <c r="BJ201" i="37"/>
  <c r="A10" i="37"/>
  <c r="A11" i="37" s="1"/>
  <c r="A12" i="37" s="1"/>
  <c r="A13" i="37" s="1"/>
  <c r="A14" i="37" s="1"/>
  <c r="A15" i="37" s="1"/>
  <c r="A16" i="37" s="1"/>
  <c r="A17" i="37" s="1"/>
  <c r="A18" i="37" s="1"/>
  <c r="A19" i="37" s="1"/>
  <c r="A20" i="37" s="1"/>
  <c r="A25" i="37" s="1"/>
  <c r="A26" i="37" s="1"/>
  <c r="BJ84" i="37"/>
  <c r="BJ20" i="37"/>
  <c r="AJ27" i="39"/>
  <c r="AI27" i="39"/>
  <c r="AH27" i="39"/>
  <c r="N7" i="39"/>
  <c r="M7" i="39"/>
  <c r="L7" i="39"/>
  <c r="K7" i="39"/>
  <c r="J7" i="39"/>
  <c r="I7" i="39"/>
  <c r="H7" i="39"/>
  <c r="G7" i="39"/>
  <c r="F7" i="39"/>
  <c r="AA3" i="39"/>
  <c r="R3" i="39"/>
  <c r="D39" i="51" l="1"/>
  <c r="BN44" i="37"/>
  <c r="AA45" i="44" s="1"/>
  <c r="D33" i="51"/>
  <c r="D37" i="51"/>
  <c r="D34" i="51"/>
  <c r="D31" i="51"/>
  <c r="I421" i="37"/>
  <c r="D24" i="51"/>
  <c r="BR44" i="37"/>
  <c r="AE45" i="44" s="1"/>
  <c r="CB419" i="37"/>
  <c r="J417" i="37"/>
  <c r="CB417" i="37" s="1"/>
  <c r="BS165" i="37"/>
  <c r="AF154" i="44" s="1"/>
  <c r="AF153" i="44" s="1"/>
  <c r="CB263" i="37"/>
  <c r="CB259" i="37"/>
  <c r="BR166" i="37"/>
  <c r="BR165" i="37" s="1"/>
  <c r="AE154" i="44" s="1"/>
  <c r="BW214" i="37"/>
  <c r="AJ162" i="44" s="1"/>
  <c r="AJ161" i="44" s="1"/>
  <c r="CB264" i="37"/>
  <c r="CB246" i="37"/>
  <c r="CB265" i="37"/>
  <c r="CB260" i="37"/>
  <c r="CB254" i="37"/>
  <c r="D15" i="37"/>
  <c r="CB245" i="37"/>
  <c r="BZ379" i="37"/>
  <c r="AM182" i="44" s="1"/>
  <c r="J379" i="37"/>
  <c r="CB248" i="37"/>
  <c r="CB255" i="37"/>
  <c r="CB252" i="37"/>
  <c r="CB253" i="37"/>
  <c r="K243" i="37"/>
  <c r="CB249" i="37"/>
  <c r="I379" i="37"/>
  <c r="K92" i="37"/>
  <c r="K56" i="37"/>
  <c r="L197" i="37"/>
  <c r="BZ91" i="37"/>
  <c r="AM86" i="44" s="1"/>
  <c r="BS214" i="37"/>
  <c r="AF162" i="44" s="1"/>
  <c r="AF161" i="44" s="1"/>
  <c r="CB195" i="37"/>
  <c r="BV379" i="37"/>
  <c r="AI182" i="44" s="1"/>
  <c r="L387" i="37"/>
  <c r="K397" i="37"/>
  <c r="BV166" i="37"/>
  <c r="BV165" i="37" s="1"/>
  <c r="AI154" i="44" s="1"/>
  <c r="BR380" i="37"/>
  <c r="BR379" i="37" s="1"/>
  <c r="AE182" i="44" s="1"/>
  <c r="CB177" i="37"/>
  <c r="K166" i="37"/>
  <c r="AJ85" i="44"/>
  <c r="AK85" i="44"/>
  <c r="AH34" i="44"/>
  <c r="AG34" i="44"/>
  <c r="AF34" i="44"/>
  <c r="AC141" i="44"/>
  <c r="AB141" i="44"/>
  <c r="AD141" i="44"/>
  <c r="Z141" i="44"/>
  <c r="AL153" i="44"/>
  <c r="X181" i="44"/>
  <c r="L384" i="37"/>
  <c r="K380" i="37"/>
  <c r="BW165" i="37"/>
  <c r="AJ154" i="44" s="1"/>
  <c r="AJ153" i="44" s="1"/>
  <c r="L238" i="37"/>
  <c r="BX14" i="37"/>
  <c r="AM45" i="44"/>
  <c r="BO14" i="37"/>
  <c r="L46" i="37"/>
  <c r="L45" i="37" s="1"/>
  <c r="AB45" i="44"/>
  <c r="AB44" i="44" s="1"/>
  <c r="Y45" i="44"/>
  <c r="Y44" i="44" s="1"/>
  <c r="K45" i="37"/>
  <c r="L124" i="37"/>
  <c r="AI45" i="44"/>
  <c r="X44" i="37"/>
  <c r="W7" i="39"/>
  <c r="AC165" i="44"/>
  <c r="Y165" i="44"/>
  <c r="X165" i="44"/>
  <c r="AD165" i="44"/>
  <c r="AB165" i="44"/>
  <c r="Z165" i="44"/>
  <c r="AC170" i="44"/>
  <c r="AC169" i="44" s="1"/>
  <c r="AK181" i="44"/>
  <c r="AJ181" i="44"/>
  <c r="AF181" i="44"/>
  <c r="X17" i="37"/>
  <c r="X30" i="37"/>
  <c r="BP18" i="37"/>
  <c r="BP17" i="37" s="1"/>
  <c r="AC23" i="44" s="1"/>
  <c r="L59" i="37"/>
  <c r="K191" i="37"/>
  <c r="L151" i="37"/>
  <c r="L173" i="37"/>
  <c r="L33" i="37"/>
  <c r="L360" i="37"/>
  <c r="CB360" i="37" s="1"/>
  <c r="CB367" i="37"/>
  <c r="CB374" i="37"/>
  <c r="L18" i="37"/>
  <c r="CB375" i="37"/>
  <c r="CB365" i="37"/>
  <c r="CB378" i="37"/>
  <c r="CB366" i="37"/>
  <c r="CB376" i="37"/>
  <c r="X320" i="37"/>
  <c r="X319" i="37" s="1"/>
  <c r="CB363" i="37"/>
  <c r="CB377" i="37"/>
  <c r="CB368" i="37"/>
  <c r="CB364" i="37"/>
  <c r="BX116" i="37"/>
  <c r="AK108" i="44" s="1"/>
  <c r="AK107" i="44" s="1"/>
  <c r="AK118" i="44"/>
  <c r="AK117" i="44" s="1"/>
  <c r="BK116" i="37"/>
  <c r="X108" i="44" s="1"/>
  <c r="X107" i="44" s="1"/>
  <c r="X118" i="44"/>
  <c r="X117" i="44" s="1"/>
  <c r="BS116" i="37"/>
  <c r="AF108" i="44" s="1"/>
  <c r="AF107" i="44" s="1"/>
  <c r="AF118" i="44"/>
  <c r="AF117" i="44" s="1"/>
  <c r="BT116" i="37"/>
  <c r="AG108" i="44" s="1"/>
  <c r="AG107" i="44" s="1"/>
  <c r="AG118" i="44"/>
  <c r="AG117" i="44" s="1"/>
  <c r="BM116" i="37"/>
  <c r="Z108" i="44" s="1"/>
  <c r="Z107" i="44" s="1"/>
  <c r="Z118" i="44"/>
  <c r="Z117" i="44" s="1"/>
  <c r="BQ116" i="37"/>
  <c r="AD108" i="44" s="1"/>
  <c r="AD107" i="44" s="1"/>
  <c r="AD118" i="44"/>
  <c r="AD117" i="44" s="1"/>
  <c r="BU116" i="37"/>
  <c r="AH108" i="44" s="1"/>
  <c r="AH107" i="44" s="1"/>
  <c r="AH118" i="44"/>
  <c r="AH117" i="44" s="1"/>
  <c r="BY116" i="37"/>
  <c r="AL108" i="44" s="1"/>
  <c r="AL107" i="44" s="1"/>
  <c r="AL118" i="44"/>
  <c r="AL117" i="44" s="1"/>
  <c r="BP116" i="37"/>
  <c r="AC108" i="44" s="1"/>
  <c r="AC107" i="44" s="1"/>
  <c r="AC118" i="44"/>
  <c r="AC117" i="44" s="1"/>
  <c r="BW116" i="37"/>
  <c r="AJ108" i="44" s="1"/>
  <c r="AJ107" i="44" s="1"/>
  <c r="AJ118" i="44"/>
  <c r="AJ117" i="44" s="1"/>
  <c r="BL116" i="37"/>
  <c r="Y108" i="44" s="1"/>
  <c r="Y107" i="44" s="1"/>
  <c r="Y118" i="44"/>
  <c r="Y117" i="44" s="1"/>
  <c r="AB118" i="44"/>
  <c r="AB117" i="44" s="1"/>
  <c r="K288" i="37"/>
  <c r="BK14" i="37"/>
  <c r="AV292" i="37"/>
  <c r="AV91" i="37"/>
  <c r="BH76" i="37"/>
  <c r="BZ17" i="37"/>
  <c r="AM23" i="44" s="1"/>
  <c r="BR138" i="37"/>
  <c r="AE132" i="44" s="1"/>
  <c r="BR76" i="37"/>
  <c r="AE73" i="44" s="1"/>
  <c r="BV106" i="37"/>
  <c r="AI98" i="44" s="1"/>
  <c r="I19" i="37"/>
  <c r="BN39" i="37"/>
  <c r="BZ76" i="37"/>
  <c r="AM73" i="44" s="1"/>
  <c r="BZ61" i="37"/>
  <c r="AM62" i="44" s="1"/>
  <c r="BZ126" i="37"/>
  <c r="BV30" i="37"/>
  <c r="AI35" i="44" s="1"/>
  <c r="BR91" i="37"/>
  <c r="AE86" i="44" s="1"/>
  <c r="BR242" i="37"/>
  <c r="AE166" i="44" s="1"/>
  <c r="BV148" i="37"/>
  <c r="AI142" i="44" s="1"/>
  <c r="BZ165" i="37"/>
  <c r="AM154" i="44" s="1"/>
  <c r="CC74" i="37"/>
  <c r="CF73" i="37"/>
  <c r="CD73" i="37"/>
  <c r="U319" i="37"/>
  <c r="BR61" i="37"/>
  <c r="AE62" i="44" s="1"/>
  <c r="BV138" i="37"/>
  <c r="AI132" i="44" s="1"/>
  <c r="BZ319" i="37"/>
  <c r="BR126" i="37"/>
  <c r="BZ292" i="37"/>
  <c r="AM174" i="44" s="1"/>
  <c r="X91" i="37"/>
  <c r="BZ106" i="37"/>
  <c r="AM98" i="44" s="1"/>
  <c r="BV242" i="37"/>
  <c r="AI166" i="44" s="1"/>
  <c r="BR30" i="37"/>
  <c r="AE35" i="44" s="1"/>
  <c r="BR319" i="37"/>
  <c r="AE178" i="44" s="1"/>
  <c r="BR266" i="37"/>
  <c r="AE170" i="44" s="1"/>
  <c r="BV76" i="37"/>
  <c r="AI73" i="44" s="1"/>
  <c r="BZ148" i="37"/>
  <c r="AM142" i="44" s="1"/>
  <c r="BR292" i="37"/>
  <c r="AE174" i="44" s="1"/>
  <c r="BR17" i="37"/>
  <c r="AE23" i="44" s="1"/>
  <c r="BV17" i="37"/>
  <c r="A27" i="37"/>
  <c r="A29" i="37" s="1"/>
  <c r="A30" i="37" s="1"/>
  <c r="A31" i="37" s="1"/>
  <c r="A28" i="37"/>
  <c r="L262" i="37"/>
  <c r="CB262" i="37" s="1"/>
  <c r="BN261" i="37"/>
  <c r="L294" i="37"/>
  <c r="BN293" i="37"/>
  <c r="BN102" i="37"/>
  <c r="BV292" i="37"/>
  <c r="AI174" i="44" s="1"/>
  <c r="BZ30" i="37"/>
  <c r="AM35" i="44" s="1"/>
  <c r="BV266" i="37"/>
  <c r="AI170" i="44" s="1"/>
  <c r="L128" i="37"/>
  <c r="BN127" i="37"/>
  <c r="L167" i="37"/>
  <c r="L93" i="37"/>
  <c r="L92" i="37" s="1"/>
  <c r="L108" i="37"/>
  <c r="BN107" i="37"/>
  <c r="L162" i="37"/>
  <c r="BN161" i="37"/>
  <c r="L146" i="37"/>
  <c r="BN145" i="37"/>
  <c r="BR190" i="37"/>
  <c r="AE158" i="44" s="1"/>
  <c r="BV319" i="37"/>
  <c r="AI178" i="44" s="1"/>
  <c r="BV190" i="37"/>
  <c r="AI158" i="44" s="1"/>
  <c r="L150" i="37"/>
  <c r="BN149" i="37"/>
  <c r="L140" i="37"/>
  <c r="BN139" i="37"/>
  <c r="L268" i="37"/>
  <c r="BN267" i="37"/>
  <c r="L118" i="37"/>
  <c r="L186" i="37"/>
  <c r="BN185" i="37"/>
  <c r="L136" i="37"/>
  <c r="BN135" i="37"/>
  <c r="L57" i="37"/>
  <c r="BZ214" i="37"/>
  <c r="AM162" i="44" s="1"/>
  <c r="BV214" i="37"/>
  <c r="AI162" i="44" s="1"/>
  <c r="BV91" i="37"/>
  <c r="AI86" i="44" s="1"/>
  <c r="L381" i="37"/>
  <c r="BR106" i="37"/>
  <c r="AE98" i="44" s="1"/>
  <c r="L32" i="37"/>
  <c r="BN31" i="37"/>
  <c r="L244" i="37"/>
  <c r="CB244" i="37" s="1"/>
  <c r="BZ266" i="37"/>
  <c r="AM170" i="44" s="1"/>
  <c r="BR214" i="37"/>
  <c r="AE162" i="44" s="1"/>
  <c r="BV61" i="37"/>
  <c r="AI62" i="44" s="1"/>
  <c r="L216" i="37"/>
  <c r="BN215" i="37"/>
  <c r="L314" i="37"/>
  <c r="BN313" i="37"/>
  <c r="L370" i="37"/>
  <c r="CB370" i="37" s="1"/>
  <c r="BN369" i="37"/>
  <c r="L192" i="37"/>
  <c r="BN191" i="37"/>
  <c r="L113" i="37"/>
  <c r="BN112" i="37"/>
  <c r="L208" i="37"/>
  <c r="BN207" i="37"/>
  <c r="BZ138" i="37"/>
  <c r="AM132" i="44" s="1"/>
  <c r="BV126" i="37"/>
  <c r="L237" i="37"/>
  <c r="BN236" i="37"/>
  <c r="L398" i="37"/>
  <c r="L397" i="37" s="1"/>
  <c r="BN397" i="37"/>
  <c r="BN379" i="37" s="1"/>
  <c r="BZ242" i="37"/>
  <c r="AM166" i="44" s="1"/>
  <c r="BZ190" i="37"/>
  <c r="AM158" i="44" s="1"/>
  <c r="AJ44" i="37"/>
  <c r="AD23" i="44"/>
  <c r="AF23" i="44"/>
  <c r="AL23" i="44"/>
  <c r="X23" i="44"/>
  <c r="AB23" i="44"/>
  <c r="Y23" i="44"/>
  <c r="Z23" i="44"/>
  <c r="BU14" i="37"/>
  <c r="AG23" i="44"/>
  <c r="AH23" i="44"/>
  <c r="BH138" i="37"/>
  <c r="AJ23" i="44"/>
  <c r="AK23" i="44"/>
  <c r="BN86" i="37"/>
  <c r="L87" i="37"/>
  <c r="X148" i="37"/>
  <c r="L103" i="37"/>
  <c r="L43" i="37"/>
  <c r="L362" i="37"/>
  <c r="K362" i="37"/>
  <c r="R15" i="37"/>
  <c r="L361" i="37"/>
  <c r="K361" i="37"/>
  <c r="BN77" i="37"/>
  <c r="BN62" i="37"/>
  <c r="BN26" i="37"/>
  <c r="L27" i="37"/>
  <c r="BN18" i="37"/>
  <c r="X126" i="37"/>
  <c r="X287" i="37"/>
  <c r="X266" i="37" s="1"/>
  <c r="AJ30" i="37"/>
  <c r="AV138" i="37"/>
  <c r="AV148" i="37"/>
  <c r="X138" i="37"/>
  <c r="BH44" i="37"/>
  <c r="AV30" i="37"/>
  <c r="BH91" i="37"/>
  <c r="X292" i="37"/>
  <c r="AJ61" i="37"/>
  <c r="BH165" i="37"/>
  <c r="AV379" i="37"/>
  <c r="AV106" i="37"/>
  <c r="AJ17" i="37"/>
  <c r="BH116" i="37"/>
  <c r="AJ116" i="37"/>
  <c r="AV319" i="37"/>
  <c r="BH319" i="37"/>
  <c r="AV242" i="37"/>
  <c r="X190" i="37"/>
  <c r="AV61" i="37"/>
  <c r="BH106" i="37"/>
  <c r="X379" i="37"/>
  <c r="AJ138" i="37"/>
  <c r="AV165" i="37"/>
  <c r="BH17" i="37"/>
  <c r="X242" i="37"/>
  <c r="AJ76" i="37"/>
  <c r="AV116" i="37"/>
  <c r="X165" i="37"/>
  <c r="BH126" i="37"/>
  <c r="AI16" i="37"/>
  <c r="AI13" i="37" s="1"/>
  <c r="AI6" i="37" s="1"/>
  <c r="X214" i="37"/>
  <c r="AV266" i="37"/>
  <c r="AV214" i="37"/>
  <c r="AJ319" i="37"/>
  <c r="BH379" i="37"/>
  <c r="BH292" i="37"/>
  <c r="X106" i="37"/>
  <c r="BH148" i="37"/>
  <c r="AJ242" i="37"/>
  <c r="AV126" i="37"/>
  <c r="X76" i="37"/>
  <c r="AJ266" i="37"/>
  <c r="BH30" i="37"/>
  <c r="BF16" i="37"/>
  <c r="BF13" i="37" s="1"/>
  <c r="BF6" i="37" s="1"/>
  <c r="BH61" i="37"/>
  <c r="AV15" i="37"/>
  <c r="BH242" i="37"/>
  <c r="AJ165" i="37"/>
  <c r="AV76" i="37"/>
  <c r="AJ91" i="37"/>
  <c r="BB16" i="37"/>
  <c r="BB13" i="37" s="1"/>
  <c r="AU16" i="37"/>
  <c r="AU13" i="37" s="1"/>
  <c r="AU6" i="37" s="1"/>
  <c r="AM16" i="37"/>
  <c r="AM13" i="37" s="1"/>
  <c r="BG16" i="37"/>
  <c r="BG13" i="37" s="1"/>
  <c r="BG6" i="37" s="1"/>
  <c r="AV190" i="37"/>
  <c r="AJ214" i="37"/>
  <c r="AT16" i="37"/>
  <c r="AT13" i="37" s="1"/>
  <c r="AT6" i="37" s="1"/>
  <c r="AH16" i="37"/>
  <c r="AH13" i="37" s="1"/>
  <c r="AD16" i="37"/>
  <c r="AD13" i="37" s="1"/>
  <c r="AV44" i="37"/>
  <c r="AJ379" i="37"/>
  <c r="X116" i="37"/>
  <c r="AJ148" i="37"/>
  <c r="AJ190" i="37"/>
  <c r="BH266" i="37"/>
  <c r="AJ15" i="37"/>
  <c r="BE16" i="37"/>
  <c r="BE13" i="37" s="1"/>
  <c r="AJ126" i="37"/>
  <c r="BH190" i="37"/>
  <c r="BH14" i="37"/>
  <c r="W16" i="37"/>
  <c r="W13" i="37" s="1"/>
  <c r="AS16" i="37"/>
  <c r="AS13" i="37" s="1"/>
  <c r="O14" i="37"/>
  <c r="AP16" i="37"/>
  <c r="AP13" i="37" s="1"/>
  <c r="BH15" i="37"/>
  <c r="AY16" i="37"/>
  <c r="AY13" i="37" s="1"/>
  <c r="AJ292" i="37"/>
  <c r="AA16" i="37"/>
  <c r="AA13" i="37" s="1"/>
  <c r="BH214" i="37"/>
  <c r="AV17" i="37"/>
  <c r="AV14" i="37"/>
  <c r="AG16" i="37"/>
  <c r="AG13" i="37" s="1"/>
  <c r="AJ106" i="37"/>
  <c r="AJ14" i="37"/>
  <c r="O16" i="37"/>
  <c r="O13" i="37" s="1"/>
  <c r="R16" i="37"/>
  <c r="R13" i="37" s="1"/>
  <c r="Q7" i="39"/>
  <c r="AB7" i="39"/>
  <c r="AC27" i="39"/>
  <c r="AA7" i="39"/>
  <c r="A139" i="37"/>
  <c r="A140" i="37" s="1"/>
  <c r="A141" i="37" s="1"/>
  <c r="O26" i="31"/>
  <c r="O25" i="31"/>
  <c r="A21" i="37"/>
  <c r="A23" i="37" s="1"/>
  <c r="A24" i="37" s="1"/>
  <c r="AJ9" i="39"/>
  <c r="AJ16" i="39"/>
  <c r="AJ17" i="39"/>
  <c r="AI9" i="39"/>
  <c r="AI20" i="39"/>
  <c r="AH22" i="39"/>
  <c r="AJ20" i="39"/>
  <c r="AI22" i="39"/>
  <c r="AJ23" i="39"/>
  <c r="AJ26" i="39"/>
  <c r="AJ18" i="39"/>
  <c r="AH16" i="39"/>
  <c r="AH26" i="39"/>
  <c r="AJ10" i="39"/>
  <c r="AH23" i="39"/>
  <c r="AI23" i="39"/>
  <c r="AH25" i="39"/>
  <c r="AH21" i="39"/>
  <c r="AI19" i="39"/>
  <c r="AI14" i="39"/>
  <c r="AJ15" i="39"/>
  <c r="AJ19" i="39"/>
  <c r="AH12" i="39"/>
  <c r="A22" i="37"/>
  <c r="AH15" i="39"/>
  <c r="AH17" i="39"/>
  <c r="AH18" i="39"/>
  <c r="AH14" i="39"/>
  <c r="AI15" i="39"/>
  <c r="AI17" i="39"/>
  <c r="AI18" i="39"/>
  <c r="AH20" i="39"/>
  <c r="AH10" i="39"/>
  <c r="AH11" i="39"/>
  <c r="AI12" i="39"/>
  <c r="AJ14" i="39"/>
  <c r="AI21" i="39"/>
  <c r="AI10" i="39"/>
  <c r="AI11" i="39"/>
  <c r="AJ12" i="39"/>
  <c r="AJ21" i="39"/>
  <c r="AH24" i="39"/>
  <c r="AH8" i="39"/>
  <c r="AJ11" i="39"/>
  <c r="AI24" i="39"/>
  <c r="AI8" i="39"/>
  <c r="AJ24" i="39"/>
  <c r="AJ25" i="39"/>
  <c r="AH7" i="39"/>
  <c r="AH2" i="39" s="1"/>
  <c r="AJ8" i="39"/>
  <c r="AI7" i="39"/>
  <c r="AH13" i="39"/>
  <c r="AI16" i="39"/>
  <c r="AH19" i="39"/>
  <c r="AJ22" i="39"/>
  <c r="AI25" i="39"/>
  <c r="AI13" i="39"/>
  <c r="AH9" i="39"/>
  <c r="AJ13" i="39"/>
  <c r="AI26" i="39"/>
  <c r="AJ7" i="39"/>
  <c r="D27" i="51" l="1"/>
  <c r="D25" i="51" s="1"/>
  <c r="AK20" i="44"/>
  <c r="D30" i="51"/>
  <c r="D29" i="51" s="1"/>
  <c r="K379" i="37"/>
  <c r="L191" i="37"/>
  <c r="L380" i="37"/>
  <c r="L166" i="37"/>
  <c r="X20" i="44"/>
  <c r="X19" i="44" s="1"/>
  <c r="AL20" i="44"/>
  <c r="AC20" i="44"/>
  <c r="AC19" i="44" s="1"/>
  <c r="AH20" i="44"/>
  <c r="AH19" i="44" s="1"/>
  <c r="AG20" i="44"/>
  <c r="AG19" i="44" s="1"/>
  <c r="AD20" i="44"/>
  <c r="AD19" i="44" s="1"/>
  <c r="AF20" i="44"/>
  <c r="AF19" i="44" s="1"/>
  <c r="Y20" i="44"/>
  <c r="AJ20" i="44"/>
  <c r="AJ19" i="44" s="1"/>
  <c r="AH6" i="37"/>
  <c r="AK19" i="44"/>
  <c r="X22" i="44"/>
  <c r="AL19" i="44"/>
  <c r="BT16" i="37"/>
  <c r="BT13" i="37" s="1"/>
  <c r="BK16" i="37"/>
  <c r="BK13" i="37" s="1"/>
  <c r="A142" i="37"/>
  <c r="A144" i="37" s="1"/>
  <c r="A145" i="37" s="1"/>
  <c r="A146" i="37" s="1"/>
  <c r="A147" i="37" s="1"/>
  <c r="A148" i="37" s="1"/>
  <c r="A149" i="37" s="1"/>
  <c r="A150" i="37" s="1"/>
  <c r="A157" i="37" s="1"/>
  <c r="A143" i="37"/>
  <c r="BK15" i="37"/>
  <c r="BW16" i="37"/>
  <c r="BW13" i="37" s="1"/>
  <c r="BY16" i="37"/>
  <c r="BY13" i="37" s="1"/>
  <c r="A32" i="37"/>
  <c r="A36" i="37" s="1"/>
  <c r="A34" i="37"/>
  <c r="BX16" i="37"/>
  <c r="BX13" i="37" s="1"/>
  <c r="CB362" i="37"/>
  <c r="BP16" i="37"/>
  <c r="BP13" i="37" s="1"/>
  <c r="AE97" i="44"/>
  <c r="AI72" i="44"/>
  <c r="AI97" i="44"/>
  <c r="AM157" i="44"/>
  <c r="AI85" i="44"/>
  <c r="AI169" i="44"/>
  <c r="AM85" i="44"/>
  <c r="AM44" i="44"/>
  <c r="AM34" i="44"/>
  <c r="AE169" i="44"/>
  <c r="AE72" i="44"/>
  <c r="AI173" i="44"/>
  <c r="AE177" i="44"/>
  <c r="AM153" i="44"/>
  <c r="AE131" i="44"/>
  <c r="AM181" i="44"/>
  <c r="AE34" i="44"/>
  <c r="AE181" i="44"/>
  <c r="AI153" i="44"/>
  <c r="AI141" i="44"/>
  <c r="AI157" i="44"/>
  <c r="AE165" i="44"/>
  <c r="AI161" i="44"/>
  <c r="AE157" i="44"/>
  <c r="AI181" i="44"/>
  <c r="AM97" i="44"/>
  <c r="AE85" i="44"/>
  <c r="AI177" i="44"/>
  <c r="AI44" i="44"/>
  <c r="AI165" i="44"/>
  <c r="AM131" i="44"/>
  <c r="AM161" i="44"/>
  <c r="AE44" i="44"/>
  <c r="AM173" i="44"/>
  <c r="AI34" i="44"/>
  <c r="AI61" i="44"/>
  <c r="AI109" i="44" s="1"/>
  <c r="AI21" i="44" s="1"/>
  <c r="AM169" i="44"/>
  <c r="AE161" i="44"/>
  <c r="AM61" i="44"/>
  <c r="AM109" i="44" s="1"/>
  <c r="AM21" i="44" s="1"/>
  <c r="AE153" i="44"/>
  <c r="AI131" i="44"/>
  <c r="AM72" i="44"/>
  <c r="AE173" i="44"/>
  <c r="AE61" i="44"/>
  <c r="AE109" i="44" s="1"/>
  <c r="AE21" i="44" s="1"/>
  <c r="AM165" i="44"/>
  <c r="AM141" i="44"/>
  <c r="CB361" i="37"/>
  <c r="AM178" i="44"/>
  <c r="BQ15" i="37"/>
  <c r="BQ16" i="37"/>
  <c r="BQ13" i="37" s="1"/>
  <c r="BU16" i="37"/>
  <c r="BU13" i="37" s="1"/>
  <c r="BL15" i="37"/>
  <c r="BN242" i="37"/>
  <c r="AA166" i="44" s="1"/>
  <c r="BS16" i="37"/>
  <c r="BS13" i="37" s="1"/>
  <c r="BL16" i="37"/>
  <c r="BL13" i="37" s="1"/>
  <c r="BO15" i="37"/>
  <c r="BO116" i="37"/>
  <c r="BV116" i="37"/>
  <c r="AI108" i="44" s="1"/>
  <c r="AI118" i="44"/>
  <c r="BR116" i="37"/>
  <c r="AE108" i="44" s="1"/>
  <c r="AE118" i="44"/>
  <c r="BZ116" i="37"/>
  <c r="AM108" i="44" s="1"/>
  <c r="AM118" i="44"/>
  <c r="BN30" i="37"/>
  <c r="AA35" i="44" s="1"/>
  <c r="V14" i="37"/>
  <c r="BI14" i="37" s="1"/>
  <c r="CC75" i="37"/>
  <c r="CF74" i="37"/>
  <c r="CD74" i="37"/>
  <c r="AH22" i="44"/>
  <c r="AG22" i="44"/>
  <c r="AL22" i="44"/>
  <c r="AK22" i="44"/>
  <c r="AF22" i="44"/>
  <c r="Z22" i="44"/>
  <c r="AD22" i="44"/>
  <c r="AJ22" i="44"/>
  <c r="Y22" i="44"/>
  <c r="AC22" i="44"/>
  <c r="AB22" i="44"/>
  <c r="BN76" i="37"/>
  <c r="AA73" i="44" s="1"/>
  <c r="BN165" i="37"/>
  <c r="AA154" i="44" s="1"/>
  <c r="AA182" i="44"/>
  <c r="BN148" i="37"/>
  <c r="AA142" i="44" s="1"/>
  <c r="BN138" i="37"/>
  <c r="AA132" i="44" s="1"/>
  <c r="BN292" i="37"/>
  <c r="AA174" i="44" s="1"/>
  <c r="BN17" i="37"/>
  <c r="AA23" i="44" s="1"/>
  <c r="BN106" i="37"/>
  <c r="AA98" i="44" s="1"/>
  <c r="BN320" i="37"/>
  <c r="BN319" i="37" s="1"/>
  <c r="AA178" i="44" s="1"/>
  <c r="BN91" i="37"/>
  <c r="AA86" i="44" s="1"/>
  <c r="BN190" i="37"/>
  <c r="AA158" i="44" s="1"/>
  <c r="BN126" i="37"/>
  <c r="AA118" i="44" s="1"/>
  <c r="BN214" i="37"/>
  <c r="AA162" i="44" s="1"/>
  <c r="L288" i="37"/>
  <c r="BN287" i="37"/>
  <c r="BN266" i="37" s="1"/>
  <c r="AA170" i="44" s="1"/>
  <c r="BU15" i="37"/>
  <c r="AI23" i="44"/>
  <c r="BQ14" i="37"/>
  <c r="X14" i="37"/>
  <c r="AV16" i="37"/>
  <c r="AV13" i="37" s="1"/>
  <c r="AJ16" i="37"/>
  <c r="AJ13" i="37" s="1"/>
  <c r="BH16" i="37"/>
  <c r="BH13" i="37" s="1"/>
  <c r="CB239" i="37"/>
  <c r="CB315" i="37"/>
  <c r="A229" i="37"/>
  <c r="A232" i="37" s="1"/>
  <c r="CB289" i="37"/>
  <c r="CB231" i="37"/>
  <c r="CB382" i="37"/>
  <c r="CB272" i="37"/>
  <c r="CB211" i="37"/>
  <c r="CB21" i="37"/>
  <c r="CB269" i="37"/>
  <c r="CB204" i="37"/>
  <c r="CB32" i="37"/>
  <c r="CB172" i="37"/>
  <c r="CB202" i="37"/>
  <c r="CB201" i="37"/>
  <c r="CB227" i="37"/>
  <c r="CB271" i="37"/>
  <c r="CB203" i="37"/>
  <c r="CB225" i="37"/>
  <c r="CB270" i="37"/>
  <c r="CB399" i="37"/>
  <c r="CB173" i="37"/>
  <c r="CB232" i="37"/>
  <c r="CB230" i="37"/>
  <c r="CB205" i="37"/>
  <c r="CB229" i="37"/>
  <c r="CB210" i="37"/>
  <c r="CB296" i="37"/>
  <c r="CB384" i="37"/>
  <c r="CB295" i="37"/>
  <c r="CB209" i="37"/>
  <c r="CB290" i="37"/>
  <c r="CB212" i="37"/>
  <c r="CB238" i="37"/>
  <c r="CB187" i="37"/>
  <c r="CB240" i="37"/>
  <c r="AJ2" i="39"/>
  <c r="CB22" i="37"/>
  <c r="CB179" i="37"/>
  <c r="CB178" i="37"/>
  <c r="CB180" i="37"/>
  <c r="CB175" i="37"/>
  <c r="CB308" i="37"/>
  <c r="CB309" i="37"/>
  <c r="CB20" i="37"/>
  <c r="CB84" i="37"/>
  <c r="AK7" i="39"/>
  <c r="AI20" i="44" l="1"/>
  <c r="BJ10" i="37"/>
  <c r="L379" i="37"/>
  <c r="AM20" i="44"/>
  <c r="A153" i="37"/>
  <c r="CA14" i="37"/>
  <c r="A154" i="37"/>
  <c r="BV16" i="37"/>
  <c r="BV13" i="37" s="1"/>
  <c r="A151" i="37"/>
  <c r="A35" i="37"/>
  <c r="A33" i="37"/>
  <c r="A37" i="37" s="1"/>
  <c r="A38" i="37" s="1"/>
  <c r="A39" i="37" s="1"/>
  <c r="A76" i="37"/>
  <c r="A77" i="37" s="1"/>
  <c r="A78" i="37" s="1"/>
  <c r="A82" i="37" s="1"/>
  <c r="A83" i="37" s="1"/>
  <c r="A84" i="37" s="1"/>
  <c r="A85" i="37" s="1"/>
  <c r="A86" i="37" s="1"/>
  <c r="BZ16" i="37"/>
  <c r="BZ13" i="37" s="1"/>
  <c r="AA34" i="44"/>
  <c r="V34" i="44" s="1"/>
  <c r="AN34" i="44" s="1"/>
  <c r="AM117" i="44"/>
  <c r="AM107" i="44"/>
  <c r="AE117" i="44"/>
  <c r="V166" i="44"/>
  <c r="S32" i="45" s="1"/>
  <c r="S17" i="45" s="1"/>
  <c r="AE107" i="44"/>
  <c r="AI117" i="44"/>
  <c r="AI107" i="44"/>
  <c r="AM177" i="44"/>
  <c r="AA181" i="44"/>
  <c r="V181" i="44" s="1"/>
  <c r="W32" i="45" s="1"/>
  <c r="W17" i="45" s="1"/>
  <c r="V182" i="44"/>
  <c r="AA177" i="44"/>
  <c r="V178" i="44"/>
  <c r="V32" i="45" s="1"/>
  <c r="V17" i="45" s="1"/>
  <c r="CA319" i="37"/>
  <c r="AA165" i="44"/>
  <c r="V165" i="44" s="1"/>
  <c r="BR15" i="37"/>
  <c r="BN116" i="37"/>
  <c r="V45" i="44"/>
  <c r="G32" i="45" s="1"/>
  <c r="G17" i="45" s="1"/>
  <c r="AA44" i="44"/>
  <c r="V44" i="44" s="1"/>
  <c r="V158" i="44"/>
  <c r="Q32" i="45" s="1"/>
  <c r="Q17" i="45" s="1"/>
  <c r="AA157" i="44"/>
  <c r="V157" i="44" s="1"/>
  <c r="AA141" i="44"/>
  <c r="AA173" i="44"/>
  <c r="V173" i="44" s="1"/>
  <c r="V174" i="44"/>
  <c r="U32" i="45" s="1"/>
  <c r="U17" i="45" s="1"/>
  <c r="V86" i="44"/>
  <c r="J32" i="45" s="1"/>
  <c r="V132" i="44"/>
  <c r="N32" i="45" s="1"/>
  <c r="N17" i="45" s="1"/>
  <c r="AA131" i="44"/>
  <c r="V131" i="44" s="1"/>
  <c r="AA153" i="44"/>
  <c r="V153" i="44" s="1"/>
  <c r="V154" i="44"/>
  <c r="P32" i="45" s="1"/>
  <c r="V162" i="44"/>
  <c r="R32" i="45" s="1"/>
  <c r="R17" i="45" s="1"/>
  <c r="AA161" i="44"/>
  <c r="V161" i="44" s="1"/>
  <c r="V98" i="44"/>
  <c r="K32" i="45" s="1"/>
  <c r="K17" i="45" s="1"/>
  <c r="AA97" i="44"/>
  <c r="V97" i="44" s="1"/>
  <c r="AB108" i="44"/>
  <c r="AB20" i="44" s="1"/>
  <c r="BO16" i="37"/>
  <c r="BO13" i="37" s="1"/>
  <c r="AA169" i="44"/>
  <c r="V169" i="44" s="1"/>
  <c r="V170" i="44"/>
  <c r="T32" i="45" s="1"/>
  <c r="T17" i="45" s="1"/>
  <c r="V73" i="44"/>
  <c r="I32" i="45" s="1"/>
  <c r="I17" i="45" s="1"/>
  <c r="AA72" i="44"/>
  <c r="V72" i="44" s="1"/>
  <c r="V35" i="44"/>
  <c r="F32" i="45" s="1"/>
  <c r="F17" i="45" s="1"/>
  <c r="CC77" i="37"/>
  <c r="CF75" i="37"/>
  <c r="CD75" i="37"/>
  <c r="AE22" i="44"/>
  <c r="AI22" i="44"/>
  <c r="AM22" i="44"/>
  <c r="BN14" i="37"/>
  <c r="BT15" i="37"/>
  <c r="BZ15" i="37"/>
  <c r="BW15" i="37"/>
  <c r="BX15" i="37"/>
  <c r="AA108" i="44" l="1"/>
  <c r="A88" i="37"/>
  <c r="A89" i="37"/>
  <c r="A41" i="37"/>
  <c r="A40" i="37"/>
  <c r="A43" i="37" s="1"/>
  <c r="A44" i="37" s="1"/>
  <c r="A45" i="37" s="1"/>
  <c r="A46" i="37" s="1"/>
  <c r="A42" i="37"/>
  <c r="A155" i="37"/>
  <c r="A159" i="37" s="1"/>
  <c r="A170" i="37" s="1"/>
  <c r="A152" i="37"/>
  <c r="A158" i="37"/>
  <c r="A169" i="37" s="1"/>
  <c r="A87" i="37"/>
  <c r="A90" i="37" s="1"/>
  <c r="A91" i="37" s="1"/>
  <c r="A92" i="37" s="1"/>
  <c r="A93" i="37" s="1"/>
  <c r="A94" i="37" s="1"/>
  <c r="A95" i="37" s="1"/>
  <c r="A97" i="37" s="1"/>
  <c r="AI19" i="44"/>
  <c r="AM19" i="44"/>
  <c r="AA109" i="44"/>
  <c r="V177" i="44"/>
  <c r="P17" i="45"/>
  <c r="V118" i="44"/>
  <c r="M32" i="45" s="1"/>
  <c r="M17" i="45" s="1"/>
  <c r="AA117" i="44"/>
  <c r="V117" i="44" s="1"/>
  <c r="V108" i="44"/>
  <c r="L32" i="45" s="1"/>
  <c r="L17" i="45" s="1"/>
  <c r="AA22" i="44"/>
  <c r="AB107" i="44"/>
  <c r="AB19" i="44"/>
  <c r="CC78" i="37"/>
  <c r="CC79" i="37" s="1"/>
  <c r="CF77" i="37"/>
  <c r="CD77" i="37"/>
  <c r="V23" i="44"/>
  <c r="BW14" i="37"/>
  <c r="BT14" i="37"/>
  <c r="BZ14" i="37"/>
  <c r="BJ31" i="37"/>
  <c r="BJ32" i="37"/>
  <c r="BJ33" i="37"/>
  <c r="BJ37" i="37"/>
  <c r="BJ38" i="37"/>
  <c r="A102" i="37" l="1"/>
  <c r="A103" i="37" s="1"/>
  <c r="A105" i="37" s="1"/>
  <c r="A106" i="37" s="1"/>
  <c r="A107" i="37" s="1"/>
  <c r="A108" i="37" s="1"/>
  <c r="A109" i="37" s="1"/>
  <c r="A110" i="37" s="1"/>
  <c r="A111" i="37" s="1"/>
  <c r="A112" i="37" s="1"/>
  <c r="A114" i="37" s="1"/>
  <c r="A98" i="37"/>
  <c r="A99" i="37" s="1"/>
  <c r="A100" i="37" s="1"/>
  <c r="A101" i="37" s="1"/>
  <c r="AQ13" i="44"/>
  <c r="AA107" i="44"/>
  <c r="V107" i="44" s="1"/>
  <c r="A48" i="37"/>
  <c r="A49" i="37" s="1"/>
  <c r="A51" i="37" s="1"/>
  <c r="A56" i="37" s="1"/>
  <c r="A47" i="37"/>
  <c r="A160" i="37"/>
  <c r="A161" i="37" s="1"/>
  <c r="A162" i="37" s="1"/>
  <c r="A164" i="37" s="1"/>
  <c r="A165" i="37" s="1"/>
  <c r="A156" i="37"/>
  <c r="A96" i="37"/>
  <c r="CC80" i="37"/>
  <c r="CF79" i="37"/>
  <c r="CD79" i="37"/>
  <c r="V22" i="44"/>
  <c r="E32" i="45"/>
  <c r="A366" i="37"/>
  <c r="A334" i="37"/>
  <c r="A321" i="37"/>
  <c r="A328" i="37" s="1"/>
  <c r="A340" i="37" s="1"/>
  <c r="A359" i="37" s="1"/>
  <c r="CC82" i="37"/>
  <c r="CF78" i="37"/>
  <c r="CD78" i="37"/>
  <c r="BM14" i="37"/>
  <c r="BJ401" i="37"/>
  <c r="BJ398" i="37"/>
  <c r="BJ397" i="37"/>
  <c r="BJ387" i="37"/>
  <c r="BJ386" i="37"/>
  <c r="BJ385" i="37"/>
  <c r="BJ381" i="37"/>
  <c r="BJ380" i="37"/>
  <c r="BJ378" i="37"/>
  <c r="BJ370" i="37"/>
  <c r="BJ369" i="37"/>
  <c r="BJ368" i="37"/>
  <c r="BJ367" i="37"/>
  <c r="BJ366" i="37"/>
  <c r="BJ320" i="37"/>
  <c r="BJ319" i="37"/>
  <c r="BJ318" i="37"/>
  <c r="BJ314" i="37"/>
  <c r="BJ313" i="37"/>
  <c r="BJ312" i="37"/>
  <c r="BJ311" i="37"/>
  <c r="BJ310" i="37"/>
  <c r="BJ294" i="37"/>
  <c r="BJ293" i="37"/>
  <c r="BJ292" i="37"/>
  <c r="BJ291" i="37"/>
  <c r="BJ288" i="37"/>
  <c r="BJ287" i="37"/>
  <c r="BJ286" i="37"/>
  <c r="BJ276" i="37"/>
  <c r="BJ273" i="37"/>
  <c r="BJ268" i="37"/>
  <c r="BJ267" i="37"/>
  <c r="BJ266" i="37"/>
  <c r="BJ265" i="37"/>
  <c r="BJ262" i="37"/>
  <c r="BJ261" i="37"/>
  <c r="BJ260" i="37"/>
  <c r="BJ259" i="37"/>
  <c r="BJ244" i="37"/>
  <c r="BJ243" i="37"/>
  <c r="BJ242" i="37"/>
  <c r="BJ241" i="37"/>
  <c r="BJ237" i="37"/>
  <c r="BJ236" i="37"/>
  <c r="BJ235" i="37"/>
  <c r="BJ234" i="37"/>
  <c r="BJ233" i="37"/>
  <c r="BJ216" i="37"/>
  <c r="BJ215" i="37"/>
  <c r="BJ214" i="37"/>
  <c r="BJ213" i="37"/>
  <c r="BJ208" i="37"/>
  <c r="BJ207" i="37"/>
  <c r="BJ206" i="37"/>
  <c r="BJ197" i="37"/>
  <c r="BJ195" i="37"/>
  <c r="BJ192" i="37"/>
  <c r="BJ191" i="37"/>
  <c r="BJ190" i="37"/>
  <c r="BJ189" i="37"/>
  <c r="BJ186" i="37"/>
  <c r="BJ185" i="37"/>
  <c r="BJ181" i="37"/>
  <c r="BJ171" i="37"/>
  <c r="BJ168" i="37"/>
  <c r="BJ167" i="37"/>
  <c r="BJ166" i="37"/>
  <c r="BJ164" i="37"/>
  <c r="BJ162" i="37"/>
  <c r="BJ161" i="37"/>
  <c r="BJ160" i="37"/>
  <c r="BJ152" i="37"/>
  <c r="BJ151" i="37"/>
  <c r="BJ150" i="37"/>
  <c r="BJ149" i="37"/>
  <c r="BJ147" i="37"/>
  <c r="BJ146" i="37"/>
  <c r="BJ145" i="37"/>
  <c r="BJ144" i="37"/>
  <c r="BJ142" i="37"/>
  <c r="BJ141" i="37"/>
  <c r="BJ140" i="37"/>
  <c r="BJ139" i="37"/>
  <c r="BJ137" i="37"/>
  <c r="BJ136" i="37"/>
  <c r="BJ135" i="37"/>
  <c r="BJ134" i="37"/>
  <c r="BJ133" i="37"/>
  <c r="BJ129" i="37"/>
  <c r="BJ128" i="37"/>
  <c r="BJ127" i="37"/>
  <c r="BJ125" i="37"/>
  <c r="BJ124" i="37"/>
  <c r="BJ123" i="37"/>
  <c r="BJ122" i="37"/>
  <c r="BJ120" i="37"/>
  <c r="BJ119" i="37"/>
  <c r="BJ118" i="37"/>
  <c r="BJ117" i="37"/>
  <c r="BJ115" i="37"/>
  <c r="BJ113" i="37"/>
  <c r="BJ112" i="37"/>
  <c r="BJ111" i="37"/>
  <c r="BJ110" i="37"/>
  <c r="BJ109" i="37"/>
  <c r="BJ108" i="37"/>
  <c r="BJ107" i="37"/>
  <c r="BJ105" i="37"/>
  <c r="BJ103" i="37"/>
  <c r="BJ102" i="37"/>
  <c r="BJ97" i="37"/>
  <c r="BJ95" i="37"/>
  <c r="BJ94" i="37"/>
  <c r="BJ93" i="37"/>
  <c r="BJ92" i="37"/>
  <c r="BJ90" i="37"/>
  <c r="BJ87" i="37"/>
  <c r="BJ86" i="37"/>
  <c r="BJ85" i="37"/>
  <c r="BJ83" i="37"/>
  <c r="BJ82" i="37"/>
  <c r="BJ78" i="37"/>
  <c r="BJ77" i="37"/>
  <c r="BJ75" i="37"/>
  <c r="BJ73" i="37"/>
  <c r="BJ72" i="37"/>
  <c r="BJ46" i="37"/>
  <c r="BJ48" i="37"/>
  <c r="BJ49" i="37"/>
  <c r="BJ51" i="37"/>
  <c r="BJ18" i="37"/>
  <c r="BJ19" i="37"/>
  <c r="BJ25" i="37"/>
  <c r="BJ26" i="37"/>
  <c r="BJ27" i="37"/>
  <c r="BJ29" i="37"/>
  <c r="BJ30" i="37"/>
  <c r="BJ39" i="37"/>
  <c r="BJ40" i="37"/>
  <c r="BJ43" i="37"/>
  <c r="BJ44" i="37"/>
  <c r="BJ45" i="37"/>
  <c r="BJ56" i="37"/>
  <c r="BJ57" i="37"/>
  <c r="BJ59" i="37"/>
  <c r="BJ61" i="37"/>
  <c r="BJ76" i="37"/>
  <c r="BJ91" i="37"/>
  <c r="BJ106" i="37"/>
  <c r="BJ116" i="37"/>
  <c r="BJ126" i="37"/>
  <c r="BJ138" i="37"/>
  <c r="BJ148" i="37"/>
  <c r="BJ165" i="37"/>
  <c r="BJ379" i="37"/>
  <c r="BJ412" i="37"/>
  <c r="BJ413" i="37"/>
  <c r="BJ414" i="37"/>
  <c r="BJ415" i="37"/>
  <c r="BJ416" i="37"/>
  <c r="BJ417" i="37"/>
  <c r="BJ419" i="37"/>
  <c r="BJ423" i="37"/>
  <c r="BJ424" i="37"/>
  <c r="BJ425" i="37"/>
  <c r="BJ426" i="37"/>
  <c r="BJ427" i="37"/>
  <c r="BJ428" i="37"/>
  <c r="BJ429" i="37"/>
  <c r="BJ430" i="37"/>
  <c r="BJ431" i="37"/>
  <c r="BJ432" i="37"/>
  <c r="BJ433" i="37"/>
  <c r="BJ434" i="37"/>
  <c r="BJ435" i="37"/>
  <c r="BJ436" i="37"/>
  <c r="BJ437" i="37"/>
  <c r="BJ438" i="37"/>
  <c r="BJ439" i="37"/>
  <c r="BJ440" i="37"/>
  <c r="BJ441" i="37"/>
  <c r="BJ442" i="37"/>
  <c r="BJ443" i="37"/>
  <c r="BJ444" i="37"/>
  <c r="BJ445" i="37"/>
  <c r="BJ446" i="37"/>
  <c r="BJ447" i="37"/>
  <c r="BJ448" i="37"/>
  <c r="BJ449" i="37"/>
  <c r="BJ450" i="37"/>
  <c r="BJ451" i="37"/>
  <c r="BJ452" i="37"/>
  <c r="BJ453" i="37"/>
  <c r="BJ454" i="37"/>
  <c r="BJ455" i="37"/>
  <c r="BJ456" i="37"/>
  <c r="BJ457" i="37"/>
  <c r="BJ458" i="37"/>
  <c r="BJ459" i="37"/>
  <c r="BJ460" i="37"/>
  <c r="BJ461" i="37"/>
  <c r="BJ462" i="37"/>
  <c r="BJ463" i="37"/>
  <c r="BJ464" i="37"/>
  <c r="BJ465" i="37"/>
  <c r="BJ466" i="37"/>
  <c r="BJ467" i="37"/>
  <c r="BJ468" i="37"/>
  <c r="BJ469" i="37"/>
  <c r="BJ470" i="37"/>
  <c r="BJ471" i="37"/>
  <c r="BJ472" i="37"/>
  <c r="BJ473" i="37"/>
  <c r="BJ474" i="37"/>
  <c r="BJ475" i="37"/>
  <c r="BJ476" i="37"/>
  <c r="AN22" i="44" l="1"/>
  <c r="A113" i="37"/>
  <c r="A115" i="37" s="1"/>
  <c r="A116" i="37" s="1"/>
  <c r="A117" i="37" s="1"/>
  <c r="A118" i="37" s="1"/>
  <c r="A119" i="37" s="1"/>
  <c r="A120" i="37" s="1"/>
  <c r="A122" i="37" s="1"/>
  <c r="A123" i="37" s="1"/>
  <c r="A124" i="37" s="1"/>
  <c r="A125" i="37" s="1"/>
  <c r="A126" i="37" s="1"/>
  <c r="A104" i="37"/>
  <c r="AQ1" i="44"/>
  <c r="A50" i="37"/>
  <c r="A58" i="37"/>
  <c r="A60" i="37" s="1"/>
  <c r="A57" i="37"/>
  <c r="A59" i="37" s="1"/>
  <c r="A61" i="37" s="1"/>
  <c r="A62" i="37" s="1"/>
  <c r="A63" i="37" s="1"/>
  <c r="A166" i="37"/>
  <c r="A172" i="37"/>
  <c r="A182" i="37" s="1"/>
  <c r="CC81" i="37"/>
  <c r="CD80" i="37"/>
  <c r="CF80" i="37"/>
  <c r="E17" i="45"/>
  <c r="A367" i="37"/>
  <c r="A374" i="37"/>
  <c r="CC83" i="37"/>
  <c r="CF82" i="37"/>
  <c r="CD82" i="37"/>
  <c r="CB171" i="37"/>
  <c r="CB268" i="37"/>
  <c r="CB29" i="37"/>
  <c r="CB311" i="37"/>
  <c r="CB150" i="37"/>
  <c r="CB71" i="37"/>
  <c r="CB386" i="37"/>
  <c r="CB144" i="37"/>
  <c r="CB111" i="37"/>
  <c r="CB142" i="37"/>
  <c r="CB51" i="37"/>
  <c r="CB140" i="37"/>
  <c r="CB97" i="37"/>
  <c r="CB134" i="37"/>
  <c r="CB206" i="37"/>
  <c r="CB85" i="37"/>
  <c r="CB37" i="37"/>
  <c r="CB33" i="37"/>
  <c r="CB122" i="37"/>
  <c r="CB286" i="37"/>
  <c r="CB125" i="37"/>
  <c r="CB213" i="37"/>
  <c r="CB241" i="37"/>
  <c r="CB103" i="37"/>
  <c r="CB189" i="37"/>
  <c r="CB208" i="37"/>
  <c r="CB237" i="37"/>
  <c r="CB105" i="37"/>
  <c r="CB401" i="37"/>
  <c r="CB137" i="37"/>
  <c r="CB124" i="37"/>
  <c r="CB115" i="37"/>
  <c r="CB147" i="37"/>
  <c r="CB288" i="37"/>
  <c r="CB398" i="37"/>
  <c r="CB291" i="37"/>
  <c r="CB43" i="37"/>
  <c r="CB136" i="37"/>
  <c r="CB164" i="37"/>
  <c r="CB314" i="37"/>
  <c r="CB87" i="37"/>
  <c r="CB40" i="37"/>
  <c r="CB75" i="37"/>
  <c r="CB59" i="37"/>
  <c r="CB90" i="37"/>
  <c r="CB186" i="37"/>
  <c r="CB162" i="37"/>
  <c r="CB57" i="37"/>
  <c r="CB318" i="37"/>
  <c r="CB146" i="37"/>
  <c r="CB113" i="37"/>
  <c r="J102" i="37"/>
  <c r="CA92" i="37"/>
  <c r="I161" i="37"/>
  <c r="I117" i="37"/>
  <c r="CA117" i="37" s="1"/>
  <c r="I112" i="37"/>
  <c r="I86" i="37"/>
  <c r="I139" i="37"/>
  <c r="CA139" i="37" s="1"/>
  <c r="I31" i="37"/>
  <c r="CA31" i="37" s="1"/>
  <c r="I107" i="37"/>
  <c r="CA107" i="37" s="1"/>
  <c r="I62" i="37"/>
  <c r="CA62" i="37" s="1"/>
  <c r="I135" i="37"/>
  <c r="I127" i="37"/>
  <c r="CA127" i="37" s="1"/>
  <c r="I39" i="37"/>
  <c r="I145" i="37"/>
  <c r="I102" i="37"/>
  <c r="I123" i="37"/>
  <c r="CB387" i="37"/>
  <c r="I77" i="37"/>
  <c r="CA77" i="37" s="1"/>
  <c r="K313" i="37"/>
  <c r="I149" i="37"/>
  <c r="CA149" i="37" s="1"/>
  <c r="K369" i="37"/>
  <c r="J369" i="37"/>
  <c r="CB385" i="37"/>
  <c r="CB381" i="37"/>
  <c r="J287" i="37"/>
  <c r="J149" i="37"/>
  <c r="CB310" i="37"/>
  <c r="I320" i="37"/>
  <c r="CA320" i="37" s="1"/>
  <c r="J320" i="37"/>
  <c r="I369" i="37"/>
  <c r="I293" i="37"/>
  <c r="CA293" i="37" s="1"/>
  <c r="J112" i="37"/>
  <c r="K135" i="37"/>
  <c r="J267" i="37"/>
  <c r="J293" i="37"/>
  <c r="J215" i="37"/>
  <c r="CB312" i="37"/>
  <c r="J313" i="37"/>
  <c r="K123" i="37"/>
  <c r="I313" i="37"/>
  <c r="CA313" i="37" s="1"/>
  <c r="CB294" i="37"/>
  <c r="K287" i="37"/>
  <c r="I267" i="37"/>
  <c r="CA267" i="37" s="1"/>
  <c r="J261" i="37"/>
  <c r="K261" i="37"/>
  <c r="I287" i="37"/>
  <c r="CB273" i="37"/>
  <c r="J72" i="37"/>
  <c r="K102" i="37"/>
  <c r="K112" i="37"/>
  <c r="J135" i="37"/>
  <c r="J185" i="37"/>
  <c r="CB276" i="37"/>
  <c r="J26" i="37"/>
  <c r="J236" i="37"/>
  <c r="I243" i="37"/>
  <c r="K236" i="37"/>
  <c r="I215" i="37"/>
  <c r="CB235" i="37"/>
  <c r="I261" i="37"/>
  <c r="CB216" i="37"/>
  <c r="J18" i="37"/>
  <c r="J86" i="37"/>
  <c r="J39" i="37"/>
  <c r="K145" i="37"/>
  <c r="K185" i="37"/>
  <c r="J62" i="37"/>
  <c r="I236" i="37"/>
  <c r="K207" i="37"/>
  <c r="J145" i="37"/>
  <c r="J161" i="37"/>
  <c r="J123" i="37"/>
  <c r="K161" i="37"/>
  <c r="CB233" i="37"/>
  <c r="CB234" i="37"/>
  <c r="J207" i="37"/>
  <c r="K26" i="37"/>
  <c r="K86" i="37"/>
  <c r="K39" i="37"/>
  <c r="J77" i="37"/>
  <c r="J139" i="37"/>
  <c r="I191" i="37"/>
  <c r="CA191" i="37" s="1"/>
  <c r="J107" i="37"/>
  <c r="J191" i="37"/>
  <c r="J127" i="37"/>
  <c r="CA166" i="37"/>
  <c r="J117" i="37"/>
  <c r="I185" i="37"/>
  <c r="I207" i="37"/>
  <c r="CB192" i="37"/>
  <c r="CB197" i="37"/>
  <c r="CB181" i="37"/>
  <c r="CB167" i="37"/>
  <c r="CB168" i="37"/>
  <c r="CB151" i="37"/>
  <c r="CB152" i="37"/>
  <c r="CB160" i="37"/>
  <c r="L139" i="37"/>
  <c r="CB128" i="37"/>
  <c r="CB129" i="37"/>
  <c r="CB133" i="37"/>
  <c r="CB118" i="37"/>
  <c r="CB120" i="37"/>
  <c r="CB119" i="37"/>
  <c r="CB110" i="37"/>
  <c r="CB109" i="37"/>
  <c r="CB108" i="37"/>
  <c r="CB94" i="37"/>
  <c r="CB93" i="37"/>
  <c r="CB95" i="37"/>
  <c r="CB82" i="37"/>
  <c r="CB83" i="37"/>
  <c r="CB78" i="37"/>
  <c r="CB66" i="37"/>
  <c r="CB63" i="37"/>
  <c r="CB69" i="37"/>
  <c r="CB48" i="37"/>
  <c r="CB38" i="37"/>
  <c r="CB46" i="37"/>
  <c r="CB49" i="37"/>
  <c r="A121" i="37" l="1"/>
  <c r="A66" i="37"/>
  <c r="A69" i="37" s="1"/>
  <c r="A71" i="37" s="1"/>
  <c r="A72" i="37" s="1"/>
  <c r="A73" i="37" s="1"/>
  <c r="A75" i="37" s="1"/>
  <c r="A79" i="37" s="1"/>
  <c r="A80" i="37" s="1"/>
  <c r="A81" i="37" s="1"/>
  <c r="A64" i="37"/>
  <c r="A65" i="37" s="1"/>
  <c r="CA215" i="37"/>
  <c r="J44" i="37"/>
  <c r="CA45" i="37"/>
  <c r="I44" i="37"/>
  <c r="A127" i="37"/>
  <c r="A130" i="37"/>
  <c r="CA243" i="37"/>
  <c r="CG293" i="37"/>
  <c r="CB293" i="37"/>
  <c r="A167" i="37"/>
  <c r="A174" i="37" s="1"/>
  <c r="A178" i="37"/>
  <c r="A173" i="37"/>
  <c r="A183" i="37" s="1"/>
  <c r="CF81" i="37"/>
  <c r="CD81" i="37"/>
  <c r="A368" i="37"/>
  <c r="A375" i="37"/>
  <c r="CC84" i="37"/>
  <c r="CF83" i="37"/>
  <c r="CD83" i="37"/>
  <c r="BS14" i="37"/>
  <c r="BP14" i="37"/>
  <c r="BP15" i="37"/>
  <c r="CB19" i="37"/>
  <c r="CB141" i="37"/>
  <c r="AG26" i="39"/>
  <c r="AG19" i="39"/>
  <c r="AG24" i="39"/>
  <c r="AF24" i="39"/>
  <c r="I106" i="37"/>
  <c r="J106" i="37"/>
  <c r="I116" i="37"/>
  <c r="J126" i="37"/>
  <c r="I76" i="37"/>
  <c r="J61" i="37"/>
  <c r="I30" i="37"/>
  <c r="I148" i="37"/>
  <c r="J138" i="37"/>
  <c r="J116" i="37"/>
  <c r="J76" i="37"/>
  <c r="J91" i="37"/>
  <c r="J15" i="37"/>
  <c r="D59" i="51" s="1"/>
  <c r="J148" i="37"/>
  <c r="I126" i="37"/>
  <c r="I91" i="37"/>
  <c r="I138" i="37"/>
  <c r="CB397" i="37"/>
  <c r="I266" i="37"/>
  <c r="J266" i="37"/>
  <c r="J17" i="37"/>
  <c r="J319" i="37"/>
  <c r="L287" i="37"/>
  <c r="CB287" i="37" s="1"/>
  <c r="J214" i="37"/>
  <c r="L369" i="37"/>
  <c r="CB369" i="37" s="1"/>
  <c r="J292" i="37"/>
  <c r="L320" i="37"/>
  <c r="I319" i="37"/>
  <c r="K320" i="37"/>
  <c r="K319" i="37" s="1"/>
  <c r="L293" i="37"/>
  <c r="CD293" i="37" s="1"/>
  <c r="J165" i="37"/>
  <c r="I292" i="37"/>
  <c r="L313" i="37"/>
  <c r="CB313" i="37" s="1"/>
  <c r="I242" i="37"/>
  <c r="L236" i="37"/>
  <c r="CB236" i="37" s="1"/>
  <c r="K293" i="37"/>
  <c r="K292" i="37" s="1"/>
  <c r="J242" i="37"/>
  <c r="I190" i="37"/>
  <c r="L267" i="37"/>
  <c r="L243" i="37"/>
  <c r="CB243" i="37" s="1"/>
  <c r="K267" i="37"/>
  <c r="K266" i="37" s="1"/>
  <c r="K242" i="37"/>
  <c r="I214" i="37"/>
  <c r="L261" i="37"/>
  <c r="CB261" i="37" s="1"/>
  <c r="J190" i="37"/>
  <c r="L207" i="37"/>
  <c r="CB207" i="37" s="1"/>
  <c r="L215" i="37"/>
  <c r="I165" i="37"/>
  <c r="K215" i="37"/>
  <c r="K214" i="37" s="1"/>
  <c r="K139" i="37"/>
  <c r="K138" i="37" s="1"/>
  <c r="L117" i="37"/>
  <c r="K117" i="37"/>
  <c r="K116" i="37" s="1"/>
  <c r="L56" i="37"/>
  <c r="CB56" i="37" s="1"/>
  <c r="K190" i="37"/>
  <c r="K165" i="37"/>
  <c r="L123" i="37"/>
  <c r="CB123" i="37" s="1"/>
  <c r="K91" i="37"/>
  <c r="K44" i="37"/>
  <c r="L145" i="37"/>
  <c r="CB145" i="37" s="1"/>
  <c r="K149" i="37"/>
  <c r="K148" i="37" s="1"/>
  <c r="L102" i="37"/>
  <c r="CB102" i="37" s="1"/>
  <c r="L161" i="37"/>
  <c r="CB161" i="37" s="1"/>
  <c r="L112" i="37"/>
  <c r="CB112" i="37" s="1"/>
  <c r="L185" i="37"/>
  <c r="CB185" i="37" s="1"/>
  <c r="L62" i="37"/>
  <c r="K62" i="37"/>
  <c r="L86" i="37"/>
  <c r="CB86" i="37" s="1"/>
  <c r="L135" i="37"/>
  <c r="CB135" i="37" s="1"/>
  <c r="L39" i="37"/>
  <c r="CB39" i="37" s="1"/>
  <c r="L77" i="37"/>
  <c r="K77" i="37"/>
  <c r="K76" i="37" s="1"/>
  <c r="L107" i="37"/>
  <c r="K107" i="37"/>
  <c r="K106" i="37" s="1"/>
  <c r="L127" i="37"/>
  <c r="K127" i="37"/>
  <c r="K126" i="37" s="1"/>
  <c r="A67" i="37" l="1"/>
  <c r="A68" i="37" s="1"/>
  <c r="A70" i="37" s="1"/>
  <c r="A74" i="37"/>
  <c r="A128" i="37"/>
  <c r="A131" i="37"/>
  <c r="A168" i="37"/>
  <c r="A175" i="37"/>
  <c r="A184" i="37" s="1"/>
  <c r="A179" i="37"/>
  <c r="L190" i="37"/>
  <c r="A369" i="37"/>
  <c r="A376" i="37"/>
  <c r="L214" i="37"/>
  <c r="L292" i="37"/>
  <c r="CC85" i="37"/>
  <c r="CF84" i="37"/>
  <c r="CD84" i="37"/>
  <c r="L266" i="37"/>
  <c r="L165" i="37"/>
  <c r="L319" i="37"/>
  <c r="BS15" i="37"/>
  <c r="BY14" i="37"/>
  <c r="BV14" i="37"/>
  <c r="CB166" i="37"/>
  <c r="CB117" i="37"/>
  <c r="CB267" i="37"/>
  <c r="CB191" i="37"/>
  <c r="CB215" i="37"/>
  <c r="CB45" i="37"/>
  <c r="CB92" i="37"/>
  <c r="CB62" i="37"/>
  <c r="CB127" i="37"/>
  <c r="CB139" i="37"/>
  <c r="CB77" i="37"/>
  <c r="CB107" i="37"/>
  <c r="CB380" i="37"/>
  <c r="CB320" i="37"/>
  <c r="AF10" i="39"/>
  <c r="AF14" i="39"/>
  <c r="AF13" i="39"/>
  <c r="AF11" i="39"/>
  <c r="AF16" i="39"/>
  <c r="AF15" i="39"/>
  <c r="AF19" i="39"/>
  <c r="AF18" i="39"/>
  <c r="AF12" i="39"/>
  <c r="AF26" i="39"/>
  <c r="AF9" i="39"/>
  <c r="AF17" i="39"/>
  <c r="L91" i="37"/>
  <c r="L106" i="37"/>
  <c r="AE26" i="39"/>
  <c r="AG25" i="39"/>
  <c r="AG23" i="39"/>
  <c r="AG21" i="39"/>
  <c r="AF22" i="39"/>
  <c r="AF20" i="39"/>
  <c r="AG22" i="39"/>
  <c r="AF21" i="39"/>
  <c r="AG20" i="39"/>
  <c r="AF23" i="39"/>
  <c r="L242" i="37"/>
  <c r="A129" i="37" l="1"/>
  <c r="A133" i="37" s="1"/>
  <c r="A134" i="37" s="1"/>
  <c r="A135" i="37" s="1"/>
  <c r="A136" i="37" s="1"/>
  <c r="A137" i="37" s="1"/>
  <c r="A138" i="37" s="1"/>
  <c r="A132" i="37"/>
  <c r="A171" i="37"/>
  <c r="A181" i="37" s="1"/>
  <c r="A185" i="37" s="1"/>
  <c r="A194" i="37" s="1"/>
  <c r="A180" i="37"/>
  <c r="A177" i="37"/>
  <c r="A370" i="37"/>
  <c r="A377" i="37"/>
  <c r="CC86" i="37"/>
  <c r="CF85" i="37"/>
  <c r="CD85" i="37"/>
  <c r="BY15" i="37"/>
  <c r="BV15" i="37"/>
  <c r="CB292" i="37"/>
  <c r="Z24" i="39"/>
  <c r="AC24" i="39" s="1"/>
  <c r="AE24" i="39" s="1"/>
  <c r="CB319" i="37"/>
  <c r="Z25" i="39"/>
  <c r="AC25" i="39" s="1"/>
  <c r="AE25" i="39" s="1"/>
  <c r="CB214" i="37"/>
  <c r="Z21" i="39"/>
  <c r="AC21" i="39" s="1"/>
  <c r="AE21" i="39" s="1"/>
  <c r="CB266" i="37"/>
  <c r="Z23" i="39"/>
  <c r="AC23" i="39" s="1"/>
  <c r="AE23" i="39" s="1"/>
  <c r="CB190" i="37"/>
  <c r="Z20" i="39"/>
  <c r="AC20" i="39" s="1"/>
  <c r="AE20" i="39" s="1"/>
  <c r="Z19" i="39"/>
  <c r="AC19" i="39" s="1"/>
  <c r="AE19" i="39" s="1"/>
  <c r="CB242" i="37"/>
  <c r="Z22" i="39"/>
  <c r="AC22" i="39" s="1"/>
  <c r="AE22" i="39" s="1"/>
  <c r="CB91" i="37"/>
  <c r="Z13" i="39"/>
  <c r="AC13" i="39" s="1"/>
  <c r="CB106" i="37"/>
  <c r="Z14" i="39"/>
  <c r="AC14" i="39" s="1"/>
  <c r="CB165" i="37"/>
  <c r="CB379" i="37"/>
  <c r="AF25" i="39"/>
  <c r="CB27" i="37"/>
  <c r="A186" i="37" l="1"/>
  <c r="A188" i="37" s="1"/>
  <c r="A187" i="37"/>
  <c r="A378" i="37"/>
  <c r="A379" i="37" s="1"/>
  <c r="A380" i="37" s="1"/>
  <c r="A381" i="37" s="1"/>
  <c r="A385" i="37" s="1"/>
  <c r="A386" i="37" s="1"/>
  <c r="A371" i="37"/>
  <c r="CC87" i="37"/>
  <c r="CC89" i="37" s="1"/>
  <c r="CF86" i="37"/>
  <c r="CD86" i="37"/>
  <c r="I26" i="37"/>
  <c r="A387" i="37" l="1"/>
  <c r="A389" i="37"/>
  <c r="A390" i="37" s="1"/>
  <c r="CF89" i="37"/>
  <c r="CD89" i="37"/>
  <c r="A189" i="37"/>
  <c r="A199" i="37" s="1"/>
  <c r="A198" i="37"/>
  <c r="A190" i="37"/>
  <c r="A191" i="37" s="1"/>
  <c r="A382" i="37"/>
  <c r="A384" i="37" s="1"/>
  <c r="CC88" i="37"/>
  <c r="CF87" i="37"/>
  <c r="CD87" i="37"/>
  <c r="A202" i="37" l="1"/>
  <c r="A391" i="37"/>
  <c r="A392" i="37" s="1"/>
  <c r="A393" i="37" s="1"/>
  <c r="A394" i="37"/>
  <c r="A395" i="37" s="1"/>
  <c r="A396" i="37" s="1"/>
  <c r="A397" i="37"/>
  <c r="A388" i="37"/>
  <c r="A203" i="37"/>
  <c r="A192" i="37"/>
  <c r="A193" i="37" s="1"/>
  <c r="CC90" i="37"/>
  <c r="CF88" i="37"/>
  <c r="CD88" i="37"/>
  <c r="AG17" i="39"/>
  <c r="AG18" i="39"/>
  <c r="BJ17" i="37"/>
  <c r="R17" i="31"/>
  <c r="I17" i="31"/>
  <c r="J17" i="31" s="1"/>
  <c r="O17" i="31" s="1"/>
  <c r="H17" i="31"/>
  <c r="R16" i="31"/>
  <c r="R15" i="31"/>
  <c r="I15" i="31"/>
  <c r="J15" i="31" s="1"/>
  <c r="O15" i="31" s="1"/>
  <c r="H15" i="31"/>
  <c r="AG15" i="39"/>
  <c r="AG11" i="39"/>
  <c r="AG10" i="39"/>
  <c r="F19" i="35"/>
  <c r="F20" i="34"/>
  <c r="F19" i="34"/>
  <c r="E21" i="34"/>
  <c r="E22" i="34"/>
  <c r="W1" i="31"/>
  <c r="AB3" i="31"/>
  <c r="AC3" i="31" s="1"/>
  <c r="AB4" i="31"/>
  <c r="AC4" i="31" s="1"/>
  <c r="W6" i="31"/>
  <c r="W7" i="31"/>
  <c r="H8" i="31"/>
  <c r="I8" i="31"/>
  <c r="J8" i="31" s="1"/>
  <c r="R8" i="31"/>
  <c r="H9" i="31"/>
  <c r="I9" i="31"/>
  <c r="J9" i="31" s="1"/>
  <c r="R9" i="31"/>
  <c r="P9" i="31"/>
  <c r="P10" i="31" s="1"/>
  <c r="P11" i="31" s="1"/>
  <c r="Q9" i="31"/>
  <c r="Q10" i="31" s="1"/>
  <c r="Q11" i="31" s="1"/>
  <c r="H10" i="31"/>
  <c r="I10" i="31"/>
  <c r="J10" i="31" s="1"/>
  <c r="O10" i="31" s="1"/>
  <c r="R10" i="31"/>
  <c r="H11" i="31"/>
  <c r="I11" i="31"/>
  <c r="J11" i="31" s="1"/>
  <c r="R11" i="31"/>
  <c r="W11" i="31"/>
  <c r="H12" i="31"/>
  <c r="I12" i="31"/>
  <c r="J12" i="31" s="1"/>
  <c r="O12" i="31" s="1"/>
  <c r="R12" i="31"/>
  <c r="W12" i="31"/>
  <c r="H13" i="31"/>
  <c r="J13" i="31"/>
  <c r="O13" i="31" s="1"/>
  <c r="R13" i="31"/>
  <c r="H14" i="31"/>
  <c r="I14" i="31"/>
  <c r="J14" i="31" s="1"/>
  <c r="O14" i="31" s="1"/>
  <c r="R14" i="31"/>
  <c r="H16" i="31"/>
  <c r="I16" i="31"/>
  <c r="J16" i="31" s="1"/>
  <c r="L16" i="31" s="1"/>
  <c r="H18" i="31"/>
  <c r="I18" i="31"/>
  <c r="J18" i="31" s="1"/>
  <c r="O18" i="31" s="1"/>
  <c r="R18" i="31"/>
  <c r="H19" i="31"/>
  <c r="I19" i="31"/>
  <c r="J19" i="31" s="1"/>
  <c r="N19" i="31"/>
  <c r="N22" i="31" s="1"/>
  <c r="O22" i="31" s="1"/>
  <c r="R19" i="31"/>
  <c r="H23" i="31"/>
  <c r="I23" i="31"/>
  <c r="J23" i="31" s="1"/>
  <c r="O23" i="31" s="1"/>
  <c r="R23" i="31"/>
  <c r="H24" i="31"/>
  <c r="I24" i="31"/>
  <c r="J24" i="31" s="1"/>
  <c r="O24" i="31" s="1"/>
  <c r="R24" i="31"/>
  <c r="H28" i="31"/>
  <c r="I28" i="31"/>
  <c r="J28" i="31" s="1"/>
  <c r="O28" i="31" s="1"/>
  <c r="H29" i="31"/>
  <c r="I29" i="31"/>
  <c r="J29" i="31" s="1"/>
  <c r="O29" i="31" s="1"/>
  <c r="R29" i="31"/>
  <c r="H30" i="31"/>
  <c r="I30" i="31"/>
  <c r="J30" i="31" s="1"/>
  <c r="O30" i="31" s="1"/>
  <c r="R30" i="31"/>
  <c r="H31" i="31"/>
  <c r="I31" i="31"/>
  <c r="J31" i="31" s="1"/>
  <c r="O31" i="31" s="1"/>
  <c r="R31" i="31"/>
  <c r="H32" i="31"/>
  <c r="I32" i="31"/>
  <c r="J32" i="31" s="1"/>
  <c r="O32" i="31" s="1"/>
  <c r="R32" i="31"/>
  <c r="H33" i="31"/>
  <c r="I33" i="31"/>
  <c r="J33" i="31" s="1"/>
  <c r="O33" i="31" s="1"/>
  <c r="R33" i="31"/>
  <c r="H34" i="31"/>
  <c r="I34" i="31"/>
  <c r="J34" i="31" s="1"/>
  <c r="O34" i="31" s="1"/>
  <c r="R34" i="31"/>
  <c r="H35" i="31"/>
  <c r="I35" i="31"/>
  <c r="J35" i="31" s="1"/>
  <c r="O35" i="31" s="1"/>
  <c r="R35" i="31"/>
  <c r="H36" i="31"/>
  <c r="I36" i="31"/>
  <c r="J36" i="31" s="1"/>
  <c r="O36" i="31" s="1"/>
  <c r="R36" i="31"/>
  <c r="H37" i="31"/>
  <c r="I37" i="31"/>
  <c r="J37" i="31" s="1"/>
  <c r="O37" i="31" s="1"/>
  <c r="H38" i="31"/>
  <c r="I38" i="31"/>
  <c r="J38" i="31" s="1"/>
  <c r="O38" i="31" s="1"/>
  <c r="R38" i="31"/>
  <c r="H39" i="31"/>
  <c r="I39" i="31"/>
  <c r="J39" i="31" s="1"/>
  <c r="O39" i="31" s="1"/>
  <c r="R39" i="31"/>
  <c r="H40" i="31"/>
  <c r="I40" i="31"/>
  <c r="J40" i="31" s="1"/>
  <c r="O40" i="31" s="1"/>
  <c r="R40" i="31"/>
  <c r="H41" i="31"/>
  <c r="I41" i="31"/>
  <c r="J41" i="31" s="1"/>
  <c r="O41" i="31" s="1"/>
  <c r="R41" i="31"/>
  <c r="H42" i="31"/>
  <c r="I42" i="31"/>
  <c r="J42" i="31" s="1"/>
  <c r="O42" i="31" s="1"/>
  <c r="R42" i="31"/>
  <c r="H43" i="31"/>
  <c r="I43" i="31"/>
  <c r="J43" i="31" s="1"/>
  <c r="O43" i="31" s="1"/>
  <c r="R43" i="31"/>
  <c r="H44" i="31"/>
  <c r="I44" i="31"/>
  <c r="J44" i="31" s="1"/>
  <c r="O44" i="31" s="1"/>
  <c r="H45" i="31"/>
  <c r="I45" i="31"/>
  <c r="J45" i="31" s="1"/>
  <c r="O45" i="31" s="1"/>
  <c r="R45" i="31"/>
  <c r="H46" i="31"/>
  <c r="I46" i="31"/>
  <c r="J46" i="31" s="1"/>
  <c r="O46" i="31" s="1"/>
  <c r="R46" i="31"/>
  <c r="H47" i="31"/>
  <c r="I47" i="31"/>
  <c r="J47" i="31" s="1"/>
  <c r="O47" i="31" s="1"/>
  <c r="H48" i="31"/>
  <c r="I48" i="31"/>
  <c r="J48" i="31" s="1"/>
  <c r="O48" i="31" s="1"/>
  <c r="R48" i="31"/>
  <c r="H49" i="31"/>
  <c r="I49" i="31"/>
  <c r="J49" i="31" s="1"/>
  <c r="O49" i="31" s="1"/>
  <c r="H50" i="31"/>
  <c r="I50" i="31"/>
  <c r="J50" i="31" s="1"/>
  <c r="O50" i="31" s="1"/>
  <c r="H51" i="31"/>
  <c r="I51" i="31"/>
  <c r="J51" i="31" s="1"/>
  <c r="O51" i="31" s="1"/>
  <c r="R51" i="31"/>
  <c r="H52" i="31"/>
  <c r="I52" i="31"/>
  <c r="J52" i="31" s="1"/>
  <c r="O52" i="31" s="1"/>
  <c r="R52" i="31"/>
  <c r="H53" i="31"/>
  <c r="I53" i="31"/>
  <c r="J53" i="31" s="1"/>
  <c r="O53" i="31" s="1"/>
  <c r="H54" i="31"/>
  <c r="I54" i="31"/>
  <c r="J54" i="31" s="1"/>
  <c r="O54" i="31" s="1"/>
  <c r="H55" i="31"/>
  <c r="I55" i="31"/>
  <c r="J55" i="31" s="1"/>
  <c r="O55" i="31" s="1"/>
  <c r="R55" i="31"/>
  <c r="H56" i="31"/>
  <c r="I56" i="31"/>
  <c r="J56" i="31" s="1"/>
  <c r="O56" i="31" s="1"/>
  <c r="H57" i="31"/>
  <c r="I57" i="31"/>
  <c r="J57" i="31" s="1"/>
  <c r="O57" i="31" s="1"/>
  <c r="R57" i="31"/>
  <c r="H58" i="31"/>
  <c r="I58" i="31"/>
  <c r="J58" i="31" s="1"/>
  <c r="O58" i="31" s="1"/>
  <c r="H59" i="31"/>
  <c r="I59" i="31"/>
  <c r="J59" i="31" s="1"/>
  <c r="O59" i="31" s="1"/>
  <c r="R59" i="31"/>
  <c r="H60" i="31"/>
  <c r="I60" i="31"/>
  <c r="J60" i="31" s="1"/>
  <c r="O60" i="31" s="1"/>
  <c r="R60" i="31"/>
  <c r="H61" i="31"/>
  <c r="I61" i="31"/>
  <c r="J61" i="31" s="1"/>
  <c r="O61" i="31" s="1"/>
  <c r="R61" i="31"/>
  <c r="H62" i="31"/>
  <c r="I62" i="31"/>
  <c r="J62" i="31" s="1"/>
  <c r="O62" i="31" s="1"/>
  <c r="R62" i="31"/>
  <c r="A400" i="37" l="1"/>
  <c r="A398" i="37"/>
  <c r="A401" i="37" s="1"/>
  <c r="A399" i="37"/>
  <c r="A204" i="37"/>
  <c r="A195" i="37"/>
  <c r="CC92" i="37"/>
  <c r="CF90" i="37"/>
  <c r="CD90" i="37"/>
  <c r="N20" i="31"/>
  <c r="L26" i="37"/>
  <c r="CB26" i="37" s="1"/>
  <c r="Q12" i="31"/>
  <c r="P12" i="31"/>
  <c r="T8" i="31"/>
  <c r="O19" i="31"/>
  <c r="O8" i="31"/>
  <c r="L17" i="31"/>
  <c r="O16" i="31"/>
  <c r="T10" i="31"/>
  <c r="AG9" i="39"/>
  <c r="AG14" i="39"/>
  <c r="AG12" i="39"/>
  <c r="AG13" i="39"/>
  <c r="AG16" i="39"/>
  <c r="T9" i="31"/>
  <c r="O9" i="31"/>
  <c r="O11" i="31"/>
  <c r="T11" i="31"/>
  <c r="A412" i="37" l="1"/>
  <c r="A413" i="37" s="1"/>
  <c r="A414" i="37" s="1"/>
  <c r="A415" i="37" s="1"/>
  <c r="A416" i="37" s="1"/>
  <c r="A417" i="37" s="1"/>
  <c r="A419" i="37" s="1"/>
  <c r="A423" i="37" s="1"/>
  <c r="A424" i="37" s="1"/>
  <c r="A425" i="37" s="1"/>
  <c r="A426" i="37" s="1"/>
  <c r="A427" i="37" s="1"/>
  <c r="A428" i="37" s="1"/>
  <c r="A429" i="37" s="1"/>
  <c r="A430" i="37" s="1"/>
  <c r="A431" i="37" s="1"/>
  <c r="A432" i="37" s="1"/>
  <c r="A433" i="37" s="1"/>
  <c r="A434" i="37" s="1"/>
  <c r="A435" i="37" s="1"/>
  <c r="A436" i="37" s="1"/>
  <c r="A437" i="37" s="1"/>
  <c r="A438" i="37" s="1"/>
  <c r="A439" i="37" s="1"/>
  <c r="A440" i="37" s="1"/>
  <c r="A441" i="37" s="1"/>
  <c r="A442" i="37" s="1"/>
  <c r="A443" i="37" s="1"/>
  <c r="A444" i="37" s="1"/>
  <c r="A445" i="37" s="1"/>
  <c r="A446" i="37" s="1"/>
  <c r="A447" i="37" s="1"/>
  <c r="A448" i="37" s="1"/>
  <c r="A449" i="37" s="1"/>
  <c r="A450" i="37" s="1"/>
  <c r="A451" i="37" s="1"/>
  <c r="A452" i="37" s="1"/>
  <c r="A453" i="37" s="1"/>
  <c r="A454" i="37" s="1"/>
  <c r="A455" i="37" s="1"/>
  <c r="A456" i="37" s="1"/>
  <c r="A457" i="37" s="1"/>
  <c r="A458" i="37" s="1"/>
  <c r="A459" i="37" s="1"/>
  <c r="A460" i="37" s="1"/>
  <c r="A461" i="37" s="1"/>
  <c r="A462" i="37" s="1"/>
  <c r="A463" i="37" s="1"/>
  <c r="A464" i="37" s="1"/>
  <c r="A465" i="37" s="1"/>
  <c r="A466" i="37" s="1"/>
  <c r="A467" i="37" s="1"/>
  <c r="A468" i="37" s="1"/>
  <c r="A469" i="37" s="1"/>
  <c r="A470" i="37" s="1"/>
  <c r="A471" i="37" s="1"/>
  <c r="A472" i="37" s="1"/>
  <c r="A473" i="37" s="1"/>
  <c r="A474" i="37" s="1"/>
  <c r="A475" i="37" s="1"/>
  <c r="A476" i="37" s="1"/>
  <c r="A477" i="37" s="1"/>
  <c r="A478" i="37" s="1"/>
  <c r="A479" i="37" s="1"/>
  <c r="A480" i="37" s="1"/>
  <c r="A481" i="37" s="1"/>
  <c r="A482" i="37" s="1"/>
  <c r="A483" i="37" s="1"/>
  <c r="A484" i="37" s="1"/>
  <c r="A485" i="37" s="1"/>
  <c r="A486" i="37" s="1"/>
  <c r="A487" i="37" s="1"/>
  <c r="A488" i="37" s="1"/>
  <c r="A489" i="37" s="1"/>
  <c r="A490" i="37" s="1"/>
  <c r="A491" i="37" s="1"/>
  <c r="A492" i="37" s="1"/>
  <c r="A493" i="37" s="1"/>
  <c r="A494" i="37" s="1"/>
  <c r="A495" i="37" s="1"/>
  <c r="A402" i="37"/>
  <c r="A405" i="37" s="1"/>
  <c r="A403" i="37"/>
  <c r="A406" i="37" s="1"/>
  <c r="A404" i="37"/>
  <c r="A197" i="37"/>
  <c r="A206" i="37" s="1"/>
  <c r="A205" i="37"/>
  <c r="A201" i="37"/>
  <c r="A209" i="37" s="1"/>
  <c r="CC93" i="37"/>
  <c r="CF92" i="37"/>
  <c r="CD92" i="37"/>
  <c r="O20" i="31"/>
  <c r="N21" i="31"/>
  <c r="O21" i="31" s="1"/>
  <c r="T12" i="31"/>
  <c r="L44" i="37"/>
  <c r="L76" i="37"/>
  <c r="L126" i="37"/>
  <c r="L138" i="37"/>
  <c r="L116" i="37"/>
  <c r="J31" i="37"/>
  <c r="L31" i="37"/>
  <c r="K31" i="37"/>
  <c r="K30" i="37" s="1"/>
  <c r="P14" i="31"/>
  <c r="P15" i="31" s="1"/>
  <c r="S15" i="31" s="1"/>
  <c r="L30" i="37" l="1"/>
  <c r="Z9" i="39" s="1"/>
  <c r="AC9" i="39" s="1"/>
  <c r="A408" i="37"/>
  <c r="A407" i="37"/>
  <c r="A410" i="37"/>
  <c r="A207" i="37"/>
  <c r="A210" i="37"/>
  <c r="CC94" i="37"/>
  <c r="CF93" i="37"/>
  <c r="CD93" i="37"/>
  <c r="CB126" i="37"/>
  <c r="Z16" i="39"/>
  <c r="AC16" i="39" s="1"/>
  <c r="AE16" i="39" s="1"/>
  <c r="CB116" i="37"/>
  <c r="Z15" i="39"/>
  <c r="AC15" i="39" s="1"/>
  <c r="CB138" i="37"/>
  <c r="Z17" i="39"/>
  <c r="AC17" i="39" s="1"/>
  <c r="AE17" i="39" s="1"/>
  <c r="CB76" i="37"/>
  <c r="Z12" i="39"/>
  <c r="AC12" i="39" s="1"/>
  <c r="AE12" i="39" s="1"/>
  <c r="CB44" i="37"/>
  <c r="Z10" i="39"/>
  <c r="AC10" i="39" s="1"/>
  <c r="AE10" i="39" s="1"/>
  <c r="CB31" i="37"/>
  <c r="J30" i="37"/>
  <c r="J14" i="37"/>
  <c r="D19" i="51" s="1"/>
  <c r="AE13" i="39"/>
  <c r="AE9" i="39"/>
  <c r="AG8" i="39"/>
  <c r="AG7" i="39" s="1"/>
  <c r="P16" i="31"/>
  <c r="P17" i="31"/>
  <c r="S14" i="31"/>
  <c r="AE14" i="39"/>
  <c r="CB30" i="37" l="1"/>
  <c r="D41" i="51" a="1"/>
  <c r="D41" i="51" s="1"/>
  <c r="D20" i="51" a="1"/>
  <c r="D20" i="51" s="1"/>
  <c r="D47" i="51" a="1"/>
  <c r="D47" i="51" s="1"/>
  <c r="A411" i="37"/>
  <c r="A409" i="37"/>
  <c r="A208" i="37"/>
  <c r="A211" i="37"/>
  <c r="CC95" i="37"/>
  <c r="CC96" i="37" s="1"/>
  <c r="CF94" i="37"/>
  <c r="CD94" i="37"/>
  <c r="S17" i="31"/>
  <c r="P20" i="31"/>
  <c r="P25" i="31" s="1"/>
  <c r="J16" i="37"/>
  <c r="J13" i="37" s="1"/>
  <c r="BI6" i="37" s="1"/>
  <c r="AE15" i="39"/>
  <c r="Q16" i="31"/>
  <c r="Q14" i="31"/>
  <c r="T13" i="31"/>
  <c r="S16" i="31"/>
  <c r="P18" i="31"/>
  <c r="P19" i="31"/>
  <c r="A213" i="37" l="1"/>
  <c r="A214" i="37" s="1"/>
  <c r="A212" i="37"/>
  <c r="A225" i="37" s="1"/>
  <c r="A227" i="37" s="1"/>
  <c r="A230" i="37" s="1"/>
  <c r="CF96" i="37"/>
  <c r="CD96" i="37"/>
  <c r="CC97" i="37"/>
  <c r="CC98" i="37" s="1"/>
  <c r="CF95" i="37"/>
  <c r="CD95" i="37"/>
  <c r="S18" i="31"/>
  <c r="P21" i="31"/>
  <c r="P26" i="31" s="1"/>
  <c r="P22" i="31"/>
  <c r="P27" i="31" s="1"/>
  <c r="P23" i="31"/>
  <c r="S23" i="31" s="1"/>
  <c r="P24" i="31"/>
  <c r="Q17" i="31"/>
  <c r="Q20" i="31" s="1"/>
  <c r="Q15" i="31"/>
  <c r="T15" i="31" s="1"/>
  <c r="T14" i="31"/>
  <c r="Q18" i="31"/>
  <c r="Q19" i="31"/>
  <c r="CF98" i="37" l="1"/>
  <c r="CC99" i="37"/>
  <c r="CC100" i="37" s="1"/>
  <c r="CC101" i="37" s="1"/>
  <c r="CD98" i="37"/>
  <c r="A215" i="37"/>
  <c r="A217" i="37" s="1"/>
  <c r="A231" i="37"/>
  <c r="CC102" i="37"/>
  <c r="CF97" i="37"/>
  <c r="CD97" i="37"/>
  <c r="T20" i="31"/>
  <c r="Q25" i="31"/>
  <c r="T25" i="31" s="1"/>
  <c r="Q21" i="31"/>
  <c r="Q26" i="31" s="1"/>
  <c r="T26" i="31" s="1"/>
  <c r="Q22" i="31"/>
  <c r="P29" i="31"/>
  <c r="P28" i="31"/>
  <c r="P33" i="31"/>
  <c r="S33" i="31" s="1"/>
  <c r="Q24" i="31"/>
  <c r="Q23" i="31"/>
  <c r="T23" i="31" s="1"/>
  <c r="T19" i="31"/>
  <c r="T18" i="31"/>
  <c r="T21" i="31" l="1"/>
  <c r="CD101" i="37"/>
  <c r="CF101" i="37"/>
  <c r="CF100" i="37"/>
  <c r="CD100" i="37"/>
  <c r="CF99" i="37"/>
  <c r="CD99" i="37"/>
  <c r="A216" i="37"/>
  <c r="A220" i="37" s="1"/>
  <c r="A219" i="37"/>
  <c r="A222" i="37" s="1"/>
  <c r="A228" i="37" s="1"/>
  <c r="A242" i="37"/>
  <c r="CC103" i="37"/>
  <c r="CF102" i="37"/>
  <c r="CD102" i="37"/>
  <c r="T22" i="31"/>
  <c r="Q27" i="31"/>
  <c r="T27" i="31" s="1"/>
  <c r="T24" i="31"/>
  <c r="Q33" i="31"/>
  <c r="T33" i="31" s="1"/>
  <c r="Q28" i="31"/>
  <c r="Q29" i="31"/>
  <c r="P35" i="31"/>
  <c r="P38" i="31"/>
  <c r="P30" i="31"/>
  <c r="S30" i="31" s="1"/>
  <c r="P31" i="31"/>
  <c r="S28" i="31"/>
  <c r="P40" i="31"/>
  <c r="S40" i="31" s="1"/>
  <c r="P36" i="31"/>
  <c r="P37" i="31"/>
  <c r="P39" i="31"/>
  <c r="S39" i="31" s="1"/>
  <c r="P32" i="31"/>
  <c r="S32" i="31" s="1"/>
  <c r="S29" i="31"/>
  <c r="A226" i="37" l="1"/>
  <c r="A223" i="37"/>
  <c r="A218" i="37"/>
  <c r="A221" i="37" s="1"/>
  <c r="A224" i="37" s="1"/>
  <c r="A233" i="37"/>
  <c r="A234" i="37" s="1"/>
  <c r="A235" i="37" s="1"/>
  <c r="A239" i="37" s="1"/>
  <c r="A243" i="37"/>
  <c r="A244" i="37" s="1"/>
  <c r="A248" i="37"/>
  <c r="A249" i="37" s="1"/>
  <c r="A254" i="37"/>
  <c r="CC104" i="37"/>
  <c r="CF103" i="37"/>
  <c r="CD103" i="37"/>
  <c r="P46" i="31"/>
  <c r="S46" i="31" s="1"/>
  <c r="S38" i="31"/>
  <c r="P47" i="31"/>
  <c r="S37" i="31"/>
  <c r="P45" i="31"/>
  <c r="T29" i="31"/>
  <c r="Q40" i="31"/>
  <c r="T40" i="31" s="1"/>
  <c r="Q32" i="31"/>
  <c r="T32" i="31" s="1"/>
  <c r="Q39" i="31"/>
  <c r="T39" i="31" s="1"/>
  <c r="Q37" i="31"/>
  <c r="Q45" i="31" s="1"/>
  <c r="Q36" i="31"/>
  <c r="P41" i="31"/>
  <c r="S41" i="31" s="1"/>
  <c r="P34" i="31"/>
  <c r="S31" i="31"/>
  <c r="S35" i="31"/>
  <c r="P43" i="31"/>
  <c r="T28" i="31"/>
  <c r="Q31" i="31"/>
  <c r="Q35" i="31"/>
  <c r="Q30" i="31"/>
  <c r="T30" i="31" s="1"/>
  <c r="Q38" i="31"/>
  <c r="P44" i="31"/>
  <c r="S36" i="31"/>
  <c r="A236" i="37" l="1"/>
  <c r="A237" i="37" s="1"/>
  <c r="A241" i="37" s="1"/>
  <c r="A252" i="37" s="1"/>
  <c r="A253" i="37" s="1"/>
  <c r="A257" i="37" s="1"/>
  <c r="A255" i="37"/>
  <c r="A256" i="37" s="1"/>
  <c r="A259" i="37" s="1"/>
  <c r="A260" i="37" s="1"/>
  <c r="A258" i="37"/>
  <c r="CC105" i="37"/>
  <c r="CF104" i="37"/>
  <c r="CD104" i="37"/>
  <c r="T38" i="31"/>
  <c r="Q46" i="31"/>
  <c r="T46" i="31" s="1"/>
  <c r="Q47" i="31"/>
  <c r="T45" i="31"/>
  <c r="S45" i="31"/>
  <c r="S44" i="31"/>
  <c r="T37" i="31"/>
  <c r="Q43" i="31"/>
  <c r="T43" i="31" s="1"/>
  <c r="T35" i="31"/>
  <c r="Q34" i="31"/>
  <c r="Q41" i="31"/>
  <c r="T41" i="31" s="1"/>
  <c r="T31" i="31"/>
  <c r="P48" i="31"/>
  <c r="S47" i="31"/>
  <c r="S34" i="31"/>
  <c r="P42" i="31"/>
  <c r="Q44" i="31"/>
  <c r="T44" i="31" s="1"/>
  <c r="T36" i="31"/>
  <c r="S43" i="31"/>
  <c r="A245" i="37" l="1"/>
  <c r="A246" i="37" s="1"/>
  <c r="A238" i="37"/>
  <c r="A240" i="37"/>
  <c r="A261" i="37"/>
  <c r="A264" i="37" s="1"/>
  <c r="A263" i="37"/>
  <c r="CC107" i="37"/>
  <c r="CF105" i="37"/>
  <c r="CD105" i="37"/>
  <c r="Q42" i="31"/>
  <c r="T42" i="31" s="1"/>
  <c r="T34" i="31"/>
  <c r="Q48" i="31"/>
  <c r="Q49" i="31" s="1"/>
  <c r="T47" i="31"/>
  <c r="P49" i="31"/>
  <c r="S48" i="31"/>
  <c r="S42" i="31"/>
  <c r="A262" i="37" l="1"/>
  <c r="A265" i="37" s="1"/>
  <c r="A269" i="37" s="1"/>
  <c r="A270" i="37" s="1"/>
  <c r="A266" i="37"/>
  <c r="CC108" i="37"/>
  <c r="CF107" i="37"/>
  <c r="CD107" i="37"/>
  <c r="T48" i="31"/>
  <c r="P51" i="31"/>
  <c r="P50" i="31"/>
  <c r="T49" i="31"/>
  <c r="Q51" i="31"/>
  <c r="Q52" i="31" s="1"/>
  <c r="Q53" i="31" s="1"/>
  <c r="Q54" i="31" s="1"/>
  <c r="Q55" i="31" s="1"/>
  <c r="Q56" i="31" s="1"/>
  <c r="Q57" i="31" s="1"/>
  <c r="Q58" i="31" s="1"/>
  <c r="Q59" i="31" s="1"/>
  <c r="Q60" i="31" s="1"/>
  <c r="Q61" i="31" s="1"/>
  <c r="Q62" i="31" s="1"/>
  <c r="Q50" i="31"/>
  <c r="A267" i="37" l="1"/>
  <c r="A268" i="37" s="1"/>
  <c r="A273" i="37" s="1"/>
  <c r="A271" i="37"/>
  <c r="CC109" i="37"/>
  <c r="CF108" i="37"/>
  <c r="CD108" i="37"/>
  <c r="T50" i="31"/>
  <c r="P52" i="31"/>
  <c r="T51" i="31"/>
  <c r="A276" i="37" l="1"/>
  <c r="A286" i="37" s="1"/>
  <c r="A297" i="37" s="1"/>
  <c r="A298" i="37" s="1"/>
  <c r="A283" i="37"/>
  <c r="A272" i="37"/>
  <c r="A274" i="37"/>
  <c r="A284" i="37" s="1"/>
  <c r="CC110" i="37"/>
  <c r="CF109" i="37"/>
  <c r="CD109" i="37"/>
  <c r="T52" i="31"/>
  <c r="P53" i="31"/>
  <c r="A289" i="37" l="1"/>
  <c r="A300" i="37" s="1"/>
  <c r="A287" i="37"/>
  <c r="A290" i="37" s="1"/>
  <c r="A275" i="37"/>
  <c r="A281" i="37" s="1"/>
  <c r="A282" i="37"/>
  <c r="CC111" i="37"/>
  <c r="CF110" i="37"/>
  <c r="CD110" i="37"/>
  <c r="T53" i="31"/>
  <c r="P54" i="31"/>
  <c r="A305" i="37" l="1"/>
  <c r="A301" i="37"/>
  <c r="A288" i="37"/>
  <c r="A277" i="37"/>
  <c r="A278" i="37"/>
  <c r="A280" i="37"/>
  <c r="A279" i="37"/>
  <c r="A285" i="37"/>
  <c r="A304" i="37"/>
  <c r="A292" i="37"/>
  <c r="A303" i="37" s="1"/>
  <c r="CC112" i="37"/>
  <c r="CF111" i="37"/>
  <c r="CD111" i="37"/>
  <c r="T54" i="31"/>
  <c r="P55" i="31"/>
  <c r="A291" i="37" l="1"/>
  <c r="A295" i="37" s="1"/>
  <c r="A296" i="37" s="1"/>
  <c r="A299" i="37"/>
  <c r="A293" i="37"/>
  <c r="A294" i="37" s="1"/>
  <c r="A310" i="37" s="1"/>
  <c r="A311" i="37" s="1"/>
  <c r="A312" i="37" s="1"/>
  <c r="A316" i="37" s="1"/>
  <c r="A308" i="37"/>
  <c r="A309" i="37" s="1"/>
  <c r="CC113" i="37"/>
  <c r="CF112" i="37"/>
  <c r="CD112" i="37"/>
  <c r="T55" i="31"/>
  <c r="P56" i="31"/>
  <c r="A302" i="37" l="1"/>
  <c r="A307" i="37" s="1"/>
  <c r="A306" i="37"/>
  <c r="A313" i="37"/>
  <c r="A317" i="37" s="1"/>
  <c r="A315" i="37"/>
  <c r="A360" i="37" s="1"/>
  <c r="A361" i="37" s="1"/>
  <c r="CC114" i="37"/>
  <c r="CF113" i="37"/>
  <c r="CD113" i="37"/>
  <c r="T56" i="31"/>
  <c r="P57" i="31"/>
  <c r="A314" i="37" l="1"/>
  <c r="CC115" i="37"/>
  <c r="CF114" i="37"/>
  <c r="CD114" i="37"/>
  <c r="P58" i="31"/>
  <c r="T57" i="31"/>
  <c r="A331" i="37" l="1"/>
  <c r="A332" i="37" s="1"/>
  <c r="A322" i="37"/>
  <c r="A323" i="37" s="1"/>
  <c r="A329" i="37"/>
  <c r="A318" i="37"/>
  <c r="CC117" i="37"/>
  <c r="CF115" i="37"/>
  <c r="CD115" i="37"/>
  <c r="T58" i="31"/>
  <c r="P59" i="31"/>
  <c r="A330" i="37" l="1"/>
  <c r="A341" i="37"/>
  <c r="A319" i="37"/>
  <c r="A362" i="37"/>
  <c r="A363" i="37" s="1"/>
  <c r="CC118" i="37"/>
  <c r="CF117" i="37"/>
  <c r="CD117" i="37"/>
  <c r="T59" i="31"/>
  <c r="P60" i="31"/>
  <c r="A364" i="37" l="1"/>
  <c r="A365" i="37" s="1"/>
  <c r="A320" i="37"/>
  <c r="A326" i="37" s="1"/>
  <c r="A324" i="37"/>
  <c r="A333" i="37"/>
  <c r="CC119" i="37"/>
  <c r="CC121" i="37" s="1"/>
  <c r="CF118" i="37"/>
  <c r="CD118" i="37"/>
  <c r="T60" i="31"/>
  <c r="P61" i="31"/>
  <c r="CF121" i="37" l="1"/>
  <c r="CD121" i="37"/>
  <c r="A325" i="37"/>
  <c r="A336" i="37"/>
  <c r="A327" i="37"/>
  <c r="A338" i="37"/>
  <c r="CC120" i="37"/>
  <c r="CF119" i="37"/>
  <c r="CD119" i="37"/>
  <c r="T61" i="31"/>
  <c r="P62" i="31"/>
  <c r="T62" i="31" s="1"/>
  <c r="A372" i="37" l="1"/>
  <c r="A347" i="37"/>
  <c r="A350" i="37"/>
  <c r="A373" i="37" s="1"/>
  <c r="A356" i="37"/>
  <c r="A339" i="37"/>
  <c r="A337" i="37"/>
  <c r="A345" i="37"/>
  <c r="A354" i="37"/>
  <c r="CC122" i="37"/>
  <c r="CF120" i="37"/>
  <c r="CD120" i="37"/>
  <c r="I18" i="37"/>
  <c r="K18" i="37"/>
  <c r="I14" i="37" l="1"/>
  <c r="BI13" i="37"/>
  <c r="D17" i="51"/>
  <c r="K17" i="37"/>
  <c r="BJ11" i="37"/>
  <c r="CH5" i="37"/>
  <c r="CG14" i="37"/>
  <c r="CA18" i="37"/>
  <c r="A357" i="37"/>
  <c r="A358" i="37"/>
  <c r="A348" i="37"/>
  <c r="A349" i="37"/>
  <c r="A355" i="37"/>
  <c r="A346" i="37"/>
  <c r="CC123" i="37"/>
  <c r="CF122" i="37"/>
  <c r="CD122" i="37"/>
  <c r="I17" i="37"/>
  <c r="CB25" i="37"/>
  <c r="K14" i="37"/>
  <c r="D21" i="51" s="1"/>
  <c r="CB18" i="37"/>
  <c r="CC124" i="37" l="1"/>
  <c r="CF123" i="37"/>
  <c r="CD123" i="37"/>
  <c r="AF8" i="39"/>
  <c r="AF7" i="39" s="1"/>
  <c r="L17" i="37"/>
  <c r="CC125" i="37" l="1"/>
  <c r="CF124" i="37"/>
  <c r="CD124" i="37"/>
  <c r="CB17" i="37"/>
  <c r="Z8" i="39"/>
  <c r="CC127" i="37" l="1"/>
  <c r="CC131" i="37" s="1"/>
  <c r="CF125" i="37"/>
  <c r="CD125" i="37"/>
  <c r="AC8" i="39"/>
  <c r="CD131" i="37" l="1"/>
  <c r="CF131" i="37"/>
  <c r="CC128" i="37"/>
  <c r="CC132" i="37" s="1"/>
  <c r="CF127" i="37"/>
  <c r="CD127" i="37"/>
  <c r="AE8" i="39"/>
  <c r="AE7" i="39" s="1"/>
  <c r="CF132" i="37" l="1"/>
  <c r="CD132" i="37"/>
  <c r="CC129" i="37"/>
  <c r="CF128" i="37"/>
  <c r="CD128" i="37"/>
  <c r="CC133" i="37" l="1"/>
  <c r="CF129" i="37"/>
  <c r="CD129" i="37"/>
  <c r="CC134" i="37" l="1"/>
  <c r="CF133" i="37"/>
  <c r="CD133" i="37"/>
  <c r="CC135" i="37" l="1"/>
  <c r="CF134" i="37"/>
  <c r="CD134" i="37"/>
  <c r="CC136" i="37" l="1"/>
  <c r="CF135" i="37"/>
  <c r="CD135" i="37"/>
  <c r="CC137" i="37" l="1"/>
  <c r="CF136" i="37"/>
  <c r="CD136" i="37"/>
  <c r="CC139" i="37" l="1"/>
  <c r="CF137" i="37"/>
  <c r="CD137" i="37"/>
  <c r="CC140" i="37" l="1"/>
  <c r="CF139" i="37"/>
  <c r="CD139" i="37"/>
  <c r="CC141" i="37" l="1"/>
  <c r="CC143" i="37" s="1"/>
  <c r="CF140" i="37"/>
  <c r="CD140" i="37"/>
  <c r="CF143" i="37" l="1"/>
  <c r="CD143" i="37"/>
  <c r="CC142" i="37"/>
  <c r="CF141" i="37"/>
  <c r="CD141" i="37"/>
  <c r="CC144" i="37" l="1"/>
  <c r="CF142" i="37"/>
  <c r="CD142" i="37"/>
  <c r="CC145" i="37" l="1"/>
  <c r="CF144" i="37"/>
  <c r="CD144" i="37"/>
  <c r="CC146" i="37" l="1"/>
  <c r="CF145" i="37"/>
  <c r="CD145" i="37"/>
  <c r="CC147" i="37" l="1"/>
  <c r="CF146" i="37"/>
  <c r="CD146" i="37"/>
  <c r="CC149" i="37" l="1"/>
  <c r="CC153" i="37" s="1"/>
  <c r="CF147" i="37"/>
  <c r="CD147" i="37"/>
  <c r="CF153" i="37" l="1"/>
  <c r="CD153" i="37"/>
  <c r="CC150" i="37"/>
  <c r="CF149" i="37"/>
  <c r="CD149" i="37"/>
  <c r="CC154" i="37" l="1"/>
  <c r="CF154" i="37" s="1"/>
  <c r="CC157" i="37"/>
  <c r="CC151" i="37"/>
  <c r="CF150" i="37"/>
  <c r="CD150" i="37"/>
  <c r="CD154" i="37" l="1"/>
  <c r="CF157" i="37"/>
  <c r="CD157" i="37"/>
  <c r="CC158" i="37"/>
  <c r="CD158" i="37" s="1"/>
  <c r="CC155" i="37"/>
  <c r="CC159" i="37" s="1"/>
  <c r="CC152" i="37"/>
  <c r="CC156" i="37" s="1"/>
  <c r="CF151" i="37"/>
  <c r="CD151" i="37"/>
  <c r="CF158" i="37" l="1"/>
  <c r="CF159" i="37"/>
  <c r="CD159" i="37"/>
  <c r="CF156" i="37"/>
  <c r="CD156" i="37"/>
  <c r="CF155" i="37"/>
  <c r="CD155" i="37"/>
  <c r="CC160" i="37"/>
  <c r="CF152" i="37"/>
  <c r="CD152" i="37"/>
  <c r="CC161" i="37" l="1"/>
  <c r="CF160" i="37"/>
  <c r="CD160" i="37"/>
  <c r="CC162" i="37" l="1"/>
  <c r="CC163" i="37" s="1"/>
  <c r="CF161" i="37"/>
  <c r="CD161" i="37"/>
  <c r="CD163" i="37" l="1"/>
  <c r="CF163" i="37"/>
  <c r="CC164" i="37"/>
  <c r="CF162" i="37"/>
  <c r="CD162" i="37"/>
  <c r="CC166" i="37" l="1"/>
  <c r="CF164" i="37"/>
  <c r="CD164" i="37"/>
  <c r="CC167" i="37" l="1"/>
  <c r="CC169" i="37" s="1"/>
  <c r="CF166" i="37"/>
  <c r="CD166" i="37"/>
  <c r="CF169" i="37" l="1"/>
  <c r="CD169" i="37"/>
  <c r="CC168" i="37"/>
  <c r="CC170" i="37" s="1"/>
  <c r="CF167" i="37"/>
  <c r="CD167" i="37"/>
  <c r="CF170" i="37" l="1"/>
  <c r="CD170" i="37"/>
  <c r="CC171" i="37"/>
  <c r="CF168" i="37"/>
  <c r="CD168" i="37"/>
  <c r="CC172" i="37" l="1"/>
  <c r="CF171" i="37"/>
  <c r="CD171" i="37"/>
  <c r="CC173" i="37" l="1"/>
  <c r="CC174" i="37" s="1"/>
  <c r="CF172" i="37"/>
  <c r="CD172" i="37"/>
  <c r="CF174" i="37" l="1"/>
  <c r="CD174" i="37"/>
  <c r="CC175" i="37"/>
  <c r="CC176" i="37" s="1"/>
  <c r="CF173" i="37"/>
  <c r="CD173" i="37"/>
  <c r="CD176" i="37" l="1"/>
  <c r="CC177" i="37"/>
  <c r="CF176" i="37"/>
  <c r="CF175" i="37"/>
  <c r="CD175" i="37"/>
  <c r="CD177" i="37" l="1"/>
  <c r="CF177" i="37"/>
  <c r="CC178" i="37"/>
  <c r="CC179" i="37" l="1"/>
  <c r="CF178" i="37"/>
  <c r="CD178" i="37"/>
  <c r="CC180" i="37" l="1"/>
  <c r="CF179" i="37"/>
  <c r="CD179" i="37"/>
  <c r="CC181" i="37" l="1"/>
  <c r="CC182" i="37" s="1"/>
  <c r="CF180" i="37"/>
  <c r="CD180" i="37"/>
  <c r="CC183" i="37" l="1"/>
  <c r="CF182" i="37"/>
  <c r="CD182" i="37"/>
  <c r="CC185" i="37"/>
  <c r="CF181" i="37"/>
  <c r="CD181" i="37"/>
  <c r="CF183" i="37" l="1"/>
  <c r="CC184" i="37"/>
  <c r="CD183" i="37"/>
  <c r="CC186" i="37"/>
  <c r="CF185" i="37"/>
  <c r="CD185" i="37"/>
  <c r="CF184" i="37" l="1"/>
  <c r="CD184" i="37"/>
  <c r="CC187" i="37"/>
  <c r="CC188" i="37" s="1"/>
  <c r="CF186" i="37"/>
  <c r="CD186" i="37"/>
  <c r="CF188" i="37" l="1"/>
  <c r="CD188" i="37"/>
  <c r="CC189" i="37"/>
  <c r="CF187" i="37"/>
  <c r="CD187" i="37"/>
  <c r="CC191" i="37" l="1"/>
  <c r="CF189" i="37"/>
  <c r="CD189" i="37"/>
  <c r="CC192" i="37" l="1"/>
  <c r="CC193" i="37" s="1"/>
  <c r="CC194" i="37" s="1"/>
  <c r="CF191" i="37"/>
  <c r="CD191" i="37"/>
  <c r="CF194" i="37" l="1"/>
  <c r="CD194" i="37"/>
  <c r="CC195" i="37"/>
  <c r="CF193" i="37"/>
  <c r="CD193" i="37"/>
  <c r="CF192" i="37"/>
  <c r="CD192" i="37"/>
  <c r="CF195" i="37" l="1"/>
  <c r="CD195" i="37"/>
  <c r="CC197" i="37"/>
  <c r="CC199" i="37" l="1"/>
  <c r="CF199" i="37" s="1"/>
  <c r="CC198" i="37"/>
  <c r="CC200" i="37" s="1"/>
  <c r="CC201" i="37"/>
  <c r="CF197" i="37"/>
  <c r="CD197" i="37"/>
  <c r="CD200" i="37" l="1"/>
  <c r="CF200" i="37"/>
  <c r="CD199" i="37"/>
  <c r="CF198" i="37"/>
  <c r="CD198" i="37"/>
  <c r="CC202" i="37"/>
  <c r="CF201" i="37"/>
  <c r="CD201" i="37"/>
  <c r="CC203" i="37" l="1"/>
  <c r="CF202" i="37"/>
  <c r="CD202" i="37"/>
  <c r="CC204" i="37" l="1"/>
  <c r="CF203" i="37"/>
  <c r="CD203" i="37"/>
  <c r="CC205" i="37" l="1"/>
  <c r="CF204" i="37"/>
  <c r="CD204" i="37"/>
  <c r="CC206" i="37" l="1"/>
  <c r="CF205" i="37"/>
  <c r="CD205" i="37"/>
  <c r="CC207" i="37" l="1"/>
  <c r="CF206" i="37"/>
  <c r="CD206" i="37"/>
  <c r="CC208" i="37" l="1"/>
  <c r="CF207" i="37"/>
  <c r="CD207" i="37"/>
  <c r="CC209" i="37" l="1"/>
  <c r="CF208" i="37"/>
  <c r="CD208" i="37"/>
  <c r="CC210" i="37" l="1"/>
  <c r="CF209" i="37"/>
  <c r="CD209" i="37"/>
  <c r="CC211" i="37" l="1"/>
  <c r="CF210" i="37"/>
  <c r="CD210" i="37"/>
  <c r="CC212" i="37" l="1"/>
  <c r="CF211" i="37"/>
  <c r="CD211" i="37"/>
  <c r="CC213" i="37" l="1"/>
  <c r="CF212" i="37"/>
  <c r="CD212" i="37"/>
  <c r="CC215" i="37" l="1"/>
  <c r="CC217" i="37" s="1"/>
  <c r="CF213" i="37"/>
  <c r="CD213" i="37"/>
  <c r="CF217" i="37" l="1"/>
  <c r="CD217" i="37"/>
  <c r="CC216" i="37"/>
  <c r="CC218" i="37" s="1"/>
  <c r="CF215" i="37"/>
  <c r="CD215" i="37"/>
  <c r="CC221" i="37" l="1"/>
  <c r="CC219" i="37"/>
  <c r="CF218" i="37"/>
  <c r="CD218" i="37"/>
  <c r="CC225" i="37"/>
  <c r="CC226" i="37" s="1"/>
  <c r="CC229" i="37" s="1"/>
  <c r="CD229" i="37" s="1"/>
  <c r="CF216" i="37"/>
  <c r="CD216" i="37"/>
  <c r="CF221" i="37" l="1"/>
  <c r="CC224" i="37"/>
  <c r="CC220" i="37"/>
  <c r="CC223" i="37" s="1"/>
  <c r="CC222" i="37"/>
  <c r="CD221" i="37"/>
  <c r="CF226" i="37"/>
  <c r="CD226" i="37"/>
  <c r="CD220" i="37"/>
  <c r="CF219" i="37"/>
  <c r="CD219" i="37"/>
  <c r="CC227" i="37"/>
  <c r="CC228" i="37" s="1"/>
  <c r="CF225" i="37"/>
  <c r="CD225" i="37"/>
  <c r="CF220" i="37" l="1"/>
  <c r="CF228" i="37"/>
  <c r="CD228" i="37"/>
  <c r="CF224" i="37"/>
  <c r="CD224" i="37"/>
  <c r="CF223" i="37"/>
  <c r="CD223" i="37"/>
  <c r="CD222" i="37"/>
  <c r="CF222" i="37"/>
  <c r="CF227" i="37"/>
  <c r="CD227" i="37"/>
  <c r="CC230" i="37" l="1"/>
  <c r="CF229" i="37"/>
  <c r="CC231" i="37" l="1"/>
  <c r="CF230" i="37"/>
  <c r="CD230" i="37"/>
  <c r="CC232" i="37" l="1"/>
  <c r="CF231" i="37"/>
  <c r="CD231" i="37"/>
  <c r="CC233" i="37" l="1"/>
  <c r="CF232" i="37"/>
  <c r="CD232" i="37"/>
  <c r="CC234" i="37" l="1"/>
  <c r="CF233" i="37"/>
  <c r="CD233" i="37"/>
  <c r="CC235" i="37" l="1"/>
  <c r="CF234" i="37"/>
  <c r="CD234" i="37"/>
  <c r="CC236" i="37" l="1"/>
  <c r="CF235" i="37"/>
  <c r="CD235" i="37"/>
  <c r="CC237" i="37" l="1"/>
  <c r="CF236" i="37"/>
  <c r="CD236" i="37"/>
  <c r="CC238" i="37" l="1"/>
  <c r="CF237" i="37"/>
  <c r="CD237" i="37"/>
  <c r="CC239" i="37" l="1"/>
  <c r="CF238" i="37"/>
  <c r="CD238" i="37"/>
  <c r="CC240" i="37" l="1"/>
  <c r="CF239" i="37"/>
  <c r="CD239" i="37"/>
  <c r="CC241" i="37" l="1"/>
  <c r="CF240" i="37"/>
  <c r="CD240" i="37"/>
  <c r="CF241" i="37" l="1"/>
  <c r="CD241" i="37"/>
  <c r="CC267" i="37" l="1"/>
  <c r="CC268" i="37" l="1"/>
  <c r="CF267" i="37"/>
  <c r="CD267" i="37"/>
  <c r="CC269" i="37" l="1"/>
  <c r="CF268" i="37"/>
  <c r="CD268" i="37"/>
  <c r="CC270" i="37" l="1"/>
  <c r="CF269" i="37"/>
  <c r="CD269" i="37"/>
  <c r="CC271" i="37" l="1"/>
  <c r="CC274" i="37" s="1"/>
  <c r="CC284" i="37" s="1"/>
  <c r="CF270" i="37"/>
  <c r="CD270" i="37"/>
  <c r="CF284" i="37" l="1"/>
  <c r="CD284" i="37"/>
  <c r="CF274" i="37"/>
  <c r="CD274" i="37"/>
  <c r="CC272" i="37"/>
  <c r="CF271" i="37"/>
  <c r="CD271" i="37"/>
  <c r="CC275" i="37" l="1"/>
  <c r="CD275" i="37" s="1"/>
  <c r="CC282" i="37"/>
  <c r="CC273" i="37"/>
  <c r="CC283" i="37" s="1"/>
  <c r="CF272" i="37"/>
  <c r="CD272" i="37"/>
  <c r="CF275" i="37" l="1"/>
  <c r="CC277" i="37"/>
  <c r="CF277" i="37" s="1"/>
  <c r="CC280" i="37"/>
  <c r="CF280" i="37" s="1"/>
  <c r="CC279" i="37"/>
  <c r="CF279" i="37" s="1"/>
  <c r="CC278" i="37"/>
  <c r="CF278" i="37" s="1"/>
  <c r="CC281" i="37"/>
  <c r="CC285" i="37"/>
  <c r="CD285" i="37" s="1"/>
  <c r="CF283" i="37"/>
  <c r="CD283" i="37"/>
  <c r="CF282" i="37"/>
  <c r="CD282" i="37"/>
  <c r="CD279" i="37"/>
  <c r="CC276" i="37"/>
  <c r="CF273" i="37"/>
  <c r="CD273" i="37"/>
  <c r="CD277" i="37" l="1"/>
  <c r="CD280" i="37"/>
  <c r="CF285" i="37"/>
  <c r="CD278" i="37"/>
  <c r="CD281" i="37"/>
  <c r="CF281" i="37"/>
  <c r="CC286" i="37"/>
  <c r="CF276" i="37"/>
  <c r="CD276" i="37"/>
  <c r="CC287" i="37" l="1"/>
  <c r="CF286" i="37"/>
  <c r="CD286" i="37"/>
  <c r="CC288" i="37" l="1"/>
  <c r="CF287" i="37"/>
  <c r="CD287" i="37"/>
  <c r="CC289" i="37" l="1"/>
  <c r="CF288" i="37"/>
  <c r="CD288" i="37"/>
  <c r="CC290" i="37" l="1"/>
  <c r="CF289" i="37"/>
  <c r="CD289" i="37"/>
  <c r="CC291" i="37" l="1"/>
  <c r="CF290" i="37"/>
  <c r="CD290" i="37"/>
  <c r="CF291" i="37" l="1"/>
  <c r="CD291" i="37"/>
  <c r="CC294" i="37" l="1"/>
  <c r="CC305" i="37" s="1"/>
  <c r="CF305" i="37" l="1"/>
  <c r="CD305" i="37"/>
  <c r="CC295" i="37"/>
  <c r="CC306" i="37" s="1"/>
  <c r="CF294" i="37"/>
  <c r="CD294" i="37"/>
  <c r="CD306" i="37" l="1"/>
  <c r="CF306" i="37"/>
  <c r="CC296" i="37"/>
  <c r="CC297" i="37" s="1"/>
  <c r="CF295" i="37"/>
  <c r="CD295" i="37"/>
  <c r="CC298" i="37" l="1"/>
  <c r="CC299" i="37" s="1"/>
  <c r="CC300" i="37" s="1"/>
  <c r="CF297" i="37"/>
  <c r="CD297" i="37"/>
  <c r="CC308" i="37"/>
  <c r="CF296" i="37"/>
  <c r="CD296" i="37"/>
  <c r="CC301" i="37" l="1"/>
  <c r="CF300" i="37"/>
  <c r="CD300" i="37"/>
  <c r="CD299" i="37"/>
  <c r="CF299" i="37"/>
  <c r="CC302" i="37"/>
  <c r="CF298" i="37"/>
  <c r="CD298" i="37"/>
  <c r="CC309" i="37"/>
  <c r="CF308" i="37"/>
  <c r="CD308" i="37"/>
  <c r="CF301" i="37" l="1"/>
  <c r="CD301" i="37"/>
  <c r="CC303" i="37"/>
  <c r="CC307" i="37"/>
  <c r="CF302" i="37"/>
  <c r="CD302" i="37"/>
  <c r="CC310" i="37"/>
  <c r="CF309" i="37"/>
  <c r="CD309" i="37"/>
  <c r="CF307" i="37" l="1"/>
  <c r="CD307" i="37"/>
  <c r="CC304" i="37"/>
  <c r="CF303" i="37"/>
  <c r="CD303" i="37"/>
  <c r="CC311" i="37"/>
  <c r="CF310" i="37"/>
  <c r="CD310" i="37"/>
  <c r="CF304" i="37" l="1"/>
  <c r="CD304" i="37"/>
  <c r="CC312" i="37"/>
  <c r="CF311" i="37"/>
  <c r="CD311" i="37"/>
  <c r="CC313" i="37" l="1"/>
  <c r="CF312" i="37"/>
  <c r="CD312" i="37"/>
  <c r="CC314" i="37" l="1"/>
  <c r="CC316" i="37" s="1"/>
  <c r="CF313" i="37"/>
  <c r="CD313" i="37"/>
  <c r="CD316" i="37" l="1"/>
  <c r="CF316" i="37"/>
  <c r="CC315" i="37"/>
  <c r="CC317" i="37" s="1"/>
  <c r="CF314" i="37"/>
  <c r="CD314" i="37"/>
  <c r="CF317" i="37" l="1"/>
  <c r="CD317" i="37"/>
  <c r="CF315" i="37"/>
  <c r="CD315" i="37"/>
  <c r="CC318" i="37" l="1"/>
  <c r="CC320" i="37" l="1"/>
  <c r="CC321" i="37" s="1"/>
  <c r="CC322" i="37" s="1"/>
  <c r="CF318" i="37"/>
  <c r="CD318" i="37"/>
  <c r="CF322" i="37" l="1"/>
  <c r="CD322" i="37"/>
  <c r="CD321" i="37"/>
  <c r="CF321" i="37"/>
  <c r="CF320" i="37"/>
  <c r="CD320" i="37"/>
  <c r="CC323" i="37" l="1"/>
  <c r="CC380" i="37"/>
  <c r="CF323" i="37" l="1"/>
  <c r="CD323" i="37"/>
  <c r="CC324" i="37"/>
  <c r="CC381" i="37"/>
  <c r="CF380" i="37"/>
  <c r="CD380" i="37"/>
  <c r="CF324" i="37" l="1"/>
  <c r="CC325" i="37"/>
  <c r="CD324" i="37"/>
  <c r="CC382" i="37"/>
  <c r="CC383" i="37" s="1"/>
  <c r="CF381" i="37"/>
  <c r="CD381" i="37"/>
  <c r="CD383" i="37" l="1"/>
  <c r="CF383" i="37"/>
  <c r="CF325" i="37"/>
  <c r="CD325" i="37"/>
  <c r="CC326" i="37"/>
  <c r="CC384" i="37"/>
  <c r="CF382" i="37"/>
  <c r="CD382" i="37"/>
  <c r="CF326" i="37" l="1"/>
  <c r="CC327" i="37"/>
  <c r="CD326" i="37"/>
  <c r="CC385" i="37"/>
  <c r="CF384" i="37"/>
  <c r="CD384" i="37"/>
  <c r="CF327" i="37" l="1"/>
  <c r="CC328" i="37"/>
  <c r="CD327" i="37"/>
  <c r="CC386" i="37"/>
  <c r="CF385" i="37"/>
  <c r="CD385" i="37"/>
  <c r="CF328" i="37" l="1"/>
  <c r="CC329" i="37"/>
  <c r="CD328" i="37"/>
  <c r="CC387" i="37"/>
  <c r="CC388" i="37" s="1"/>
  <c r="CF386" i="37"/>
  <c r="CD386" i="37"/>
  <c r="CD388" i="37" l="1"/>
  <c r="CC389" i="37"/>
  <c r="CF388" i="37"/>
  <c r="CF329" i="37"/>
  <c r="CD329" i="37"/>
  <c r="CC330" i="37"/>
  <c r="CC397" i="37"/>
  <c r="CF387" i="37"/>
  <c r="CD387" i="37"/>
  <c r="CF389" i="37" l="1"/>
  <c r="CD389" i="37"/>
  <c r="CC390" i="37"/>
  <c r="CF330" i="37"/>
  <c r="CD330" i="37"/>
  <c r="CC331" i="37"/>
  <c r="CC398" i="37"/>
  <c r="CC400" i="37" s="1"/>
  <c r="CF397" i="37"/>
  <c r="CD397" i="37"/>
  <c r="CF390" i="37" l="1"/>
  <c r="CD390" i="37"/>
  <c r="CC391" i="37"/>
  <c r="CC392" i="37" s="1"/>
  <c r="CC393" i="37" s="1"/>
  <c r="CF400" i="37"/>
  <c r="CD400" i="37"/>
  <c r="CF331" i="37"/>
  <c r="CC332" i="37"/>
  <c r="CD331" i="37"/>
  <c r="CC399" i="37"/>
  <c r="CF398" i="37"/>
  <c r="CD398" i="37"/>
  <c r="CD393" i="37" l="1"/>
  <c r="CF393" i="37"/>
  <c r="CD392" i="37"/>
  <c r="CF392" i="37"/>
  <c r="CC394" i="37"/>
  <c r="CD391" i="37"/>
  <c r="CF391" i="37"/>
  <c r="CF332" i="37"/>
  <c r="CC333" i="37"/>
  <c r="CD332" i="37"/>
  <c r="CC401" i="37"/>
  <c r="CC402" i="37" s="1"/>
  <c r="CF399" i="37"/>
  <c r="CD399" i="37"/>
  <c r="CF402" i="37" l="1"/>
  <c r="CC404" i="37"/>
  <c r="CC406" i="37" s="1"/>
  <c r="CD402" i="37"/>
  <c r="CC403" i="37"/>
  <c r="CD394" i="37"/>
  <c r="CF394" i="37"/>
  <c r="CC395" i="37"/>
  <c r="CF333" i="37"/>
  <c r="CD333" i="37"/>
  <c r="CC334" i="37"/>
  <c r="CC412" i="37"/>
  <c r="CF401" i="37"/>
  <c r="CD401" i="37"/>
  <c r="CD406" i="37" l="1"/>
  <c r="CF406" i="37"/>
  <c r="CC407" i="37"/>
  <c r="CD404" i="37"/>
  <c r="CF404" i="37"/>
  <c r="CC405" i="37"/>
  <c r="CF403" i="37"/>
  <c r="CD403" i="37"/>
  <c r="CC396" i="37"/>
  <c r="CF395" i="37"/>
  <c r="CD395" i="37"/>
  <c r="CF334" i="37"/>
  <c r="CD334" i="37"/>
  <c r="CC335" i="37"/>
  <c r="CC413" i="37"/>
  <c r="CF412" i="37"/>
  <c r="CD412" i="37"/>
  <c r="CF407" i="37" l="1"/>
  <c r="CD407" i="37"/>
  <c r="CC408" i="37"/>
  <c r="CC409" i="37" s="1"/>
  <c r="CC410" i="37"/>
  <c r="CF405" i="37"/>
  <c r="CD405" i="37"/>
  <c r="CF396" i="37"/>
  <c r="CD396" i="37"/>
  <c r="CF335" i="37"/>
  <c r="CC336" i="37"/>
  <c r="CD335" i="37"/>
  <c r="CF413" i="37"/>
  <c r="CD413" i="37"/>
  <c r="CF409" i="37" l="1"/>
  <c r="CD409" i="37"/>
  <c r="CF410" i="37"/>
  <c r="CD410" i="37"/>
  <c r="CC411" i="37"/>
  <c r="CF408" i="37"/>
  <c r="CD408" i="37"/>
  <c r="CF336" i="37"/>
  <c r="CC337" i="37"/>
  <c r="CD336" i="37"/>
  <c r="CF411" i="37" l="1"/>
  <c r="CD411" i="37"/>
  <c r="CF337" i="37"/>
  <c r="CD337" i="37"/>
  <c r="CC338" i="37"/>
  <c r="CF338" i="37" l="1"/>
  <c r="CD338" i="37"/>
  <c r="CC339" i="37"/>
  <c r="CF339" i="37" l="1"/>
  <c r="CC340" i="37"/>
  <c r="CD339" i="37"/>
  <c r="CF340" i="37" l="1"/>
  <c r="CC341" i="37"/>
  <c r="CD340" i="37"/>
  <c r="CF341" i="37" l="1"/>
  <c r="CD341" i="37"/>
  <c r="CC342" i="37"/>
  <c r="CD342" i="37" s="1"/>
  <c r="CF342" i="37" l="1"/>
  <c r="CC343" i="37"/>
  <c r="CF343" i="37" l="1"/>
  <c r="CC344" i="37"/>
  <c r="CD343" i="37"/>
  <c r="CF344" i="37" l="1"/>
  <c r="CC345" i="37"/>
  <c r="CD344" i="37"/>
  <c r="CF345" i="37" l="1"/>
  <c r="CD345" i="37"/>
  <c r="CC346" i="37"/>
  <c r="CF346" i="37" l="1"/>
  <c r="CD346" i="37"/>
  <c r="CC347" i="37"/>
  <c r="CF347" i="37" l="1"/>
  <c r="CC348" i="37"/>
  <c r="CD347" i="37"/>
  <c r="CF348" i="37" l="1"/>
  <c r="CC349" i="37"/>
  <c r="CD348" i="37"/>
  <c r="CF349" i="37" l="1"/>
  <c r="CD349" i="37"/>
  <c r="CC350" i="37"/>
  <c r="CF350" i="37" l="1"/>
  <c r="CD350" i="37"/>
  <c r="CC351" i="37"/>
  <c r="CF351" i="37" l="1"/>
  <c r="CC352" i="37"/>
  <c r="CD351" i="37"/>
  <c r="CF352" i="37" l="1"/>
  <c r="CD352" i="37"/>
  <c r="CC353" i="37"/>
  <c r="CF353" i="37" l="1"/>
  <c r="CD353" i="37"/>
  <c r="CC354" i="37"/>
  <c r="CF354" i="37" l="1"/>
  <c r="CD354" i="37"/>
  <c r="CC355" i="37"/>
  <c r="CF355" i="37" l="1"/>
  <c r="CC356" i="37"/>
  <c r="CD355" i="37"/>
  <c r="CF356" i="37" l="1"/>
  <c r="CC357" i="37"/>
  <c r="CD356" i="37"/>
  <c r="CF357" i="37" l="1"/>
  <c r="CD357" i="37"/>
  <c r="CC358" i="37"/>
  <c r="CF358" i="37" l="1"/>
  <c r="CD358" i="37"/>
  <c r="CC359" i="37"/>
  <c r="CF359" i="37" l="1"/>
  <c r="CC360" i="37"/>
  <c r="CD359" i="37"/>
  <c r="CF360" i="37" l="1"/>
  <c r="CC361" i="37"/>
  <c r="CD360" i="37"/>
  <c r="CF361" i="37" l="1"/>
  <c r="CD361" i="37"/>
  <c r="CC362" i="37"/>
  <c r="CF362" i="37" l="1"/>
  <c r="CD362" i="37"/>
  <c r="CC363" i="37"/>
  <c r="CF363" i="37" l="1"/>
  <c r="CC364" i="37"/>
  <c r="CD363" i="37"/>
  <c r="CF364" i="37" l="1"/>
  <c r="CC365" i="37"/>
  <c r="CD364" i="37"/>
  <c r="CF365" i="37" l="1"/>
  <c r="CD365" i="37"/>
  <c r="CC366" i="37"/>
  <c r="CF366" i="37" l="1"/>
  <c r="CD366" i="37"/>
  <c r="CC367" i="37"/>
  <c r="CF367" i="37" l="1"/>
  <c r="CC368" i="37"/>
  <c r="CD367" i="37"/>
  <c r="CF368" i="37" l="1"/>
  <c r="CC369" i="37"/>
  <c r="CD368" i="37"/>
  <c r="CF369" i="37" l="1"/>
  <c r="CD369" i="37"/>
  <c r="CC370" i="37"/>
  <c r="CF370" i="37" l="1"/>
  <c r="CD370" i="37"/>
  <c r="CC371" i="37"/>
  <c r="CF371" i="37" l="1"/>
  <c r="CD371" i="37"/>
  <c r="CC372" i="37"/>
  <c r="CF372" i="37" l="1"/>
  <c r="CC373" i="37"/>
  <c r="CD372" i="37"/>
  <c r="CF373" i="37" l="1"/>
  <c r="CD373" i="37"/>
  <c r="CC374" i="37"/>
  <c r="CF374" i="37" l="1"/>
  <c r="CD374" i="37"/>
  <c r="CC375" i="37"/>
  <c r="CF375" i="37" l="1"/>
  <c r="CC376" i="37"/>
  <c r="CD375" i="37"/>
  <c r="CF376" i="37" l="1"/>
  <c r="CC377" i="37"/>
  <c r="CD376" i="37"/>
  <c r="CF377" i="37" l="1"/>
  <c r="CD377" i="37"/>
  <c r="CC378" i="37"/>
  <c r="BL9" i="43" s="1" a="1"/>
  <c r="BL9" i="43" s="1"/>
  <c r="CD378" i="37" l="1"/>
  <c r="CF378" i="37"/>
  <c r="F20" i="43" l="1"/>
  <c r="D56" i="51"/>
  <c r="F12" i="43"/>
  <c r="F25" i="43"/>
  <c r="F26" i="43"/>
  <c r="F17" i="43"/>
  <c r="F27" i="43"/>
  <c r="F13" i="43"/>
  <c r="G18" i="43"/>
  <c r="F16" i="43"/>
  <c r="F22" i="43"/>
  <c r="F23" i="43"/>
  <c r="F24" i="43"/>
  <c r="F18" i="43"/>
  <c r="F14" i="43"/>
  <c r="F21" i="43"/>
  <c r="F10" i="43"/>
  <c r="F11" i="43"/>
  <c r="G11" i="43"/>
  <c r="F9" i="43"/>
  <c r="G27" i="43"/>
  <c r="O97" i="45"/>
  <c r="T97" i="45"/>
  <c r="Q65" i="45"/>
  <c r="V63" i="45"/>
  <c r="N97" i="45"/>
  <c r="S65" i="45"/>
  <c r="Q63" i="45"/>
  <c r="Q64" i="45"/>
  <c r="H96" i="45"/>
  <c r="I64" i="45"/>
  <c r="J63" i="45"/>
  <c r="T64" i="45"/>
  <c r="T65" i="45"/>
  <c r="S96" i="45"/>
  <c r="F96" i="45"/>
  <c r="R96" i="45"/>
  <c r="F63" i="45"/>
  <c r="G65" i="45"/>
  <c r="L63" i="45"/>
  <c r="O65" i="45"/>
  <c r="J65" i="45"/>
  <c r="V65" i="45"/>
  <c r="P64" i="45"/>
  <c r="O64" i="45"/>
  <c r="W64" i="45"/>
  <c r="R65" i="45"/>
  <c r="P96" i="45"/>
  <c r="W97" i="45"/>
  <c r="U65" i="45"/>
  <c r="J64" i="45"/>
  <c r="E63" i="45"/>
  <c r="K97" i="45"/>
  <c r="U97" i="45"/>
  <c r="L65" i="45"/>
  <c r="P63" i="45"/>
  <c r="I63" i="45"/>
  <c r="N63" i="45"/>
  <c r="T63" i="45"/>
  <c r="F65" i="45"/>
  <c r="W96" i="45"/>
  <c r="M96" i="45"/>
  <c r="Q96" i="45"/>
  <c r="G63" i="45"/>
  <c r="G97" i="45"/>
  <c r="O63" i="45"/>
  <c r="E64" i="45"/>
  <c r="S97" i="45"/>
  <c r="R97" i="45"/>
  <c r="V97" i="45"/>
  <c r="U63" i="45"/>
  <c r="I96" i="45"/>
  <c r="P97" i="45"/>
  <c r="M63" i="45"/>
  <c r="H65" i="45"/>
  <c r="L64" i="45"/>
  <c r="F64" i="45"/>
  <c r="H64" i="45"/>
  <c r="J96" i="45"/>
  <c r="S63" i="45"/>
  <c r="K64" i="45"/>
  <c r="S64" i="45"/>
  <c r="V64" i="45"/>
  <c r="W63" i="45"/>
  <c r="E97" i="45"/>
  <c r="T96" i="45"/>
  <c r="N65" i="45"/>
  <c r="L97" i="45"/>
  <c r="H63" i="45"/>
  <c r="I65" i="45"/>
  <c r="K65" i="45"/>
  <c r="L96" i="45"/>
  <c r="F97" i="45"/>
  <c r="P65" i="45"/>
  <c r="R64" i="45"/>
  <c r="Q97" i="45"/>
  <c r="R63" i="45"/>
  <c r="N96" i="45"/>
  <c r="N64" i="45"/>
  <c r="U96" i="45"/>
  <c r="I97" i="45"/>
  <c r="M65" i="45"/>
  <c r="G64" i="45"/>
  <c r="K63" i="45"/>
  <c r="E96" i="45"/>
  <c r="E65" i="45"/>
  <c r="K96" i="45"/>
  <c r="M64" i="45"/>
  <c r="W65" i="45"/>
  <c r="O96" i="45"/>
  <c r="V96" i="45"/>
  <c r="H97" i="45"/>
  <c r="M97" i="45"/>
  <c r="G96" i="45"/>
  <c r="U64" i="45"/>
  <c r="J97" i="45"/>
  <c r="R94" i="45"/>
  <c r="P94" i="45"/>
  <c r="T95" i="45"/>
  <c r="G95" i="45"/>
  <c r="T94" i="45"/>
  <c r="S95" i="45"/>
  <c r="U94" i="45"/>
  <c r="V95" i="45"/>
  <c r="V94" i="45"/>
  <c r="Q94" i="45"/>
  <c r="S94" i="45"/>
  <c r="W94" i="45"/>
  <c r="U95" i="45"/>
  <c r="O95" i="45"/>
  <c r="W95" i="45"/>
  <c r="M94" i="45"/>
  <c r="P95" i="45"/>
  <c r="Q95" i="45"/>
  <c r="I95" i="45"/>
  <c r="L95" i="45"/>
  <c r="R95" i="45"/>
  <c r="M95" i="45"/>
  <c r="O94" i="45"/>
  <c r="H94" i="45"/>
  <c r="E94" i="45"/>
  <c r="G94" i="45"/>
  <c r="H95" i="45"/>
  <c r="L94" i="45"/>
  <c r="I94" i="45"/>
  <c r="K94" i="45"/>
  <c r="J94" i="45"/>
  <c r="J95" i="45"/>
  <c r="K95" i="45"/>
  <c r="F95" i="45"/>
  <c r="E95" i="45"/>
  <c r="N95" i="45"/>
  <c r="F94" i="45"/>
  <c r="N94" i="45"/>
  <c r="W122" i="45"/>
  <c r="W123" i="45"/>
  <c r="H69" i="45"/>
  <c r="S93" i="45"/>
  <c r="R93" i="45"/>
  <c r="R62" i="45"/>
  <c r="V93" i="45"/>
  <c r="J93" i="45"/>
  <c r="F69" i="45"/>
  <c r="T69" i="45"/>
  <c r="S38" i="45"/>
  <c r="K62" i="45"/>
  <c r="I93" i="45"/>
  <c r="J62" i="45"/>
  <c r="W62" i="45"/>
  <c r="O93" i="45"/>
  <c r="L38" i="45"/>
  <c r="P93" i="45"/>
  <c r="M69" i="45"/>
  <c r="G69" i="45"/>
  <c r="H38" i="45"/>
  <c r="G38" i="45"/>
  <c r="M62" i="45"/>
  <c r="W93" i="45"/>
  <c r="F62" i="45"/>
  <c r="O62" i="45"/>
  <c r="U38" i="45"/>
  <c r="H93" i="45"/>
  <c r="K38" i="45"/>
  <c r="R69" i="45"/>
  <c r="V69" i="45"/>
  <c r="Q62" i="45"/>
  <c r="R38" i="45"/>
  <c r="K93" i="45"/>
  <c r="U93" i="45"/>
  <c r="N38" i="45"/>
  <c r="O38" i="45"/>
  <c r="G93" i="45"/>
  <c r="I62" i="45"/>
  <c r="J38" i="45"/>
  <c r="T62" i="45"/>
  <c r="Q69" i="45"/>
  <c r="N93" i="45"/>
  <c r="V62" i="45"/>
  <c r="H62" i="45"/>
  <c r="T38" i="45"/>
  <c r="M38" i="45"/>
  <c r="G62" i="45"/>
  <c r="W69" i="45"/>
  <c r="N62" i="45"/>
  <c r="L62" i="45"/>
  <c r="E62" i="45"/>
  <c r="W38" i="45"/>
  <c r="U69" i="45"/>
  <c r="E69" i="45"/>
  <c r="F38" i="45"/>
  <c r="J69" i="45"/>
  <c r="Q93" i="45"/>
  <c r="K69" i="45"/>
  <c r="L93" i="45"/>
  <c r="S69" i="45"/>
  <c r="M93" i="45"/>
  <c r="F93" i="45"/>
  <c r="P38" i="45"/>
  <c r="V38" i="45"/>
  <c r="E93" i="45"/>
  <c r="U62" i="45"/>
  <c r="P69" i="45"/>
  <c r="P62" i="45"/>
  <c r="N69" i="45"/>
  <c r="S62" i="45"/>
  <c r="E38" i="45"/>
  <c r="T93" i="45"/>
  <c r="I38" i="45"/>
  <c r="I69" i="45"/>
  <c r="O69" i="45"/>
  <c r="L69" i="45"/>
  <c r="Q38" i="45"/>
  <c r="AE14" i="43"/>
  <c r="AK22" i="43"/>
  <c r="U21" i="43"/>
  <c r="N14" i="43"/>
  <c r="AL11" i="43"/>
  <c r="AK21" i="43"/>
  <c r="G9" i="43"/>
  <c r="AF17" i="43"/>
  <c r="AK9" i="43"/>
  <c r="J9" i="43"/>
  <c r="AL26" i="43"/>
  <c r="T26" i="43"/>
  <c r="G20" i="43"/>
  <c r="I23" i="43"/>
  <c r="T22" i="43"/>
  <c r="AF9" i="43"/>
  <c r="AE13" i="43"/>
  <c r="U13" i="43"/>
  <c r="T16" i="43"/>
  <c r="G21" i="43"/>
  <c r="U24" i="43"/>
  <c r="G19" i="43"/>
  <c r="G25" i="43"/>
  <c r="AL25" i="43"/>
  <c r="U12" i="43"/>
  <c r="U10" i="43"/>
  <c r="U14" i="43"/>
  <c r="T14" i="43"/>
  <c r="AE27" i="43"/>
  <c r="AL10" i="43"/>
  <c r="I11" i="43"/>
  <c r="T11" i="43"/>
  <c r="O20" i="43"/>
  <c r="N18" i="43"/>
  <c r="AK15" i="43"/>
  <c r="AK20" i="43"/>
  <c r="J13" i="43"/>
  <c r="J24" i="43"/>
  <c r="J16" i="43"/>
  <c r="AL16" i="43"/>
  <c r="U25" i="43"/>
  <c r="G16" i="43"/>
  <c r="AL18" i="43"/>
  <c r="O16" i="43"/>
  <c r="T24" i="43"/>
  <c r="J25" i="43"/>
  <c r="I16" i="43"/>
  <c r="J14" i="43"/>
  <c r="O21" i="43"/>
  <c r="O25" i="43"/>
  <c r="AL12" i="43"/>
  <c r="F15" i="43"/>
  <c r="T19" i="43"/>
  <c r="I20" i="43"/>
  <c r="O10" i="43"/>
  <c r="T17" i="43"/>
  <c r="AE20" i="43"/>
  <c r="AE21" i="43"/>
  <c r="T21" i="43"/>
  <c r="N23" i="43"/>
  <c r="G23" i="43"/>
  <c r="I21" i="43"/>
  <c r="U19" i="43"/>
  <c r="O9" i="43"/>
  <c r="J21" i="43"/>
  <c r="AF25" i="43"/>
  <c r="O23" i="43"/>
  <c r="AE10" i="43"/>
  <c r="AF23" i="43"/>
  <c r="N21" i="43"/>
  <c r="U22" i="43"/>
  <c r="O17" i="43"/>
  <c r="AL14" i="43"/>
  <c r="U9" i="43"/>
  <c r="N15" i="43"/>
  <c r="I14" i="43"/>
  <c r="U18" i="43"/>
  <c r="AE24" i="43"/>
  <c r="N17" i="43"/>
  <c r="T27" i="43"/>
  <c r="AF10" i="43"/>
  <c r="AL15" i="43"/>
  <c r="AK12" i="43"/>
  <c r="N16" i="43"/>
  <c r="AL17" i="43"/>
  <c r="J22" i="43"/>
  <c r="AF22" i="43"/>
  <c r="AK11" i="43"/>
  <c r="I13" i="43"/>
  <c r="AK14" i="43"/>
  <c r="AL20" i="43"/>
  <c r="AE18" i="43"/>
  <c r="U27" i="43"/>
  <c r="I19" i="43"/>
  <c r="AE22" i="43"/>
  <c r="AF11" i="43"/>
  <c r="AF12" i="43"/>
  <c r="N24" i="43"/>
  <c r="T18" i="43"/>
  <c r="U15" i="43"/>
  <c r="AK27" i="43"/>
  <c r="AL22" i="43"/>
  <c r="J23" i="43"/>
  <c r="I17" i="43"/>
  <c r="AL13" i="43"/>
  <c r="I24" i="43"/>
  <c r="G22" i="43"/>
  <c r="AF27" i="43"/>
  <c r="N13" i="43"/>
  <c r="I26" i="43"/>
  <c r="AK17" i="43"/>
  <c r="AE16" i="43"/>
  <c r="AK16" i="43"/>
  <c r="I12" i="43"/>
  <c r="J27" i="43"/>
  <c r="G13" i="43"/>
  <c r="N27" i="43"/>
  <c r="AK25" i="43"/>
  <c r="O13" i="43"/>
  <c r="N12" i="43"/>
  <c r="I27" i="43"/>
  <c r="N26" i="43"/>
  <c r="AE15" i="43"/>
  <c r="AE25" i="43"/>
  <c r="AF15" i="43"/>
  <c r="AK24" i="43"/>
  <c r="T23" i="43"/>
  <c r="J18" i="43"/>
  <c r="T20" i="43"/>
  <c r="U17" i="43"/>
  <c r="U16" i="43"/>
  <c r="AK26" i="43"/>
  <c r="O22" i="43"/>
  <c r="N20" i="43"/>
  <c r="AK23" i="43"/>
  <c r="AF19" i="43"/>
  <c r="AL24" i="43"/>
  <c r="AE11" i="43"/>
  <c r="J15" i="43"/>
  <c r="I22" i="43"/>
  <c r="T25" i="43"/>
  <c r="N25" i="43"/>
  <c r="AE19" i="43"/>
  <c r="AE17" i="43"/>
  <c r="AL27" i="43"/>
  <c r="O27" i="43"/>
  <c r="I15" i="43"/>
  <c r="U11" i="43"/>
  <c r="I25" i="43"/>
  <c r="G17" i="43"/>
  <c r="AK13" i="43"/>
  <c r="AL23" i="43"/>
  <c r="AK10" i="43"/>
  <c r="G15" i="43"/>
  <c r="AF21" i="43"/>
  <c r="AK18" i="43"/>
  <c r="T9" i="43"/>
  <c r="G24" i="43"/>
  <c r="U26" i="43"/>
  <c r="AF14" i="43"/>
  <c r="N11" i="43"/>
  <c r="T15" i="43"/>
  <c r="N19" i="43"/>
  <c r="AK19" i="43"/>
  <c r="O15" i="43"/>
  <c r="AE12" i="43"/>
  <c r="I10" i="43"/>
  <c r="J19" i="43"/>
  <c r="I18" i="43"/>
  <c r="J17" i="43"/>
  <c r="N9" i="43"/>
  <c r="AF13" i="43"/>
  <c r="AF16" i="43"/>
  <c r="O26" i="43"/>
  <c r="AF26" i="43"/>
  <c r="AE26" i="43"/>
  <c r="N22" i="43"/>
  <c r="G10" i="43"/>
  <c r="AL9" i="43"/>
  <c r="O24" i="43"/>
  <c r="AE9" i="43"/>
  <c r="G14" i="43"/>
  <c r="G26" i="43"/>
  <c r="J26" i="43"/>
  <c r="AL21" i="43"/>
  <c r="T12" i="43"/>
  <c r="J10" i="43"/>
  <c r="T10" i="43"/>
  <c r="O11" i="43"/>
  <c r="O19" i="43"/>
  <c r="AL19" i="43"/>
  <c r="N10" i="43"/>
  <c r="AF18" i="43"/>
  <c r="AF20" i="43"/>
  <c r="AE23" i="43"/>
  <c r="U20" i="43"/>
  <c r="O14" i="43"/>
  <c r="J11" i="43"/>
  <c r="U23" i="43"/>
  <c r="I9" i="43"/>
  <c r="AF24" i="43"/>
  <c r="T13" i="43"/>
  <c r="J20" i="43"/>
  <c r="O18" i="43"/>
  <c r="T123" i="45"/>
  <c r="O122" i="45"/>
  <c r="H123" i="45"/>
  <c r="E122" i="45"/>
  <c r="K122" i="45"/>
  <c r="M123" i="45"/>
  <c r="J122" i="45"/>
  <c r="K123" i="45"/>
  <c r="Q122" i="45"/>
  <c r="L122" i="45"/>
  <c r="Q123" i="45"/>
  <c r="U122" i="45"/>
  <c r="I122" i="45"/>
  <c r="R123" i="45"/>
  <c r="O123" i="45"/>
  <c r="N122" i="45"/>
  <c r="V122" i="45"/>
  <c r="L123" i="45"/>
  <c r="F122" i="45"/>
  <c r="V123" i="45"/>
  <c r="T122" i="45"/>
  <c r="J123" i="45"/>
  <c r="G122" i="45"/>
  <c r="E123" i="45"/>
  <c r="M122" i="45"/>
  <c r="S123" i="45"/>
  <c r="R122" i="45"/>
  <c r="G123" i="45"/>
  <c r="P122" i="45"/>
  <c r="P123" i="45"/>
  <c r="N123" i="45"/>
  <c r="U123" i="45"/>
  <c r="F123" i="45"/>
  <c r="I123" i="45"/>
  <c r="S122" i="45"/>
  <c r="E126" i="45"/>
  <c r="D126" i="45" s="1"/>
  <c r="E125" i="45"/>
  <c r="D125" i="45" s="1"/>
  <c r="E124" i="45"/>
  <c r="D124" i="45" s="1"/>
  <c r="X22" i="43" l="1"/>
  <c r="Z24" i="43"/>
  <c r="X24" i="43"/>
  <c r="X11" i="43"/>
  <c r="X19" i="43"/>
  <c r="Z25" i="43"/>
  <c r="Z13" i="43"/>
  <c r="X23" i="43"/>
  <c r="X27" i="43"/>
  <c r="X25" i="43"/>
  <c r="Z21" i="43"/>
  <c r="Z20" i="43"/>
  <c r="Z18" i="43"/>
  <c r="Z26" i="43"/>
  <c r="X20" i="43"/>
  <c r="Z22" i="43"/>
  <c r="X15" i="43"/>
  <c r="X18" i="43"/>
  <c r="X12" i="43"/>
  <c r="X9" i="43"/>
  <c r="Z27" i="43"/>
  <c r="Z17" i="43"/>
  <c r="Z16" i="43"/>
  <c r="X16" i="43"/>
  <c r="X21" i="43"/>
  <c r="Z14" i="43"/>
  <c r="Z10" i="43"/>
  <c r="X10" i="43"/>
  <c r="Z23" i="43"/>
  <c r="X13" i="43"/>
  <c r="Z19" i="43"/>
  <c r="Z11" i="43"/>
  <c r="Z15" i="43"/>
  <c r="X26" i="43"/>
  <c r="X17" i="43"/>
  <c r="Z9" i="43"/>
  <c r="X14" i="43"/>
  <c r="D64" i="45"/>
  <c r="D63" i="45"/>
  <c r="W121" i="45"/>
  <c r="D123" i="45"/>
  <c r="H14" i="43"/>
  <c r="H13" i="43"/>
  <c r="H16" i="43"/>
  <c r="H21" i="43"/>
  <c r="H24" i="43"/>
  <c r="H27" i="43"/>
  <c r="T121" i="45"/>
  <c r="H18" i="43"/>
  <c r="H22" i="43"/>
  <c r="H25" i="43"/>
  <c r="I8" i="43"/>
  <c r="H9" i="43"/>
  <c r="H15" i="43"/>
  <c r="H11" i="43"/>
  <c r="AF8" i="43"/>
  <c r="N8" i="43"/>
  <c r="U8" i="43"/>
  <c r="M121" i="45"/>
  <c r="H23" i="43"/>
  <c r="AE8" i="43"/>
  <c r="T8" i="43"/>
  <c r="AK8" i="43"/>
  <c r="AL8" i="43"/>
  <c r="H10" i="43"/>
  <c r="H26" i="43"/>
  <c r="H20" i="43"/>
  <c r="H19" i="43"/>
  <c r="H17" i="43"/>
  <c r="K121" i="45"/>
  <c r="R121" i="45"/>
  <c r="Q121" i="45"/>
  <c r="S121" i="45"/>
  <c r="G121" i="45"/>
  <c r="P121" i="45"/>
  <c r="D93" i="45"/>
  <c r="I121" i="45"/>
  <c r="U121" i="45"/>
  <c r="L121" i="45"/>
  <c r="D69" i="45"/>
  <c r="D38" i="45"/>
  <c r="J121" i="45"/>
  <c r="D62" i="45"/>
  <c r="E121" i="45"/>
  <c r="F121" i="45"/>
  <c r="O121" i="45"/>
  <c r="V121" i="45"/>
  <c r="N121" i="45"/>
  <c r="X8" i="43" l="1"/>
  <c r="Y8" i="43" s="1"/>
  <c r="AN14" i="44" l="1"/>
  <c r="Y87" i="44"/>
  <c r="AA88" i="44"/>
  <c r="AA87" i="44" s="1"/>
  <c r="AA21" i="44" s="1"/>
  <c r="Y85" i="44" l="1"/>
  <c r="Y21" i="44"/>
  <c r="Y19" i="44" s="1"/>
  <c r="V88" i="44"/>
  <c r="D9" i="51" s="1"/>
  <c r="D7" i="51" s="1"/>
  <c r="AA85" i="44"/>
  <c r="V85" i="44" s="1"/>
  <c r="J22" i="45"/>
  <c r="V87" i="44"/>
  <c r="AN87" i="44" s="1"/>
  <c r="AQ11" i="44" l="1"/>
  <c r="AR18" i="44" s="1"/>
  <c r="AN85" i="44"/>
  <c r="W88" i="44"/>
  <c r="N88" i="44"/>
  <c r="U88" i="44" s="1"/>
  <c r="T88" i="44" s="1"/>
  <c r="J24" i="45" s="1"/>
  <c r="D24" i="45" s="1"/>
  <c r="D22" i="45"/>
  <c r="J18" i="45"/>
  <c r="V21" i="44"/>
  <c r="J17" i="45" l="1"/>
  <c r="D18" i="45"/>
  <c r="BR149" i="37" l="1"/>
  <c r="BR148" i="37" s="1"/>
  <c r="AE142" i="44" s="1"/>
  <c r="L153" i="37"/>
  <c r="L149" i="37" s="1"/>
  <c r="F19" i="43" s="1"/>
  <c r="CB153" i="37" l="1"/>
  <c r="F8" i="43"/>
  <c r="D13" i="51" s="1"/>
  <c r="CB149" i="37"/>
  <c r="AE20" i="44"/>
  <c r="BR16" i="37"/>
  <c r="BR13" i="37" s="1"/>
  <c r="L14" i="37"/>
  <c r="CB14" i="37" s="1"/>
  <c r="L148" i="37"/>
  <c r="BR14" i="37"/>
  <c r="Z18" i="39" l="1"/>
  <c r="CB148" i="37"/>
  <c r="AE141" i="44"/>
  <c r="V141" i="44" s="1"/>
  <c r="V142" i="44"/>
  <c r="O32" i="45" s="1"/>
  <c r="AE19" i="44" l="1"/>
  <c r="O17" i="45"/>
  <c r="AC18" i="39"/>
  <c r="AE18" i="39" l="1"/>
  <c r="B70" i="45" l="1"/>
  <c r="F39" i="45"/>
  <c r="U39" i="45"/>
  <c r="I39" i="45"/>
  <c r="W39" i="45"/>
  <c r="E39" i="45"/>
  <c r="L39" i="45"/>
  <c r="G39" i="45"/>
  <c r="H39" i="45"/>
  <c r="R39" i="45"/>
  <c r="M39" i="45"/>
  <c r="P39" i="45"/>
  <c r="O39" i="45"/>
  <c r="Q39" i="45"/>
  <c r="J39" i="45"/>
  <c r="S39" i="45"/>
  <c r="K39" i="45"/>
  <c r="V39" i="45"/>
  <c r="N39" i="45"/>
  <c r="T39" i="45"/>
  <c r="B71" i="45"/>
  <c r="N40" i="45"/>
  <c r="T40" i="45"/>
  <c r="R40" i="45"/>
  <c r="Q40" i="45"/>
  <c r="E40" i="45"/>
  <c r="G40" i="45"/>
  <c r="V40" i="45"/>
  <c r="F40" i="45"/>
  <c r="W40" i="45"/>
  <c r="U40" i="45"/>
  <c r="O40" i="45"/>
  <c r="J40" i="45"/>
  <c r="K40" i="45"/>
  <c r="I40" i="45"/>
  <c r="P40" i="45"/>
  <c r="L40" i="45"/>
  <c r="M40" i="45"/>
  <c r="S40" i="45"/>
  <c r="H40" i="45"/>
  <c r="B72" i="45"/>
  <c r="T41" i="45"/>
  <c r="N41" i="45"/>
  <c r="F41" i="45"/>
  <c r="K41" i="45"/>
  <c r="G41" i="45"/>
  <c r="W41" i="45"/>
  <c r="H41" i="45"/>
  <c r="V41" i="45"/>
  <c r="M41" i="45"/>
  <c r="L41" i="45"/>
  <c r="Q41" i="45"/>
  <c r="J41" i="45"/>
  <c r="O41" i="45"/>
  <c r="E41" i="45"/>
  <c r="S41" i="45"/>
  <c r="I41" i="45"/>
  <c r="U41" i="45"/>
  <c r="P41" i="45"/>
  <c r="R41" i="45"/>
  <c r="B73" i="45"/>
  <c r="S42" i="45"/>
  <c r="E42" i="45"/>
  <c r="R42" i="45"/>
  <c r="W42" i="45"/>
  <c r="G42" i="45"/>
  <c r="N42" i="45"/>
  <c r="T42" i="45"/>
  <c r="L42" i="45"/>
  <c r="Q42" i="45"/>
  <c r="O42" i="45"/>
  <c r="U42" i="45"/>
  <c r="K42" i="45"/>
  <c r="I42" i="45"/>
  <c r="P42" i="45"/>
  <c r="F42" i="45"/>
  <c r="J42" i="45"/>
  <c r="M42" i="45"/>
  <c r="H42" i="45"/>
  <c r="V42" i="45"/>
  <c r="B74" i="45"/>
  <c r="M43" i="45"/>
  <c r="H43" i="45"/>
  <c r="R43" i="45"/>
  <c r="S43" i="45"/>
  <c r="W43" i="45"/>
  <c r="U43" i="45"/>
  <c r="O43" i="45"/>
  <c r="G43" i="45"/>
  <c r="N43" i="45"/>
  <c r="K43" i="45"/>
  <c r="I43" i="45"/>
  <c r="V43" i="45"/>
  <c r="Q43" i="45"/>
  <c r="E43" i="45"/>
  <c r="F43" i="45"/>
  <c r="T43" i="45"/>
  <c r="P43" i="45"/>
  <c r="L43" i="45"/>
  <c r="J43" i="45"/>
  <c r="B75" i="45"/>
  <c r="L44" i="45"/>
  <c r="H44" i="45"/>
  <c r="P44" i="45"/>
  <c r="M44" i="45"/>
  <c r="R44" i="45"/>
  <c r="S44" i="45"/>
  <c r="G44" i="45"/>
  <c r="F44" i="45"/>
  <c r="V44" i="45"/>
  <c r="K44" i="45"/>
  <c r="U44" i="45"/>
  <c r="T44" i="45"/>
  <c r="I44" i="45"/>
  <c r="Q44" i="45"/>
  <c r="E44" i="45"/>
  <c r="W44" i="45"/>
  <c r="J44" i="45"/>
  <c r="O44" i="45"/>
  <c r="N44" i="45"/>
  <c r="B76" i="45"/>
  <c r="S45" i="45"/>
  <c r="G45" i="45"/>
  <c r="L45" i="45"/>
  <c r="W45" i="45"/>
  <c r="H45" i="45"/>
  <c r="I45" i="45"/>
  <c r="R45" i="45"/>
  <c r="K45" i="45"/>
  <c r="V45" i="45"/>
  <c r="N45" i="45"/>
  <c r="U45" i="45"/>
  <c r="M45" i="45"/>
  <c r="F45" i="45"/>
  <c r="O45" i="45"/>
  <c r="Q45" i="45"/>
  <c r="J45" i="45"/>
  <c r="E45" i="45"/>
  <c r="T45" i="45"/>
  <c r="P45" i="45"/>
  <c r="B77" i="45"/>
  <c r="U46" i="45"/>
  <c r="Q46" i="45"/>
  <c r="S46" i="45"/>
  <c r="E46" i="45"/>
  <c r="T46" i="45"/>
  <c r="N46" i="45"/>
  <c r="R46" i="45"/>
  <c r="H46" i="45"/>
  <c r="I46" i="45"/>
  <c r="G46" i="45"/>
  <c r="M46" i="45"/>
  <c r="K46" i="45"/>
  <c r="W46" i="45"/>
  <c r="P46" i="45"/>
  <c r="O46" i="45"/>
  <c r="L46" i="45"/>
  <c r="J46" i="45"/>
  <c r="F46" i="45"/>
  <c r="V46" i="45"/>
  <c r="B78" i="45"/>
  <c r="V47" i="45"/>
  <c r="H47" i="45"/>
  <c r="O47" i="45"/>
  <c r="N47" i="45"/>
  <c r="J47" i="45"/>
  <c r="F47" i="45"/>
  <c r="R47" i="45"/>
  <c r="I47" i="45"/>
  <c r="U47" i="45"/>
  <c r="T47" i="45"/>
  <c r="Q47" i="45"/>
  <c r="L47" i="45"/>
  <c r="S47" i="45"/>
  <c r="G47" i="45"/>
  <c r="W47" i="45"/>
  <c r="M47" i="45"/>
  <c r="K47" i="45"/>
  <c r="P47" i="45"/>
  <c r="E47" i="45"/>
  <c r="B79" i="45"/>
  <c r="K48" i="45"/>
  <c r="V48" i="45"/>
  <c r="W48" i="45"/>
  <c r="I48" i="45"/>
  <c r="Q48" i="45"/>
  <c r="L48" i="45"/>
  <c r="S48" i="45"/>
  <c r="T48" i="45"/>
  <c r="J48" i="45"/>
  <c r="E48" i="45"/>
  <c r="U48" i="45"/>
  <c r="R48" i="45"/>
  <c r="N48" i="45"/>
  <c r="F48" i="45"/>
  <c r="M48" i="45"/>
  <c r="O48" i="45"/>
  <c r="G48" i="45"/>
  <c r="H48" i="45"/>
  <c r="P48" i="45"/>
  <c r="B80" i="45"/>
  <c r="O49" i="45"/>
  <c r="T49" i="45"/>
  <c r="H49" i="45"/>
  <c r="L49" i="45"/>
  <c r="N49" i="45"/>
  <c r="Q49" i="45"/>
  <c r="J49" i="45"/>
  <c r="V49" i="45"/>
  <c r="F49" i="45"/>
  <c r="M49" i="45"/>
  <c r="K49" i="45"/>
  <c r="W49" i="45"/>
  <c r="U49" i="45"/>
  <c r="G49" i="45"/>
  <c r="R49" i="45"/>
  <c r="I49" i="45"/>
  <c r="P49" i="45"/>
  <c r="E49" i="45"/>
  <c r="S49" i="45"/>
  <c r="B81" i="45"/>
  <c r="M50" i="45"/>
  <c r="U50" i="45"/>
  <c r="H50" i="45"/>
  <c r="N50" i="45"/>
  <c r="P50" i="45"/>
  <c r="R50" i="45"/>
  <c r="K50" i="45"/>
  <c r="J50" i="45"/>
  <c r="T50" i="45"/>
  <c r="F50" i="45"/>
  <c r="S50" i="45"/>
  <c r="O50" i="45"/>
  <c r="I50" i="45"/>
  <c r="G50" i="45"/>
  <c r="E50" i="45"/>
  <c r="Q50" i="45"/>
  <c r="W50" i="45"/>
  <c r="L50" i="45"/>
  <c r="V50" i="45"/>
  <c r="B82" i="45"/>
  <c r="W51" i="45"/>
  <c r="L51" i="45"/>
  <c r="S51" i="45"/>
  <c r="H51" i="45"/>
  <c r="N51" i="45"/>
  <c r="J51" i="45"/>
  <c r="G51" i="45"/>
  <c r="T51" i="45"/>
  <c r="P51" i="45"/>
  <c r="K51" i="45"/>
  <c r="M51" i="45"/>
  <c r="E51" i="45"/>
  <c r="U51" i="45"/>
  <c r="F51" i="45"/>
  <c r="V51" i="45"/>
  <c r="I51" i="45"/>
  <c r="O51" i="45"/>
  <c r="R51" i="45"/>
  <c r="Q51" i="45"/>
  <c r="B83" i="45"/>
  <c r="K52" i="45"/>
  <c r="I52" i="45"/>
  <c r="U52" i="45"/>
  <c r="T52" i="45"/>
  <c r="V52" i="45"/>
  <c r="W52" i="45"/>
  <c r="J52" i="45"/>
  <c r="S52" i="45"/>
  <c r="O52" i="45"/>
  <c r="M52" i="45"/>
  <c r="E52" i="45"/>
  <c r="F52" i="45"/>
  <c r="Q52" i="45"/>
  <c r="R52" i="45"/>
  <c r="G52" i="45"/>
  <c r="L52" i="45"/>
  <c r="N52" i="45"/>
  <c r="P52" i="45"/>
  <c r="H52" i="45"/>
  <c r="B84" i="45"/>
  <c r="T53" i="45"/>
  <c r="V53" i="45"/>
  <c r="S53" i="45"/>
  <c r="P53" i="45"/>
  <c r="G53" i="45"/>
  <c r="W53" i="45"/>
  <c r="N53" i="45"/>
  <c r="I53" i="45"/>
  <c r="R53" i="45"/>
  <c r="Q53" i="45"/>
  <c r="E53" i="45"/>
  <c r="M53" i="45"/>
  <c r="L53" i="45"/>
  <c r="H53" i="45"/>
  <c r="O53" i="45"/>
  <c r="K53" i="45"/>
  <c r="F53" i="45"/>
  <c r="J53" i="45"/>
  <c r="U53" i="45"/>
  <c r="B85" i="45"/>
  <c r="J54" i="45"/>
  <c r="R54" i="45"/>
  <c r="O54" i="45"/>
  <c r="I54" i="45"/>
  <c r="Q54" i="45"/>
  <c r="G54" i="45"/>
  <c r="M54" i="45"/>
  <c r="H54" i="45"/>
  <c r="E54" i="45"/>
  <c r="S54" i="45"/>
  <c r="F54" i="45"/>
  <c r="U54" i="45"/>
  <c r="L54" i="45"/>
  <c r="T54" i="45"/>
  <c r="V54" i="45"/>
  <c r="W54" i="45"/>
  <c r="N54" i="45"/>
  <c r="P54" i="45"/>
  <c r="K54" i="45"/>
  <c r="B86" i="45"/>
  <c r="E55" i="45"/>
  <c r="G55" i="45"/>
  <c r="P55" i="45"/>
  <c r="L55" i="45"/>
  <c r="R55" i="45"/>
  <c r="N55" i="45"/>
  <c r="T55" i="45"/>
  <c r="H55" i="45"/>
  <c r="V55" i="45"/>
  <c r="K55" i="45"/>
  <c r="J55" i="45"/>
  <c r="Q55" i="45"/>
  <c r="I55" i="45"/>
  <c r="S55" i="45"/>
  <c r="F55" i="45"/>
  <c r="U55" i="45"/>
  <c r="O55" i="45"/>
  <c r="M55" i="45"/>
  <c r="W55" i="45"/>
  <c r="B87" i="45"/>
  <c r="I56" i="45"/>
  <c r="M56" i="45"/>
  <c r="V56" i="45"/>
  <c r="Q56" i="45"/>
  <c r="F56" i="45"/>
  <c r="U56" i="45"/>
  <c r="W56" i="45"/>
  <c r="O56" i="45"/>
  <c r="J56" i="45"/>
  <c r="E56" i="45"/>
  <c r="H56" i="45"/>
  <c r="R56" i="45"/>
  <c r="S56" i="45"/>
  <c r="T56" i="45"/>
  <c r="L56" i="45"/>
  <c r="G56" i="45"/>
  <c r="P56" i="45"/>
  <c r="K56" i="45"/>
  <c r="N56" i="45"/>
  <c r="B88" i="45"/>
  <c r="R57" i="45"/>
  <c r="H57" i="45"/>
  <c r="J57" i="45"/>
  <c r="Q57" i="45"/>
  <c r="O57" i="45"/>
  <c r="E57" i="45"/>
  <c r="K57" i="45"/>
  <c r="V57" i="45"/>
  <c r="W57" i="45"/>
  <c r="U57" i="45"/>
  <c r="P57" i="45"/>
  <c r="I57" i="45"/>
  <c r="T57" i="45"/>
  <c r="G57" i="45"/>
  <c r="L57" i="45"/>
  <c r="F57" i="45"/>
  <c r="M57" i="45"/>
  <c r="N57" i="45"/>
  <c r="S57" i="45"/>
  <c r="B89" i="45"/>
  <c r="S58" i="45"/>
  <c r="W58" i="45"/>
  <c r="G58" i="45"/>
  <c r="K58" i="45"/>
  <c r="E58" i="45"/>
  <c r="M58" i="45"/>
  <c r="T58" i="45"/>
  <c r="L58" i="45"/>
  <c r="H58" i="45"/>
  <c r="N58" i="45"/>
  <c r="I58" i="45"/>
  <c r="J58" i="45"/>
  <c r="Q58" i="45"/>
  <c r="P58" i="45"/>
  <c r="V58" i="45"/>
  <c r="U58" i="45"/>
  <c r="O58" i="45"/>
  <c r="F58" i="45"/>
  <c r="R58" i="45"/>
  <c r="B90" i="45"/>
  <c r="S59" i="45"/>
  <c r="K59" i="45"/>
  <c r="Q59" i="45"/>
  <c r="L59" i="45"/>
  <c r="F59" i="45"/>
  <c r="E59" i="45"/>
  <c r="V59" i="45"/>
  <c r="J59" i="45"/>
  <c r="T59" i="45"/>
  <c r="P59" i="45"/>
  <c r="I59" i="45"/>
  <c r="H59" i="45"/>
  <c r="G59" i="45"/>
  <c r="U59" i="45"/>
  <c r="O59" i="45"/>
  <c r="M59" i="45"/>
  <c r="N59" i="45"/>
  <c r="R59" i="45"/>
  <c r="W59" i="45"/>
  <c r="B91" i="45"/>
  <c r="K60" i="45"/>
  <c r="H60" i="45"/>
  <c r="T60" i="45"/>
  <c r="U60" i="45"/>
  <c r="V60" i="45"/>
  <c r="J60" i="45"/>
  <c r="F60" i="45"/>
  <c r="L60" i="45"/>
  <c r="W60" i="45"/>
  <c r="O60" i="45"/>
  <c r="R60" i="45"/>
  <c r="G60" i="45"/>
  <c r="E60" i="45"/>
  <c r="S60" i="45"/>
  <c r="Q60" i="45"/>
  <c r="N60" i="45"/>
  <c r="I60" i="45"/>
  <c r="P60" i="45"/>
  <c r="M60" i="45"/>
  <c r="B92" i="45"/>
  <c r="M61" i="45"/>
  <c r="S61" i="45"/>
  <c r="N61" i="45"/>
  <c r="J61" i="45"/>
  <c r="V61" i="45"/>
  <c r="F61" i="45"/>
  <c r="W61" i="45"/>
  <c r="P61" i="45"/>
  <c r="H61" i="45"/>
  <c r="U61" i="45"/>
  <c r="Q61" i="45"/>
  <c r="I61" i="45"/>
  <c r="E61" i="45"/>
  <c r="R61" i="45"/>
  <c r="G61" i="45"/>
  <c r="L61" i="45"/>
  <c r="O61" i="45"/>
  <c r="T61" i="45"/>
  <c r="K61" i="45"/>
  <c r="D56" i="45" l="1"/>
  <c r="D41" i="45"/>
  <c r="D45" i="45"/>
  <c r="D40" i="45"/>
  <c r="T88" i="45"/>
  <c r="Q88" i="45"/>
  <c r="P88" i="45"/>
  <c r="F88" i="45"/>
  <c r="J88" i="45"/>
  <c r="H88" i="45"/>
  <c r="R88" i="45"/>
  <c r="I88" i="45"/>
  <c r="V88" i="45"/>
  <c r="S88" i="45"/>
  <c r="E88" i="45"/>
  <c r="G88" i="45"/>
  <c r="W88" i="45"/>
  <c r="N88" i="45"/>
  <c r="O88" i="45"/>
  <c r="L88" i="45"/>
  <c r="M88" i="45"/>
  <c r="K88" i="45"/>
  <c r="U88" i="45"/>
  <c r="R74" i="45"/>
  <c r="Q74" i="45"/>
  <c r="K74" i="45"/>
  <c r="O74" i="45"/>
  <c r="J74" i="45"/>
  <c r="W74" i="45"/>
  <c r="S74" i="45"/>
  <c r="N74" i="45"/>
  <c r="M74" i="45"/>
  <c r="V74" i="45"/>
  <c r="E74" i="45"/>
  <c r="G74" i="45"/>
  <c r="H74" i="45"/>
  <c r="L74" i="45"/>
  <c r="I74" i="45"/>
  <c r="U74" i="45"/>
  <c r="F74" i="45"/>
  <c r="T74" i="45"/>
  <c r="P74" i="45"/>
  <c r="D49" i="45"/>
  <c r="D58" i="45"/>
  <c r="K92" i="45"/>
  <c r="Q92" i="45"/>
  <c r="M92" i="45"/>
  <c r="F92" i="45"/>
  <c r="R92" i="45"/>
  <c r="O92" i="45"/>
  <c r="U92" i="45"/>
  <c r="J92" i="45"/>
  <c r="S92" i="45"/>
  <c r="L92" i="45"/>
  <c r="E92" i="45"/>
  <c r="H92" i="45"/>
  <c r="G92" i="45"/>
  <c r="V92" i="45"/>
  <c r="I92" i="45"/>
  <c r="N92" i="45"/>
  <c r="W92" i="45"/>
  <c r="P92" i="45"/>
  <c r="T92" i="45"/>
  <c r="I85" i="45"/>
  <c r="W85" i="45"/>
  <c r="Q85" i="45"/>
  <c r="R85" i="45"/>
  <c r="G85" i="45"/>
  <c r="V85" i="45"/>
  <c r="N85" i="45"/>
  <c r="T85" i="45"/>
  <c r="F85" i="45"/>
  <c r="P85" i="45"/>
  <c r="K85" i="45"/>
  <c r="E85" i="45"/>
  <c r="H85" i="45"/>
  <c r="S85" i="45"/>
  <c r="O85" i="45"/>
  <c r="M85" i="45"/>
  <c r="U85" i="45"/>
  <c r="J85" i="45"/>
  <c r="L85" i="45"/>
  <c r="G78" i="45"/>
  <c r="S78" i="45"/>
  <c r="K78" i="45"/>
  <c r="I78" i="45"/>
  <c r="J78" i="45"/>
  <c r="W78" i="45"/>
  <c r="L78" i="45"/>
  <c r="O78" i="45"/>
  <c r="U78" i="45"/>
  <c r="N78" i="45"/>
  <c r="H78" i="45"/>
  <c r="M78" i="45"/>
  <c r="T78" i="45"/>
  <c r="F78" i="45"/>
  <c r="E78" i="45"/>
  <c r="R78" i="45"/>
  <c r="Q78" i="45"/>
  <c r="V78" i="45"/>
  <c r="P78" i="45"/>
  <c r="P71" i="45"/>
  <c r="N71" i="45"/>
  <c r="M71" i="45"/>
  <c r="G71" i="45"/>
  <c r="H71" i="45"/>
  <c r="E71" i="45"/>
  <c r="Q71" i="45"/>
  <c r="V71" i="45"/>
  <c r="J71" i="45"/>
  <c r="S71" i="45"/>
  <c r="R71" i="45"/>
  <c r="W71" i="45"/>
  <c r="U71" i="45"/>
  <c r="F71" i="45"/>
  <c r="K71" i="45"/>
  <c r="O71" i="45"/>
  <c r="T71" i="45"/>
  <c r="I71" i="45"/>
  <c r="L71" i="45"/>
  <c r="D52" i="45"/>
  <c r="T37" i="45"/>
  <c r="N37" i="45"/>
  <c r="D48" i="45"/>
  <c r="V37" i="45"/>
  <c r="W89" i="45"/>
  <c r="J89" i="45"/>
  <c r="U89" i="45"/>
  <c r="I89" i="45"/>
  <c r="H89" i="45"/>
  <c r="G89" i="45"/>
  <c r="Q89" i="45"/>
  <c r="T89" i="45"/>
  <c r="S89" i="45"/>
  <c r="V89" i="45"/>
  <c r="N89" i="45"/>
  <c r="E89" i="45"/>
  <c r="M89" i="45"/>
  <c r="K89" i="45"/>
  <c r="P89" i="45"/>
  <c r="L89" i="45"/>
  <c r="F89" i="45"/>
  <c r="O89" i="45"/>
  <c r="R89" i="45"/>
  <c r="G82" i="45"/>
  <c r="Q82" i="45"/>
  <c r="M82" i="45"/>
  <c r="S82" i="45"/>
  <c r="O82" i="45"/>
  <c r="W82" i="45"/>
  <c r="I82" i="45"/>
  <c r="F82" i="45"/>
  <c r="L82" i="45"/>
  <c r="R82" i="45"/>
  <c r="V82" i="45"/>
  <c r="J82" i="45"/>
  <c r="K82" i="45"/>
  <c r="U82" i="45"/>
  <c r="E82" i="45"/>
  <c r="N82" i="45"/>
  <c r="P82" i="45"/>
  <c r="T82" i="45"/>
  <c r="H82" i="45"/>
  <c r="F75" i="45"/>
  <c r="T75" i="45"/>
  <c r="J75" i="45"/>
  <c r="U75" i="45"/>
  <c r="H75" i="45"/>
  <c r="O75" i="45"/>
  <c r="V75" i="45"/>
  <c r="M75" i="45"/>
  <c r="I75" i="45"/>
  <c r="R75" i="45"/>
  <c r="L75" i="45"/>
  <c r="W75" i="45"/>
  <c r="Q75" i="45"/>
  <c r="S75" i="45"/>
  <c r="E75" i="45"/>
  <c r="N75" i="45"/>
  <c r="P75" i="45"/>
  <c r="G75" i="45"/>
  <c r="K75" i="45"/>
  <c r="K37" i="45"/>
  <c r="S37" i="45"/>
  <c r="O37" i="45"/>
  <c r="D53" i="45"/>
  <c r="D50" i="45"/>
  <c r="D47" i="45"/>
  <c r="P37" i="45"/>
  <c r="S86" i="45"/>
  <c r="R86" i="45"/>
  <c r="P86" i="45"/>
  <c r="L86" i="45"/>
  <c r="N86" i="45"/>
  <c r="J86" i="45"/>
  <c r="I86" i="45"/>
  <c r="U86" i="45"/>
  <c r="E86" i="45"/>
  <c r="M86" i="45"/>
  <c r="K86" i="45"/>
  <c r="H86" i="45"/>
  <c r="G86" i="45"/>
  <c r="W86" i="45"/>
  <c r="T86" i="45"/>
  <c r="Q86" i="45"/>
  <c r="V86" i="45"/>
  <c r="O86" i="45"/>
  <c r="F86" i="45"/>
  <c r="D43" i="45"/>
  <c r="M37" i="45"/>
  <c r="R37" i="45"/>
  <c r="S90" i="45"/>
  <c r="H90" i="45"/>
  <c r="G90" i="45"/>
  <c r="E90" i="45"/>
  <c r="K90" i="45"/>
  <c r="P90" i="45"/>
  <c r="V90" i="45"/>
  <c r="J90" i="45"/>
  <c r="I90" i="45"/>
  <c r="F90" i="45"/>
  <c r="Q90" i="45"/>
  <c r="L90" i="45"/>
  <c r="W90" i="45"/>
  <c r="U90" i="45"/>
  <c r="R90" i="45"/>
  <c r="M90" i="45"/>
  <c r="N90" i="45"/>
  <c r="T90" i="45"/>
  <c r="O90" i="45"/>
  <c r="T83" i="45"/>
  <c r="G83" i="45"/>
  <c r="J83" i="45"/>
  <c r="L83" i="45"/>
  <c r="F83" i="45"/>
  <c r="Q83" i="45"/>
  <c r="I83" i="45"/>
  <c r="P83" i="45"/>
  <c r="N83" i="45"/>
  <c r="H83" i="45"/>
  <c r="U83" i="45"/>
  <c r="R83" i="45"/>
  <c r="K83" i="45"/>
  <c r="M83" i="45"/>
  <c r="W83" i="45"/>
  <c r="O83" i="45"/>
  <c r="V83" i="45"/>
  <c r="E83" i="45"/>
  <c r="S83" i="45"/>
  <c r="V76" i="45"/>
  <c r="N76" i="45"/>
  <c r="U76" i="45"/>
  <c r="E76" i="45"/>
  <c r="W76" i="45"/>
  <c r="J76" i="45"/>
  <c r="H76" i="45"/>
  <c r="O76" i="45"/>
  <c r="F76" i="45"/>
  <c r="K76" i="45"/>
  <c r="R76" i="45"/>
  <c r="Q76" i="45"/>
  <c r="I76" i="45"/>
  <c r="L76" i="45"/>
  <c r="G76" i="45"/>
  <c r="M76" i="45"/>
  <c r="T76" i="45"/>
  <c r="S76" i="45"/>
  <c r="P76" i="45"/>
  <c r="H37" i="45"/>
  <c r="D55" i="45"/>
  <c r="D42" i="45"/>
  <c r="L37" i="45"/>
  <c r="D61" i="45"/>
  <c r="D39" i="45"/>
  <c r="E37" i="45"/>
  <c r="D59" i="45"/>
  <c r="J37" i="45"/>
  <c r="O79" i="45"/>
  <c r="J79" i="45"/>
  <c r="G79" i="45"/>
  <c r="T79" i="45"/>
  <c r="Q79" i="45"/>
  <c r="U79" i="45"/>
  <c r="M79" i="45"/>
  <c r="V79" i="45"/>
  <c r="H79" i="45"/>
  <c r="F79" i="45"/>
  <c r="K79" i="45"/>
  <c r="P79" i="45"/>
  <c r="E79" i="45"/>
  <c r="I79" i="45"/>
  <c r="R79" i="45"/>
  <c r="N79" i="45"/>
  <c r="W79" i="45"/>
  <c r="S79" i="45"/>
  <c r="L79" i="45"/>
  <c r="G37" i="45"/>
  <c r="R87" i="45"/>
  <c r="N87" i="45"/>
  <c r="W87" i="45"/>
  <c r="T87" i="45"/>
  <c r="P87" i="45"/>
  <c r="G87" i="45"/>
  <c r="U87" i="45"/>
  <c r="L87" i="45"/>
  <c r="H87" i="45"/>
  <c r="V87" i="45"/>
  <c r="Q87" i="45"/>
  <c r="M87" i="45"/>
  <c r="K87" i="45"/>
  <c r="F87" i="45"/>
  <c r="O87" i="45"/>
  <c r="S87" i="45"/>
  <c r="J87" i="45"/>
  <c r="E87" i="45"/>
  <c r="I87" i="45"/>
  <c r="M80" i="45"/>
  <c r="U80" i="45"/>
  <c r="L80" i="45"/>
  <c r="W80" i="45"/>
  <c r="J80" i="45"/>
  <c r="R80" i="45"/>
  <c r="K80" i="45"/>
  <c r="T80" i="45"/>
  <c r="O80" i="45"/>
  <c r="S80" i="45"/>
  <c r="I80" i="45"/>
  <c r="F80" i="45"/>
  <c r="E80" i="45"/>
  <c r="N80" i="45"/>
  <c r="V80" i="45"/>
  <c r="H80" i="45"/>
  <c r="G80" i="45"/>
  <c r="P80" i="45"/>
  <c r="Q80" i="45"/>
  <c r="D46" i="45"/>
  <c r="J73" i="45"/>
  <c r="U73" i="45"/>
  <c r="P73" i="45"/>
  <c r="N73" i="45"/>
  <c r="L73" i="45"/>
  <c r="V73" i="45"/>
  <c r="E73" i="45"/>
  <c r="I73" i="45"/>
  <c r="T73" i="45"/>
  <c r="W73" i="45"/>
  <c r="G73" i="45"/>
  <c r="F73" i="45"/>
  <c r="O73" i="45"/>
  <c r="Q73" i="45"/>
  <c r="H73" i="45"/>
  <c r="R73" i="45"/>
  <c r="K73" i="45"/>
  <c r="S73" i="45"/>
  <c r="M73" i="45"/>
  <c r="W37" i="45"/>
  <c r="D44" i="45"/>
  <c r="I37" i="45"/>
  <c r="D60" i="45"/>
  <c r="Q37" i="45"/>
  <c r="E72" i="45"/>
  <c r="J72" i="45"/>
  <c r="Q72" i="45"/>
  <c r="I72" i="45"/>
  <c r="P72" i="45"/>
  <c r="R72" i="45"/>
  <c r="F72" i="45"/>
  <c r="U72" i="45"/>
  <c r="L72" i="45"/>
  <c r="W72" i="45"/>
  <c r="H72" i="45"/>
  <c r="N72" i="45"/>
  <c r="M72" i="45"/>
  <c r="K72" i="45"/>
  <c r="S72" i="45"/>
  <c r="T72" i="45"/>
  <c r="G72" i="45"/>
  <c r="V72" i="45"/>
  <c r="O72" i="45"/>
  <c r="D57" i="45"/>
  <c r="U37" i="45"/>
  <c r="D54" i="45"/>
  <c r="F37" i="45"/>
  <c r="Q81" i="45"/>
  <c r="P81" i="45"/>
  <c r="V81" i="45"/>
  <c r="L81" i="45"/>
  <c r="J81" i="45"/>
  <c r="K81" i="45"/>
  <c r="G81" i="45"/>
  <c r="U81" i="45"/>
  <c r="M81" i="45"/>
  <c r="T81" i="45"/>
  <c r="F81" i="45"/>
  <c r="H81" i="45"/>
  <c r="E81" i="45"/>
  <c r="O81" i="45"/>
  <c r="W81" i="45"/>
  <c r="S81" i="45"/>
  <c r="I81" i="45"/>
  <c r="N81" i="45"/>
  <c r="R81" i="45"/>
  <c r="J91" i="45"/>
  <c r="V91" i="45"/>
  <c r="G91" i="45"/>
  <c r="T91" i="45"/>
  <c r="O91" i="45"/>
  <c r="F91" i="45"/>
  <c r="U91" i="45"/>
  <c r="L91" i="45"/>
  <c r="N91" i="45"/>
  <c r="W91" i="45"/>
  <c r="R91" i="45"/>
  <c r="Q91" i="45"/>
  <c r="I91" i="45"/>
  <c r="H91" i="45"/>
  <c r="M91" i="45"/>
  <c r="P91" i="45"/>
  <c r="K91" i="45"/>
  <c r="S91" i="45"/>
  <c r="E91" i="45"/>
  <c r="E84" i="45"/>
  <c r="O84" i="45"/>
  <c r="P84" i="45"/>
  <c r="L84" i="45"/>
  <c r="K84" i="45"/>
  <c r="I84" i="45"/>
  <c r="U84" i="45"/>
  <c r="N84" i="45"/>
  <c r="W84" i="45"/>
  <c r="S84" i="45"/>
  <c r="V84" i="45"/>
  <c r="F84" i="45"/>
  <c r="G84" i="45"/>
  <c r="T84" i="45"/>
  <c r="M84" i="45"/>
  <c r="H84" i="45"/>
  <c r="R84" i="45"/>
  <c r="J84" i="45"/>
  <c r="Q84" i="45"/>
  <c r="D51" i="45"/>
  <c r="P77" i="45"/>
  <c r="E77" i="45"/>
  <c r="M77" i="45"/>
  <c r="S77" i="45"/>
  <c r="R77" i="45"/>
  <c r="W77" i="45"/>
  <c r="T77" i="45"/>
  <c r="F77" i="45"/>
  <c r="I77" i="45"/>
  <c r="Q77" i="45"/>
  <c r="V77" i="45"/>
  <c r="U77" i="45"/>
  <c r="K77" i="45"/>
  <c r="G77" i="45"/>
  <c r="N77" i="45"/>
  <c r="H77" i="45"/>
  <c r="L77" i="45"/>
  <c r="J77" i="45"/>
  <c r="O77" i="45"/>
  <c r="I70" i="45"/>
  <c r="S70" i="45"/>
  <c r="L70" i="45"/>
  <c r="J70" i="45"/>
  <c r="K70" i="45"/>
  <c r="H70" i="45"/>
  <c r="G70" i="45"/>
  <c r="E70" i="45"/>
  <c r="V70" i="45"/>
  <c r="M70" i="45"/>
  <c r="N70" i="45"/>
  <c r="T70" i="45"/>
  <c r="W70" i="45"/>
  <c r="O70" i="45"/>
  <c r="R70" i="45"/>
  <c r="U70" i="45"/>
  <c r="P70" i="45"/>
  <c r="Q70" i="45"/>
  <c r="F70" i="45"/>
  <c r="R68" i="45" l="1"/>
  <c r="R36" i="45" s="1"/>
  <c r="R35" i="45" s="1"/>
  <c r="D83" i="45"/>
  <c r="P68" i="45"/>
  <c r="P36" i="45" s="1"/>
  <c r="P35" i="45" s="1"/>
  <c r="D91" i="45"/>
  <c r="D76" i="45"/>
  <c r="D92" i="45"/>
  <c r="D89" i="45"/>
  <c r="V68" i="45"/>
  <c r="V36" i="45" s="1"/>
  <c r="V35" i="45" s="1"/>
  <c r="D80" i="45"/>
  <c r="D70" i="45"/>
  <c r="E68" i="45"/>
  <c r="G68" i="45"/>
  <c r="G36" i="45" s="1"/>
  <c r="G35" i="45" s="1"/>
  <c r="D90" i="45"/>
  <c r="D82" i="45"/>
  <c r="D85" i="45"/>
  <c r="K68" i="45"/>
  <c r="K36" i="45" s="1"/>
  <c r="K35" i="45" s="1"/>
  <c r="L68" i="45"/>
  <c r="L36" i="45" s="1"/>
  <c r="L35" i="45" s="1"/>
  <c r="I68" i="45"/>
  <c r="I36" i="45" s="1"/>
  <c r="I35" i="45" s="1"/>
  <c r="D78" i="45"/>
  <c r="D79" i="45"/>
  <c r="D75" i="45"/>
  <c r="D71" i="45"/>
  <c r="D72" i="45"/>
  <c r="J68" i="45"/>
  <c r="J36" i="45" s="1"/>
  <c r="J35" i="45" s="1"/>
  <c r="D88" i="45"/>
  <c r="D77" i="45"/>
  <c r="S68" i="45"/>
  <c r="S36" i="45" s="1"/>
  <c r="S35" i="45" s="1"/>
  <c r="D73" i="45"/>
  <c r="D87" i="45"/>
  <c r="T68" i="45"/>
  <c r="T36" i="45" s="1"/>
  <c r="T35" i="45" s="1"/>
  <c r="H68" i="45"/>
  <c r="H36" i="45" s="1"/>
  <c r="H35" i="45" s="1"/>
  <c r="D74" i="45"/>
  <c r="O68" i="45"/>
  <c r="O36" i="45" s="1"/>
  <c r="O35" i="45" s="1"/>
  <c r="U68" i="45"/>
  <c r="U36" i="45" s="1"/>
  <c r="U35" i="45" s="1"/>
  <c r="D37" i="45"/>
  <c r="D81" i="45"/>
  <c r="W68" i="45"/>
  <c r="W36" i="45" s="1"/>
  <c r="W35" i="45" s="1"/>
  <c r="N68" i="45"/>
  <c r="N36" i="45" s="1"/>
  <c r="N35" i="45" s="1"/>
  <c r="F68" i="45"/>
  <c r="F36" i="45" s="1"/>
  <c r="F35" i="45" s="1"/>
  <c r="M68" i="45"/>
  <c r="M36" i="45" s="1"/>
  <c r="M35" i="45" s="1"/>
  <c r="Q68" i="45"/>
  <c r="Q36" i="45" s="1"/>
  <c r="Q35" i="45" s="1"/>
  <c r="D84" i="45"/>
  <c r="D86" i="45"/>
  <c r="D68" i="45" l="1"/>
  <c r="E36" i="45"/>
  <c r="D36" i="45" l="1"/>
  <c r="D35" i="45" s="1"/>
  <c r="E35" i="45"/>
  <c r="AN109" i="44"/>
  <c r="V109" i="44"/>
  <c r="Z109" i="44"/>
  <c r="Z21" i="44"/>
  <c r="S61" i="37"/>
  <c r="S16" i="37" s="1"/>
  <c r="S13" i="37" s="1"/>
  <c r="V73" i="37"/>
  <c r="I73" i="37" s="1"/>
  <c r="X73" i="37"/>
  <c r="S72" i="37"/>
  <c r="S15" i="37"/>
  <c r="D68" i="51" l="1"/>
  <c r="D67" i="51" s="1"/>
  <c r="I72" i="37"/>
  <c r="X72" i="37"/>
  <c r="BN73" i="37"/>
  <c r="K73" i="37"/>
  <c r="BM73" i="37"/>
  <c r="BM72" i="37" s="1"/>
  <c r="V72" i="37"/>
  <c r="U72" i="37"/>
  <c r="BM15" i="37" l="1"/>
  <c r="BM61" i="37"/>
  <c r="L73" i="37"/>
  <c r="L72" i="37" s="1"/>
  <c r="BN72" i="37"/>
  <c r="J12" i="43"/>
  <c r="I61" i="37"/>
  <c r="I15" i="37"/>
  <c r="U61" i="37"/>
  <c r="U16" i="37" s="1"/>
  <c r="U13" i="37" s="1"/>
  <c r="U15" i="37"/>
  <c r="V61" i="37"/>
  <c r="V16" i="37" s="1"/>
  <c r="V13" i="37" s="1"/>
  <c r="V15" i="37"/>
  <c r="O12" i="43"/>
  <c r="H122" i="45"/>
  <c r="K72" i="37"/>
  <c r="D62" i="51"/>
  <c r="D61" i="51" s="1"/>
  <c r="X61" i="37"/>
  <c r="X16" i="37" s="1"/>
  <c r="X13" i="37" s="1"/>
  <c r="X15" i="37"/>
  <c r="CB73" i="37"/>
  <c r="K15" i="37" l="1"/>
  <c r="D60" i="51" s="1"/>
  <c r="D58" i="51" s="1"/>
  <c r="K61" i="37"/>
  <c r="I16" i="37"/>
  <c r="I8" i="37"/>
  <c r="J8" i="43"/>
  <c r="J4" i="43" s="1"/>
  <c r="H12" i="43"/>
  <c r="H8" i="43" s="1"/>
  <c r="D54" i="51"/>
  <c r="D57" i="51" s="1"/>
  <c r="CB72" i="37"/>
  <c r="BN61" i="37"/>
  <c r="BN15" i="37"/>
  <c r="D122" i="45"/>
  <c r="H121" i="45"/>
  <c r="D121" i="45" s="1"/>
  <c r="G12" i="43"/>
  <c r="G8" i="43" s="1"/>
  <c r="D14" i="51" s="1"/>
  <c r="D12" i="51" s="1"/>
  <c r="D6" i="51" s="1"/>
  <c r="D5" i="51" s="1"/>
  <c r="D73" i="51" s="1"/>
  <c r="L15" i="37"/>
  <c r="CB15" i="37" s="1"/>
  <c r="L61" i="37"/>
  <c r="CB61" i="37" s="1"/>
  <c r="Z12" i="43"/>
  <c r="O8" i="43"/>
  <c r="Z8" i="43" s="1"/>
  <c r="BM16" i="37"/>
  <c r="BM13" i="37" s="1"/>
  <c r="Z62" i="44"/>
  <c r="I13" i="37" l="1"/>
  <c r="Z61" i="44"/>
  <c r="Z20" i="44"/>
  <c r="Z19" i="44" s="1"/>
  <c r="Y14" i="44" s="1"/>
  <c r="AA8" i="43"/>
  <c r="D22" i="51" a="1"/>
  <c r="D22" i="51" s="1"/>
  <c r="K16" i="37"/>
  <c r="K13" i="37" s="1"/>
  <c r="D38" i="51" a="1"/>
  <c r="D38" i="51" s="1"/>
  <c r="D32" i="51" a="1"/>
  <c r="D32" i="51" s="1"/>
  <c r="D35" i="51" a="1"/>
  <c r="D35" i="51" s="1"/>
  <c r="BN16" i="37"/>
  <c r="BN13" i="37" s="1"/>
  <c r="CA13" i="37" s="1"/>
  <c r="AA62" i="44"/>
  <c r="L16" i="37"/>
  <c r="L13" i="37" s="1"/>
  <c r="BJ6" i="37" s="1"/>
  <c r="Z11" i="39"/>
  <c r="AC11" i="39" l="1"/>
  <c r="Z7" i="39"/>
  <c r="AA20" i="44"/>
  <c r="AA61" i="44"/>
  <c r="V61" i="44" s="1"/>
  <c r="D80" i="51" s="1" a="1"/>
  <c r="D80" i="51" s="1"/>
  <c r="D79" i="51" s="1"/>
  <c r="V62" i="44"/>
  <c r="H32" i="45" s="1"/>
  <c r="CB13" i="37"/>
  <c r="BH6" i="37"/>
  <c r="CB16" i="37"/>
  <c r="AA19" i="44" l="1"/>
  <c r="V20" i="44"/>
  <c r="H17" i="45"/>
  <c r="D17" i="45" s="1"/>
  <c r="D32" i="45"/>
  <c r="AC7" i="39"/>
  <c r="AL7" i="39" s="1"/>
  <c r="AE11" i="39"/>
  <c r="Y13" i="44" l="1"/>
  <c r="Z14" i="44" s="1"/>
  <c r="V19" i="44"/>
  <c r="AO19" i="44"/>
  <c r="AQ19" i="44"/>
  <c r="X2" i="44"/>
  <c r="AA2" i="44"/>
  <c r="AC19" i="43" l="1"/>
  <c r="AI18" i="43"/>
  <c r="AI19" i="43"/>
  <c r="R10" i="43"/>
  <c r="L26" i="43"/>
  <c r="S27" i="43"/>
  <c r="AJ22" i="43"/>
  <c r="AJ15" i="43"/>
  <c r="AD24" i="43"/>
  <c r="AD27" i="43"/>
  <c r="AI20" i="43"/>
  <c r="R12" i="43"/>
  <c r="AC21" i="43"/>
  <c r="AI24" i="43"/>
  <c r="L14" i="43"/>
  <c r="S26" i="43"/>
  <c r="AJ12" i="43"/>
  <c r="AJ20" i="43"/>
  <c r="AJ25" i="43"/>
  <c r="S11" i="43"/>
  <c r="M10" i="43"/>
  <c r="AC26" i="43"/>
  <c r="R19" i="43"/>
  <c r="R9" i="43"/>
  <c r="L15" i="43"/>
  <c r="AI26" i="43"/>
  <c r="R13" i="43"/>
  <c r="M16" i="43"/>
  <c r="M25" i="43"/>
  <c r="AD10" i="43"/>
  <c r="AD25" i="43"/>
  <c r="AI10" i="43"/>
  <c r="AC13" i="43"/>
  <c r="L27" i="43"/>
  <c r="L22" i="43"/>
  <c r="AD13" i="43"/>
  <c r="AJ17" i="43"/>
  <c r="S12" i="43"/>
  <c r="S13" i="43"/>
  <c r="AJ14" i="43"/>
  <c r="AI16" i="43"/>
  <c r="AD9" i="43"/>
  <c r="AI27" i="43"/>
  <c r="AI25" i="43"/>
  <c r="AH25" i="43" s="1"/>
  <c r="AC25" i="43"/>
  <c r="AB25" i="43" s="1"/>
  <c r="S19" i="43"/>
  <c r="M13" i="43"/>
  <c r="AJ13" i="43"/>
  <c r="AD17" i="43"/>
  <c r="AJ18" i="43"/>
  <c r="L12" i="43"/>
  <c r="L9" i="43"/>
  <c r="L25" i="43"/>
  <c r="R22" i="43"/>
  <c r="AC12" i="43"/>
  <c r="AB12" i="43" s="1"/>
  <c r="S20" i="43"/>
  <c r="S18" i="43"/>
  <c r="AJ26" i="43"/>
  <c r="AD12" i="43"/>
  <c r="AC11" i="43"/>
  <c r="S9" i="43"/>
  <c r="L24" i="43"/>
  <c r="AI14" i="43"/>
  <c r="AH14" i="43" s="1"/>
  <c r="L16" i="43"/>
  <c r="L19" i="43"/>
  <c r="AD21" i="43"/>
  <c r="AJ23" i="43"/>
  <c r="S15" i="43"/>
  <c r="AJ27" i="43"/>
  <c r="M22" i="43"/>
  <c r="AI9" i="43"/>
  <c r="AI13" i="43"/>
  <c r="AH13" i="43" s="1"/>
  <c r="AC15" i="43"/>
  <c r="AD19" i="43"/>
  <c r="S25" i="43"/>
  <c r="AJ24" i="43"/>
  <c r="S24" i="43"/>
  <c r="R16" i="43"/>
  <c r="AC16" i="43"/>
  <c r="AB16" i="43" s="1"/>
  <c r="L13" i="43"/>
  <c r="R18" i="43"/>
  <c r="Q18" i="43" s="1"/>
  <c r="R27" i="43"/>
  <c r="Q27" i="43" s="1"/>
  <c r="AD15" i="43"/>
  <c r="M20" i="43"/>
  <c r="M27" i="43"/>
  <c r="AD16" i="43"/>
  <c r="L11" i="43"/>
  <c r="R26" i="43"/>
  <c r="Q26" i="43" s="1"/>
  <c r="AI22" i="43"/>
  <c r="AH22" i="43" s="1"/>
  <c r="R23" i="43"/>
  <c r="AI17" i="43"/>
  <c r="AH17" i="43" s="1"/>
  <c r="M23" i="43"/>
  <c r="M14" i="43"/>
  <c r="M12" i="43"/>
  <c r="AD23" i="43"/>
  <c r="AC22" i="43"/>
  <c r="R15" i="43"/>
  <c r="Q15" i="43" s="1"/>
  <c r="L20" i="43"/>
  <c r="L23" i="43"/>
  <c r="AI11" i="43"/>
  <c r="AD11" i="43"/>
  <c r="S21" i="43"/>
  <c r="AD14" i="43"/>
  <c r="AJ19" i="43"/>
  <c r="L17" i="43"/>
  <c r="AI21" i="43"/>
  <c r="R17" i="43"/>
  <c r="L18" i="43"/>
  <c r="R25" i="43"/>
  <c r="Q25" i="43" s="1"/>
  <c r="AD20" i="43"/>
  <c r="M15" i="43"/>
  <c r="M17" i="43"/>
  <c r="S22" i="43"/>
  <c r="AC17" i="43"/>
  <c r="AB17" i="43" s="1"/>
  <c r="AC20" i="43"/>
  <c r="AB20" i="43" s="1"/>
  <c r="AC14" i="43"/>
  <c r="R20" i="43"/>
  <c r="Q20" i="43" s="1"/>
  <c r="M21" i="43"/>
  <c r="AJ10" i="43"/>
  <c r="AD22" i="43"/>
  <c r="AJ21" i="43"/>
  <c r="AI12" i="43"/>
  <c r="AH12" i="43" s="1"/>
  <c r="S23" i="43"/>
  <c r="AD18" i="43"/>
  <c r="R11" i="43"/>
  <c r="Q11" i="43" s="1"/>
  <c r="AI23" i="43"/>
  <c r="AH23" i="43" s="1"/>
  <c r="AC9" i="43"/>
  <c r="AC10" i="43"/>
  <c r="AB10" i="43" s="1"/>
  <c r="R14" i="43"/>
  <c r="Q14" i="43" s="1"/>
  <c r="AC24" i="43"/>
  <c r="AB24" i="43" s="1"/>
  <c r="S10" i="43"/>
  <c r="M19" i="43"/>
  <c r="AC18" i="43"/>
  <c r="AB18" i="43" s="1"/>
  <c r="R21" i="43"/>
  <c r="Q21" i="43" s="1"/>
  <c r="L21" i="43"/>
  <c r="AC27" i="43"/>
  <c r="AB27" i="43" s="1"/>
  <c r="AJ9" i="43"/>
  <c r="AD26" i="43"/>
  <c r="AJ16" i="43"/>
  <c r="M24" i="43"/>
  <c r="M26" i="43"/>
  <c r="S16" i="43"/>
  <c r="AC23" i="43"/>
  <c r="AB23" i="43" s="1"/>
  <c r="AI15" i="43"/>
  <c r="AH15" i="43" s="1"/>
  <c r="L10" i="43"/>
  <c r="R24" i="43"/>
  <c r="Q24" i="43" s="1"/>
  <c r="M9" i="43"/>
  <c r="S17" i="43"/>
  <c r="M18" i="43"/>
  <c r="S14" i="43"/>
  <c r="M11" i="43"/>
  <c r="AJ11" i="43"/>
  <c r="AB14" i="43" l="1"/>
  <c r="E10" i="43"/>
  <c r="D10" i="43" s="1"/>
  <c r="K10" i="43"/>
  <c r="AB22" i="43"/>
  <c r="K13" i="43"/>
  <c r="E13" i="43"/>
  <c r="D13" i="43" s="1"/>
  <c r="K16" i="43"/>
  <c r="E16" i="43"/>
  <c r="D16" i="43" s="1"/>
  <c r="AH10" i="43"/>
  <c r="M8" i="43"/>
  <c r="AB9" i="43"/>
  <c r="AC8" i="43"/>
  <c r="E14" i="43"/>
  <c r="D14" i="43" s="1"/>
  <c r="K14" i="43"/>
  <c r="V14" i="43" s="1"/>
  <c r="Q16" i="43"/>
  <c r="K24" i="43"/>
  <c r="V24" i="43" s="1"/>
  <c r="E24" i="43"/>
  <c r="D24" i="43" s="1"/>
  <c r="AH24" i="43"/>
  <c r="S8" i="43"/>
  <c r="AB21" i="43"/>
  <c r="K18" i="43"/>
  <c r="V18" i="43" s="1"/>
  <c r="E18" i="43"/>
  <c r="D18" i="43" s="1"/>
  <c r="AB11" i="43"/>
  <c r="Q12" i="43"/>
  <c r="Q17" i="43"/>
  <c r="AH27" i="43"/>
  <c r="Q13" i="43"/>
  <c r="AH20" i="43"/>
  <c r="AH21" i="43"/>
  <c r="Q23" i="43"/>
  <c r="AD8" i="43"/>
  <c r="AH26" i="43"/>
  <c r="AJ8" i="43"/>
  <c r="K17" i="43"/>
  <c r="E17" i="43"/>
  <c r="D17" i="43" s="1"/>
  <c r="AB15" i="43"/>
  <c r="AH16" i="43"/>
  <c r="E15" i="43"/>
  <c r="D15" i="43" s="1"/>
  <c r="K15" i="43"/>
  <c r="V15" i="43" s="1"/>
  <c r="R8" i="43"/>
  <c r="Q9" i="43"/>
  <c r="K11" i="43"/>
  <c r="V11" i="43" s="1"/>
  <c r="E11" i="43"/>
  <c r="D11" i="43" s="1"/>
  <c r="AI8" i="43"/>
  <c r="AH9" i="43"/>
  <c r="Q19" i="43"/>
  <c r="K21" i="43"/>
  <c r="V21" i="43" s="1"/>
  <c r="E21" i="43"/>
  <c r="D21" i="43" s="1"/>
  <c r="Q22" i="43"/>
  <c r="AB26" i="43"/>
  <c r="E25" i="43"/>
  <c r="D25" i="43" s="1"/>
  <c r="K25" i="43"/>
  <c r="V25" i="43" s="1"/>
  <c r="E26" i="43"/>
  <c r="D26" i="43" s="1"/>
  <c r="K26" i="43"/>
  <c r="V26" i="43" s="1"/>
  <c r="AH11" i="43"/>
  <c r="K9" i="43"/>
  <c r="L8" i="43"/>
  <c r="E9" i="43"/>
  <c r="Q10" i="43"/>
  <c r="K23" i="43"/>
  <c r="E23" i="43"/>
  <c r="D23" i="43" s="1"/>
  <c r="E12" i="43"/>
  <c r="D12" i="43" s="1"/>
  <c r="K12" i="43"/>
  <c r="V12" i="43" s="1"/>
  <c r="K22" i="43"/>
  <c r="E22" i="43"/>
  <c r="D22" i="43" s="1"/>
  <c r="AH19" i="43"/>
  <c r="K20" i="43"/>
  <c r="V20" i="43" s="1"/>
  <c r="E20" i="43"/>
  <c r="D20" i="43" s="1"/>
  <c r="E27" i="43"/>
  <c r="D27" i="43" s="1"/>
  <c r="K27" i="43"/>
  <c r="V27" i="43" s="1"/>
  <c r="AH18" i="43"/>
  <c r="K19" i="43"/>
  <c r="E19" i="43"/>
  <c r="D19" i="43" s="1"/>
  <c r="AB13" i="43"/>
  <c r="AB19" i="43"/>
  <c r="V22" i="43" l="1"/>
  <c r="V23" i="43"/>
  <c r="AB8" i="43"/>
  <c r="AH8" i="43"/>
  <c r="AH4" i="43" s="1"/>
  <c r="Q8" i="43"/>
  <c r="V16" i="43"/>
  <c r="V13" i="43"/>
  <c r="V19" i="43"/>
  <c r="D9" i="43"/>
  <c r="D8" i="43" s="1"/>
  <c r="E8" i="43"/>
  <c r="V9" i="43"/>
  <c r="K8" i="43"/>
  <c r="V8" i="43" s="1"/>
  <c r="V10" i="43"/>
  <c r="V17" i="43"/>
  <c r="H4" i="43" l="1"/>
  <c r="D4" i="43"/>
  <c r="W8" i="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D80" authorId="0" shapeId="0" xr:uid="{2BEE75E7-2BC5-47A9-BE5C-AF56C969F022}">
      <text>
        <r>
          <rPr>
            <b/>
            <sz val="9"/>
            <color indexed="81"/>
            <rFont val="Tahoma"/>
            <family val="2"/>
          </rPr>
          <t>Bình quân gia quyền thể trọng (cột I) theo sản lượng lò chợ (cột V) sheet KH-LC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tc={267E9C2B-B92D-4E6B-B19E-79A38DE25B81}</author>
    <author>tc={D42F1CA8-3DE8-43D3-97E7-1E2B14AD6F21}</author>
    <author>tc={57D208FC-AEB5-4BEC-B20D-B9424D856606}</author>
    <author>tc={FE880757-A4B2-4A17-9AAF-A4C6D7008A09}</author>
    <author>tc={57B7C20E-3C64-4867-8A6E-AA74FDB8F9BA}</author>
    <author>tc={29AA5CD8-0F51-4749-B452-ECF98AA5EFF9}</author>
    <author>tc={069E0336-7DD2-46A2-91C1-72F3B0846C82}</author>
  </authors>
  <commentList>
    <comment ref="X17" authorId="0" shapeId="0" xr:uid="{267E9C2B-B92D-4E6B-B19E-79A38DE25B81}">
      <text>
        <t>[Threaded comment]
Your version of Excel allows you to read this threaded comment; however, any edits to it will get removed if the file is opened in a newer version of Excel. Learn more: https://go.microsoft.com/fwlink/?linkid=870924
Comment:
    Tết DL nghỉ ngày 1/1</t>
      </text>
    </comment>
    <comment ref="Y17" authorId="1" shapeId="0" xr:uid="{D42F1CA8-3DE8-43D3-97E7-1E2B14AD6F21}">
      <text>
        <t>[Threaded comment]
Your version of Excel allows you to read this threaded comment; however, any edits to it will get removed if the file is opened in a newer version of Excel. Learn more: https://go.microsoft.com/fwlink/?linkid=870924
Comment:
    Làm hết 25 âm và đi làm ngày 06 âm</t>
      </text>
    </comment>
    <comment ref="AB17" authorId="2" shapeId="0" xr:uid="{57D208FC-AEB5-4BEC-B20D-B9424D856606}">
      <text>
        <t>[Threaded comment]
Your version of Excel allows you to read this threaded comment; however, any edits to it will get removed if the file is opened in a newer version of Excel. Learn more: https://go.microsoft.com/fwlink/?linkid=870924
Comment:
    Nghỉ 30/40 và 10/3</t>
      </text>
    </comment>
    <comment ref="AC17" authorId="3" shapeId="0" xr:uid="{FE880757-A4B2-4A17-9AAF-A4C6D7008A09}">
      <text>
        <t>[Threaded comment]
Your version of Excel allows you to read this threaded comment; however, any edits to it will get removed if the file is opened in a newer version of Excel. Learn more: https://go.microsoft.com/fwlink/?linkid=870924
Comment:
    Nghỉ 1/5</t>
      </text>
    </comment>
    <comment ref="AH17" authorId="4" shapeId="0" xr:uid="{57B7C20E-3C64-4867-8A6E-AA74FDB8F9BA}">
      <text>
        <t>[Threaded comment]
Your version of Excel allows you to read this threaded comment; however, any edits to it will get removed if the file is opened in a newer version of Excel. Learn more: https://go.microsoft.com/fwlink/?linkid=870924
Comment:
    Nghỉ 2/9</t>
      </text>
    </comment>
    <comment ref="AK17" authorId="5" shapeId="0" xr:uid="{29AA5CD8-0F51-4749-B452-ECF98AA5EFF9}">
      <text>
        <t>[Threaded comment]
Your version of Excel allows you to read this threaded comment; however, any edits to it will get removed if the file is opened in a newer version of Excel. Learn more: https://go.microsoft.com/fwlink/?linkid=870924
Comment:
    Ngày 24 được nghỉ theo nghi quyết 28</t>
      </text>
    </comment>
    <comment ref="C78" authorId="6" shapeId="0" xr:uid="{069E0336-7DD2-46A2-91C1-72F3B0846C82}">
      <text>
        <t>[Threaded comment]
Your version of Excel allows you to read this threaded comment; however, any edits to it will get removed if the file is opened in a newer version of Excel. Learn more: https://go.microsoft.com/fwlink/?linkid=870924
Comment:
    Dự kiến sang 14-4 hoặc 10-4</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<sst xmlns="http://schemas.openxmlformats.org/spreadsheetml/2006/main" count="2467" uniqueCount="1033">
  <si>
    <t>Than 6</t>
  </si>
  <si>
    <t>Than 3</t>
  </si>
  <si>
    <t>Than 2</t>
  </si>
  <si>
    <t>Than 1</t>
  </si>
  <si>
    <t>Than 4</t>
  </si>
  <si>
    <t>Than 10</t>
  </si>
  <si>
    <t>A</t>
  </si>
  <si>
    <t>*</t>
  </si>
  <si>
    <t>a</t>
  </si>
  <si>
    <t>STT</t>
  </si>
  <si>
    <t>(m)</t>
  </si>
  <si>
    <t>(tấn)</t>
  </si>
  <si>
    <t>Than 5</t>
  </si>
  <si>
    <t>Than</t>
  </si>
  <si>
    <t>Thép</t>
  </si>
  <si>
    <t>Mét lò xén</t>
  </si>
  <si>
    <t>N-8-1</t>
  </si>
  <si>
    <t>Lp</t>
  </si>
  <si>
    <t>TT-6-2</t>
  </si>
  <si>
    <t>Lc</t>
  </si>
  <si>
    <t>Xén</t>
  </si>
  <si>
    <t>ĐB-9-2</t>
  </si>
  <si>
    <t>TT-9-5(SP)</t>
  </si>
  <si>
    <t>TT-5-4</t>
  </si>
  <si>
    <t>ĐB-12-1D</t>
  </si>
  <si>
    <t>N-6-12A</t>
  </si>
  <si>
    <t>TT-9-2(SP)</t>
  </si>
  <si>
    <t>CGH1</t>
  </si>
  <si>
    <t>ĐB-11-1B</t>
  </si>
  <si>
    <t>ĐB-11-3C</t>
  </si>
  <si>
    <t>ĐB-8-1A</t>
  </si>
  <si>
    <t>Than 11</t>
  </si>
  <si>
    <t>Nguyễn Hữu Thọ</t>
  </si>
  <si>
    <t>DL</t>
  </si>
  <si>
    <t>KHU VỰC, VỈA THAN, ĐƯỜNG LÒ</t>
  </si>
  <si>
    <t>TỔNG CỘNG (A+B)</t>
  </si>
  <si>
    <t>PHẦN TỰ LÀM</t>
  </si>
  <si>
    <t>b</t>
  </si>
  <si>
    <t>d</t>
  </si>
  <si>
    <t>c</t>
  </si>
  <si>
    <t>ZRY</t>
  </si>
  <si>
    <t>B</t>
  </si>
  <si>
    <t>C</t>
  </si>
  <si>
    <t>Mét lò đào</t>
  </si>
  <si>
    <t>XLM</t>
  </si>
  <si>
    <t xml:space="preserve">BẢNG TÍNH TRỮ LƯỢNG, TÀI NGUYÊN </t>
  </si>
  <si>
    <t>Bảng số:</t>
  </si>
  <si>
    <t>Trữ lượng (than sạch)</t>
  </si>
  <si>
    <t>SL(tính than nguyên khai)</t>
  </si>
  <si>
    <t>Số TT hình</t>
  </si>
  <si>
    <t>Cấp
TL, TN</t>
  </si>
  <si>
    <t>Mức cao</t>
  </si>
  <si>
    <t>S.Chiếu</t>
  </si>
  <si>
    <t>Góc dốc (độ)</t>
  </si>
  <si>
    <t>COS</t>
  </si>
  <si>
    <t>SEC =</t>
  </si>
  <si>
    <t>S.thật</t>
  </si>
  <si>
    <t>Chiều dày</t>
  </si>
  <si>
    <t>Thể trọng</t>
  </si>
  <si>
    <t>Trữ  lượng</t>
  </si>
  <si>
    <t>H/số KT</t>
  </si>
  <si>
    <t>H/số 
T.Hồi</t>
  </si>
  <si>
    <t>Chiều 
cao khấu</t>
  </si>
  <si>
    <t>SL khấu</t>
  </si>
  <si>
    <t>SL Than KT</t>
  </si>
  <si>
    <t xml:space="preserve">Từ </t>
  </si>
  <si>
    <t xml:space="preserve">Đến </t>
  </si>
  <si>
    <r>
      <t>m</t>
    </r>
    <r>
      <rPr>
        <vertAlign val="superscript"/>
        <sz val="11"/>
        <rFont val="Times New Roman"/>
        <family val="1"/>
      </rPr>
      <t>2</t>
    </r>
  </si>
  <si>
    <t>(a)</t>
  </si>
  <si>
    <t>1/COS (a)</t>
  </si>
  <si>
    <t xml:space="preserve"> (T/m3)</t>
  </si>
  <si>
    <t>Than9</t>
  </si>
  <si>
    <t>TT-8-3</t>
  </si>
  <si>
    <t>TT-9-5A</t>
  </si>
  <si>
    <t>TT-14-4</t>
  </si>
  <si>
    <t>ĐB-14-3</t>
  </si>
  <si>
    <t>N-6-8</t>
  </si>
  <si>
    <t>Than8-CGH khấu hết vỉa</t>
  </si>
  <si>
    <t>7-4</t>
  </si>
  <si>
    <t>N-10-2</t>
  </si>
  <si>
    <t>b/quân ngày</t>
  </si>
  <si>
    <t>DK tháng 11</t>
  </si>
  <si>
    <t xml:space="preserve">Số ngày còn lại </t>
  </si>
  <si>
    <t>2Th</t>
  </si>
  <si>
    <t>10 tháng</t>
  </si>
  <si>
    <t>KH tháng 12</t>
  </si>
  <si>
    <r>
      <t xml:space="preserve">      </t>
    </r>
    <r>
      <rPr>
        <sz val="13"/>
        <rFont val="Times New Roman"/>
        <family val="1"/>
      </rPr>
      <t>TẬP ĐOÀN CN THAN – KS VIỆT NAM</t>
    </r>
  </si>
  <si>
    <t>CỘNG HÒA XÃ HỘI CHỦ NGHĨA VIỆT NAM</t>
  </si>
  <si>
    <t xml:space="preserve">          CÔNG TY THAN DƯƠNG HUY-TKV  </t>
  </si>
  <si>
    <t>Độc lập – Tự do – Hạnh phúc</t>
  </si>
  <si>
    <t>Nơi nhận:</t>
  </si>
  <si>
    <t>- Các Đ/c PGĐ (e-copy);</t>
  </si>
  <si>
    <t>- Các phòng ban (e-copy);</t>
  </si>
  <si>
    <t xml:space="preserve">- Phân xưởng (e-copy);      </t>
  </si>
  <si>
    <t>- Khối đảng đoàn thể (e-copy);</t>
  </si>
  <si>
    <t>- Lưu: KCM, VP.</t>
  </si>
  <si>
    <t xml:space="preserve">17 ngày </t>
  </si>
  <si>
    <t>Than NK</t>
  </si>
  <si>
    <t>Lắp giá</t>
  </si>
  <si>
    <t>Tháo giá</t>
  </si>
  <si>
    <t>Kế hoạch</t>
  </si>
  <si>
    <t>Ghi chú</t>
  </si>
  <si>
    <t>Khối lượng các chỉ tiêu</t>
  </si>
  <si>
    <t>DK thực hiện</t>
  </si>
  <si>
    <t>Đào, xén</t>
  </si>
  <si>
    <r>
      <t xml:space="preserve">      </t>
    </r>
    <r>
      <rPr>
        <sz val="12"/>
        <rFont val="Times New Roman"/>
        <family val="1"/>
      </rPr>
      <t>TẬP ĐOÀN CN THAN – KS VIỆT NAM</t>
    </r>
  </si>
  <si>
    <t xml:space="preserve">VĂN BẢN </t>
  </si>
  <si>
    <t>V/v đề nghị điều chỉnh kế hoạch tháng    /2025</t>
  </si>
  <si>
    <t>Tổng</t>
  </si>
  <si>
    <t>TT</t>
  </si>
  <si>
    <t>KH điều chỉnh Quy về tấn than (theo W)</t>
  </si>
  <si>
    <t>Kính gửi: Ông Giám đốc Công ty
                Các phòng ban chức năng</t>
  </si>
  <si>
    <t>Căn cứ văn bán số:     /KH-KCM V/v giao kế hoạch đào lò và khai thác tháng  …./năm 2025</t>
  </si>
  <si>
    <t>Căn cứ khối lượng Đơn vị đã thực hiện trong tháng …./năm 2025</t>
  </si>
  <si>
    <t>Đơn vị làm văn bản này đề nghị Công ty xem xét, điều chỉnh Kế hoạch tháng …/ năm 2025 cho Đơn vị với một số nội dung cụ thể sau:</t>
  </si>
  <si>
    <t>Kính đề nghị Giám đốc, các phòng ban xem xét./.</t>
  </si>
  <si>
    <t>GIÁM ĐỐC</t>
  </si>
  <si>
    <t>Phân xưởng</t>
  </si>
  <si>
    <t>Phòng TCLĐ</t>
  </si>
  <si>
    <t>Phòng ĐK</t>
  </si>
  <si>
    <t>Phòng KCM</t>
  </si>
  <si>
    <t>…......................................................</t>
  </si>
  <si>
    <t>Đánh giá thực hiện trong tháng…...........................</t>
  </si>
  <si>
    <t>Khối lượng thực hiện (+/-) so với KH</t>
  </si>
  <si>
    <t>e</t>
  </si>
  <si>
    <t>f</t>
  </si>
  <si>
    <t>g</t>
  </si>
  <si>
    <r>
      <t xml:space="preserve">Ghi chú cách tính: Mét lò đào vượt </t>
    </r>
    <r>
      <rPr>
        <b/>
        <sz val="12"/>
        <color indexed="8"/>
        <rFont val="Times New Roman"/>
        <family val="1"/>
      </rPr>
      <t>a</t>
    </r>
    <r>
      <rPr>
        <sz val="12"/>
        <color indexed="8"/>
        <rFont val="Times New Roman"/>
        <family val="1"/>
      </rPr>
      <t xml:space="preserve"> mét quy đổi theo năng suất tương ứng = +</t>
    </r>
    <r>
      <rPr>
        <b/>
        <sz val="12"/>
        <color indexed="8"/>
        <rFont val="Times New Roman"/>
        <family val="1"/>
      </rPr>
      <t>d</t>
    </r>
    <r>
      <rPr>
        <sz val="12"/>
        <color indexed="8"/>
        <rFont val="Times New Roman"/>
        <family val="1"/>
      </rPr>
      <t xml:space="preserve"> (tấn than)</t>
    </r>
  </si>
  <si>
    <r>
      <t xml:space="preserve">              Mét lò xén thiếu </t>
    </r>
    <r>
      <rPr>
        <b/>
        <sz val="12"/>
        <color indexed="8"/>
        <rFont val="Times New Roman"/>
        <family val="1"/>
      </rPr>
      <t>b</t>
    </r>
    <r>
      <rPr>
        <sz val="12"/>
        <color indexed="8"/>
        <rFont val="Times New Roman"/>
        <family val="1"/>
      </rPr>
      <t xml:space="preserve"> mét quy đổi theo năng suất tương ứng = -e (tấn than)</t>
    </r>
  </si>
  <si>
    <t>Các công việc khác….</t>
  </si>
  <si>
    <t>….</t>
  </si>
  <si>
    <r>
      <t xml:space="preserve">Ghi chú cách tính: Mét lò xén vượt </t>
    </r>
    <r>
      <rPr>
        <b/>
        <sz val="12"/>
        <color indexed="8"/>
        <rFont val="Times New Roman"/>
        <family val="1"/>
      </rPr>
      <t>a</t>
    </r>
    <r>
      <rPr>
        <sz val="12"/>
        <color indexed="8"/>
        <rFont val="Times New Roman"/>
        <family val="1"/>
      </rPr>
      <t xml:space="preserve"> mét quy đổi theo năng suất tương ứng = -</t>
    </r>
    <r>
      <rPr>
        <b/>
        <sz val="12"/>
        <color indexed="8"/>
        <rFont val="Times New Roman"/>
        <family val="1"/>
      </rPr>
      <t>d</t>
    </r>
    <r>
      <rPr>
        <sz val="12"/>
        <color indexed="8"/>
        <rFont val="Times New Roman"/>
        <family val="1"/>
      </rPr>
      <t xml:space="preserve"> (mét lò đào)</t>
    </r>
  </si>
  <si>
    <t>Trân trọng cảm ơn!</t>
  </si>
  <si>
    <t>P.XƯỞNG: ĐÀO LÒ ….....................</t>
  </si>
  <si>
    <t>P.XƯỞNG: KT …......................</t>
  </si>
  <si>
    <t>-d</t>
  </si>
  <si>
    <t>T3</t>
  </si>
  <si>
    <t>T4</t>
  </si>
  <si>
    <t>T5</t>
  </si>
  <si>
    <t>T1</t>
  </si>
  <si>
    <t>T2</t>
  </si>
  <si>
    <t>M.xén</t>
  </si>
  <si>
    <t>Tháng 4</t>
  </si>
  <si>
    <t>Tháng 5</t>
  </si>
  <si>
    <t>Tháng 6</t>
  </si>
  <si>
    <t>PX</t>
  </si>
  <si>
    <t>T6</t>
  </si>
  <si>
    <t>T7</t>
  </si>
  <si>
    <t>T8</t>
  </si>
  <si>
    <t>T9</t>
  </si>
  <si>
    <t>T10</t>
  </si>
  <si>
    <t>T11</t>
  </si>
  <si>
    <t>DL1</t>
  </si>
  <si>
    <t>DL2</t>
  </si>
  <si>
    <t>DL3</t>
  </si>
  <si>
    <t>DL4</t>
  </si>
  <si>
    <t>DL5</t>
  </si>
  <si>
    <t>DL6</t>
  </si>
  <si>
    <t>TN</t>
  </si>
  <si>
    <t>PX PV</t>
  </si>
  <si>
    <t>TỔNG</t>
  </si>
  <si>
    <t>TT-10-2A</t>
  </si>
  <si>
    <t>TT-10-13</t>
  </si>
  <si>
    <t>TT-8-3A</t>
  </si>
  <si>
    <t>TT-9-4B</t>
  </si>
  <si>
    <t>XL</t>
  </si>
  <si>
    <t>SL</t>
  </si>
  <si>
    <t>N-6-9</t>
  </si>
  <si>
    <t>H/S</t>
  </si>
  <si>
    <t>PX  (XÂY LẮP MỎ)</t>
  </si>
  <si>
    <t>PX  (NGOÀI TKV)</t>
  </si>
  <si>
    <t>5T</t>
  </si>
  <si>
    <t>6 THÁNG CUỐI NĂM</t>
  </si>
  <si>
    <t>Số yêu cầu</t>
  </si>
  <si>
    <t>CHÊNH LỆCH</t>
  </si>
  <si>
    <t>CẢ NĂM 2025 (2,5tr)</t>
  </si>
  <si>
    <t>Đá</t>
  </si>
  <si>
    <t>ĐL CBSX</t>
  </si>
  <si>
    <t>XL CBSX</t>
  </si>
  <si>
    <t>ĐL</t>
  </si>
  <si>
    <t>TẬP ĐOÀ CN THAN-KHOÁNG SẢN VIỆT NAM</t>
  </si>
  <si>
    <t>CỘNG HOÀ XÃ HỘI CHỦ NGHĨA VIỆT NAM</t>
  </si>
  <si>
    <t xml:space="preserve"> </t>
  </si>
  <si>
    <t xml:space="preserve">     CÔNG TY THAN DƯƠNG HUY-TKV</t>
  </si>
  <si>
    <t>Độc lập-Tự do-Hạnh phúc</t>
  </si>
  <si>
    <t>VLC</t>
  </si>
  <si>
    <t>GHI CHÚ</t>
  </si>
  <si>
    <t>T12</t>
  </si>
  <si>
    <t>ĐL1</t>
  </si>
  <si>
    <t>CGH2</t>
  </si>
  <si>
    <t>ĐL3</t>
  </si>
  <si>
    <t>ĐL2</t>
  </si>
  <si>
    <t>ĐL6</t>
  </si>
  <si>
    <t>ĐL5</t>
  </si>
  <si>
    <t>ĐL4</t>
  </si>
  <si>
    <t/>
  </si>
  <si>
    <t xml:space="preserve">Nơi nhận: </t>
  </si>
  <si>
    <t xml:space="preserve">  NGƯỜI LẬP</t>
  </si>
  <si>
    <t xml:space="preserve">  PHÒNG KCM</t>
  </si>
  <si>
    <t xml:space="preserve"> -Các phòng ĐK, CV, TĐ, ĐK (e-copy) </t>
  </si>
  <si>
    <t xml:space="preserve"> -Các PX Đào lò; khai thác (e-copy)</t>
  </si>
  <si>
    <t xml:space="preserve"> -Lưu KCM</t>
  </si>
  <si>
    <t>Nguyễn Văn Thúy</t>
  </si>
  <si>
    <t>6 THÁNG ĐẦU NĂM</t>
  </si>
  <si>
    <t>Lò</t>
  </si>
  <si>
    <t xml:space="preserve">Xén </t>
  </si>
  <si>
    <t>Gỗ</t>
  </si>
  <si>
    <t>Neo</t>
  </si>
  <si>
    <t>h</t>
  </si>
  <si>
    <t xml:space="preserve">Lò </t>
  </si>
  <si>
    <t>ĐL CBSX (Đào lò)</t>
  </si>
  <si>
    <t>XL CBSX (Xén lò)</t>
  </si>
  <si>
    <t>Lò TKĐ chợ ĐB-11-4</t>
  </si>
  <si>
    <t>Lò XV mức -240 khu TT.IV</t>
  </si>
  <si>
    <t>Xén lò XV-100 khu ĐB.II</t>
  </si>
  <si>
    <t>Lò DVVT chợ ĐB-14-6A(CGH)</t>
  </si>
  <si>
    <t>Lò TTG -250/-100 khu TT.II vỉa 7</t>
  </si>
  <si>
    <t>Lò đặt ray mức -250 khu B.I</t>
  </si>
  <si>
    <t>Lò Hầm bơm mức -250</t>
  </si>
  <si>
    <t>Lò 1 đường xe trong sân ga -250 &amp; SG</t>
  </si>
  <si>
    <t>Lò đặt băng tải mức -240</t>
  </si>
  <si>
    <t>Lò đặt đưởng ray mức -250 khu TT.III(QR)</t>
  </si>
  <si>
    <t>Lò đặt đưởng ray mức -250 khu TT.III(QV)</t>
  </si>
  <si>
    <t>BẢNG TỔNG HỢP KẾ HOẠCH ĐHSX 6 THÁNG CUỐI NĂM 2025</t>
  </si>
  <si>
    <t>Lọc đào lò: PX&amp;ĐL&amp; Lò</t>
  </si>
  <si>
    <t>Lọc xén lò: PX&amp;XL&amp; Xé</t>
  </si>
  <si>
    <t>Lọc khai thác: PX&amp;KT</t>
  </si>
  <si>
    <t>TH 4 tháng</t>
  </si>
  <si>
    <t>TH tháng 5</t>
  </si>
  <si>
    <t>KH tháng 6</t>
  </si>
  <si>
    <t>Column1</t>
  </si>
  <si>
    <t>Column2</t>
  </si>
  <si>
    <t>XL4</t>
  </si>
  <si>
    <t>SL5</t>
  </si>
  <si>
    <t>XL7</t>
  </si>
  <si>
    <t>SL8</t>
  </si>
  <si>
    <t>DL9</t>
  </si>
  <si>
    <t>XL10</t>
  </si>
  <si>
    <t>SL11</t>
  </si>
  <si>
    <t>DL12</t>
  </si>
  <si>
    <t>XL13</t>
  </si>
  <si>
    <t>SL14</t>
  </si>
  <si>
    <t>DL15</t>
  </si>
  <si>
    <t>XL16</t>
  </si>
  <si>
    <t>SL17</t>
  </si>
  <si>
    <t>DL18</t>
  </si>
  <si>
    <t>XL19</t>
  </si>
  <si>
    <t>SL20</t>
  </si>
  <si>
    <t>DL21</t>
  </si>
  <si>
    <t>XL22</t>
  </si>
  <si>
    <t>SL23</t>
  </si>
  <si>
    <t>Column24</t>
  </si>
  <si>
    <t>QN</t>
  </si>
  <si>
    <t>SL18</t>
  </si>
  <si>
    <t>SL172</t>
  </si>
  <si>
    <t>SL173</t>
  </si>
  <si>
    <t>mv</t>
  </si>
  <si>
    <t>KT Lò chợ</t>
  </si>
  <si>
    <t>QI</t>
  </si>
  <si>
    <t>QII</t>
  </si>
  <si>
    <t>QIII</t>
  </si>
  <si>
    <t>QIV</t>
  </si>
  <si>
    <t>LỊCH THI CÔNG</t>
  </si>
  <si>
    <t>KẾ HOẠCH ĐÀO, XÉN LÒ NĂM 2026</t>
  </si>
  <si>
    <t>Thông số tính trữ lượng</t>
  </si>
  <si>
    <t>mk</t>
  </si>
  <si>
    <t>mth</t>
  </si>
  <si>
    <t>Thông số lò chợ</t>
  </si>
  <si>
    <t>LC TT-5-4A/V5TT</t>
  </si>
  <si>
    <r>
      <t>S</t>
    </r>
    <r>
      <rPr>
        <sz val="12"/>
        <rFont val="Times New Roman"/>
        <family val="1"/>
      </rPr>
      <t>-chiếu</t>
    </r>
  </si>
  <si>
    <r>
      <t>L</t>
    </r>
    <r>
      <rPr>
        <sz val="12"/>
        <rFont val="Times New Roman"/>
        <family val="1"/>
      </rPr>
      <t>p</t>
    </r>
  </si>
  <si>
    <r>
      <t>L</t>
    </r>
    <r>
      <rPr>
        <sz val="12"/>
        <rFont val="Times New Roman"/>
        <family val="1"/>
      </rPr>
      <t>d</t>
    </r>
  </si>
  <si>
    <r>
      <t>m</t>
    </r>
    <r>
      <rPr>
        <sz val="12"/>
        <rFont val="Times New Roman"/>
        <family val="1"/>
      </rPr>
      <t>v</t>
    </r>
  </si>
  <si>
    <t>PX, LÒ CHỢ</t>
  </si>
  <si>
    <t>Sđ
 (m2)</t>
  </si>
  <si>
    <t>B/c (m/vì)</t>
  </si>
  <si>
    <t>Tæng c«ng ty than viÖt nam</t>
  </si>
  <si>
    <t>Céng hoµ x· héi chñ nghÜa ViÖt nam</t>
  </si>
  <si>
    <t>C«ng ty than Hµ lÇm</t>
  </si>
  <si>
    <t>§éc lËp - Tù do - H¹nh phóc</t>
  </si>
  <si>
    <t>Sè:                / GK - KTM</t>
  </si>
  <si>
    <t>c«ng tr­êng: khai  th¸c 1</t>
  </si>
  <si>
    <t>Tên chỉ tiêu</t>
  </si>
  <si>
    <t>ĐVT</t>
  </si>
  <si>
    <t>Tên phân xưởng</t>
  </si>
  <si>
    <t>KT1.</t>
  </si>
  <si>
    <t>KT2.</t>
  </si>
  <si>
    <t>KT3.</t>
  </si>
  <si>
    <t>KT5.</t>
  </si>
  <si>
    <t>KT6.</t>
  </si>
  <si>
    <t>CGH2.</t>
  </si>
  <si>
    <t>CGH1.</t>
  </si>
  <si>
    <t>KT9.</t>
  </si>
  <si>
    <t>KT10.</t>
  </si>
  <si>
    <t>KT11.</t>
  </si>
  <si>
    <t>CGĐB.</t>
  </si>
  <si>
    <t>BCG.</t>
  </si>
  <si>
    <t>ĐL3.</t>
  </si>
  <si>
    <t>ĐL5.</t>
  </si>
  <si>
    <t>ĐL6.</t>
  </si>
  <si>
    <t>TN.</t>
  </si>
  <si>
    <t>GX</t>
  </si>
  <si>
    <t>GK</t>
  </si>
  <si>
    <t>CGH</t>
  </si>
  <si>
    <t>Sản lượng than</t>
  </si>
  <si>
    <t>Tấn</t>
  </si>
  <si>
    <t>Than lò chợ</t>
  </si>
  <si>
    <t>+ Lò chợ giá xích</t>
  </si>
  <si>
    <t>"</t>
  </si>
  <si>
    <t>Than khấu lò chợ giá xích</t>
  </si>
  <si>
    <t>Than thu hồi lò chợ giá xích</t>
  </si>
  <si>
    <t>+ Lò chợ giá khung</t>
  </si>
  <si>
    <t>Than khấu lò chợ giá khung</t>
  </si>
  <si>
    <t>Than thu hồi lò chợ giá khung</t>
  </si>
  <si>
    <t>+ Lò chợ giá ZRY</t>
  </si>
  <si>
    <t>Than khấu lò chợ giá ZRY</t>
  </si>
  <si>
    <t>Than thu hồi lò chợ ZRY</t>
  </si>
  <si>
    <t xml:space="preserve"> + Lò chợ CGH</t>
  </si>
  <si>
    <t>Than khấu CGH</t>
  </si>
  <si>
    <t>Than thu hồi CGH</t>
  </si>
  <si>
    <t xml:space="preserve"> - Than đào + xén lò</t>
  </si>
  <si>
    <t>Chất lượng than (Ak) lò chợ</t>
  </si>
  <si>
    <t>%</t>
  </si>
  <si>
    <t>m</t>
  </si>
  <si>
    <t>Lò CBSX</t>
  </si>
  <si>
    <t xml:space="preserve"> - Lò than (f ≤ 2)</t>
  </si>
  <si>
    <t xml:space="preserve"> - Lò đá (4 ≤ f &lt;6)</t>
  </si>
  <si>
    <t>Đá cứng (f ≥ 8)</t>
  </si>
  <si>
    <t>Đá cứng trung bình (6 ≤ f &lt;8)</t>
  </si>
  <si>
    <t>S®µo: 8.3m2</t>
  </si>
  <si>
    <t>Sđào: 9.4m2</t>
  </si>
  <si>
    <t>Sđào: 13,1m2</t>
  </si>
  <si>
    <t>Sđào: 14,3m2</t>
  </si>
  <si>
    <t>Sđào: 15,8m2</t>
  </si>
  <si>
    <t>Sđào: 23,5m2</t>
  </si>
  <si>
    <t>Đá mềm (4 ≤ f &lt;6)</t>
  </si>
  <si>
    <t>S®µo 8.3m2</t>
  </si>
  <si>
    <t>Sđào 9.4m2</t>
  </si>
  <si>
    <t>Sđào 11m2</t>
  </si>
  <si>
    <t>Sđào 14,3m2</t>
  </si>
  <si>
    <t>Sđào 15,8m2</t>
  </si>
  <si>
    <t>Sđào 25,2m2</t>
  </si>
  <si>
    <t>Mét xén, đào mở rộng</t>
  </si>
  <si>
    <t>- Lò than</t>
  </si>
  <si>
    <t>- Lò đá</t>
  </si>
  <si>
    <t>Mét khoan ép vữa xi măng</t>
  </si>
  <si>
    <t>Mét xén thu hồi</t>
  </si>
  <si>
    <r>
      <t xml:space="preserve">       </t>
    </r>
    <r>
      <rPr>
        <b/>
        <sz val="16"/>
        <rFont val="Times New Roman"/>
        <family val="1"/>
      </rPr>
      <t xml:space="preserve">  1. Phân xưởng Khai thác 1: </t>
    </r>
    <r>
      <rPr>
        <sz val="16"/>
        <rFont val="Times New Roman"/>
        <family val="1"/>
      </rPr>
      <t xml:space="preserve">
        Khai thác lò chợ TT-12-A vỉa 10 khu TT (dự kiến khấu 100% than): khấu giá khung ZH1600/16/24F (chiều dài lò chợ trung bình 60m, chiều dày vỉa trung bình là: 3,2m; góc dốc TB 8 ÷ 15 độ). Vận tải qua 03 máng cào + 01 băng tải. Vận chuyển vật liệu cự ly trung bình 250m (tời, monoray: 250m; thủ công: 10m).
        + Đào lò men đầu chợ TT-10-12A/V10KTT (Đào 100% than): Đào trong than, lò bằng, bước chống 0,7m/vì, chèn lưới dập giãn , khoan xúc thủ công, vận tải qua 03 máng cào. Vận chuyển vật liệu cự ly trung bình 200m (tời, monoray: 200; thủ công: 30m).</t>
    </r>
  </si>
  <si>
    <r>
      <rPr>
        <b/>
        <sz val="16"/>
        <rFont val="Times New Roman"/>
        <family val="1"/>
      </rPr>
      <t xml:space="preserve">2. Phân xưởng Khai thác 2: </t>
    </r>
    <r>
      <rPr>
        <sz val="16"/>
        <rFont val="Times New Roman"/>
        <family val="1"/>
      </rPr>
      <t xml:space="preserve">
         + Khai thác lò chợ TT-9-2(SP)/V9KTT: khấu giá TLDĐ liên kết khung, chiều dài lò chợ TB 40m, chiều dày vỉa TB 2,5m góc dốc TB 14 -:- 18 độ, tỷ lệ đá kẹp dự kiến (5 -:- 10)%,  Vận tải qua 04 máng cào + 55m máng trượt (lò dốc 39 độ) + 01 băng tải. Vận chuyển vật liệu cự ly trung bình L=252m( tời thuyền lò thượng dốc 13 độ L=179m, vận chuyển thủ công L=70m.
          + Khai thác lò chợ TT-9-2(-90/-70)/V9KTT: khấu giá TLDĐ liên kết khung, chiều dài lò chợ TB 80m, chiều dày vỉa TB 2,5m góc dốc TB 6 -:- 12 độ, tỷ lệ đá kẹp dự kiến (5 -:- 10)%,  Vận tải qua 03 máng cào + 55m máng trượt (lò dốc 39 độ) + 03 băng tải. Vận chuyển vật liệu cự ly trung bình L=219m( tời thuyền lò thượng dốc 16 độ L=105m, tời thuyền lò bằng L=98m vận chuyển thủ công L=18m, lò chợ khấu phải xếp cũi lưu luồng phá hoả khám chân.
         + Tháo giá cắt ngắn lò chợ TT-9-2(SP)/V9KTT: Vận chuyển giá đến vị trí tập kết cự ly trung bình L=138m( tời L=138m), Vận chuyển vật liệu cự ly trung bình 267m(tời 213m, thủ công 54m)
         + Đào lò song song thông gió chợ TT-9-2(SP)/V9KTT (20m trong than), bước chống 0.7m/vì, chèn lưới thép B50, khoan xúc thủ công, vận tải qua 2 máng cào +55m máng trượt  +01 bộ băng tải. Vận chuyển vật liệu cự ly trung bình 214m (tời thuyền 179m, thủ công 35m).
         + Đào lò thượng khởi điểm chợ TT-9-2(SP)/V9KTT (20m trong than), bước chống 0.7m/vì, chèn lưới thép B50, khoan xúc thủ công, vận tải qua 3 máng cào +55m máng trượt  +01 bộ băng tải. Vận chuyển vật liệu cự ly trung bình 214m (tời thuyền 179m, thủ công 45m).
          + Đào lò PRT + SSC chợ TT-9-2(-90/-70)/V9KTT (20m trong than), bước chống 0.7m/vì, chèn lưới thép B50, khoan xúc thủ công, vận tải qua 3 máng cào +55m máng trượt  +03 bộ băng tải. Vận chuyển vật liệu cự ly trung bình 85m ( thủ công 85m).</t>
    </r>
  </si>
  <si>
    <r>
      <t xml:space="preserve"> </t>
    </r>
    <r>
      <rPr>
        <b/>
        <sz val="16"/>
        <rFont val="Times New Roman"/>
        <family val="1"/>
      </rPr>
      <t xml:space="preserve"> 3. Phân xưởng Khai thác 3:</t>
    </r>
    <r>
      <rPr>
        <sz val="16"/>
        <rFont val="Times New Roman"/>
        <family val="1"/>
      </rPr>
      <t xml:space="preserve">
         + Khai thác lò chợ N-7-4 vỉa 7 khu Nam (dự kiến cắt 5÷15% đá): khấu giàn mềm ZRY (chiều dài lò chợ trung bình 58m, chiều dày vỉa trung bình là: 5,5m; góc dốc TB 19 ÷ 24 độ). Vận tải qua 02 máng cào + 04 băng tải. Vận chuyển vật liệu cự ly trung bình 290m (tời, monoray: 220m; thủ công: 70m).
         + Khai thác lò chợ N-8-3 vỉa 8 khu Nam (dự kiến cắt 5÷15% đá): khấu giàn mềm ZRY (chiều dài lò chợ trung bình 85m, chiều dày vỉa trung bình là: 5,4m; góc dốc TB 22 ÷ 28 độ). Vận tải qua 03 máng cào + 01 băng tải. Vận chuyển vật liệu cự ly trung bình 190m (tời, monoray: 120m; thủ công: 70m).
         + Đào lò TKĐ chợ N-10-2(1)/V10/KN (dự kiến cắt 14÷20% đá): Đào trong than, góc dốc lò thi công 22÷28 độ, bước chống 0,7m/vì, chèn lưới dập giãn , khoan xúc thủ công, vận tải qua 7 máng cào. Vận chuyển vật liệu cự ly trung bình 70m (thủ công).
         + Tháo giàn lò chợ N-8-3/V8/KN: Vận chuyển giàn đến vị trí tập kết với cự ly trung bình 260m (tời, monoray: 245m; thủ công: 15m). Vận chuyển vật liệu cự ly trung bình 150m (tời, monoray: 110m; thủ công 40m).
         + Lắp giàn lò TKĐ số 2 chợ N-8-3/V8/KN: Vận chuyển giàn đến vị trí lắp đặt với cự ly trung bình 40m (thủ công).
         + Tháo giàn cắt ngắn lò chợ N-7-4/V7/KN: Vận chuyển giàn đến vị trí tập kết với cự ly trung bình 435m (tời, monoray: 410m; thủ công: 25m). Vận chuyển vật liệu cự ly trung bình 275m (tời, monoray: 225m; thủ công 50m).</t>
    </r>
  </si>
  <si>
    <r>
      <t xml:space="preserve">4. Phân xưởng Khai thác 4:
</t>
    </r>
    <r>
      <rPr>
        <sz val="16"/>
        <color indexed="8"/>
        <rFont val="Times New Roman"/>
        <family val="1"/>
      </rPr>
      <t>+ Khai thác lò chợ N-6-9 vỉa 6 khu Nam (cắt 10÷16% đá): khấu giá xích ZH1800/18/24ZL (chiều dài lò chợ trung bình 60m, chiều dày vỉa trung bình là: 8m; góc dốc TB 28 ÷ 30 độ). Vận tải qua 06 máng cào + 1 băng tải. Vận chuyển vật liệu cự ly trung bình m (monoray khí nén: 60m; thủ công: 30m).</t>
    </r>
    <r>
      <rPr>
        <b/>
        <sz val="16"/>
        <color indexed="8"/>
        <rFont val="Times New Roman"/>
        <family val="1"/>
      </rPr>
      <t xml:space="preserve">
</t>
    </r>
    <r>
      <rPr>
        <sz val="16"/>
        <color indexed="8"/>
        <rFont val="Times New Roman"/>
        <family val="1"/>
      </rPr>
      <t>+ Đào lò TKĐ chợ N-6-10/V6-KN (cắt 14÷20% đá): Đào trong than, góc dốc lò thi công 22÷23 độ, bước chống 0,7m/vì, chèn gỗ + lưới thép B50 , khoan xúc thủ công, vận tải qua 5 máng cào + 1 băng tải. Vận chuyển vật liệu cự ly trung bình 420m (monoray + tời: 230m; tời 160m, thủ công: 30m).</t>
    </r>
    <r>
      <rPr>
        <b/>
        <sz val="16"/>
        <color indexed="8"/>
        <rFont val="Times New Roman"/>
        <family val="1"/>
      </rPr>
      <t xml:space="preserve">
</t>
    </r>
    <r>
      <rPr>
        <sz val="16"/>
        <color indexed="8"/>
        <rFont val="Times New Roman"/>
        <family val="1"/>
      </rPr>
      <t>+ Lắp giá xích lò TKĐ chợ N-6-10/V6-KN (25 giá): Vận chuyển giàn đến vị trí lắp đặt với cự ly trung bình 420m (monoray + tời: 230m; tời 160m, thủ công: 30m).
+ Tháo giá xích kết thúc lò chợ N-6-9(TT)/V6-KN (25 giá): Vận chuyển giá đến vị trí tập kết với cự ly trung bình 45m (tời 20m; thủ công: 25m). Vận chuyển vật liệu cự ly trung bình 45m (tời, monoray: 35m; thủ công 10m).</t>
    </r>
  </si>
  <si>
    <r>
      <t xml:space="preserve"> </t>
    </r>
    <r>
      <rPr>
        <b/>
        <sz val="16"/>
        <rFont val="Times New Roman"/>
        <family val="1"/>
      </rPr>
      <t xml:space="preserve">5. Phân xưởng Khai thác 5: </t>
    </r>
    <r>
      <rPr>
        <sz val="16"/>
        <rFont val="Times New Roman"/>
        <family val="1"/>
      </rPr>
      <t xml:space="preserve">
        + Khai thác lò chợ N-6-8 vỉa 6 khu Nam (dự kiến cắt 20÷40% đá): khấu giá khung ZH1600/16/24F (chiều dài lò chợ trung bình 40m, chiều dày vỉa trung bình là: 6m; góc dốc TB 8 ÷ 18 độ). Vận tải qua 04 máng cào + 03 băng tải. Vận chuyển vật liệu cự ly trung bình 490m (tời, monoray: 420m; thủ công: 70m).
        + Tháo giàn lò chợ N-6-1A/V6/KN: Vận chuyển giàn đến vị trí tập kết với cự ly trung bình 120m (tời, monoray: 100m; thủ công: 20m). Vận chuyển vật liệu cự ly trung bình 150m (tời, monoray: 95m; thủ công: 50 m).
        + Đào lò DVVT-50/V6/KN (dự kiến cắt 20÷50% đá): Đào trong than, lò bằng, bước chống 0,7m/vì, chèn lưới dập giãn , khoan xúc thủ công, vận tải qua 03 máng cào + 03 băng tải. Vận chuyển vật liệu cự ly trung bình 360m (tời, monoray: 310; thủ công: 50m).
        + Đào lò SSC chợ N-6-8/V6/KN (dự kiến cắt 20÷50% đá): Đào trong than, lò bằng, bước chống 0,7m/vì, chèn lưới dập giãn , khoan xúc thủ công, vận tải qua 03 máng cào + 03 băng tải. Vận chuyển vật liệu cự ly trung bình 440m (tời, monoray: 360; thủ công: 80m).
        + Đào lò cúp phá hỏa chợ N-6-8/V6/KN (dự kiến cắt 20÷50% đá): Đào trong than, lò dốc 22÷26 độ, bước chống 0,7m/vì, chèn bằng gỗ , khoan xúc thủ công, vận tải qua 02 máng cào + 03 băng tải. Vận chuyển vật liệu cự ly trung bình 400m (tời, monoray: 360; thủ công: 40m).
        + Đào lò TKĐ chợ N-6-12B/V6/KN (dự kiến cắt 20÷50% đá): Đào trong than, lò dốc 5÷10 độ, bước chống 0,7m/vì, chèn bằng lưới dập giãn , khoan xúc thủ công, vận tải qua 03 máng cào + 02 băng tải. Vận chuyển vật liệu cự ly trung bình 400m (tời, monoray: 300; thủ công: 100m).</t>
    </r>
  </si>
  <si>
    <r>
      <rPr>
        <b/>
        <sz val="16"/>
        <rFont val="Times New Roman"/>
        <family val="1"/>
      </rPr>
      <t xml:space="preserve"> 6. Phân xưởng Khai thác than 6: </t>
    </r>
    <r>
      <rPr>
        <sz val="16"/>
        <rFont val="Times New Roman"/>
        <family val="1"/>
      </rPr>
      <t xml:space="preserve">
        - Khai thác lò chợ ĐB-8-1/V8-KĐB: Khấu giá khung chiều dài TB 94m; chiều dày vỉa TB 2,8m; góc dốc TB 10 ÷ 15 độ, tỷ lệ đá kẹp dự kiến 10 -:- 15%. Vận tải qua 01 băng tải + 03 máng cào. Cự ly vận chuyển vật liệu bằng tời 390m, thủ công 25m. 
        - Xén lò DV-100 vỉa 9 KTT trong than Sđ=16,1m2, bước chống 0,7m/vì, chèn lò bằng tấm chèn BTĐS nóc chèn kín hông chèn cách. Cự ly vận chuyển vật liệu thủ công 40m. </t>
    </r>
  </si>
  <si>
    <r>
      <rPr>
        <b/>
        <sz val="16"/>
        <rFont val="Times New Roman"/>
        <family val="1"/>
      </rPr>
      <t xml:space="preserve">7. Phân xưởng CGH1: </t>
    </r>
    <r>
      <rPr>
        <sz val="16"/>
        <rFont val="Times New Roman"/>
        <family val="1"/>
      </rPr>
      <t xml:space="preserve">
       + Khai thác lò chợ CGH đồng bộ TT-10-11 vỉa 10 khu trung tâm chiều dài lò chợ trung bình 120m, chiều dày vỉa trung bình 3,4m, góc dốc 10-:- 15 độ, lò chợ khấu dưới mức -100, tỷ lệ cắt đá kẹp 21%. Vận tải qua 02 máng cào + 01 cầu truyền tải. Cự ly vận chuyển vật liệu TB 140m (trong đó monoray:80m; thủ công:60m).
       + Đào lò DVTG chợ TT-10-15/V10-KTT: chống lò bằng vì thép SVP -17, Sđ =9,5m2, bước chống 0,7m/vì, chèn lưới thép dập dãn, cắt đá dự kiến 21%, lò đào dưới mức -100; khoan gương xúc tải thủ công; dốc lò thi công 3-15 độ; vận tải dự kiến qua 01 máng cào; Cự ly vận chuyển vật liệu TB 290m (trong đó vận chuyển bằng tời điện + thuyền VCVL:265m; thủ công:25m).</t>
    </r>
  </si>
  <si>
    <r>
      <rPr>
        <b/>
        <sz val="16"/>
        <rFont val="Times New Roman"/>
        <family val="1"/>
      </rPr>
      <t xml:space="preserve">8. Phân xưởng CGH2: </t>
    </r>
    <r>
      <rPr>
        <sz val="16"/>
        <rFont val="Times New Roman"/>
        <family val="1"/>
      </rPr>
      <t xml:space="preserve">
          + Khai thác lò chợ CGH đồng bộ hạng nhẹ: Chiều dài lò chợ 76m, chiều dày vỉa trung bình 5,5m, nối lưới B50 2 lớp; dốc độ lò chợ TB 15 ÷ 22 độ. Vận tải qua 2 máng cào + 01 cầu truyền tải, máy đập nghiền + 01 băng tải, thi công khu vực V14-KTT lò chợ có 15m dột nước, nước chảy trong lò chợ. Lò chợ khấu dốc lên theo phương trung bình 15˚, Lò chợ không thu hồi than nóc; Vận chuyển vật liệu 520 m bằng monoray kết hợp PX VTL1, 30m bằng thủ công.
         + Đào lò nối tháo giàn chợ CGH-TT-14-4/V14-KTT chống lò bằng vì thép SVP -27, Sđ =16,1m2, bước chống 0,7m/vì, chèn lưới thép dập dãn, cắt đá dự kiến 0%, lò đào hạ 15 độ; khoan gương xúc tải thủ công lên máng cào; vận tải dự kiến qua 01 máng cào; Cự ly vận chuyển vật liệu TB 290m (trong đó: vận chuyển bốc vật tư bằng monoray diesel:240m ;bốc chuyển lên tời điện + monoray:80m; thủ công:25m).
         + Xén lò DVVT chợ CGH-TT-14-4/V14-KTT chống lò bằng vì thép SVP -27, Sđ =16,1m2, bước chống 0,7m/vì, chèn lưới thép dập dãn, cắt đá dự kiến 0%; khoan gương xúc tải thủ công lên máng cào; vận tải dự kiến qua 02 máng cào; Cự ly vận chuyển vật liệu TB 290m (trong đó: vận chuyển bốc vật tư bằng monoray diesel:240m ;bốc chuyển lên tời điện + monoray:80m; thủ công: 50m).</t>
    </r>
  </si>
  <si>
    <r>
      <t xml:space="preserve">9. Phân xưởng Khai thác 9:
</t>
    </r>
    <r>
      <rPr>
        <sz val="16"/>
        <color indexed="8"/>
        <rFont val="Times New Roman"/>
        <family val="1"/>
      </rPr>
      <t>+ Khai thác lò chợ ĐB-10-3A tận thu (cắt 15÷20% đá): khấu giá khung ZH1600/16/24F (chiều dài lò chợ trung bình 75m, chiều dài theo phương L = 14m, chiều dày vỉa trung bình là: 3,0m; góc dốc TB 15 ÷ 25 độ). Vận tải qua 60m máng trượt + 4 máng cào + 2 băng tải. Vận chuyển vật liệu cự ly trung bình 520m (tời: 500m; thủ công: 20m).
+ Khai thác lò chợ ĐB-10-3A (cắt 15÷20% đá): khấu giá khung ZH1600/16/24F (chiều dài lò chợ trung bình 105m, chiều dài theo phương L = 20m, chiều dày vỉa trung bình là: 3,0m; góc dốc TB 15 ÷ 25 độ). Vận tải qua 80m máng trượt + 3 máng cào + 2 băng tải. Vận chuyển vật liệu cự ly trung bình 520m (tời: 500m; thủ công: 20m).</t>
    </r>
    <r>
      <rPr>
        <b/>
        <sz val="16"/>
        <color indexed="8"/>
        <rFont val="Times New Roman"/>
        <family val="1"/>
      </rPr>
      <t xml:space="preserve">
</t>
    </r>
    <r>
      <rPr>
        <sz val="16"/>
        <color indexed="8"/>
        <rFont val="Times New Roman"/>
        <family val="1"/>
      </rPr>
      <t>+ Xén lò thượng VT -100/+15 V10 KĐB. Xén</t>
    </r>
    <r>
      <rPr>
        <b/>
        <sz val="16"/>
        <color indexed="8"/>
        <rFont val="Times New Roman"/>
        <family val="1"/>
      </rPr>
      <t xml:space="preserve"> </t>
    </r>
    <r>
      <rPr>
        <sz val="16"/>
        <color indexed="8"/>
        <rFont val="Times New Roman"/>
        <family val="1"/>
      </rPr>
      <t>trong than, chống vì thép SVP-22, SSđ = 11,2 m2, lò dốc 20-25 độ, bước chống 0,7m/vì, chèn lưới dập giãn , khoan xúc thủ công, vận tải qua 04 máng cào + 100m máng trượt (02 tuyến). Vận chuyển vật liệu cự ly trung bình 240m (01 tời, monoray: 150m; thủ công: 90m).</t>
    </r>
  </si>
  <si>
    <r>
      <t xml:space="preserve">10. Công trường Khai thác 10:
</t>
    </r>
    <r>
      <rPr>
        <sz val="16"/>
        <color indexed="8"/>
        <rFont val="Times New Roman"/>
        <family val="1"/>
      </rPr>
      <t>+ Khai thác lò chợ ĐB-9-4B (cắt 10÷15% đá): khấu giá khung ZH1600/16/24F (chiều dài lò chợ trung bình 128,5m, chiều dày vỉa trung bình là: 3,2m; góc dốc TB 10 ÷ 15 độ). Vận tải qua 3 máng cào + 2 băng tải. Vận chuyển vật liệu cự ly trung bình 256m (tời: 246m; thủ công: 10m).</t>
    </r>
    <r>
      <rPr>
        <b/>
        <sz val="16"/>
        <color indexed="8"/>
        <rFont val="Times New Roman"/>
        <family val="1"/>
      </rPr>
      <t xml:space="preserve">
</t>
    </r>
    <r>
      <rPr>
        <sz val="16"/>
        <color indexed="8"/>
        <rFont val="Times New Roman"/>
        <family val="1"/>
      </rPr>
      <t>+ Lắp giá khung lò TKĐ chợ ĐB-9-4(TT)/V9-KĐB lắp 56 giá: Vận chuyển giàn đến vị trí lắp đặt với cự ly trung bình 134m ( tời: 104m; thủ công: 30m).</t>
    </r>
  </si>
  <si>
    <r>
      <rPr>
        <b/>
        <sz val="16"/>
        <color indexed="8"/>
        <rFont val="Times New Roman"/>
        <family val="1"/>
      </rPr>
      <t xml:space="preserve"> 11. Phân xưởng Khai thác than 11: </t>
    </r>
    <r>
      <rPr>
        <sz val="16"/>
        <color indexed="8"/>
        <rFont val="Times New Roman"/>
        <family val="1"/>
      </rPr>
      <t xml:space="preserve">
        - Khai thác lò chợ TT-8-3A/V8-KTT: Khấu giá khung chiều dài TB 65m; chiều dày vỉa TB 2,9m; góc dốc TB 23 ÷ 26 độ, tỷ lệ đá kẹp dự kiến 10 -:- 15%. Vận tải qua 65m máng trượt + 01 băng tải + 01 máng cào. Cự ly vận chuyển vật liệu bằng tời 220m, thủ công 20m. 
        - Đào lò TKĐ (TP) chợ TT-8-3, chống thép, Sđ=8,5m2, bước chống 0,7m/vì,  độ dốc thi công 23-26 độ, chèn lò bằng tấm chền dập dãn, vận tải qua 01 băng tải. Cự ly vận chuyển vật liệu bằng tời 160m, thủ công 20m. 
        - Đào lò SSC chợ TT-8-3, chống thép, Sđ=8,5m2, bước chống 0,7m/vì, chèn lò bằng tấm chền dập dãn, vận tải qua 02 máng cào + 01 băng tải. Cự ly vận chuyển vật liệu bằng tời 250m, thủ công 20m. 
        - Đào lò SSC(TP) chợ TT-8-3A, chống thép, Sđ=8,5m2, bước chống 0,7m/vì, chèn lò bằng tấm chền dập dãn, vận tải qua 01 máng cào + 01 băng tải. Cự ly vận chuyển vật liệu bằng tời 160m, thủ công 40m. 
        - Đào lò TKĐ (TP) chợ TT-8-3A(1), chống thép, Sđ=8,5m2, bước chống 0,7m/vì,  độ dốc thi công 23-26 độ, chèn lò bằng tấm chền dập dãn, vận tải qua 01 máng cào + 01 băng tải. Cự ly vận chuyển vật liệu bằng tời 220m, thủ công 20m. 
        </t>
    </r>
  </si>
  <si>
    <r>
      <t xml:space="preserve">      </t>
    </r>
    <r>
      <rPr>
        <b/>
        <sz val="16"/>
        <rFont val="Times New Roman"/>
        <family val="1"/>
      </rPr>
      <t xml:space="preserve">    12. Phân xưởng Đào lò 1:</t>
    </r>
    <r>
      <rPr>
        <sz val="16"/>
        <rFont val="Times New Roman"/>
        <family val="1"/>
      </rPr>
      <t xml:space="preserve">
         + Đào lò DVVT chợ N-6-11V6-KN: Đào trong than, chống vì thép SVP-22, Sđ=11,2m2, bước chống bước chống 0,7m/vì, văng gỗ, chèn thép. Đào lò khoan xúc thủ công, vận tải qua 02 máng cào + 01 băng tải tại vị trí thi công + rót lên máng cào + băng tải lò DVVT chợ -70 + rót xuống  BT lò XV -100 N.IV .
         + Đào lò DVTG chợ N-6-5 (quay ra)V6-KN: Đào trong than, chống vì thép SVP-22, Sđ=13,1m2, bước chống bước chống 0,7m/vì, văng gỗ, chèn thép. Đào lò khoan xúc thủ công, vận tải qua 02 tuyến máng cào tại vị trí thi công rót lên 01 băng tải tại lò Thông gió chợ N-6-5+rót lên gòong tại lò XV+38.VI.
         + Đào lò TKĐ chợ TT-10-13V10-KTT: Đào trong than, chống vì neo chất dẻo cốt thép bước chống 0,8m/vì kết hợp chống đội vì chống thép SVP-27, Sđ=20,3m2, bước chống bước chống 1m/vì. Đào lò khoan xúc thủ công kết hợp máy đào lò EBH-45, vận tải qua 02 máng cào tại vị trí thi công + 02 tuyến máng cào rót lên 02 tuyến băng tải tại lò DVVT chợ TT-10-13 rót lênbăng tải tại lò TTG -100-226V0KTT + băng tải tại lò XV-90
         + Đào cúp đặt thiết bị tại lò DVVT chợ TT-10-13V10KTT: Đào trong than, chống vì thép SVP-22, Sđ=11,2m2, bước chống bước chống 0,7m/vì, văng gỗ, chèn thép. Đào lò khoan xúc thủ công, xúc tải thủ công lên  02 tuyến máng cào + 02 tuyến băng tải tại lò DVVT chợ TT-10-13 rót lênbăng tải tại lò TTG -100-226V0KTT + băng tải tại lò XV-90.
         + Đào lò DVVT chợ TT-10-12V10KTT: Đào trong than, chống vì thép SVP-27, Sđ=16,1m2, bước chống bước chống 0,7m/vì, văng gỗ, chèn thép. Đào lò khoan xúc thủ công kết hợp máy đào lò EBH-45, vận tải qua 02 tuyến máng cào tại vị trí thi công rót lên băng tải tại lò TTG -100-226V0KTT + băng tải tại lò XV-90
        + Xén XV-100KTT.II: Xén cải tạo Sđ=23.9m2 gương thi công trong đá mềm, vận tải chung tuyến vận tải lò.
        + Đào lò DVTG chợ N-6-11V6-KN: Đào trong than, chống vì thép SVP-17, Sđ=9,5m2, bước chống bước chống 0,7m/vì, văng gỗ, chèn thép. Đào lò khoan xúc thủ công, vận tải qua 03 tuyến máng cào tại vị trí thi công rót lên 125m máng trượt tại lò Thượng thông gió -100+52V6KN rót lên máng cào + băng tải lò DVVT chợ -70 + rót xuống  BT lò XV -100 N.IV .</t>
    </r>
  </si>
  <si>
    <r>
      <t xml:space="preserve">         </t>
    </r>
    <r>
      <rPr>
        <b/>
        <sz val="16"/>
        <rFont val="Times New Roman"/>
        <family val="1"/>
      </rPr>
      <t xml:space="preserve"> 13. Phân xưởng Đào lò 2: </t>
    </r>
    <r>
      <rPr>
        <sz val="16"/>
        <rFont val="Times New Roman"/>
        <family val="1"/>
      </rPr>
      <t xml:space="preserve">
         + Đào lò DVTG chợ TT-13-8/V13 KTT: Đào trong than, chống vì thép SVP-22, Sđ=11,2m², bước chống 0,7m/vì, văng gỗ, chèn thép. Đào lò khoan xúc thủ công,  vận tải qua 01 máng cào tại vị trí thi công + rót xuống máng trượt lò   TKĐ chợ TT-13-8/V13-KTT + rót xuống 01 máng cào + 01 băng tải rót xuống BT lò XV -90 KTT. Vận chuyển vật liệu. vận tải qua 02 máng cào + 1 tuyến máng trượt L=25m.
         + Đào lò DVVT chợ N-9-3/V9 KN: Đào lò trong than, chống vì thép SVP-22, Sđ=11,2m², bước chống 0,7m/vì, văng gỗ, chèn thép. Đào lò khoan xúc thủ công, vận tải qua 02 máng cào + 1 tuyến máng trượt L=25m. Vận chuyển vật liệu từ lò XV -100 khu N.V qua lò PRT số 1 chợ N-9-3/V9 KN cự ly 25m độ dốc 30 độ -&gt; xếp vào thuyền tời lò NVT chợ N-9-3/V9 KN cự ly 80m lò bằng -&gt; xếp vào thuyền tời lò DVVT chợ N-9-3/V9 KN.
         + Lò TTG, đi lại mức -175/-100 vỉa 8 KN: Đào lò ngầm trong than cắt đá 20-30%, chống vì thép SVP-27, Sđ=16,1m², bước chống 0.7m/vì, văng gỗ, chèn BTCT. Đào lò khoan xúc thủ công, vận tải bằng 03 máng cào rót lên băng tải lò XV -100 khu N.V. Vận chuyển vật liệu từ lò XV -100 khu N.V xếp vào thuyền tời lò TTG, đi lại mức -175/-100 vỉa 8 KN cự ly 100m độ dốc 22 độ.
         + Lò TVT mức -250/-100 vỉa 14 khu ĐB.II. Đào lò ngầm trong than cắt đá 20-30%, chống vì thép SVP-27, Sđ=16,1m², bước chống 0.7m/vì, văng gỗ, chèn BTCT. Đào lò khoan xúc thủ công, vận tải qua 01 máng cào. Vận chuyển từ lò DV -100 vỉa 14 KĐB, xếp thuyền tời lò TVT -250/-100 V14 KĐB.II cự ly 40m độ dốc 22 độ.</t>
    </r>
  </si>
  <si>
    <r>
      <rPr>
        <b/>
        <sz val="16"/>
        <color indexed="8"/>
        <rFont val="Times New Roman"/>
        <family val="1"/>
      </rPr>
      <t xml:space="preserve">14. Phân xưởng Đào lò 3: </t>
    </r>
    <r>
      <rPr>
        <sz val="16"/>
        <color indexed="8"/>
        <rFont val="Times New Roman"/>
        <family val="1"/>
      </rPr>
      <t xml:space="preserve">
         + Đào lò thượng KĐ chợ TT-10-13/V10 KTT: Đào trong than, chống vì thép SVP-27, Sđ=20,3m², bước chống 0,5m/vì, văng gỗ, chèn thép. Đào lò khoan xúc thủ công,  vận tải qua 01 máng cào tại vị trí thi công + 1 băng tải tại lò DVTG chợ TT-10-13+ 2 máng cào tại lò DVTG chợ TT-10-13. Vận chuyển vật liệu. từ lò DV-100/V10 KTT 2 tời vào vị trí thi công.
         + Đào lò thượng KĐ chợ TT-9-8/V9 KTT: Đào trong than, chống vì thép SVP-27, Sđ=19,5m², bước chống 0,5m/vì, văng gỗ, chèn thép. Đào lò khoan xúc thủ công,  vận tải qua 80m tại vị trí thi công + 1 băng tải tại lò DVVT chợ TT-9-8+ 2 máng cào tại lò thượng TG-250-100/V9 KTT. Vận chuyển vật liệu. từ lò DV-100/V10 KTT 2 tời vào vị trí thi công.
         + Đào lò thượng TG-250/-100: Đào lò ngầm trong than cắt đá 20-30%, chống vì thép SVP-27, Sđ=16,1m², bước chống 0.7m/vì, văng gỗ, chèn BTCT. Đào lò khoan xúc thủ công, vận tải bằng 02 máng cào + 1 băng tải tại lò thượng TG-250/100/V9 KTT + 1 băng tải tại lò nối V9-V10 KTT.. Vận chuyển vật liệu từ lò DV -100 V9 KTT qua 2 tời tại lò thượng TG-250/-100 + 20m thủ công.
         + Xén lò XV-100/khu TT.II: Xén 100% đá, chống vì thép SVP33, Sx = 23,9m2; bc 0,5m/vì.  chèn BTCT.  Đá được xúc tải lên goòng. Vật tư được goòng kéo tới cách vị trí thi công L = 10m.</t>
    </r>
  </si>
  <si>
    <r>
      <t xml:space="preserve"> </t>
    </r>
    <r>
      <rPr>
        <b/>
        <sz val="16"/>
        <color indexed="8"/>
        <rFont val="Times New Roman"/>
        <family val="1"/>
      </rPr>
      <t xml:space="preserve">15. Phân xưởng Đào lò 4: </t>
    </r>
    <r>
      <rPr>
        <sz val="16"/>
        <color indexed="8"/>
        <rFont val="Times New Roman"/>
        <family val="1"/>
      </rPr>
      <t xml:space="preserve">
         + Đào lò DVVT chợ TT-8-3A(1)/V8 KTT: Đào trong than, chống vì thép SVP-22, Sđ=11,2m², bước chống 0,7m/vì, văng gỗ, chèn thép. Đào lò khoan xúc thủ công,  vận tải qua 02 máng cào tại vị trí thi công, rót lên máng cào tại lò nối TG -100/-90 S10 V8KTT + rót lên băng tải do Px Than 2 vận hành tại lò DV-90 S2 V8KTT + rót lên băng tải tại lò DV-90 S1 V8KTT bàn giao cho p/x VTL2 vận hành rót lên băng tải chính của công ty tại lò XV-90. Vận chuyển vật liệu : Bốc thủ công từ lò DV-100 V8KTT cự ly 20m sang thuyền tời đặt tại đầu lò DVVT chợ TT-8-3A(1) V8KTT kéo vào vị trí thi công cự ly 90m góc dốc 10-15 độ bốc thủ công vào vị trí thủ công cự ly 15m.
              + Đào lò DVTG chợ TT-8-3C/V8 KTT: Đào trong than, chống vì thép SVP-17, Sđ=9,5m², bước chống 0,7m/vì, văng gỗ, chèn thép. Đào lò khoan xúc thủ công,  vận tải qua 02 máng cào tại vị trí thi công, rót lên máng cào tại lò TTG-90/-38 V8KTT (do p/x KT11 vận hành) + rót lên băng tải do P/x KT2 vận hành tại lò DV-90 S2 V8KTT + rót lên băng tải tại lò DV-90 S1 V8KTT bàn giao cho p/x VTL2 vận hành rót lên băng tải chính của công ty tại lò XV-90. Vận chuyển vật liệu : Bốc thủ công từ lò DV-100 V8KTT cự ly 20m lên monoray kéo bằng tời lên đầu lò DVTG chợ TT-8-3C V8KTT cự ly 140m bốc sang thuyền tời đặt tại đầu lò DVTG chợ TT-8-3C V8KTT kéo vào vị trí thi công cự ly 90m lò bằng sau bốc thủ công vào vị trí thủ công cự ly 15m.
      + Đào lò DVVT chợ TT-9-5A/V9 KTT: Đào trong đá, góc dốc thi công 30 độ chống vì thép SVP-17, Sđ=9,5m², bước chống 0,7m/vì, văng gỗ, chèn thép. Đào lò khoan xúc thủ công sang tuyến máng trượt tại vị trí thi công chiều dài tuyến l=30m dốc 30 độ rót xuống 03 máng cào + rót lên băng tải tại lò DVVT chợ TT-9-2(-90/-70) V9KTT(do phân xưởng KT2 vận hành) rót xuống tuyến máng trượt tại lò nối TG -88/-55 V8-V9 KTT + rót lên băng tải do P/x KT2 vận hành tại lò DV-90 S2 V8KTT + rót lên băng tải tại lò DV-90 S1 V8KTT bàn giao cho p/x VTL2 vận hành rót lên băng tải chính của công ty tại lò XV-90 . Vận chuyển vật liệu : Bốc thủ công từ lò DV-100 V9KTT cự ly 30m sang thuyền tời đặt tại lò DVVT chợ TT-9-5A/V9KTT kéo vào gần vị trí thi công cự ly 120m sau đó bốc thủ công lên vị trí thi công cự ly 30m.
         + Xén lò DV-100 V10KTT: Xén cải tạo Sđ=20,5m2 bước chống 0,5m/vì, văng gỗ, chèn thép , nóc lò mềm yếu phải căn chọc thủ công và đóng nhói thép (gỗ) ghim giữ nóc lò khoảng cách 0,3m/nhói. Vận chuyển than đá: Xúc bốc thủ công lên goòng 3T tại vị trí thi công. Vận chuyển vật liệu thủ công cự ly 30m vào vị trí thi công.
         + Xén lò DVTG chợ TT-10-13 V10KTT: Xén cải tạo Sđ=23,5m2 và 20,5m2 bước chống 0,5m/vì, văng gỗ, chèn BTCT. Vận chuyển than đá: Xúc bốc thủ công lên băng tải tại lò TTG -226/-100 V10KTT. Vận chuyển vật liệu thủ công cự ly 20m vào thuyền tời đặt tại đầu lò TTG -226/-100 V10KTT kéo xuống gần vị trí thi công (bốc thủ công vào vị trí thi công cự ly 10m).</t>
    </r>
  </si>
  <si>
    <r>
      <rPr>
        <b/>
        <sz val="16"/>
        <rFont val="Times New Roman"/>
        <family val="1"/>
      </rPr>
      <t xml:space="preserve"> 16. Phân xưởng Đào lò 5: </t>
    </r>
    <r>
      <rPr>
        <sz val="16"/>
        <rFont val="Times New Roman"/>
        <family val="1"/>
      </rPr>
      <t xml:space="preserve">
      " + Đào lò TTG V7-V8 -100/-50 KTT: Đào trong đá, lò dốc 20 độ, chống vì thép SVP-22, Sđ=13,1m², bước chống 0,7m/vì, văng gỗ, chèn thép. Đào lò khoan xúc thủ công,  vận tải qua 01 máng cào tại vị trí thi công + rót xuống goòng 3 tấn đặt tại DV -100 V7 KTT, cự ly 70m. Vận chuyển vật liệu cự ly trung bình 90m (01 tời: 50m; thủ công: 40m).
         + Đào lò DVTG chợ ĐB-14-2 V14 KĐB: Đào trong than, lò dốc 0-10 độ, chống vì thép SVP-22, Sđ=11,2m², bước chống 0,7m/vì, văng gỗ, chèn thép. Đào lò khoan xúc thủ công,  vận tải qua 01 máng cào tại vị trí thi công + 02 máng cào + 100m máng trượt, rót lên goòng 3 tấn đặt tại XV -100 KĐB.II, cự ly 300m. Vận chuyển vật liệu cự ly trung bình 150m (02 tời: 110m; thủ công: 40m).
         + Đào lò DVVTchợ ĐB-11-4 V11 KĐB: Đào trong than, lò dốc 0-10 độ, chống vì thép SVP-22, Sđ=11,2m², bước chống 0,7m/vì, văng gỗ, chèn thép. Đào lò khoan xúc thủ công,  vận tải qua 01 máng cào tại vị trí thi công + 02 máng cào + 60m máng trượt, rót lên goòng 3 tấn đặt tại XV -100 KĐB.II, cự ly 240m. Vận chuyển vật liệu cự ly trung bình 270m (03 tời: 230m; thủ công: 40m).
         + Xén lò DVTG chợ ĐB-14-3(2) V14 KĐB: Xén trong than, lò dốc 0-10 độ, chống vì thép SVP-22, Sđ=11,2m², bước chống 0,5m/vì, văng gỗ, chèn thép. Đào lò khoan xúc thủ công,  vận tải qua 01 máng cào tại vị trí thi công + 02 máng cào, rót lên băng tải đặt tại XV -90 KTT.II, cự ly 160m. Vận chuyển vật liệu cự ly trung bình 300m (01 tời: 260m; thủ công: 40m).
         +  Xén lò XV -100 KTT.II + Ngã ba: Xén trong đá, lò bằng, chống vì thép SVP-33, Sđ=23,9m², bước chống 0,5m/vì, văng gỗ, chèn bê tông. Đào lò khoan xúc thủ công,  xúc thủ công lên goòng, cự ly 10m. Vận chuyển vật liệu cự ly trung bình 35m (thủ công: 35m).
                                                                                                                                                                          </t>
    </r>
  </si>
  <si>
    <r>
      <rPr>
        <b/>
        <sz val="16"/>
        <rFont val="Times New Roman"/>
        <family val="1"/>
      </rPr>
      <t>17. Phân xưởng Đào lò 6:</t>
    </r>
    <r>
      <rPr>
        <sz val="16"/>
        <rFont val="Times New Roman"/>
        <family val="1"/>
      </rPr>
      <t xml:space="preserve">
        + Đào lò DVVT chợ TT 8-11/V8 KTT: Chống vì thép Sđ =11,2 m2, bước chống 0,7m/ vì, văng gỗ, chèn nóc bê tông hông chèn thép. Đào lò khoan xúc thủ công, vận tải qua 04 máng cào + 01 băng tải, thi công mức dưới -100.(Vận chuyển VL bằng tời: 300 m tthur công 40 m)
        + Đào lò DVTG lò chợ 10-1A /V10 KĐB: Chống vì thép Sđ =11,2 m2, bước chống 0,7m/ vì, văng gỗ, chèn thép. Đào lò khoan xúc thủ công, vận tải qua 05 máng cào +160 m máng trượt, rót gòng+ tời mano( VC vật liệu bằng tời 370 m thủ công 30 m)
        + Đào lò TKĐ chợ ĐB 14-3(2)/V14KĐB:Chống vì thép Sđ =8,5 m2, bước chống 0,7m/ vì, văng gỗ, chèn thép B50. Đào lò khoan xúc thủ công, vận tải qua 04 máng cào.(VC vật tư bằng tời 160 m, thủ công 70 m)                                                                                                                     . 
      + Xén lò DVVT chợ ĐB 14-3(2)/V14KĐB:Chống vì thép Sđ =11,2 m2, bước chống 0,5m/ vì, văng gỗ, chèn thép . Đào lò khoan xúc thủ công, vận tải qua 03 máng cào.  (VC vật tư bằng tời 160 m, thủ công 70 m)                                                                                               .      
 + Xén lò XV -100 KTT.II :Chống vì thép Sđ =23,9 m2, bước chống 0,5m/ vì, văng gỗ, chèn thép . Đào lò khoan xúc thủ công lên gòong 3 tấn.</t>
    </r>
  </si>
  <si>
    <t xml:space="preserve">Người lập   </t>
  </si>
  <si>
    <t>TP. KCM</t>
  </si>
  <si>
    <t>Phòng TĐ-ĐC</t>
  </si>
  <si>
    <t>Phòng CV</t>
  </si>
  <si>
    <t>Vũ Quang Hưng</t>
  </si>
  <si>
    <t>Đặng Văn Thiện</t>
  </si>
  <si>
    <t>Phạm Văn Thương</t>
  </si>
  <si>
    <t>Bùi Xuân Phương</t>
  </si>
  <si>
    <t>.</t>
  </si>
  <si>
    <t xml:space="preserve">Tổng 
</t>
  </si>
  <si>
    <t>Xén lò</t>
  </si>
  <si>
    <t>CÔNG TY THAN DƯƠNG HUY-TKV</t>
  </si>
  <si>
    <t>TỔNG HỢP MÉT LÒ, TẤN THAN NĂM 2025</t>
  </si>
  <si>
    <t>NĂM 2024</t>
  </si>
  <si>
    <t>Stt</t>
  </si>
  <si>
    <t>Tên PX</t>
  </si>
  <si>
    <t>Cộng
 sản lượng (tấn)</t>
  </si>
  <si>
    <t>Sản lượng (tấn)</t>
  </si>
  <si>
    <t>Mét lò (m)</t>
  </si>
  <si>
    <t>Than chợ</t>
  </si>
  <si>
    <t>Đ.lò CN</t>
  </si>
  <si>
    <t>CBSX</t>
  </si>
  <si>
    <t>CN</t>
  </si>
  <si>
    <t>CỘNG</t>
  </si>
  <si>
    <t>PX1</t>
  </si>
  <si>
    <t>PX Than 1</t>
  </si>
  <si>
    <t>KT1</t>
  </si>
  <si>
    <t>PX2</t>
  </si>
  <si>
    <t>PX Than 2</t>
  </si>
  <si>
    <t>KT2</t>
  </si>
  <si>
    <t>PX3</t>
  </si>
  <si>
    <t>PX Than 3</t>
  </si>
  <si>
    <t>Hai dây chuyền</t>
  </si>
  <si>
    <t>KT3</t>
  </si>
  <si>
    <t>PX4</t>
  </si>
  <si>
    <t>PX Than 4</t>
  </si>
  <si>
    <t>KT4</t>
  </si>
  <si>
    <t>PX5</t>
  </si>
  <si>
    <t>PX Than 5</t>
  </si>
  <si>
    <t>KT5</t>
  </si>
  <si>
    <t>PX6</t>
  </si>
  <si>
    <t>PX Than 6</t>
  </si>
  <si>
    <t>KT6</t>
  </si>
  <si>
    <t>PX CGH2</t>
  </si>
  <si>
    <t>PX7</t>
  </si>
  <si>
    <t>CGH hạng nhẹ</t>
  </si>
  <si>
    <t>PX CGH1</t>
  </si>
  <si>
    <t>PX8</t>
  </si>
  <si>
    <t>CGH hạng trung</t>
  </si>
  <si>
    <t>PX9</t>
  </si>
  <si>
    <t>PX Than 9</t>
  </si>
  <si>
    <t>KT9</t>
  </si>
  <si>
    <t>PX10</t>
  </si>
  <si>
    <t>PX Than 10</t>
  </si>
  <si>
    <t>KT10</t>
  </si>
  <si>
    <t>PX11</t>
  </si>
  <si>
    <t>PX Than 11</t>
  </si>
  <si>
    <t>KT11</t>
  </si>
  <si>
    <t>PX12</t>
  </si>
  <si>
    <t>PX Đào lò 1</t>
  </si>
  <si>
    <t>PX13</t>
  </si>
  <si>
    <t>PX Đào lò 2</t>
  </si>
  <si>
    <t>PX14</t>
  </si>
  <si>
    <t>PX Đào lò 3</t>
  </si>
  <si>
    <t>PX15</t>
  </si>
  <si>
    <t>PX Đào lò 4</t>
  </si>
  <si>
    <t>PX16</t>
  </si>
  <si>
    <t>PX Đào lò 5</t>
  </si>
  <si>
    <t>PX17</t>
  </si>
  <si>
    <t>PX Đào lò 6</t>
  </si>
  <si>
    <t>C. ty Xây lắp mỏ</t>
  </si>
  <si>
    <t>TN1</t>
  </si>
  <si>
    <t>TN2</t>
  </si>
  <si>
    <t>Thuê ngoài TKV</t>
  </si>
  <si>
    <r>
      <t xml:space="preserve">Ghi chú: </t>
    </r>
    <r>
      <rPr>
        <sz val="14"/>
        <color rgb="FF000000"/>
        <rFont val="Times New Roman"/>
        <family val="1"/>
      </rPr>
      <t>Trong quá trình triển khai thực hiện kế hoạch năm 2025 nếu có sai khác, điều kiện biến động thì căn cứ vào điều kiện thực tế Công ty sẽ có điều chỉnh phù hợp.</t>
    </r>
  </si>
  <si>
    <t>SL (tấn)</t>
  </si>
  <si>
    <t>L.Chợ</t>
  </si>
  <si>
    <t>Đ.Lò</t>
  </si>
  <si>
    <t>X.lò</t>
  </si>
  <si>
    <t>PX KT1</t>
  </si>
  <si>
    <t>PX KT2</t>
  </si>
  <si>
    <t>PX KT3</t>
  </si>
  <si>
    <t>PX KT5</t>
  </si>
  <si>
    <t>PX KT6</t>
  </si>
  <si>
    <t>PX KT CGH 02</t>
  </si>
  <si>
    <t>PX KT CGH 01</t>
  </si>
  <si>
    <t>PX KT9</t>
  </si>
  <si>
    <t>PX. KT10</t>
  </si>
  <si>
    <t>PX. KT11</t>
  </si>
  <si>
    <t>PX. ĐL CGĐB</t>
  </si>
  <si>
    <t>PX. ĐL BCG</t>
  </si>
  <si>
    <t>PX. ĐL3</t>
  </si>
  <si>
    <t>PX. ĐL5</t>
  </si>
  <si>
    <t>PX. ĐL6</t>
  </si>
  <si>
    <t>THAN ĐÀO, XÉN LÒ 2026</t>
  </si>
  <si>
    <t>PX KT10</t>
  </si>
  <si>
    <t>PX KT11</t>
  </si>
  <si>
    <t>PXĐL CGĐB</t>
  </si>
  <si>
    <t>PXĐL BCG</t>
  </si>
  <si>
    <t>PX ĐL3</t>
  </si>
  <si>
    <t>PX ĐL5</t>
  </si>
  <si>
    <t>PX ĐL6</t>
  </si>
  <si>
    <t>LC N-6-5/V6KN</t>
  </si>
  <si>
    <t>LC N-6-5.1/V6KN</t>
  </si>
  <si>
    <t>LC TT-12-6</t>
  </si>
  <si>
    <t>LC TT-13-8B</t>
  </si>
  <si>
    <t>LC TT-9-8A</t>
  </si>
  <si>
    <t>SL đào, xén lò</t>
  </si>
  <si>
    <t>Mét xén</t>
  </si>
  <si>
    <t>LC N-6-8B</t>
  </si>
  <si>
    <t>LC TT-8-11</t>
  </si>
  <si>
    <t>LC ĐB-10-1A (GK)</t>
  </si>
  <si>
    <t>LC ĐB-14-2</t>
  </si>
  <si>
    <t>LC ĐB-14-4</t>
  </si>
  <si>
    <t>LC N-6-11</t>
  </si>
  <si>
    <t>LC N-6-10.1</t>
  </si>
  <si>
    <t>C. ty XLM</t>
  </si>
  <si>
    <t>PX ĐL CGĐB</t>
  </si>
  <si>
    <t>PX ĐL BCG</t>
  </si>
  <si>
    <t>BIỂU TÍNH SẢN LƯỢNG KO XOÁ, ĐIỀN DỮ LIỆU</t>
  </si>
  <si>
    <t>SL còn lại (tấn)</t>
  </si>
  <si>
    <t xml:space="preserve">Số ngày làm việc </t>
  </si>
  <si>
    <t>LC N-10-2.2</t>
  </si>
  <si>
    <t>LC N-9-3</t>
  </si>
  <si>
    <t>LC ĐB-12-4</t>
  </si>
  <si>
    <t>LC ĐB-11-4</t>
  </si>
  <si>
    <t>LC TT-8-3C.1</t>
  </si>
  <si>
    <t>Công nghệ</t>
  </si>
  <si>
    <t>DP</t>
  </si>
  <si>
    <t>ĐX</t>
  </si>
  <si>
    <t>Qth</t>
  </si>
  <si>
    <t>Theo kế hoạch số:     KH-TCLĐ</t>
  </si>
  <si>
    <t>XLM.</t>
  </si>
  <si>
    <t>Tiết diện</t>
  </si>
  <si>
    <t>Lò đào, xén</t>
  </si>
  <si>
    <t>XÂY LẮP MỎ</t>
  </si>
  <si>
    <t>THUÊ NGOÀI TKV</t>
  </si>
  <si>
    <t>Lò chứa nước số 1 mức -250</t>
  </si>
  <si>
    <t>Lò nối vào kho mìn mức -250 khu TT</t>
  </si>
  <si>
    <t>Lò kho mìn mức -250 khu TT</t>
  </si>
  <si>
    <t>Lò nối thông gió kho mìn mức -250 khu TT</t>
  </si>
  <si>
    <t>Lò nghiêng thông gió kho mìn mức -250/-200 khu TT</t>
  </si>
  <si>
    <t>Lò xuyên vỉa mức -250 khu ĐB.II</t>
  </si>
  <si>
    <t>Lò đặt đường ray mức -250 khu TT.IV</t>
  </si>
  <si>
    <t>Lò DVTG chợ TT - 7 - 16</t>
  </si>
  <si>
    <t>Lò thượng thông gió lò chợ TT - 7 - 16 -250/-100</t>
  </si>
  <si>
    <t>Lò thượng TG -250/-100 khu TT.II vỉa 7</t>
  </si>
  <si>
    <t>Lò DVTG lò chợ TT - 7 - 15</t>
  </si>
  <si>
    <t>Lò DVTG lò chợ TT - 7 - 15 mức -150</t>
  </si>
  <si>
    <t>Xén ngã ba số 8</t>
  </si>
  <si>
    <t>Xén ngã ba số 9</t>
  </si>
  <si>
    <t>Xén ngã ba số 12</t>
  </si>
  <si>
    <t>KHÔNG XÓA</t>
  </si>
  <si>
    <t>Mét đào</t>
  </si>
  <si>
    <t>Đào</t>
  </si>
  <si>
    <t>LC TT-10-17/V10TT</t>
  </si>
  <si>
    <t>KT8.</t>
  </si>
  <si>
    <t>PX KT8 (KT4 cũ)</t>
  </si>
  <si>
    <t>PX ĐL1 (ĐL4 cũ)</t>
  </si>
  <si>
    <t>ĐL1.</t>
  </si>
  <si>
    <t>PX Than 8</t>
  </si>
  <si>
    <t xml:space="preserve">
Q
</t>
  </si>
  <si>
    <t>Qk</t>
  </si>
  <si>
    <t>Lò chợ N-8-3</t>
  </si>
  <si>
    <t>Lò chợ TT-12-7</t>
  </si>
  <si>
    <t>Than 8</t>
  </si>
  <si>
    <t>Than 9</t>
  </si>
  <si>
    <t>LC TT-12-7</t>
  </si>
  <si>
    <t>LC TT-8-4</t>
  </si>
  <si>
    <t>Lò nối+TVPH chợ TT-10-17.1</t>
  </si>
  <si>
    <t>Lò nối+TVPH chợ TT-5-4A</t>
  </si>
  <si>
    <t>PX KT8</t>
  </si>
  <si>
    <t>Lò DVTG chợ N-6-10.1</t>
  </si>
  <si>
    <t>Lò nối +TVPH chợ N-6-12.1</t>
  </si>
  <si>
    <t>Lò nối +TVPH chợ TT-8-4 (sau phay)</t>
  </si>
  <si>
    <t>Lò nối +TVPH chợ TT-8-4 (trước phay)</t>
  </si>
  <si>
    <t>Lò DVPT chợ TT-8-4 (sau phay)</t>
  </si>
  <si>
    <t>Lò DVPT chợ TT-8-4 (trước phay)</t>
  </si>
  <si>
    <t>Lò nối +TVPH chợ TT-8-3B.1</t>
  </si>
  <si>
    <t>Lò TKĐ +SS trung gian chợ TT-8-3B.1</t>
  </si>
  <si>
    <t>Đ1</t>
  </si>
  <si>
    <t>Đ2</t>
  </si>
  <si>
    <t>Đ3</t>
  </si>
  <si>
    <t>Xén lò TKĐ chợ TT-12-6</t>
  </si>
  <si>
    <t>Tổng đào+xén</t>
  </si>
  <si>
    <t>Lò thượng VT -250V.7/-175V.8 KN</t>
  </si>
  <si>
    <t>Lò DV mức -250V.7 KN</t>
  </si>
  <si>
    <t>PX. ĐL1</t>
  </si>
  <si>
    <t>Đ4</t>
  </si>
  <si>
    <t>Xén lò thượng thông gió -250/-100V9KTT</t>
  </si>
  <si>
    <t>Lò DVVT chợ TT-10-16</t>
  </si>
  <si>
    <t>Lò DVVT chợ ĐB-11-4</t>
  </si>
  <si>
    <t>Lò DVVT chợ ĐB-10-5A</t>
  </si>
  <si>
    <t>Lò đặt ray mức -250 khu TT.IV</t>
  </si>
  <si>
    <t>Xén lò DVVT chợ N-6-5</t>
  </si>
  <si>
    <t>Xén lò DVTG chợ N-6-5</t>
  </si>
  <si>
    <t>Lò TKĐ chợ N-10-2A</t>
  </si>
  <si>
    <t>LC ĐB-12-3A</t>
  </si>
  <si>
    <t>Lò DVPT chợ ĐB-10-1B (số 5-7)</t>
  </si>
  <si>
    <t>Lò DVTG chợ TT-9-9/V9KTT</t>
  </si>
  <si>
    <t>Lò DVVT chợ TT-8-20/V8KTT</t>
  </si>
  <si>
    <t>Lò SS trung gian chợ N-6-10.1</t>
  </si>
  <si>
    <t>Xén lò thượng TTG -100/-10V6KN</t>
  </si>
  <si>
    <t>Xén lò DV mức -50V6KN</t>
  </si>
  <si>
    <t>Xén lò DVVT chợ N-10-2.2</t>
  </si>
  <si>
    <t>Xén lò DVVT chợ N-10-2A</t>
  </si>
  <si>
    <t>Xén lò DV -100V8KN</t>
  </si>
  <si>
    <t>Xén lò thượng thông gió -100/+38V6KN</t>
  </si>
  <si>
    <t>Xén lò DVTG chợ N-6-11</t>
  </si>
  <si>
    <t>Xén lò DVVT chợ TT-11-10/V11/KTT</t>
  </si>
  <si>
    <t>Lò đặt ray mức -250 khu TT.III (DTSX)</t>
  </si>
  <si>
    <t>Lò nối thông gió đáy giếng phụ trục tải</t>
  </si>
  <si>
    <t>Lò thượng TG -100/+38V10 KĐB</t>
  </si>
  <si>
    <t>Xén lò DV mức -100 vỉa 6KN</t>
  </si>
  <si>
    <t>Các H/s ko xóa</t>
  </si>
  <si>
    <t>Theo quý</t>
  </si>
  <si>
    <t>Theo tháng</t>
  </si>
  <si>
    <t>Lò TKĐ chợ TT-10-16</t>
  </si>
  <si>
    <t>Lò DVTG chợ TT-10-16</t>
  </si>
  <si>
    <t>QI-2026</t>
  </si>
  <si>
    <t>QII-2026</t>
  </si>
  <si>
    <t>QIII-2026</t>
  </si>
  <si>
    <t>QIV-2026</t>
  </si>
  <si>
    <t>LC N-10-2.1</t>
  </si>
  <si>
    <t>15/4</t>
  </si>
  <si>
    <t>CGH1-quý I</t>
  </si>
  <si>
    <t>ĐL5-Quý II</t>
  </si>
  <si>
    <t>Xén lò thượng TG -100/+38V5KTT</t>
  </si>
  <si>
    <t>M.đào</t>
  </si>
  <si>
    <t>Sản lượng</t>
  </si>
  <si>
    <t>Tổng 6T-2026</t>
  </si>
  <si>
    <t>`Đ2</t>
  </si>
  <si>
    <t>Lò DVVT chợ TT-10-9A</t>
  </si>
  <si>
    <t>Lò Thượng tháo giàn chợ TT-9-7</t>
  </si>
  <si>
    <t xml:space="preserve">     Phòng KCM                   Phòng CV                   Phòng TĐ                Phòng ĐK                         PGĐ SX                PGĐ Cơ điện              PGĐ Kỹ thuật</t>
  </si>
  <si>
    <t>Quảng Ninh, ngày:       /10/2026</t>
  </si>
  <si>
    <t>KẾ HOẠCH SẢN LƯỢNG NĂM 2027</t>
  </si>
  <si>
    <t>LC N-8-3/V8-KN(D1)</t>
  </si>
  <si>
    <t>LC N-8-3/V8-KN(D2)</t>
  </si>
  <si>
    <t>SL 2027 (tấn)</t>
  </si>
  <si>
    <t>LC N-6-5/V6KN(GD2)</t>
  </si>
  <si>
    <t>LC TT9-10V9KTT</t>
  </si>
  <si>
    <t>LC TT-9-9</t>
  </si>
  <si>
    <t>LC TT-8-13</t>
  </si>
  <si>
    <t>LC TT-8-17</t>
  </si>
  <si>
    <t>LC TT-4-1</t>
  </si>
  <si>
    <t>LC TT-5-4A</t>
  </si>
  <si>
    <t>t9</t>
  </si>
  <si>
    <t>LC TT-6-5</t>
  </si>
  <si>
    <t>LC N-6-11.1</t>
  </si>
  <si>
    <t>LC TT-11-10</t>
  </si>
  <si>
    <t>LC N-6-11.2</t>
  </si>
  <si>
    <t>LC N-6-12.2</t>
  </si>
  <si>
    <t>LC N-6-12.3</t>
  </si>
  <si>
    <t>LC N-8a-1</t>
  </si>
  <si>
    <t>LC N-6a-1.1</t>
  </si>
  <si>
    <t>LC N-6a-1.2</t>
  </si>
  <si>
    <t>LC N-6a-1.3</t>
  </si>
  <si>
    <t>LC N-10-2A</t>
  </si>
  <si>
    <t>Lắp giàn</t>
  </si>
  <si>
    <t xml:space="preserve"> C.diện </t>
  </si>
  <si>
    <t>LC N-9-1C</t>
  </si>
  <si>
    <t>LC N-9-1B</t>
  </si>
  <si>
    <t>LC N-9-4</t>
  </si>
  <si>
    <t>LC TT-10-16</t>
  </si>
  <si>
    <t>Lò SSC+PRT chợ N-8-3</t>
  </si>
  <si>
    <t>Lò BX+ DVVT chợ N-8-4A</t>
  </si>
  <si>
    <t>Lò TKĐ chợ N-8-4A</t>
  </si>
  <si>
    <t>Xén lò DV mức -100V8 KN</t>
  </si>
  <si>
    <t>Lò thượng TG -130/-100/V8-KN</t>
  </si>
  <si>
    <t>Lò trung gian chợ N-6-5</t>
  </si>
  <si>
    <t xml:space="preserve">Lò TKĐ chợ N-6-5 </t>
  </si>
  <si>
    <t>Lò nối+TVPH chợ N-6-5</t>
  </si>
  <si>
    <t>Lò Thông gió chợ N-6-5</t>
  </si>
  <si>
    <t>BS lò bên Vỉa 6 A</t>
  </si>
  <si>
    <t xml:space="preserve">Xén lò thượng TG -100/-10V6 </t>
  </si>
  <si>
    <t>Lò DVVT chợ N-9-1B</t>
  </si>
  <si>
    <t>Lò TKĐ chợ N-9-1B ( Đ1)</t>
  </si>
  <si>
    <t>Lò TKĐ chợ N-9-1B ( Đ2)</t>
  </si>
  <si>
    <t>Lò DVTG chợ N-9-1B</t>
  </si>
  <si>
    <t>Lò nối+TVPH chợ  N-9-1B</t>
  </si>
  <si>
    <t>Lò ngầm + Lò DVVT chợ N-9-4/V9-KN</t>
  </si>
  <si>
    <t>Lò TKĐ chợ N-9-4</t>
  </si>
  <si>
    <t>Lò nối +TVPH chợ N-6-11.1</t>
  </si>
  <si>
    <t>Lò SSC+PRT chợ N-6-11.2</t>
  </si>
  <si>
    <t>Lò TKĐ chợ N-6-11.2</t>
  </si>
  <si>
    <t>Lò nối +TVPH chợ N-6-11.2</t>
  </si>
  <si>
    <t>Lò nối +TVPH chợ TT-11-10/V11-KTT</t>
  </si>
  <si>
    <t>Lò nối +TVPH chợ N-6-12.2</t>
  </si>
  <si>
    <t>Lò TKĐ chợ N-6-12.3</t>
  </si>
  <si>
    <t>Lò nối +TVPH chợ N-6-12.3</t>
  </si>
  <si>
    <t>Lò nối +TVPH chợ TT-9-10</t>
  </si>
  <si>
    <t>Lò DVTG chợ TT-9-11/V9-KTT</t>
  </si>
  <si>
    <t>Lò DVVT chợ TT-9-11/ KTT</t>
  </si>
  <si>
    <t>Lò nối +TVPH chợ TT-9-11</t>
  </si>
  <si>
    <t>Lò thượng KĐ chợ TT-9-11</t>
  </si>
  <si>
    <t>Lò Thượng tháo giàn chợ TT-9-8A</t>
  </si>
  <si>
    <t>Lò Thượng tháo giàn chợ TT-9-9</t>
  </si>
  <si>
    <t>Lò DVVT chợ TT-9-5A</t>
  </si>
  <si>
    <t>Lò Thượng tháo giàn chợ TT-8-13</t>
  </si>
  <si>
    <t>Lò Thượng tháo giàn chợ TT-8-17</t>
  </si>
  <si>
    <t>Lò nối thông gió chợ TT-5-4/V5-KTT</t>
  </si>
  <si>
    <t>Lò nối +TVPH chợ TT-6-5</t>
  </si>
  <si>
    <t>Lò DVPT chợ TT-6-5/V6-KTT</t>
  </si>
  <si>
    <t>Lò DVVT tận thu chợ TT-12-7</t>
  </si>
  <si>
    <t>Lò Phỗng rót than chợ TT-12-7</t>
  </si>
  <si>
    <t>Lò DVPT chợ TT-14-2/V14-KĐB</t>
  </si>
  <si>
    <t>Lò nối +TVPH chợ ĐB-14-4/V14-KĐB</t>
  </si>
  <si>
    <t>Xén lò DV mức -100 V14-KĐB</t>
  </si>
  <si>
    <t>Lò PTG +SS trung gian chợ TT-8-4</t>
  </si>
  <si>
    <t>Lò nối + TVPH chợ TT-8-4</t>
  </si>
  <si>
    <t>Lò DVPT chợ TT-8-4</t>
  </si>
  <si>
    <t>Lò TKĐ chợ TT-8-4</t>
  </si>
  <si>
    <t>Xén lò DVTG chợ TT-8-4</t>
  </si>
  <si>
    <t>Xén lò thượng TG -100/+38V8KTT</t>
  </si>
  <si>
    <t>Xén lò DV mức -90V8KTT</t>
  </si>
  <si>
    <t>Lò DVVT chợ TT-4-1 (EBH)</t>
  </si>
  <si>
    <t>Lò DV mức -100 vỉa 4 KTT (EBH)</t>
  </si>
  <si>
    <t>Lò DVTG chợ TT-8-10A (EBH)</t>
  </si>
  <si>
    <t>Lò ngầm VT mức -100/-130/V5-4KTT</t>
  </si>
  <si>
    <t>Lò thượng TG -130/-100/V4-KTT</t>
  </si>
  <si>
    <t>Lò thượng TG -190/-130/V4-KTT</t>
  </si>
  <si>
    <t>Lò TKĐ chợ TT-4-1/V4-KTT</t>
  </si>
  <si>
    <t>Lò DVVT chợ TT-4-2/V4-KTT ( TC+EBH số 2)</t>
  </si>
  <si>
    <t>Lò DV mức -130/V5-KTT</t>
  </si>
  <si>
    <t>Lò DVVT chợ TT-10-18</t>
  </si>
  <si>
    <t>Lò TKĐ chợ TT-8-5/V8KTT</t>
  </si>
  <si>
    <t>Lò TKĐ chợ TT-8-5B/V8KTT</t>
  </si>
  <si>
    <t>Lò DVVT chợ TT-9-9/V9KTT</t>
  </si>
  <si>
    <t>Lò Thượng Khởi điểm chợ TT-9-9/V9-KTT</t>
  </si>
  <si>
    <t>Lò TKĐ chợ TT-9-9/V9-KTT</t>
  </si>
  <si>
    <t>Lò DVPT chợ TT-9-11</t>
  </si>
  <si>
    <t>Lò DVVT chợ TT-9-5A/V9-KTT</t>
  </si>
  <si>
    <t>Lò Thượng TG mức -100/-45/V9TT-V8 KĐB</t>
  </si>
  <si>
    <t>Lò DVVT chợ TT-9-14A/V9 KTT</t>
  </si>
  <si>
    <t>Lò DVTG chợ TT-9-12B</t>
  </si>
  <si>
    <t>Lò DVTG chợ TT-9-12</t>
  </si>
  <si>
    <t>Lò DVVT chợ TT-9-12</t>
  </si>
  <si>
    <t>Lò TKĐ chợ TT-9-12</t>
  </si>
  <si>
    <t>Lò TTG mức -190/-30/V10KTT</t>
  </si>
  <si>
    <t>Xén lò nối V11 sang V10KDB</t>
  </si>
  <si>
    <t>Lò DVTG mức -30/V10KTT</t>
  </si>
  <si>
    <t>Lò nối TG mức -30/V10KTT</t>
  </si>
  <si>
    <t>Lò thượng TG mức -30/+38/V10KTT-V10-KĐB</t>
  </si>
  <si>
    <t>Lò thượng VT mức -190/-150V8 KTT</t>
  </si>
  <si>
    <t>Lò DVVT chợ TT-8-17/V8KTT</t>
  </si>
  <si>
    <t>Lò DVTG chợ TT-8-17/V8KTT</t>
  </si>
  <si>
    <t>Lò thượng KĐ chợ TT-8-17/V8-KTT</t>
  </si>
  <si>
    <t>Lò thượng KĐ chợ TT-8-17/V8-KTT ( Đào hạ)</t>
  </si>
  <si>
    <t>Lò nối VT mức -215/ V8-KTT</t>
  </si>
  <si>
    <t>Lò thượng TG mức -215/-190/V8-KTT</t>
  </si>
  <si>
    <t>Lò DVTG chợ TT-8-20/V8KTT</t>
  </si>
  <si>
    <t>Lò DVTG chợ TT-7-6/V7-KTT</t>
  </si>
  <si>
    <t>Lò nối -145/-135 chợ TT-7-6/V7-KTT</t>
  </si>
  <si>
    <t>Lò thượng khởi điểm chợ TT-7-2/V7-KTT</t>
  </si>
  <si>
    <t>Lò nối TG-105/-80 /V7-KTT</t>
  </si>
  <si>
    <t>Lò DVTG chợ TT-7-2 /V7-KTT</t>
  </si>
  <si>
    <t>Lò nối TG chợ TT-7-2 /V7-KTT</t>
  </si>
  <si>
    <t>Lò DVVT chợ TT-6-5/V6-KTT</t>
  </si>
  <si>
    <t>Lò Thượng KĐ chợ TT-6-5/V6-KTT</t>
  </si>
  <si>
    <t>Lò TG -250/-90/V8-KTT</t>
  </si>
  <si>
    <t>Lò DVVT chợ TT-7-5/V7-KTT</t>
  </si>
  <si>
    <t>Lò thượng VT -200-:--160/V7-KTT</t>
  </si>
  <si>
    <t>Lò Thượng KĐ chợ TT-7-5/V7-KTT</t>
  </si>
  <si>
    <t>Lò nối TG chợ TT-7-5 /V7-KTT</t>
  </si>
  <si>
    <t>Lò nối TG -100/-70/V8-KTT sang V9-KTT</t>
  </si>
  <si>
    <t>Lò DVTG chợ TT-8-14/V8-KTT</t>
  </si>
  <si>
    <t>Lò DVTG chợ TT-8-12/V8-KTT</t>
  </si>
  <si>
    <t>Xén lò DV mức -100/V6-KTT</t>
  </si>
  <si>
    <t>Xén lò DV mức -100/V7-KTT</t>
  </si>
  <si>
    <t>Lò thượng KĐ chợ ĐB-14-5/V14-KĐB</t>
  </si>
  <si>
    <t>Lò DVVT chợ N-7-7/V7-KN</t>
  </si>
  <si>
    <t>Lò thượng KĐ chợ N-7-7/V7-KM</t>
  </si>
  <si>
    <t>Lò DVVT chợ N-6-13/V6-KN</t>
  </si>
  <si>
    <t>Lò TKĐ chợ N-6-13/V6-KN</t>
  </si>
  <si>
    <t>Lò DVTG chợ N-6-13/V6-KN</t>
  </si>
  <si>
    <t>Lò thượng VT mức -25/+20/V6-KN</t>
  </si>
  <si>
    <t>LC ĐB-11-5</t>
  </si>
  <si>
    <t>Lò DVPT chợ N-6-12.3/V6-KN</t>
  </si>
  <si>
    <t>Lò SS trung gian chợ ĐB=12-3A</t>
  </si>
  <si>
    <t>Xén Ngã ba lò đặt băng tải mức -250-:--240 khu TT</t>
  </si>
  <si>
    <t>Lò nối thông gió bun ke rót than số 4</t>
  </si>
  <si>
    <t>Lò ngã ba + lò đặt băng tải ray mức -250/-240 khu ĐB.I</t>
  </si>
  <si>
    <t>Lò nối thông gió bun ke rót than số 3</t>
  </si>
  <si>
    <t>Lò Bun ke rót than số 3</t>
  </si>
  <si>
    <t>Lò Bun ke rót than số 4</t>
  </si>
  <si>
    <t>Lò đặt đường ray mức -250 khu TT.I (Đoạn nối TT.I và TT.IV)</t>
  </si>
  <si>
    <t>Lò ngã ba + lò đặt băng tải ray mức -250/-240 khu TT.I</t>
  </si>
  <si>
    <t>Lò đặt ray mức -250 khu TT.III (DTSX), đoạn quay ra giếng phụ</t>
  </si>
  <si>
    <t>Lò nối TG đáy giếng phụ trục tải+40/-250</t>
  </si>
  <si>
    <t>Lò giếng hút hầm bơm mức -250 ( từ LCN số 1)</t>
  </si>
  <si>
    <t>Lò nối các giếng hút hầm bơm -250 ( từ LCN số 1)</t>
  </si>
  <si>
    <t>Lò giếng hút hầm bơm mức -250 ( từ LCN số 2)</t>
  </si>
  <si>
    <t>Lò nối các giếng hút hầm bơm -250 ( từ LCN số 2)</t>
  </si>
  <si>
    <t>Lò nối từ lò chứa nước số 1 vào giếng hút ( số 2,3)</t>
  </si>
  <si>
    <t>Lò giếng hút hầm bơm mức -250 ( từ LCN số 2,3)</t>
  </si>
  <si>
    <t>Lò nối các giếng hút hầm bơm -250 ( từ LN số 2,3)</t>
  </si>
  <si>
    <t>Lò đặt ray mức -250 khu TT.I</t>
  </si>
  <si>
    <t>Lò dọc vỉa mức -250 khu ĐB.I</t>
  </si>
  <si>
    <t>Lò XV mức -250 khu ĐB.II</t>
  </si>
  <si>
    <t>Lò đặt ray -250 khu N.I</t>
  </si>
  <si>
    <t>Đổ bê tông hoàn thiện kho mìn</t>
  </si>
  <si>
    <t>Xén ngã ba lò đặt băng tải ray mức -250/-240 khu TT.I</t>
  </si>
  <si>
    <t>Lò đặt ray mức -250 khu TT.I ( đoạn TT.I và TT.IV)</t>
  </si>
  <si>
    <t>Lò DV mức -250/V7-KTT.IV</t>
  </si>
  <si>
    <t>Lò Thượng TG mức -250/-100/V7-KTT.IV (thượng)</t>
  </si>
  <si>
    <t>Lò Thượng TG mức -250/-100/V7-KTT.IV (Hạ)</t>
  </si>
  <si>
    <t>Xén lò đặt ray mức -100 khu B.II</t>
  </si>
  <si>
    <t>Lò DV mức -100/V14-KĐB</t>
  </si>
  <si>
    <t>Lò XV mức -100/V14-KB</t>
  </si>
  <si>
    <t>Lò dọc mức -100/V14 khu Bắc</t>
  </si>
  <si>
    <t>Đổ bê tông hoàn thiện hầm bơm</t>
  </si>
  <si>
    <t>Đổ bê tông hoàn thiện 02 bun ke</t>
  </si>
  <si>
    <t>TN11</t>
  </si>
  <si>
    <t>Lò DVTG chợ N-8a-1</t>
  </si>
  <si>
    <t>Lò DVVT chợ N-8a-1</t>
  </si>
  <si>
    <t>Lò thượng khởi điểm chợ N-8a-6</t>
  </si>
  <si>
    <t>Lò DVTG chợ N-7A-1/V7-KN</t>
  </si>
  <si>
    <t>Lò DVVT chợ N-7A-1/V7-KN</t>
  </si>
  <si>
    <t>Lò DVVT chợ ĐB-11-5A/V11-KĐB</t>
  </si>
  <si>
    <t>Lò thượng KĐ chợ ĐB -11-5A/V1-KĐB</t>
  </si>
  <si>
    <t>Xén lò DV mức -100 V6 KTT</t>
  </si>
  <si>
    <t>Xén lò DV mức -100 V7 KN</t>
  </si>
  <si>
    <t>Xén lò XV+38-IV</t>
  </si>
  <si>
    <t>Xén lò XV+38-I(doạn từ V10 TT vào trong)</t>
  </si>
  <si>
    <t>Xén lò XV mức -100 khu ĐB.II</t>
  </si>
  <si>
    <t>Xén lò XV mức +38 KĐB.I</t>
  </si>
  <si>
    <t>Xén lò DV mức -100/V9-KN</t>
  </si>
  <si>
    <t>Xén lò thượng VT-226/-100V10-KTT</t>
  </si>
  <si>
    <t>Xén lò DV-100/V6-KN</t>
  </si>
  <si>
    <t>Xén lò thượngTG -100/-30 V5-KTT</t>
  </si>
  <si>
    <t>Xén lò DVTG chợ ĐB-10-3A/V10/KĐB</t>
  </si>
  <si>
    <t>Xén lò thượng TG -100/+38/V10</t>
  </si>
  <si>
    <t>Xén lò đặt ray mức -100 khu TT.II( V9-ĐB)</t>
  </si>
  <si>
    <t>Xén lò thượng TG, TVL-250/-100( ngầm 160 KD)</t>
  </si>
  <si>
    <t>Xén lò thượng TG -100/+38/V9-KTT</t>
  </si>
  <si>
    <t>Xén lò DV -100/V5-KTT</t>
  </si>
  <si>
    <t>Xén lò XV -100 khu TT.I</t>
  </si>
  <si>
    <t>Xén lò thượng TG mức -100/+38/V14-KĐB</t>
  </si>
  <si>
    <t>Xén lò ngầm TG +44/-100</t>
  </si>
  <si>
    <t>Xén thượng TG mức -100/+38/V13-KTT</t>
  </si>
  <si>
    <t>Xén thượng thoát nước -100/+38/V13-KTT</t>
  </si>
  <si>
    <t>Xén lò đặt ray mức -100 KTT.II( V14-KĐB)</t>
  </si>
  <si>
    <t>Xén lò đặt ray mức -100 TT.II(V11-12)</t>
  </si>
  <si>
    <t>Xén lò đặt ray mức -100 ĐB.I</t>
  </si>
  <si>
    <t>Xén đặt băng tải -90/V10-KĐB</t>
  </si>
  <si>
    <t>Xén lò XV mức -100 khu TT.II ( V8- ĐB)</t>
  </si>
  <si>
    <t>Xén lò XV mức -100 khu TT.II ( V9- 10-TT)</t>
  </si>
  <si>
    <t xml:space="preserve">Xén lò XV mức -100 khu ĐB.II </t>
  </si>
  <si>
    <t>Lò thượng TG -100/+38 kTT</t>
  </si>
  <si>
    <t xml:space="preserve">    Nguyễn Văn Thúy   Nguyễn Văn Hương   Đặng Văn Thiện     Phạm Văn Thương       Nguyễn Chí Trưởng     Bùi Xuân Phương        Trần Quang Vinh</t>
  </si>
  <si>
    <r>
      <t xml:space="preserve">                               </t>
    </r>
    <r>
      <rPr>
        <i/>
        <sz val="14"/>
        <rFont val="Times New Roman"/>
        <family val="1"/>
      </rPr>
      <t>Quảng Ninh, ngày      tháng 10 năm 2026</t>
    </r>
  </si>
  <si>
    <t>Nguyễn Mạnh Hùng</t>
  </si>
  <si>
    <r>
      <t xml:space="preserve">Ghi chú: </t>
    </r>
    <r>
      <rPr>
        <sz val="14"/>
        <rFont val="Times New Roman"/>
        <family val="1"/>
      </rPr>
      <t>Trong quá trình triển khai thực hiện kế hoạch năm 2026 nếu có sai khác, điều kiện biến động thì căn cứ vào điều kiện thực tế Công ty sẽ có điều chỉnh phù hợp.</t>
    </r>
  </si>
  <si>
    <t xml:space="preserve">Lò DVTG chợ TT-10-9A/V10KTT </t>
  </si>
  <si>
    <t>LC TT-8-3C</t>
  </si>
  <si>
    <t>LC TT-8-4 ( GD1)</t>
  </si>
  <si>
    <t>LC TT-8-4 ( GD2)</t>
  </si>
  <si>
    <t>LC TT9-11/V9KTT</t>
  </si>
  <si>
    <t>LC TT-11-10B</t>
  </si>
  <si>
    <t>CGHD</t>
  </si>
  <si>
    <t>Lò thượng TG -100/+38/V10-KĐB+12m lò cúp</t>
  </si>
  <si>
    <t>Xén lò DV-100/V10-KĐB</t>
  </si>
  <si>
    <t>Lò DVPT số 1,2 chợ ĐB-10-1A/V10-KĐB</t>
  </si>
  <si>
    <t>Lò DVVT chợ TT-7-4/V7-KTT</t>
  </si>
  <si>
    <t>Lò thượng KĐ + lò TG chợ TT-7-4/V7-KTT</t>
  </si>
  <si>
    <t>Lò thượng VT -100/+38/V7a-KN</t>
  </si>
  <si>
    <t>Lò DVVT chợ TT-8-5B vỉa 7-KTT</t>
  </si>
  <si>
    <t>Lò XV -100khu TT.IV</t>
  </si>
  <si>
    <t>Lò cúp chứa nước lò chợ N-8-4A/V8-KN</t>
  </si>
  <si>
    <t>Lò DVPT chợ N-6-5/V6-KN</t>
  </si>
  <si>
    <t>Xén lò thượng TG -100/+38/V9-KN</t>
  </si>
  <si>
    <t>Lò DVPT chợ N-6-8B</t>
  </si>
  <si>
    <t>Lò cúp chứa nước chợ  N-9-4</t>
  </si>
  <si>
    <t>Lò DVVT chợ TT-9-12B</t>
  </si>
  <si>
    <t>Lò DVTG chợ TT-9-12B/V9KTT</t>
  </si>
  <si>
    <t>Lò TKĐ chợ TT-9-12B/V9KTT</t>
  </si>
  <si>
    <t>Lò thượng -250/-100/V9-KTT</t>
  </si>
  <si>
    <t>Lò DVPT chợ TT-9-12A</t>
  </si>
  <si>
    <t>Lò nối +TVPH chợ TT-9-12B</t>
  </si>
  <si>
    <t>Xén lò thượng -250/-100 V9/KTT</t>
  </si>
  <si>
    <t>Lò // trung gian chợ TT-12-7</t>
  </si>
  <si>
    <t>Lò ngầm TG mức -130/-250/V5-KTT</t>
  </si>
  <si>
    <t>Lò phỗng TG -60-:--30/V11KTT</t>
  </si>
  <si>
    <t>Lò DVTG mức -30 lò chợ TT-11-10B/V11KTT</t>
  </si>
  <si>
    <t>Lò DVVT chợ TT-11-10B/V11-KTT</t>
  </si>
  <si>
    <t>Lò thượng KĐ mở chợ TT-11-10B/V11-KTT</t>
  </si>
  <si>
    <t>Lò phỗng TG -50-:--30 chợ TT-11-11A/V11KTT</t>
  </si>
  <si>
    <t>`</t>
  </si>
  <si>
    <t xml:space="preserve"> + Lò chợ CGH Dốc</t>
  </si>
  <si>
    <t>KẾ HOẠCH ĐÀO, XÉN LÒ NĂM 2027</t>
  </si>
  <si>
    <t>KH NĂM 2027</t>
  </si>
  <si>
    <t xml:space="preserve"> CÁC CHỈ TIÊU GIAO KHOÁN  NĂM 2027</t>
  </si>
  <si>
    <t>(Ban hành kèm theo KH số:             /KH- KCM, ngày      tháng 10 năm 2026)</t>
  </si>
  <si>
    <t>TỔNG HỢP MÉT LÒ, TẤN THAN NĂM 2027</t>
  </si>
  <si>
    <t>SL năm 2027</t>
  </si>
  <si>
    <t>Mét lò năm 2027</t>
  </si>
  <si>
    <t>Lịch thực hiện KH năm 2027</t>
  </si>
  <si>
    <t>(Diện dự phòng)</t>
  </si>
  <si>
    <t>LC TT9-12B/V9KTT</t>
  </si>
  <si>
    <t>Lò DVVT chợ TT-5-5/V5-KTT</t>
  </si>
  <si>
    <t>Lò đặt ray mức -250 khu B.II ( L=930m)</t>
  </si>
  <si>
    <t>Lò DVTG chợ ĐB-14-6A(CGH) ( QB)</t>
  </si>
  <si>
    <t>Lò DVTG chợ ĐB-14-6A(CGH) ( QN)</t>
  </si>
  <si>
    <t>EBH</t>
  </si>
  <si>
    <t>Lò chống neo</t>
  </si>
  <si>
    <t>Lò đào EBH</t>
  </si>
  <si>
    <t>Lò đào XK-MX</t>
  </si>
  <si>
    <t>Lò Khai thông</t>
  </si>
  <si>
    <t>XK-MX</t>
  </si>
  <si>
    <t>Lò DVVT chợ TT-5-5/V5-KTT (EBH)</t>
  </si>
  <si>
    <t>KT</t>
  </si>
  <si>
    <t>(EBH)</t>
  </si>
  <si>
    <t>Lò đào EBH hoặc (EBH)</t>
  </si>
  <si>
    <t>KH- TKV</t>
  </si>
  <si>
    <t>Các chỉ tiêu</t>
  </si>
  <si>
    <t xml:space="preserve"> Theo KH đang bố trí 01 dây chuyền chạy liên tục trong năm với tổng số mét là 1360m ( trừ tháng 2 và thời gian chuyển diện), ngoài ra bố trí 1 tháng 12 thi công dây chuyền EBH số 2 là 120m.  Đạt 98,7% vì vậy cần đưa máy về sớm để thực hiện 2 dây chuyền</t>
  </si>
  <si>
    <t xml:space="preserve">        + Lò đào XK-MX thuê ngoài</t>
  </si>
  <si>
    <t xml:space="preserve">        + Lò đào XK-MX XLM</t>
  </si>
  <si>
    <t xml:space="preserve">        + Lò đào XK-MX tự làm</t>
  </si>
  <si>
    <t>KH C.Ty</t>
  </si>
  <si>
    <t>Mét lò khai thông còn lại</t>
  </si>
  <si>
    <t>Lò DVTG chợ N-9-1C</t>
  </si>
  <si>
    <t>Lò SSC+PRT/V5-KTT</t>
  </si>
  <si>
    <t>Các lò chợ dự phòng</t>
  </si>
  <si>
    <t>Năm 2027</t>
  </si>
  <si>
    <t>Các diện sản xuất</t>
  </si>
  <si>
    <t>LC TT-8-20</t>
  </si>
  <si>
    <t>LC TT-9-12</t>
  </si>
  <si>
    <t>I</t>
  </si>
  <si>
    <t>II</t>
  </si>
  <si>
    <t>Trữ lượng</t>
  </si>
  <si>
    <t>Huy động</t>
  </si>
  <si>
    <t>Còn lại</t>
  </si>
  <si>
    <t>chuyển sang 2028</t>
  </si>
  <si>
    <t>LC TT-10-18</t>
  </si>
  <si>
    <t>Lò chợ CGH 1 (HT)</t>
  </si>
  <si>
    <t>Lò chợ CGH 2(HN)</t>
  </si>
  <si>
    <t>LC ĐB-14-6A</t>
  </si>
  <si>
    <t>LC TT-5-5</t>
  </si>
  <si>
    <t>LC TT-4-2</t>
  </si>
  <si>
    <t>Quý I 2028 xong</t>
  </si>
  <si>
    <t>Quý IV 2027 xong</t>
  </si>
  <si>
    <t>Quý IV 2028 xong</t>
  </si>
  <si>
    <t>Quý III 2028 xong</t>
  </si>
  <si>
    <t>III</t>
  </si>
  <si>
    <t>Các lò chợ Giá khung</t>
  </si>
  <si>
    <t>PHỤ LỤC 1: CÁC CHỈ TIÊU KTCN CHỦ YẾU NĂM 2027</t>
  </si>
  <si>
    <t>TÊN CHỈ TIÊU</t>
  </si>
  <si>
    <t>SẢN LƯỢNG</t>
  </si>
  <si>
    <t>THAN  NGUYÊN KHAI</t>
  </si>
  <si>
    <t>ĐƠN VỊ TÍNH</t>
  </si>
  <si>
    <t xml:space="preserve">Khối lượng
KH 2027
</t>
  </si>
  <si>
    <t>IN</t>
  </si>
  <si>
    <t>Than nguyên khai hầm lò</t>
  </si>
  <si>
    <t>2.1</t>
  </si>
  <si>
    <t xml:space="preserve"> Than lò chợ:</t>
  </si>
  <si>
    <t xml:space="preserve">   + Lò chợ máy khấu </t>
  </si>
  <si>
    <t xml:space="preserve">   + Lò chợ giá khung, giá xích </t>
  </si>
  <si>
    <t xml:space="preserve">   + Lò chợ giàn mềm</t>
  </si>
  <si>
    <t xml:space="preserve">   + Khai thác lò dọc vỉa phân tầng, ngang nghiêng </t>
  </si>
  <si>
    <t>2.2</t>
  </si>
  <si>
    <t xml:space="preserve"> Than đào lò, xén lò:</t>
  </si>
  <si>
    <t xml:space="preserve">   + Than đào lò chuẩn bị sản xuất </t>
  </si>
  <si>
    <t xml:space="preserve">   + Than xén lò</t>
  </si>
  <si>
    <t>Độ tro bình quân than nguyên khai</t>
  </si>
  <si>
    <t>-</t>
  </si>
  <si>
    <t>Độ tro bình quân than nguyên khai hầm lò</t>
  </si>
  <si>
    <t>Mét lò CBSX</t>
  </si>
  <si>
    <t>Theo tính chất đất đá</t>
  </si>
  <si>
    <t xml:space="preserve">      + Lò đá</t>
  </si>
  <si>
    <t xml:space="preserve">        * Tiết diện bình quân lò đá</t>
  </si>
  <si>
    <t xml:space="preserve">      + Lò than</t>
  </si>
  <si>
    <t xml:space="preserve">        * Tiết diện bình quân lò than</t>
  </si>
  <si>
    <t xml:space="preserve">      + Mét lò đào CGH đồng bộ (máy Combai)</t>
  </si>
  <si>
    <t xml:space="preserve">      + Mét lò đào bán CGH (xe khoan + máy xúc)</t>
  </si>
  <si>
    <t>Theo vật liệu chống</t>
  </si>
  <si>
    <t xml:space="preserve">   + Mét lò chống neo</t>
  </si>
  <si>
    <t xml:space="preserve">   + Mét lò chống sắt</t>
  </si>
  <si>
    <t xml:space="preserve">   + Mét lò chống gỗ</t>
  </si>
  <si>
    <t>2.3</t>
  </si>
  <si>
    <t>Theo công đoạn sản xuất</t>
  </si>
  <si>
    <t>Lò than:</t>
  </si>
  <si>
    <t>-Lò than chống sắt:</t>
  </si>
  <si>
    <t>Trong đó: + Tiết diện bình quân</t>
  </si>
  <si>
    <t xml:space="preserve">                + Đào CGH đồng bộ (máy combai)</t>
  </si>
  <si>
    <t>-Lò than chống neo:</t>
  </si>
  <si>
    <t xml:space="preserve">              + Đào CGH đồng bộ (máy combai)</t>
  </si>
  <si>
    <t>-Lò than chống gỗ:</t>
  </si>
  <si>
    <t xml:space="preserve">              + Tiết diện bình quân</t>
  </si>
  <si>
    <t>Lò đá:</t>
  </si>
  <si>
    <t>-Lò đá chống sắt:</t>
  </si>
  <si>
    <t xml:space="preserve">               + Độ cứng đất đá (b/quân gia quyền)</t>
  </si>
  <si>
    <t xml:space="preserve">                              +f= 4÷6</t>
  </si>
  <si>
    <t xml:space="preserve">                              +f&gt;8</t>
  </si>
  <si>
    <t xml:space="preserve">               + Đào bán CGH (xe khoan + xúc máy)</t>
  </si>
  <si>
    <t>-Lò đá chống neo:</t>
  </si>
  <si>
    <t xml:space="preserve">                              +f=4÷6</t>
  </si>
  <si>
    <t xml:space="preserve">                              +f=6÷8</t>
  </si>
  <si>
    <t>-Lò đá chống gỗ:</t>
  </si>
  <si>
    <t xml:space="preserve">  Mét lò đặt ray</t>
  </si>
  <si>
    <t>IV</t>
  </si>
  <si>
    <t>MÉT LÒ XÉN</t>
  </si>
  <si>
    <t>Trong đó:</t>
  </si>
  <si>
    <t xml:space="preserve">      + Thuê ngoài</t>
  </si>
  <si>
    <t xml:space="preserve">      + Tự làm</t>
  </si>
  <si>
    <t xml:space="preserve">    Trong đó:+ Xén lò trong đá</t>
  </si>
  <si>
    <t xml:space="preserve">                    + Xén lò trong than</t>
  </si>
  <si>
    <t>Trong đó: + Xén lò than chống sắt</t>
  </si>
  <si>
    <t xml:space="preserve">                 + Xén lò đá chống sắt</t>
  </si>
  <si>
    <t xml:space="preserve">                 + Xén lò than chống neo</t>
  </si>
  <si>
    <t xml:space="preserve">                 + Xén lò đá chống neo</t>
  </si>
  <si>
    <t xml:space="preserve">                 + Xén lò than chống gỗ</t>
  </si>
  <si>
    <t xml:space="preserve">   + Mét lò xén chống sắt</t>
  </si>
  <si>
    <t xml:space="preserve">   + Mét lò xén chống neo</t>
  </si>
  <si>
    <t xml:space="preserve">   + Mét lò xén chống gỗ</t>
  </si>
  <si>
    <t>CHỈ TIÊU CÔNG NGHỆ</t>
  </si>
  <si>
    <t>Hệ số bóc đất sản xuất</t>
  </si>
  <si>
    <t>Hệ số mét lò CBSX</t>
  </si>
  <si>
    <t xml:space="preserve">Hệ số thu hồi than sạch </t>
  </si>
  <si>
    <t xml:space="preserve"> - Hệ số thu hồi Tiêu chuẩn quốc gia (TCVN)</t>
  </si>
  <si>
    <t xml:space="preserve"> - Hệ số thu hồi Tiêu chuẩn cơ sở (TCCS)</t>
  </si>
  <si>
    <t>Tổn thất khai thác</t>
  </si>
  <si>
    <t>Tổn thất khai thác hầm lò</t>
  </si>
  <si>
    <t xml:space="preserve">Thể trọng than nguyên khai </t>
  </si>
  <si>
    <t xml:space="preserve"> -Thể trọng than nguyên khai hầm lò</t>
  </si>
  <si>
    <t xml:space="preserve">Thể trọng đất đá </t>
  </si>
  <si>
    <t xml:space="preserve"> -Hầm lò</t>
  </si>
  <si>
    <t xml:space="preserve">Cung độ vân chuyển </t>
  </si>
  <si>
    <t xml:space="preserve"> - Than trong lò</t>
  </si>
  <si>
    <t xml:space="preserve"> - Đất đá trong lò</t>
  </si>
  <si>
    <t xml:space="preserve"> - Đất đá đào lò vận chuyển ngoài MB </t>
  </si>
  <si>
    <t xml:space="preserve"> - Than lò ngoài mặt bằng</t>
  </si>
  <si>
    <t xml:space="preserve"> -Vận chuyển than tiêu thụ</t>
  </si>
  <si>
    <t>m/1000tấn</t>
  </si>
  <si>
    <t>Mức tiêu hao vật tư chủ yếu</t>
  </si>
  <si>
    <t>Tiêu hao thuốc nổ trong hầm lò</t>
  </si>
  <si>
    <t xml:space="preserve"> Trong đó:  +Khai thác lò chợ</t>
  </si>
  <si>
    <t xml:space="preserve">                +Đào lò than</t>
  </si>
  <si>
    <t xml:space="preserve">                +Đào lò đá</t>
  </si>
  <si>
    <t xml:space="preserve">                +Xén lò</t>
  </si>
  <si>
    <t xml:space="preserve">Tiêu hao gỗ khai thác hầm lò </t>
  </si>
  <si>
    <t xml:space="preserve"> Trong đó: +Lò chợ</t>
  </si>
  <si>
    <t xml:space="preserve">                  +Lò CBSX chống gỗ</t>
  </si>
  <si>
    <t xml:space="preserve">                  +Lò CBSX chống sắt</t>
  </si>
  <si>
    <t xml:space="preserve">                  +Lò xén chống sắt</t>
  </si>
  <si>
    <t>Tiêu hao thép chống lò</t>
  </si>
  <si>
    <t>Tiêu hao điện năng</t>
  </si>
  <si>
    <t xml:space="preserve">Tiêu hao dầu nhũ hoá </t>
  </si>
  <si>
    <t>kg/m</t>
  </si>
  <si>
    <t>kW/tấn</t>
  </si>
  <si>
    <t>Tiêu hao dầu nhũ hóa chung</t>
  </si>
  <si>
    <t>Tiêu hao lưới thép</t>
  </si>
  <si>
    <t>kg/1000T</t>
  </si>
  <si>
    <t>Tiêu hao lưới thép chung</t>
  </si>
  <si>
    <t>Mét lò sử dụng vì sắt thu hồi</t>
  </si>
  <si>
    <t xml:space="preserve"> - Tỷ lệ thu hồi vì sắt sử dụng lại</t>
  </si>
  <si>
    <t>Bơm thoát nước hầm lò</t>
  </si>
  <si>
    <t>Khoan thăm dò trong lò (mét khoan dài)</t>
  </si>
  <si>
    <r>
      <t>m</t>
    </r>
    <r>
      <rPr>
        <i/>
        <vertAlign val="superscript"/>
        <sz val="11"/>
        <rFont val="Times New Roman"/>
        <family val="1"/>
      </rPr>
      <t>2</t>
    </r>
  </si>
  <si>
    <r>
      <t>m</t>
    </r>
    <r>
      <rPr>
        <vertAlign val="superscript"/>
        <sz val="11"/>
        <rFont val="Times New Roman"/>
        <family val="1"/>
      </rPr>
      <t>3</t>
    </r>
    <r>
      <rPr>
        <sz val="11"/>
        <rFont val="Times New Roman"/>
        <family val="1"/>
      </rPr>
      <t>/tấn</t>
    </r>
  </si>
  <si>
    <r>
      <t>Tấn/m</t>
    </r>
    <r>
      <rPr>
        <vertAlign val="superscript"/>
        <sz val="11"/>
        <rFont val="Times New Roman"/>
        <family val="1"/>
      </rPr>
      <t>3</t>
    </r>
  </si>
  <si>
    <r>
      <t>tấn/m</t>
    </r>
    <r>
      <rPr>
        <vertAlign val="superscript"/>
        <sz val="12"/>
        <rFont val="Times New Roman"/>
        <family val="1"/>
      </rPr>
      <t>3</t>
    </r>
  </si>
  <si>
    <r>
      <t>kg/10</t>
    </r>
    <r>
      <rPr>
        <vertAlign val="superscript"/>
        <sz val="11"/>
        <rFont val="Times New Roman"/>
        <family val="1"/>
      </rPr>
      <t>3</t>
    </r>
    <r>
      <rPr>
        <sz val="11"/>
        <rFont val="Times New Roman"/>
        <family val="1"/>
      </rPr>
      <t>T</t>
    </r>
  </si>
  <si>
    <r>
      <t>m</t>
    </r>
    <r>
      <rPr>
        <vertAlign val="superscript"/>
        <sz val="11"/>
        <rFont val="Times New Roman"/>
        <family val="1"/>
      </rPr>
      <t>3</t>
    </r>
    <r>
      <rPr>
        <sz val="11"/>
        <rFont val="Times New Roman"/>
        <family val="1"/>
      </rPr>
      <t>/10</t>
    </r>
    <r>
      <rPr>
        <vertAlign val="superscript"/>
        <sz val="11"/>
        <rFont val="Times New Roman"/>
        <family val="1"/>
      </rPr>
      <t>3</t>
    </r>
    <r>
      <rPr>
        <sz val="11"/>
        <rFont val="Times New Roman"/>
        <family val="1"/>
      </rPr>
      <t>T</t>
    </r>
  </si>
  <si>
    <r>
      <t>m</t>
    </r>
    <r>
      <rPr>
        <vertAlign val="superscript"/>
        <sz val="11"/>
        <rFont val="Times New Roman"/>
        <family val="1"/>
      </rPr>
      <t>3</t>
    </r>
    <r>
      <rPr>
        <sz val="11"/>
        <rFont val="Times New Roman"/>
        <family val="1"/>
      </rPr>
      <t>/mlò</t>
    </r>
  </si>
  <si>
    <r>
      <t>1000m</t>
    </r>
    <r>
      <rPr>
        <vertAlign val="superscript"/>
        <sz val="11"/>
        <rFont val="Times New Roman"/>
        <family val="1"/>
      </rPr>
      <t>3</t>
    </r>
  </si>
  <si>
    <t>KẾ HOẠCH SẢN XUẤT NĂM 2027</t>
  </si>
  <si>
    <t>(Kèm theo QĐ số:            /QĐ-KCM ngày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</si>
</sst>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2" formatCode="_-* #,##0\ &quot;₫&quot;_-;\-* #,##0\ &quot;₫&quot;_-;_-* &quot;-&quot;\ &quot;₫&quot;_-;_-@_-"/>
    <numFmt numFmtId="41" formatCode="_-* #,##0_-;\-* #,##0_-;_-* &quot;-&quot;_-;_-@_-"/>
    <numFmt numFmtId="164" formatCode="_(* #,##0.00_);_(* \(#,##0.00\);_(* &quot;-&quot;??_);_(@_)"/>
    <numFmt numFmtId="165" formatCode="#,##0.0"/>
    <numFmt numFmtId="166" formatCode="0.000"/>
    <numFmt numFmtId="167" formatCode="0.0"/>
    <numFmt numFmtId="168" formatCode="_(* #,##0_);_(* \(#,##0\);_(* &quot;-&quot;??_);_(@_)"/>
    <numFmt numFmtId="169" formatCode="_(* #,##0.0_);_(* \(#,##0.0\);_(* &quot;-&quot;??_);_(@_)"/>
    <numFmt numFmtId="170" formatCode="_(* #,##0.000_);_(* \(#,##0.000\);_(* &quot;-&quot;??_);_(@_)"/>
    <numFmt numFmtId="171" formatCode="0.00000"/>
    <numFmt numFmtId="172" formatCode="0.000000"/>
    <numFmt numFmtId="173" formatCode="###\ ###\ ###"/>
    <numFmt numFmtId="174" formatCode="_-* #,##0.0\ _₫_-;\-* #,##0.0\ _₫_-;_-* &quot;-&quot;?\ _₫_-;_-@_-"/>
    <numFmt numFmtId="175" formatCode="_-* #,##0\ _₫_-;\-* #,##0\ _₫_-;_-* &quot;-&quot;?\ _₫_-;_-@_-"/>
    <numFmt numFmtId="176" formatCode="#,##0.000000000000000"/>
    <numFmt numFmtId="177" formatCode="#,##0.0_);\(#,##0.0\)"/>
    <numFmt numFmtId="178" formatCode="_-* #,##0.00\ _₫_-;\-* #,##0.00\ _₫_-;_-* &quot;-&quot;??\ _₫_-;_-@_-"/>
    <numFmt numFmtId="179" formatCode="#,##0.000"/>
    <numFmt numFmtId="180" formatCode="_(* #,##0.0_);_(* \(#,##0.0\);_(* &quot;-&quot;?_);_(@_)"/>
    <numFmt numFmtId="181" formatCode="0.00;[Red]0.00"/>
  </numFmts>
  <fonts count="112" x14ac:knownFonts="1">
    <font>
      <sz val="11"/>
      <color theme="1"/>
      <name val="Calibri"/>
      <family val="2"/>
      <scheme val="minor"/>
    </font>
    <font>
      <sz val="12"/>
      <color theme="1"/>
      <name val="Times New Roman"/>
      <family val="2"/>
      <charset val="163"/>
    </font>
    <font>
      <sz val="11"/>
      <name val="Times New Roman"/>
      <family val="1"/>
    </font>
    <font>
      <b/>
      <sz val="11"/>
      <name val="Times New Roman"/>
      <family val="1"/>
    </font>
    <font>
      <b/>
      <sz val="14"/>
      <name val="Times New Roman"/>
      <family val="1"/>
    </font>
    <font>
      <b/>
      <sz val="12"/>
      <name val="Times New Roman"/>
      <family val="1"/>
    </font>
    <font>
      <sz val="10"/>
      <name val="Arial"/>
      <family val="2"/>
    </font>
    <font>
      <sz val="12"/>
      <name val="Times New Roman"/>
      <family val="1"/>
    </font>
    <font>
      <sz val="14"/>
      <name val="Times New Roman"/>
      <family val="1"/>
    </font>
    <font>
      <sz val="10"/>
      <name val="Times New Roman"/>
      <family val="1"/>
    </font>
    <font>
      <sz val="11"/>
      <color indexed="8"/>
      <name val="Calibri"/>
      <family val="2"/>
    </font>
    <font>
      <sz val="8"/>
      <name val="Times New Roman"/>
      <family val="1"/>
    </font>
    <font>
      <b/>
      <sz val="13"/>
      <name val="Times New Roman"/>
      <family val="1"/>
    </font>
    <font>
      <sz val="13"/>
      <name val="Times New Roman"/>
      <family val="1"/>
    </font>
    <font>
      <b/>
      <i/>
      <sz val="11"/>
      <name val="Times New Roman"/>
      <family val="1"/>
    </font>
    <font>
      <b/>
      <u/>
      <sz val="13"/>
      <name val="Times New Roman"/>
      <family val="1"/>
    </font>
    <font>
      <sz val="12"/>
      <name val=".VnTime"/>
      <family val="2"/>
    </font>
    <font>
      <b/>
      <sz val="16"/>
      <name val="Times New Roman"/>
      <family val="1"/>
    </font>
    <font>
      <b/>
      <u/>
      <sz val="14"/>
      <name val="Times New Roman"/>
      <family val="1"/>
    </font>
    <font>
      <i/>
      <sz val="14"/>
      <name val="Times New Roman"/>
      <family val="1"/>
    </font>
    <font>
      <b/>
      <i/>
      <sz val="13"/>
      <name val="Times New Roman"/>
      <family val="1"/>
    </font>
    <font>
      <i/>
      <sz val="12"/>
      <name val="Times New Roman"/>
      <family val="1"/>
    </font>
    <font>
      <i/>
      <sz val="11"/>
      <name val="Times New Roman"/>
      <family val="1"/>
    </font>
    <font>
      <i/>
      <sz val="13"/>
      <name val="Times New Roman"/>
      <family val="1"/>
    </font>
    <font>
      <sz val="18"/>
      <name val="Times New Roman"/>
      <family val="1"/>
    </font>
    <font>
      <i/>
      <sz val="16"/>
      <name val="Times New Roman"/>
      <family val="1"/>
    </font>
    <font>
      <sz val="20"/>
      <name val="Times New Roman"/>
      <family val="1"/>
    </font>
    <font>
      <vertAlign val="superscript"/>
      <sz val="11"/>
      <name val="Times New Roman"/>
      <family val="1"/>
    </font>
    <font>
      <b/>
      <i/>
      <u/>
      <sz val="13"/>
      <name val="Times New Roman"/>
      <family val="1"/>
    </font>
    <font>
      <b/>
      <sz val="22"/>
      <name val="Times New Roman"/>
      <family val="1"/>
    </font>
    <font>
      <sz val="12"/>
      <color indexed="8"/>
      <name val="Times New Roman"/>
      <family val="1"/>
    </font>
    <font>
      <b/>
      <sz val="12"/>
      <color indexed="8"/>
      <name val="Times New Roman"/>
      <family val="1"/>
    </font>
    <font>
      <sz val="8"/>
      <name val="Calibri"/>
      <family val="2"/>
    </font>
    <font>
      <b/>
      <i/>
      <sz val="12"/>
      <name val="Times New Roman"/>
      <family val="1"/>
    </font>
    <font>
      <b/>
      <sz val="11"/>
      <color theme="1"/>
      <name val="Calibri"/>
      <family val="2"/>
      <scheme val="minor"/>
    </font>
    <font>
      <sz val="11"/>
      <color theme="1"/>
      <name val="Times New Roman"/>
      <family val="1"/>
    </font>
    <font>
      <sz val="12"/>
      <color theme="1"/>
      <name val="Times New Roman"/>
      <family val="1"/>
    </font>
    <font>
      <b/>
      <sz val="12"/>
      <color theme="1"/>
      <name val="Times New Roman"/>
      <family val="1"/>
    </font>
    <font>
      <b/>
      <sz val="14"/>
      <color rgb="FFFF0000"/>
      <name val="Times New Roman"/>
      <family val="1"/>
    </font>
    <font>
      <b/>
      <sz val="11"/>
      <color theme="1"/>
      <name val="Times New Roman"/>
      <family val="1"/>
    </font>
    <font>
      <b/>
      <sz val="11"/>
      <color rgb="FFFF0000"/>
      <name val="Times New Roman"/>
      <family val="1"/>
    </font>
    <font>
      <sz val="12"/>
      <color rgb="FFFF0000"/>
      <name val="Times New Roman"/>
      <family val="1"/>
    </font>
    <font>
      <b/>
      <sz val="14"/>
      <color theme="1"/>
      <name val="Times New Roman"/>
      <family val="1"/>
    </font>
    <font>
      <sz val="13"/>
      <color theme="1"/>
      <name val="Times New Roman"/>
      <family val="1"/>
    </font>
    <font>
      <b/>
      <sz val="10"/>
      <color theme="1"/>
      <name val="Times New Roman"/>
      <family val="1"/>
    </font>
    <font>
      <b/>
      <sz val="14"/>
      <color rgb="FF000000"/>
      <name val="Times New Roman"/>
      <family val="1"/>
    </font>
    <font>
      <sz val="14"/>
      <color theme="1"/>
      <name val="Times New Roman"/>
      <family val="1"/>
    </font>
    <font>
      <sz val="14"/>
      <color rgb="FF000000"/>
      <name val="Times New Roman"/>
      <family val="1"/>
    </font>
    <font>
      <sz val="13"/>
      <color theme="0"/>
      <name val="Times New Roman"/>
      <family val="1"/>
    </font>
    <font>
      <sz val="11"/>
      <color rgb="FFFF0000"/>
      <name val="Calibri"/>
      <family val="2"/>
      <scheme val="minor"/>
    </font>
    <font>
      <b/>
      <sz val="12"/>
      <color rgb="FFFF0000"/>
      <name val="Times New Roman"/>
      <family val="1"/>
    </font>
    <font>
      <sz val="12"/>
      <color rgb="FFC00000"/>
      <name val="Times New Roman"/>
      <family val="1"/>
    </font>
    <font>
      <sz val="11"/>
      <color rgb="FFFF0000"/>
      <name val="Times New Roman"/>
      <family val="1"/>
    </font>
    <font>
      <b/>
      <sz val="12"/>
      <name val="Symbol"/>
      <family val="1"/>
      <charset val="2"/>
    </font>
    <font>
      <i/>
      <sz val="8"/>
      <name val="Times New Roman"/>
      <family val="1"/>
    </font>
    <font>
      <b/>
      <i/>
      <sz val="8"/>
      <name val="Times New Roman"/>
      <family val="1"/>
    </font>
    <font>
      <b/>
      <u/>
      <sz val="10"/>
      <color rgb="FFFF0000"/>
      <name val="Times New Roman"/>
      <family val="1"/>
    </font>
    <font>
      <b/>
      <u/>
      <sz val="10"/>
      <name val="Times New Roman"/>
      <family val="1"/>
    </font>
    <font>
      <sz val="10"/>
      <color rgb="FF000000"/>
      <name val="Times New Roman"/>
      <family val="1"/>
    </font>
    <font>
      <b/>
      <u/>
      <sz val="12"/>
      <color theme="1"/>
      <name val="Times New Roman"/>
      <family val="1"/>
    </font>
    <font>
      <u/>
      <sz val="12"/>
      <color theme="1"/>
      <name val="Times New Roman"/>
      <family val="1"/>
    </font>
    <font>
      <i/>
      <sz val="12"/>
      <color theme="1"/>
      <name val="Times New Roman"/>
      <family val="1"/>
    </font>
    <font>
      <sz val="10"/>
      <color theme="1"/>
      <name val="Times New Roman"/>
      <family val="1"/>
    </font>
    <font>
      <i/>
      <sz val="14"/>
      <color theme="1"/>
      <name val="Times New Roman"/>
      <family val="1"/>
    </font>
    <font>
      <b/>
      <sz val="12"/>
      <color rgb="FF000000"/>
      <name val="Times New Roman"/>
      <family val="1"/>
    </font>
    <font>
      <b/>
      <i/>
      <sz val="14"/>
      <color theme="1"/>
      <name val="Times New Roman"/>
      <family val="1"/>
    </font>
    <font>
      <b/>
      <sz val="10"/>
      <color rgb="FF000000"/>
      <name val="Times New Roman"/>
      <family val="1"/>
    </font>
    <font>
      <sz val="16"/>
      <color theme="1"/>
      <name val="Times New Roman"/>
      <family val="1"/>
    </font>
    <font>
      <sz val="16"/>
      <name val="Times New Roman"/>
      <family val="1"/>
    </font>
    <font>
      <b/>
      <sz val="16"/>
      <color theme="1"/>
      <name val="Times New Roman"/>
      <family val="1"/>
    </font>
    <font>
      <sz val="16"/>
      <color indexed="8"/>
      <name val="Times New Roman"/>
      <family val="1"/>
    </font>
    <font>
      <b/>
      <sz val="16"/>
      <color indexed="8"/>
      <name val="Times New Roman"/>
      <family val="1"/>
    </font>
    <font>
      <b/>
      <sz val="16"/>
      <color rgb="FF000000"/>
      <name val="Times New Roman"/>
      <family val="1"/>
    </font>
    <font>
      <b/>
      <sz val="18"/>
      <color theme="1"/>
      <name val="Times New Roman"/>
      <family val="1"/>
    </font>
    <font>
      <sz val="18"/>
      <color rgb="FF000000"/>
      <name val="Times New Roman"/>
      <family val="1"/>
    </font>
    <font>
      <sz val="18"/>
      <color theme="1"/>
      <name val="Times New Roman"/>
      <family val="1"/>
    </font>
    <font>
      <b/>
      <i/>
      <sz val="18"/>
      <color theme="1"/>
      <name val="Times New Roman"/>
      <family val="1"/>
    </font>
    <font>
      <sz val="12"/>
      <color rgb="FF000000"/>
      <name val="Times New Roman"/>
      <family val="1"/>
    </font>
    <font>
      <b/>
      <u/>
      <sz val="11"/>
      <color indexed="8"/>
      <name val="Times New Roman"/>
      <family val="1"/>
    </font>
    <font>
      <b/>
      <sz val="14"/>
      <color indexed="8"/>
      <name val="Times New Roman"/>
      <family val="1"/>
    </font>
    <font>
      <sz val="14"/>
      <color indexed="8"/>
      <name val="Times New Roman"/>
      <family val="1"/>
    </font>
    <font>
      <b/>
      <i/>
      <sz val="14"/>
      <color indexed="8"/>
      <name val="Times New Roman"/>
      <family val="1"/>
    </font>
    <font>
      <i/>
      <sz val="12"/>
      <color indexed="8"/>
      <name val="Times New Roman"/>
      <family val="1"/>
    </font>
    <font>
      <i/>
      <sz val="14"/>
      <color indexed="8"/>
      <name val="Times New Roman"/>
      <family val="1"/>
    </font>
    <font>
      <sz val="14"/>
      <color rgb="FFFF0000"/>
      <name val="Times New Roman"/>
      <family val="1"/>
    </font>
    <font>
      <sz val="8"/>
      <name val="Calibri"/>
      <family val="2"/>
      <scheme val="minor"/>
    </font>
    <font>
      <b/>
      <u/>
      <sz val="12"/>
      <name val="Times New Roman"/>
      <family val="1"/>
    </font>
    <font>
      <b/>
      <u/>
      <sz val="11"/>
      <name val="Times New Roman"/>
      <family val="1"/>
    </font>
    <font>
      <sz val="11"/>
      <color theme="1"/>
      <name val="Calibri"/>
      <family val="2"/>
      <scheme val="minor"/>
    </font>
    <font>
      <u/>
      <sz val="12"/>
      <name val="Times New Roman"/>
      <family val="1"/>
    </font>
    <font>
      <b/>
      <sz val="10"/>
      <name val="Times New Roman"/>
      <family val="1"/>
    </font>
    <font>
      <b/>
      <sz val="13"/>
      <color rgb="FFFF0000"/>
      <name val="Times New Roman"/>
      <family val="1"/>
    </font>
    <font>
      <b/>
      <i/>
      <sz val="16"/>
      <name val="Times New Roman"/>
      <family val="1"/>
    </font>
    <font>
      <b/>
      <sz val="11"/>
      <color theme="0"/>
      <name val="Times New Roman"/>
      <family val="1"/>
    </font>
    <font>
      <b/>
      <u/>
      <sz val="12"/>
      <color indexed="8"/>
      <name val="Times New Roman"/>
      <family val="1"/>
    </font>
    <font>
      <b/>
      <i/>
      <sz val="10"/>
      <color rgb="FFFF0000"/>
      <name val="Times New Roman"/>
      <family val="1"/>
    </font>
    <font>
      <sz val="9"/>
      <name val="Times New Roman"/>
      <family val="1"/>
    </font>
    <font>
      <b/>
      <sz val="13"/>
      <color theme="0"/>
      <name val="Times New Roman"/>
      <family val="1"/>
    </font>
    <font>
      <i/>
      <vertAlign val="superscript"/>
      <sz val="11"/>
      <name val="Times New Roman"/>
      <family val="1"/>
    </font>
    <font>
      <sz val="12"/>
      <color rgb="FF0000CC"/>
      <name val="Times New Roman"/>
      <family val="1"/>
    </font>
    <font>
      <sz val="7"/>
      <name val="Times New Roman"/>
      <family val="1"/>
    </font>
    <font>
      <vertAlign val="superscript"/>
      <sz val="12"/>
      <name val="Times New Roman"/>
      <family val="1"/>
    </font>
    <font>
      <sz val="12"/>
      <color theme="0" tint="-0.14999847407452621"/>
      <name val="Times New Roman"/>
      <family val="1"/>
    </font>
    <font>
      <b/>
      <sz val="9"/>
      <color indexed="81"/>
      <name val="Tahoma"/>
      <family val="2"/>
    </font>
    <font>
      <b/>
      <sz val="13"/>
      <color theme="3"/>
      <name val="Times New Roman"/>
      <family val="2"/>
      <charset val="163"/>
    </font>
    <font>
      <sz val="12"/>
      <color rgb="FF3F3F76"/>
      <name val="Times New Roman"/>
      <family val="2"/>
      <charset val="163"/>
    </font>
    <font>
      <b/>
      <sz val="12"/>
      <color rgb="FFFA7D00"/>
      <name val="Times New Roman"/>
      <family val="2"/>
      <charset val="163"/>
    </font>
    <font>
      <sz val="12"/>
      <color rgb="FFFA7D00"/>
      <name val="Times New Roman"/>
      <family val="2"/>
      <charset val="163"/>
    </font>
    <font>
      <b/>
      <sz val="12"/>
      <color theme="0"/>
      <name val="Times New Roman"/>
      <family val="2"/>
      <charset val="163"/>
    </font>
    <font>
      <sz val="12"/>
      <color rgb="FFFF0000"/>
      <name val="Times New Roman"/>
      <family val="2"/>
      <charset val="163"/>
    </font>
    <font>
      <i/>
      <sz val="12"/>
      <color rgb="FF7F7F7F"/>
      <name val="Times New Roman"/>
      <family val="2"/>
      <charset val="163"/>
    </font>
    <font>
      <sz val="12"/>
      <color theme="0"/>
      <name val="Times New Roman"/>
      <family val="2"/>
      <charset val="163"/>
    </font>
  </fonts>
  <fills count="34">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0">
    <border>
      <left/>
      <right/>
      <top/>
      <bottom/>
      <diagonal/>
    </border>
    <border>
      <left style="thin">
        <color indexed="64"/>
      </left>
      <right style="thin">
        <color indexed="64"/>
      </right>
      <top style="double">
        <color indexed="64"/>
      </top>
      <bottom style="hair">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double">
        <color indexed="64"/>
      </right>
      <top style="double">
        <color indexed="64"/>
      </top>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hair">
        <color indexed="64"/>
      </bottom>
      <diagonal/>
    </border>
    <border>
      <left style="thin">
        <color indexed="64"/>
      </left>
      <right/>
      <top style="double">
        <color indexed="64"/>
      </top>
      <bottom style="hair">
        <color indexed="64"/>
      </bottom>
      <diagonal/>
    </border>
    <border>
      <left style="double">
        <color indexed="64"/>
      </left>
      <right style="thin">
        <color indexed="64"/>
      </right>
      <top style="hair">
        <color indexed="64"/>
      </top>
      <bottom style="thin">
        <color indexed="64"/>
      </bottom>
      <diagonal/>
    </border>
    <border>
      <left/>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right style="thin">
        <color indexed="64"/>
      </right>
      <top style="thin">
        <color indexed="64"/>
      </top>
      <bottom/>
      <diagonal/>
    </border>
    <border>
      <left/>
      <right style="double">
        <color indexed="64"/>
      </right>
      <top/>
      <bottom style="hair">
        <color indexed="64"/>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hair">
        <color indexed="64"/>
      </bottom>
      <diagonal/>
    </border>
    <border>
      <left style="thin">
        <color indexed="64"/>
      </left>
      <right/>
      <top/>
      <bottom style="thin">
        <color indexed="64"/>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diagonal/>
    </border>
    <border>
      <left style="thin">
        <color indexed="64"/>
      </left>
      <right style="double">
        <color indexed="64"/>
      </right>
      <top style="hair">
        <color indexed="64"/>
      </top>
      <bottom/>
      <diagonal/>
    </border>
    <border>
      <left/>
      <right style="thin">
        <color indexed="64"/>
      </right>
      <top/>
      <bottom style="thin">
        <color indexed="64"/>
      </bottom>
      <diagonal/>
    </border>
    <border>
      <left/>
      <right style="thin">
        <color indexed="64"/>
      </right>
      <top/>
      <bottom/>
      <diagonal/>
    </border>
    <border>
      <left/>
      <right/>
      <top style="hair">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right/>
      <top/>
      <bottom style="double">
        <color rgb="FF000000"/>
      </bottom>
      <diagonal/>
    </border>
    <border>
      <left style="double">
        <color rgb="FF000000"/>
      </left>
      <right style="thin">
        <color rgb="FF000000"/>
      </right>
      <top style="double">
        <color rgb="FF000000"/>
      </top>
      <bottom style="thin">
        <color rgb="FF000000"/>
      </bottom>
      <diagonal/>
    </border>
    <border>
      <left style="thin">
        <color rgb="FF000000"/>
      </left>
      <right style="thin">
        <color rgb="FF000000"/>
      </right>
      <top style="double">
        <color rgb="FF000000"/>
      </top>
      <bottom style="thin">
        <color rgb="FF000000"/>
      </bottom>
      <diagonal/>
    </border>
    <border>
      <left style="thin">
        <color rgb="FF000000"/>
      </left>
      <right style="double">
        <color rgb="FF000000"/>
      </right>
      <top style="double">
        <color rgb="FF000000"/>
      </top>
      <bottom style="hair">
        <color rgb="FF000000"/>
      </bottom>
      <diagonal/>
    </border>
    <border>
      <left style="double">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hair">
        <color rgb="FF000000"/>
      </top>
      <bottom style="hair">
        <color rgb="FF000000"/>
      </bottom>
      <diagonal/>
    </border>
    <border>
      <left style="double">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bottom/>
      <diagonal/>
    </border>
    <border>
      <left style="double">
        <color rgb="FF000000"/>
      </left>
      <right style="thin">
        <color rgb="FF000000"/>
      </right>
      <top/>
      <bottom style="hair">
        <color rgb="FF000000"/>
      </bottom>
      <diagonal/>
    </border>
    <border>
      <left style="thin">
        <color rgb="FF000000"/>
      </left>
      <right style="thin">
        <color rgb="FF000000"/>
      </right>
      <top/>
      <bottom style="hair">
        <color rgb="FF000000"/>
      </bottom>
      <diagonal/>
    </border>
    <border>
      <left style="double">
        <color rgb="FF000000"/>
      </left>
      <right style="thin">
        <color rgb="FF000000"/>
      </right>
      <top style="hair">
        <color rgb="FF000000"/>
      </top>
      <bottom/>
      <diagonal/>
    </border>
    <border>
      <left style="double">
        <color rgb="FF000000"/>
      </left>
      <right/>
      <top/>
      <bottom/>
      <diagonal/>
    </border>
    <border>
      <left style="double">
        <color rgb="FF000000"/>
      </left>
      <right style="thin">
        <color rgb="FF000000"/>
      </right>
      <top style="hair">
        <color rgb="FF000000"/>
      </top>
      <bottom style="double">
        <color rgb="FF000000"/>
      </bottom>
      <diagonal/>
    </border>
    <border>
      <left style="thin">
        <color rgb="FF000000"/>
      </left>
      <right style="thin">
        <color rgb="FF000000"/>
      </right>
      <top style="hair">
        <color rgb="FF000000"/>
      </top>
      <bottom style="double">
        <color rgb="FF000000"/>
      </bottom>
      <diagonal/>
    </border>
    <border>
      <left style="thin">
        <color rgb="FF000000"/>
      </left>
      <right style="double">
        <color rgb="FF000000"/>
      </right>
      <top style="hair">
        <color rgb="FF000000"/>
      </top>
      <bottom style="double">
        <color rgb="FF000000"/>
      </bottom>
      <diagonal/>
    </border>
    <border>
      <left style="thin">
        <color indexed="64"/>
      </left>
      <right style="double">
        <color indexed="64"/>
      </right>
      <top/>
      <bottom style="hair">
        <color indexed="64"/>
      </bottom>
      <diagonal/>
    </border>
    <border>
      <left style="thin">
        <color indexed="64"/>
      </left>
      <right style="thin">
        <color indexed="64"/>
      </right>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thin">
        <color indexed="64"/>
      </bottom>
      <diagonal/>
    </border>
    <border>
      <left/>
      <right style="thin">
        <color indexed="64"/>
      </right>
      <top/>
      <bottom style="hair">
        <color indexed="64"/>
      </bottom>
      <diagonal/>
    </border>
    <border>
      <left style="thin">
        <color indexed="64"/>
      </left>
      <right/>
      <top/>
      <bottom style="hair">
        <color indexed="64"/>
      </bottom>
      <diagonal/>
    </border>
    <border>
      <left style="thin">
        <color indexed="64"/>
      </left>
      <right/>
      <top/>
      <bottom style="double">
        <color indexed="64"/>
      </bottom>
      <diagonal/>
    </border>
    <border>
      <left/>
      <right/>
      <top/>
      <bottom style="hair">
        <color indexed="64"/>
      </bottom>
      <diagonal/>
    </border>
    <border>
      <left/>
      <right style="thin">
        <color indexed="64"/>
      </right>
      <top style="hair">
        <color indexed="64"/>
      </top>
      <bottom/>
      <diagonal/>
    </border>
    <border>
      <left style="thin">
        <color indexed="64"/>
      </left>
      <right/>
      <top style="thin">
        <color indexed="64"/>
      </top>
      <bottom/>
      <diagonal/>
    </border>
    <border>
      <left style="double">
        <color indexed="64"/>
      </left>
      <right style="thin">
        <color indexed="64"/>
      </right>
      <top style="hair">
        <color indexed="64"/>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2">
    <xf numFmtId="0" fontId="0" fillId="0" borderId="0"/>
    <xf numFmtId="164" fontId="10" fillId="0" borderId="0" applyFont="0" applyFill="0" applyBorder="0" applyAlignment="0" applyProtection="0"/>
    <xf numFmtId="164" fontId="16" fillId="0" borderId="0" applyFont="0" applyFill="0" applyBorder="0" applyAlignment="0" applyProtection="0"/>
    <xf numFmtId="0" fontId="6" fillId="0" borderId="0"/>
    <xf numFmtId="0" fontId="16" fillId="0" borderId="0"/>
    <xf numFmtId="164" fontId="88" fillId="0" borderId="0" applyFont="0" applyFill="0" applyBorder="0" applyAlignment="0" applyProtection="0"/>
    <xf numFmtId="0" fontId="7" fillId="0" borderId="0"/>
    <xf numFmtId="164" fontId="7" fillId="0" borderId="0" applyFont="0" applyFill="0" applyBorder="0" applyAlignment="0" applyProtection="0"/>
    <xf numFmtId="41" fontId="88" fillId="0" borderId="0" applyFont="0" applyFill="0" applyBorder="0" applyAlignment="0" applyProtection="0"/>
    <xf numFmtId="42" fontId="88" fillId="0" borderId="0" applyFont="0" applyFill="0" applyBorder="0" applyAlignment="0" applyProtection="0"/>
    <xf numFmtId="9" fontId="88" fillId="0" borderId="0" applyFont="0" applyFill="0" applyBorder="0" applyAlignment="0" applyProtection="0"/>
    <xf numFmtId="0" fontId="104" fillId="0" borderId="96" applyNumberFormat="0" applyFill="0" applyAlignment="0" applyProtection="0"/>
    <xf numFmtId="0" fontId="105" fillId="6" borderId="97" applyNumberFormat="0" applyAlignment="0" applyProtection="0"/>
    <xf numFmtId="0" fontId="106" fillId="7" borderId="97" applyNumberFormat="0" applyAlignment="0" applyProtection="0"/>
    <xf numFmtId="0" fontId="107" fillId="0" borderId="98" applyNumberFormat="0" applyFill="0" applyAlignment="0" applyProtection="0"/>
    <xf numFmtId="0" fontId="108" fillId="8" borderId="99" applyNumberFormat="0" applyAlignment="0" applyProtection="0"/>
    <xf numFmtId="0" fontId="109" fillId="0" borderId="0" applyNumberFormat="0" applyFill="0" applyBorder="0" applyAlignment="0" applyProtection="0"/>
    <xf numFmtId="0" fontId="110" fillId="0" borderId="0" applyNumberFormat="0" applyFill="0" applyBorder="0" applyAlignment="0" applyProtection="0"/>
    <xf numFmtId="0" fontId="11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1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1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1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1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1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17">
    <xf numFmtId="0" fontId="0" fillId="0" borderId="0" xfId="0"/>
    <xf numFmtId="0" fontId="7" fillId="0" borderId="0" xfId="0" applyFont="1"/>
    <xf numFmtId="0" fontId="0" fillId="0" borderId="0" xfId="0" applyAlignment="1">
      <alignment horizontal="center"/>
    </xf>
    <xf numFmtId="0" fontId="7" fillId="0" borderId="0" xfId="0" applyFont="1" applyAlignment="1">
      <alignment horizontal="center"/>
    </xf>
    <xf numFmtId="0" fontId="5" fillId="0" borderId="0" xfId="0" applyFont="1" applyAlignment="1">
      <alignment horizontal="center"/>
    </xf>
    <xf numFmtId="0" fontId="5" fillId="0" borderId="0" xfId="0" applyFont="1"/>
    <xf numFmtId="1" fontId="0" fillId="0" borderId="0" xfId="0" applyNumberFormat="1"/>
    <xf numFmtId="169" fontId="5" fillId="0" borderId="0" xfId="0" applyNumberFormat="1" applyFont="1"/>
    <xf numFmtId="0" fontId="12" fillId="0" borderId="0" xfId="0" applyFont="1" applyAlignment="1">
      <alignment vertical="center" wrapText="1"/>
    </xf>
    <xf numFmtId="0" fontId="0" fillId="2" borderId="0" xfId="0" applyFill="1" applyAlignment="1">
      <alignment horizontal="center"/>
    </xf>
    <xf numFmtId="0" fontId="0" fillId="2" borderId="0" xfId="0" applyFill="1"/>
    <xf numFmtId="0" fontId="0" fillId="0" borderId="11" xfId="0" applyBorder="1"/>
    <xf numFmtId="0" fontId="0" fillId="0" borderId="7" xfId="0" applyBorder="1"/>
    <xf numFmtId="0" fontId="0" fillId="0" borderId="12" xfId="0" applyBorder="1"/>
    <xf numFmtId="0" fontId="5" fillId="0" borderId="0" xfId="0" applyFont="1" applyAlignment="1">
      <alignment horizontal="center" vertical="center"/>
    </xf>
    <xf numFmtId="0" fontId="5" fillId="0" borderId="13" xfId="0" applyFont="1" applyBorder="1" applyAlignment="1">
      <alignment horizontal="center" vertical="center"/>
    </xf>
    <xf numFmtId="0" fontId="3" fillId="0" borderId="0" xfId="0" applyFont="1" applyAlignment="1">
      <alignment horizontal="center" vertical="center"/>
    </xf>
    <xf numFmtId="0" fontId="7" fillId="0" borderId="13" xfId="0" applyFont="1" applyBorder="1" applyAlignment="1">
      <alignment vertical="center"/>
    </xf>
    <xf numFmtId="0" fontId="0" fillId="0" borderId="14" xfId="0" applyBorder="1"/>
    <xf numFmtId="0" fontId="0" fillId="0" borderId="13" xfId="0" applyBorder="1"/>
    <xf numFmtId="0" fontId="8" fillId="0" borderId="0" xfId="0" applyFont="1" applyAlignment="1">
      <alignment horizontal="center" vertical="center"/>
    </xf>
    <xf numFmtId="0" fontId="29" fillId="0" borderId="13" xfId="0" applyFont="1" applyBorder="1" applyAlignment="1">
      <alignment vertical="center"/>
    </xf>
    <xf numFmtId="0" fontId="29" fillId="0" borderId="13" xfId="0" applyFont="1" applyBorder="1" applyAlignment="1">
      <alignment horizontal="center" vertical="center"/>
    </xf>
    <xf numFmtId="0" fontId="17" fillId="0" borderId="13" xfId="0" applyFont="1" applyBorder="1" applyAlignment="1">
      <alignment horizontal="center" vertical="center"/>
    </xf>
    <xf numFmtId="0" fontId="17" fillId="0" borderId="0" xfId="0" applyFont="1" applyAlignment="1">
      <alignment horizontal="center" vertical="center"/>
    </xf>
    <xf numFmtId="0" fontId="17" fillId="0" borderId="14" xfId="0" applyFont="1" applyBorder="1" applyAlignment="1">
      <alignment horizontal="center" vertical="center"/>
    </xf>
    <xf numFmtId="0" fontId="12"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15" xfId="0" applyBorder="1"/>
    <xf numFmtId="0" fontId="0" fillId="0" borderId="16" xfId="0" applyBorder="1"/>
    <xf numFmtId="0" fontId="0" fillId="0" borderId="17" xfId="0" applyBorder="1"/>
    <xf numFmtId="0" fontId="5" fillId="0" borderId="0" xfId="0" applyFont="1" applyAlignment="1">
      <alignment vertical="center"/>
    </xf>
    <xf numFmtId="0" fontId="35" fillId="0" borderId="0" xfId="0" applyFont="1"/>
    <xf numFmtId="0" fontId="7" fillId="0" borderId="0" xfId="0" applyFont="1" applyAlignment="1">
      <alignment vertical="center"/>
    </xf>
    <xf numFmtId="0" fontId="35" fillId="0" borderId="0" xfId="0" applyFont="1" applyAlignment="1">
      <alignment horizontal="center"/>
    </xf>
    <xf numFmtId="0" fontId="36" fillId="0" borderId="0" xfId="0" applyFont="1"/>
    <xf numFmtId="0" fontId="36" fillId="0" borderId="0" xfId="0" applyFont="1" applyAlignment="1">
      <alignment horizontal="center"/>
    </xf>
    <xf numFmtId="0" fontId="36" fillId="0" borderId="3" xfId="0" applyFont="1" applyBorder="1" applyAlignment="1">
      <alignment horizontal="center" vertical="center"/>
    </xf>
    <xf numFmtId="0" fontId="37" fillId="0" borderId="18" xfId="0" applyFont="1" applyBorder="1" applyAlignment="1">
      <alignment horizontal="center"/>
    </xf>
    <xf numFmtId="0" fontId="37" fillId="0" borderId="18" xfId="0" applyFont="1" applyBorder="1"/>
    <xf numFmtId="3" fontId="37" fillId="0" borderId="18" xfId="0" applyNumberFormat="1" applyFont="1" applyBorder="1" applyAlignment="1">
      <alignment horizontal="center"/>
    </xf>
    <xf numFmtId="0" fontId="37" fillId="0" borderId="0" xfId="0" applyFont="1"/>
    <xf numFmtId="0" fontId="36" fillId="0" borderId="19" xfId="0" applyFont="1" applyBorder="1" applyAlignment="1">
      <alignment horizontal="center"/>
    </xf>
    <xf numFmtId="0" fontId="36" fillId="0" borderId="19" xfId="0" applyFont="1" applyBorder="1"/>
    <xf numFmtId="3" fontId="36" fillId="0" borderId="19" xfId="0" applyNumberFormat="1" applyFont="1" applyBorder="1" applyAlignment="1">
      <alignment horizontal="center" vertical="center"/>
    </xf>
    <xf numFmtId="165" fontId="36" fillId="0" borderId="19" xfId="0" applyNumberFormat="1" applyFont="1" applyBorder="1" applyAlignment="1">
      <alignment horizontal="center" vertical="center"/>
    </xf>
    <xf numFmtId="3" fontId="37" fillId="0" borderId="19" xfId="0" applyNumberFormat="1" applyFont="1" applyBorder="1" applyAlignment="1">
      <alignment horizontal="center" vertical="center"/>
    </xf>
    <xf numFmtId="0" fontId="36" fillId="0" borderId="20" xfId="0" applyFont="1" applyBorder="1" applyAlignment="1">
      <alignment horizontal="center"/>
    </xf>
    <xf numFmtId="0" fontId="36" fillId="0" borderId="20" xfId="0" applyFont="1" applyBorder="1"/>
    <xf numFmtId="0" fontId="36" fillId="0" borderId="21" xfId="0" applyFont="1" applyBorder="1" applyAlignment="1">
      <alignment horizontal="center"/>
    </xf>
    <xf numFmtId="0" fontId="36" fillId="0" borderId="21" xfId="0" applyFont="1" applyBorder="1"/>
    <xf numFmtId="165" fontId="36" fillId="0" borderId="21" xfId="0" applyNumberFormat="1" applyFont="1" applyBorder="1" applyAlignment="1">
      <alignment horizontal="center" vertical="center"/>
    </xf>
    <xf numFmtId="3" fontId="36" fillId="0" borderId="21" xfId="0" applyNumberFormat="1" applyFont="1" applyBorder="1" applyAlignment="1">
      <alignment horizontal="center" vertical="center"/>
    </xf>
    <xf numFmtId="3" fontId="37" fillId="0" borderId="19" xfId="0" quotePrefix="1" applyNumberFormat="1" applyFont="1" applyBorder="1" applyAlignment="1">
      <alignment horizontal="center" vertical="center"/>
    </xf>
    <xf numFmtId="3" fontId="39" fillId="0" borderId="3" xfId="0" applyNumberFormat="1" applyFont="1" applyBorder="1"/>
    <xf numFmtId="0" fontId="35" fillId="0" borderId="3" xfId="0" applyFont="1" applyBorder="1" applyAlignment="1">
      <alignment horizontal="center"/>
    </xf>
    <xf numFmtId="168" fontId="13" fillId="0" borderId="5" xfId="2" applyNumberFormat="1" applyFont="1" applyFill="1" applyBorder="1" applyAlignment="1">
      <alignment horizontal="center" vertical="center"/>
    </xf>
    <xf numFmtId="37" fontId="18" fillId="0" borderId="31" xfId="0" applyNumberFormat="1" applyFont="1" applyBorder="1" applyAlignment="1">
      <alignment horizontal="center" vertical="center" wrapText="1"/>
    </xf>
    <xf numFmtId="168" fontId="15" fillId="0" borderId="5" xfId="0" applyNumberFormat="1" applyFont="1" applyBorder="1" applyAlignment="1">
      <alignment horizontal="center" vertical="center"/>
    </xf>
    <xf numFmtId="168" fontId="13" fillId="0" borderId="5" xfId="0" applyNumberFormat="1" applyFont="1" applyBorder="1" applyAlignment="1">
      <alignment horizontal="center" vertical="center"/>
    </xf>
    <xf numFmtId="168" fontId="23" fillId="0" borderId="38" xfId="0" applyNumberFormat="1" applyFont="1" applyBorder="1" applyAlignment="1">
      <alignment horizontal="center" vertical="center"/>
    </xf>
    <xf numFmtId="168" fontId="23" fillId="0" borderId="38" xfId="0" applyNumberFormat="1" applyFont="1" applyBorder="1" applyAlignment="1">
      <alignment vertical="center"/>
    </xf>
    <xf numFmtId="3" fontId="15" fillId="0" borderId="5" xfId="0" applyNumberFormat="1" applyFont="1" applyBorder="1" applyAlignment="1">
      <alignment horizontal="right" vertical="center"/>
    </xf>
    <xf numFmtId="0" fontId="7" fillId="2" borderId="0" xfId="0" applyFont="1" applyFill="1"/>
    <xf numFmtId="0" fontId="7" fillId="2" borderId="0" xfId="0" applyFont="1" applyFill="1" applyAlignment="1">
      <alignment horizontal="center"/>
    </xf>
    <xf numFmtId="0" fontId="7" fillId="2" borderId="3" xfId="0" applyFont="1" applyFill="1" applyBorder="1"/>
    <xf numFmtId="0" fontId="7" fillId="2" borderId="3" xfId="0" applyFont="1" applyFill="1" applyBorder="1" applyAlignment="1">
      <alignment horizontal="center"/>
    </xf>
    <xf numFmtId="3" fontId="7" fillId="2" borderId="3" xfId="0" applyNumberFormat="1" applyFont="1" applyFill="1" applyBorder="1"/>
    <xf numFmtId="168" fontId="20" fillId="0" borderId="5" xfId="2" applyNumberFormat="1" applyFont="1" applyFill="1" applyBorder="1" applyAlignment="1">
      <alignment horizontal="center" vertical="center"/>
    </xf>
    <xf numFmtId="168" fontId="20" fillId="0" borderId="5" xfId="0" applyNumberFormat="1" applyFont="1" applyBorder="1" applyAlignment="1">
      <alignment vertical="center"/>
    </xf>
    <xf numFmtId="0" fontId="42" fillId="0" borderId="0" xfId="0" applyFont="1" applyAlignment="1">
      <alignment horizontal="center"/>
    </xf>
    <xf numFmtId="173" fontId="7" fillId="2" borderId="3" xfId="0" applyNumberFormat="1" applyFont="1" applyFill="1" applyBorder="1"/>
    <xf numFmtId="0" fontId="34" fillId="0" borderId="3" xfId="0" applyFont="1" applyBorder="1" applyAlignment="1">
      <alignment horizontal="center"/>
    </xf>
    <xf numFmtId="0" fontId="0" fillId="0" borderId="3" xfId="0" applyBorder="1" applyAlignment="1">
      <alignment horizontal="left"/>
    </xf>
    <xf numFmtId="0" fontId="0" fillId="0" borderId="3" xfId="0" applyBorder="1"/>
    <xf numFmtId="0" fontId="25" fillId="0" borderId="0" xfId="0" applyFont="1" applyAlignment="1">
      <alignment horizontal="center"/>
    </xf>
    <xf numFmtId="0" fontId="25" fillId="0" borderId="0" xfId="0" applyFont="1"/>
    <xf numFmtId="0" fontId="26" fillId="0" borderId="0" xfId="0" applyFont="1" applyAlignment="1">
      <alignment horizontal="center"/>
    </xf>
    <xf numFmtId="0" fontId="26" fillId="0" borderId="0" xfId="0" applyFont="1"/>
    <xf numFmtId="0" fontId="26" fillId="0" borderId="0" xfId="0" applyFont="1" applyAlignment="1">
      <alignment horizontal="centerContinuous"/>
    </xf>
    <xf numFmtId="171" fontId="26" fillId="0" borderId="0" xfId="0" applyNumberFormat="1" applyFont="1" applyAlignment="1">
      <alignment horizontal="centerContinuous"/>
    </xf>
    <xf numFmtId="172" fontId="26" fillId="0" borderId="0" xfId="0" applyNumberFormat="1" applyFont="1" applyAlignment="1">
      <alignment horizontal="centerContinuous"/>
    </xf>
    <xf numFmtId="173" fontId="26" fillId="0" borderId="0" xfId="0" applyNumberFormat="1" applyFont="1" applyAlignment="1">
      <alignment horizontal="centerContinuous"/>
    </xf>
    <xf numFmtId="2" fontId="26" fillId="0" borderId="0" xfId="0" applyNumberFormat="1" applyFont="1" applyAlignment="1">
      <alignment horizontal="centerContinuous"/>
    </xf>
    <xf numFmtId="3" fontId="34" fillId="0" borderId="3" xfId="0" applyNumberFormat="1" applyFont="1" applyBorder="1" applyAlignment="1">
      <alignment horizontal="center"/>
    </xf>
    <xf numFmtId="3" fontId="0" fillId="0" borderId="3" xfId="0" applyNumberFormat="1" applyBorder="1"/>
    <xf numFmtId="3" fontId="34" fillId="0" borderId="3" xfId="0" applyNumberFormat="1" applyFont="1" applyBorder="1"/>
    <xf numFmtId="172" fontId="7" fillId="0" borderId="0" xfId="0" applyNumberFormat="1" applyFont="1"/>
    <xf numFmtId="0" fontId="7" fillId="0" borderId="3" xfId="0" applyFont="1" applyBorder="1"/>
    <xf numFmtId="0" fontId="2" fillId="0" borderId="3" xfId="0" applyFont="1" applyBorder="1" applyAlignment="1">
      <alignment horizontal="center" vertical="center"/>
    </xf>
    <xf numFmtId="0" fontId="2" fillId="0" borderId="8" xfId="0" applyFont="1" applyBorder="1" applyAlignment="1">
      <alignment horizontal="center" vertical="center"/>
    </xf>
    <xf numFmtId="173" fontId="2" fillId="0" borderId="8" xfId="0" applyNumberFormat="1" applyFont="1" applyBorder="1" applyAlignment="1">
      <alignment horizontal="center" vertical="center"/>
    </xf>
    <xf numFmtId="172" fontId="2" fillId="0" borderId="8" xfId="0" applyNumberFormat="1" applyFont="1" applyBorder="1" applyAlignment="1">
      <alignment horizontal="center" vertical="center"/>
    </xf>
    <xf numFmtId="0" fontId="2" fillId="0" borderId="10" xfId="0" applyFont="1" applyBorder="1" applyAlignment="1">
      <alignment horizontal="center" vertical="center"/>
    </xf>
    <xf numFmtId="173" fontId="2" fillId="0" borderId="10" xfId="0" applyNumberFormat="1" applyFont="1" applyBorder="1" applyAlignment="1">
      <alignment horizontal="center" vertical="center"/>
    </xf>
    <xf numFmtId="172" fontId="2" fillId="0" borderId="10" xfId="0" applyNumberFormat="1" applyFont="1" applyBorder="1" applyAlignment="1">
      <alignment horizontal="center" vertical="center"/>
    </xf>
    <xf numFmtId="0" fontId="7" fillId="0" borderId="10" xfId="0" applyFont="1" applyBorder="1" applyAlignment="1">
      <alignment horizontal="center"/>
    </xf>
    <xf numFmtId="0" fontId="22" fillId="0" borderId="3" xfId="0" applyFont="1" applyBorder="1" applyAlignment="1">
      <alignment horizontal="center" vertical="center"/>
    </xf>
    <xf numFmtId="0" fontId="22" fillId="0" borderId="3" xfId="0" applyFont="1" applyBorder="1" applyAlignment="1">
      <alignment vertical="center"/>
    </xf>
    <xf numFmtId="0" fontId="2" fillId="0" borderId="3" xfId="0" applyFont="1" applyBorder="1" applyAlignment="1">
      <alignment vertical="center"/>
    </xf>
    <xf numFmtId="1" fontId="22" fillId="0" borderId="3" xfId="0" applyNumberFormat="1" applyFont="1" applyBorder="1" applyAlignment="1">
      <alignment horizontal="center" vertical="center"/>
    </xf>
    <xf numFmtId="0" fontId="7" fillId="0" borderId="3" xfId="0" applyFont="1" applyBorder="1" applyAlignment="1">
      <alignment horizontal="center"/>
    </xf>
    <xf numFmtId="2" fontId="7" fillId="0" borderId="3" xfId="0" applyNumberFormat="1" applyFont="1" applyBorder="1" applyAlignment="1">
      <alignment horizontal="right"/>
    </xf>
    <xf numFmtId="1" fontId="7" fillId="0" borderId="3" xfId="0" applyNumberFormat="1" applyFont="1" applyBorder="1" applyAlignment="1">
      <alignment horizontal="right"/>
    </xf>
    <xf numFmtId="172" fontId="7" fillId="0" borderId="3" xfId="0" applyNumberFormat="1" applyFont="1" applyBorder="1"/>
    <xf numFmtId="2" fontId="7" fillId="0" borderId="3" xfId="0" applyNumberFormat="1" applyFont="1" applyBorder="1"/>
    <xf numFmtId="173" fontId="7" fillId="0" borderId="3" xfId="0" applyNumberFormat="1" applyFont="1" applyBorder="1"/>
    <xf numFmtId="3" fontId="7" fillId="0" borderId="3" xfId="0" applyNumberFormat="1" applyFont="1" applyBorder="1"/>
    <xf numFmtId="0" fontId="7" fillId="0" borderId="8" xfId="0" applyFont="1" applyBorder="1"/>
    <xf numFmtId="3" fontId="7" fillId="0" borderId="8" xfId="0" applyNumberFormat="1" applyFont="1" applyBorder="1" applyAlignment="1">
      <alignment horizontal="center"/>
    </xf>
    <xf numFmtId="3" fontId="7" fillId="0" borderId="8" xfId="0" applyNumberFormat="1" applyFont="1" applyBorder="1"/>
    <xf numFmtId="1" fontId="7" fillId="0" borderId="3" xfId="0" applyNumberFormat="1" applyFont="1" applyBorder="1"/>
    <xf numFmtId="2" fontId="7" fillId="0" borderId="3" xfId="0" applyNumberFormat="1" applyFont="1" applyBorder="1" applyAlignment="1">
      <alignment horizontal="center"/>
    </xf>
    <xf numFmtId="2" fontId="50" fillId="0" borderId="3" xfId="0" applyNumberFormat="1" applyFont="1" applyBorder="1"/>
    <xf numFmtId="1" fontId="7" fillId="0" borderId="8" xfId="0" applyNumberFormat="1" applyFont="1" applyBorder="1" applyAlignment="1">
      <alignment horizontal="right"/>
    </xf>
    <xf numFmtId="172" fontId="7" fillId="0" borderId="8" xfId="0" applyNumberFormat="1" applyFont="1" applyBorder="1"/>
    <xf numFmtId="2" fontId="7" fillId="0" borderId="8" xfId="0" applyNumberFormat="1" applyFont="1" applyBorder="1"/>
    <xf numFmtId="173" fontId="7" fillId="0" borderId="8" xfId="0" applyNumberFormat="1" applyFont="1" applyBorder="1"/>
    <xf numFmtId="0" fontId="7" fillId="0" borderId="8" xfId="0" applyFont="1" applyBorder="1" applyAlignment="1">
      <alignment horizontal="center"/>
    </xf>
    <xf numFmtId="167" fontId="0" fillId="0" borderId="0" xfId="0" applyNumberFormat="1"/>
    <xf numFmtId="3" fontId="7" fillId="0" borderId="3" xfId="0" applyNumberFormat="1" applyFont="1" applyBorder="1" applyAlignment="1">
      <alignment horizontal="center"/>
    </xf>
    <xf numFmtId="167" fontId="5" fillId="0" borderId="0" xfId="0" applyNumberFormat="1" applyFont="1"/>
    <xf numFmtId="1" fontId="5" fillId="0" borderId="0" xfId="0" applyNumberFormat="1" applyFont="1"/>
    <xf numFmtId="166" fontId="7" fillId="0" borderId="3" xfId="0" applyNumberFormat="1" applyFont="1" applyBorder="1"/>
    <xf numFmtId="0" fontId="5" fillId="0" borderId="3" xfId="0" applyFont="1" applyBorder="1"/>
    <xf numFmtId="16" fontId="7" fillId="0" borderId="3" xfId="0" quotePrefix="1" applyNumberFormat="1" applyFont="1" applyBorder="1"/>
    <xf numFmtId="2" fontId="7" fillId="0" borderId="10" xfId="0" applyNumberFormat="1" applyFont="1" applyBorder="1" applyAlignment="1">
      <alignment horizontal="right"/>
    </xf>
    <xf numFmtId="1" fontId="7" fillId="0" borderId="10" xfId="0" applyNumberFormat="1" applyFont="1" applyBorder="1" applyAlignment="1">
      <alignment horizontal="right"/>
    </xf>
    <xf numFmtId="166" fontId="7" fillId="0" borderId="10" xfId="0" applyNumberFormat="1" applyFont="1" applyBorder="1"/>
    <xf numFmtId="2" fontId="7" fillId="0" borderId="10" xfId="0" applyNumberFormat="1" applyFont="1" applyBorder="1"/>
    <xf numFmtId="0" fontId="7" fillId="0" borderId="10" xfId="0" applyFont="1" applyBorder="1"/>
    <xf numFmtId="173" fontId="7" fillId="0" borderId="10" xfId="0" applyNumberFormat="1" applyFont="1" applyBorder="1"/>
    <xf numFmtId="3" fontId="7" fillId="0" borderId="10" xfId="0" applyNumberFormat="1" applyFont="1" applyBorder="1"/>
    <xf numFmtId="2" fontId="7" fillId="2" borderId="3" xfId="0" applyNumberFormat="1" applyFont="1" applyFill="1" applyBorder="1" applyAlignment="1">
      <alignment horizontal="right"/>
    </xf>
    <xf numFmtId="1" fontId="7" fillId="2" borderId="3" xfId="0" applyNumberFormat="1" applyFont="1" applyFill="1" applyBorder="1" applyAlignment="1">
      <alignment horizontal="right"/>
    </xf>
    <xf numFmtId="172" fontId="7" fillId="2" borderId="3" xfId="0" applyNumberFormat="1" applyFont="1" applyFill="1" applyBorder="1"/>
    <xf numFmtId="2" fontId="7" fillId="2" borderId="3" xfId="0" applyNumberFormat="1" applyFont="1" applyFill="1" applyBorder="1"/>
    <xf numFmtId="2" fontId="35" fillId="0" borderId="0" xfId="0" applyNumberFormat="1" applyFont="1" applyAlignment="1">
      <alignment horizontal="center"/>
    </xf>
    <xf numFmtId="3" fontId="35" fillId="0" borderId="0" xfId="0" applyNumberFormat="1" applyFont="1"/>
    <xf numFmtId="0" fontId="43" fillId="0" borderId="0" xfId="0" applyFont="1" applyAlignment="1">
      <alignment horizontal="left"/>
    </xf>
    <xf numFmtId="0" fontId="43" fillId="0" borderId="0" xfId="0" applyFont="1" applyAlignment="1">
      <alignment horizontal="center"/>
    </xf>
    <xf numFmtId="3" fontId="44" fillId="0" borderId="0" xfId="0" applyNumberFormat="1" applyFont="1"/>
    <xf numFmtId="3" fontId="44" fillId="0" borderId="0" xfId="0" applyNumberFormat="1" applyFont="1" applyAlignment="1">
      <alignment horizontal="center"/>
    </xf>
    <xf numFmtId="3" fontId="44" fillId="0" borderId="0" xfId="0" applyNumberFormat="1" applyFont="1" applyAlignment="1">
      <alignment horizontal="right"/>
    </xf>
    <xf numFmtId="3" fontId="43" fillId="0" borderId="0" xfId="0" applyNumberFormat="1" applyFont="1"/>
    <xf numFmtId="0" fontId="43" fillId="0" borderId="0" xfId="0" applyFont="1"/>
    <xf numFmtId="0" fontId="42" fillId="0" borderId="42" xfId="0" applyFont="1" applyBorder="1" applyAlignment="1">
      <alignment horizontal="center"/>
    </xf>
    <xf numFmtId="0" fontId="39" fillId="0" borderId="2" xfId="0" applyFont="1" applyBorder="1" applyAlignment="1">
      <alignment horizontal="center"/>
    </xf>
    <xf numFmtId="0" fontId="39" fillId="0" borderId="0" xfId="0" applyFont="1" applyAlignment="1">
      <alignment horizontal="center"/>
    </xf>
    <xf numFmtId="0" fontId="39" fillId="0" borderId="8" xfId="0" applyFont="1" applyBorder="1" applyAlignment="1">
      <alignment horizontal="center"/>
    </xf>
    <xf numFmtId="0" fontId="39" fillId="0" borderId="51" xfId="0" applyFont="1" applyBorder="1" applyAlignment="1">
      <alignment horizontal="center"/>
    </xf>
    <xf numFmtId="0" fontId="39" fillId="0" borderId="5" xfId="0" applyFont="1" applyBorder="1" applyAlignment="1">
      <alignment horizontal="center"/>
    </xf>
    <xf numFmtId="3" fontId="39" fillId="0" borderId="5" xfId="0" applyNumberFormat="1" applyFont="1" applyBorder="1" applyAlignment="1">
      <alignment horizontal="center"/>
    </xf>
    <xf numFmtId="3" fontId="37" fillId="0" borderId="5" xfId="0" applyNumberFormat="1" applyFont="1" applyBorder="1"/>
    <xf numFmtId="3" fontId="40" fillId="0" borderId="5" xfId="0" applyNumberFormat="1" applyFont="1" applyBorder="1" applyAlignment="1">
      <alignment horizontal="center"/>
    </xf>
    <xf numFmtId="3" fontId="39" fillId="0" borderId="0" xfId="0" applyNumberFormat="1" applyFont="1"/>
    <xf numFmtId="3" fontId="40" fillId="0" borderId="3" xfId="0" applyNumberFormat="1" applyFont="1" applyBorder="1"/>
    <xf numFmtId="0" fontId="39" fillId="0" borderId="0" xfId="0" applyFont="1"/>
    <xf numFmtId="3" fontId="36" fillId="0" borderId="5" xfId="0" applyNumberFormat="1" applyFont="1" applyBorder="1"/>
    <xf numFmtId="3" fontId="36" fillId="0" borderId="5" xfId="0" applyNumberFormat="1" applyFont="1" applyBorder="1" applyAlignment="1">
      <alignment horizontal="center"/>
    </xf>
    <xf numFmtId="3" fontId="35" fillId="0" borderId="5" xfId="0" applyNumberFormat="1" applyFont="1" applyBorder="1" applyAlignment="1">
      <alignment horizontal="center"/>
    </xf>
    <xf numFmtId="3" fontId="39" fillId="0" borderId="5" xfId="0" applyNumberFormat="1" applyFont="1" applyBorder="1"/>
    <xf numFmtId="3" fontId="39" fillId="0" borderId="31" xfId="0" applyNumberFormat="1" applyFont="1" applyBorder="1"/>
    <xf numFmtId="3" fontId="41" fillId="0" borderId="5" xfId="0" applyNumberFormat="1" applyFont="1" applyBorder="1"/>
    <xf numFmtId="3" fontId="39" fillId="0" borderId="23" xfId="0" applyNumberFormat="1" applyFont="1" applyBorder="1"/>
    <xf numFmtId="0" fontId="35" fillId="0" borderId="10" xfId="0" applyFont="1" applyBorder="1" applyAlignment="1">
      <alignment horizontal="center"/>
    </xf>
    <xf numFmtId="0" fontId="35" fillId="0" borderId="10" xfId="0" applyFont="1" applyBorder="1"/>
    <xf numFmtId="3" fontId="35" fillId="0" borderId="22" xfId="0" applyNumberFormat="1" applyFont="1" applyBorder="1" applyAlignment="1">
      <alignment horizontal="center"/>
    </xf>
    <xf numFmtId="0" fontId="35" fillId="0" borderId="22" xfId="0" applyFont="1" applyBorder="1" applyAlignment="1">
      <alignment horizontal="center"/>
    </xf>
    <xf numFmtId="0" fontId="35" fillId="0" borderId="22" xfId="0" applyFont="1" applyBorder="1"/>
    <xf numFmtId="3" fontId="35" fillId="0" borderId="0" xfId="0" applyNumberFormat="1" applyFont="1" applyAlignment="1">
      <alignment horizontal="center"/>
    </xf>
    <xf numFmtId="0" fontId="39" fillId="0" borderId="23" xfId="0" applyFont="1" applyBorder="1" applyAlignment="1">
      <alignment horizontal="center"/>
    </xf>
    <xf numFmtId="0" fontId="35" fillId="0" borderId="23" xfId="0" applyFont="1" applyBorder="1" applyAlignment="1">
      <alignment horizontal="center"/>
    </xf>
    <xf numFmtId="0" fontId="35" fillId="0" borderId="61" xfId="0" applyFont="1" applyBorder="1" applyAlignment="1">
      <alignment horizontal="center"/>
    </xf>
    <xf numFmtId="3" fontId="40" fillId="0" borderId="26" xfId="0" applyNumberFormat="1" applyFont="1" applyBorder="1" applyAlignment="1">
      <alignment horizontal="center"/>
    </xf>
    <xf numFmtId="3" fontId="35" fillId="0" borderId="26" xfId="0" applyNumberFormat="1" applyFont="1" applyBorder="1" applyAlignment="1">
      <alignment horizontal="center"/>
    </xf>
    <xf numFmtId="0" fontId="35" fillId="0" borderId="57" xfId="0" applyFont="1" applyBorder="1" applyAlignment="1">
      <alignment horizontal="center"/>
    </xf>
    <xf numFmtId="0" fontId="39" fillId="0" borderId="62" xfId="0" applyFont="1" applyBorder="1" applyAlignment="1">
      <alignment horizontal="center"/>
    </xf>
    <xf numFmtId="0" fontId="39" fillId="0" borderId="9" xfId="0" applyFont="1" applyBorder="1" applyAlignment="1">
      <alignment horizontal="center"/>
    </xf>
    <xf numFmtId="0" fontId="39" fillId="0" borderId="31" xfId="0" applyFont="1" applyBorder="1" applyAlignment="1">
      <alignment horizontal="center"/>
    </xf>
    <xf numFmtId="3" fontId="52" fillId="0" borderId="5" xfId="0" applyNumberFormat="1" applyFont="1" applyBorder="1" applyAlignment="1">
      <alignment horizontal="center"/>
    </xf>
    <xf numFmtId="0" fontId="7" fillId="3" borderId="3" xfId="0" applyFont="1" applyFill="1" applyBorder="1"/>
    <xf numFmtId="1" fontId="7" fillId="3" borderId="3" xfId="0" applyNumberFormat="1" applyFont="1" applyFill="1" applyBorder="1" applyAlignment="1">
      <alignment horizontal="right"/>
    </xf>
    <xf numFmtId="172" fontId="7" fillId="3" borderId="3" xfId="0" applyNumberFormat="1" applyFont="1" applyFill="1" applyBorder="1"/>
    <xf numFmtId="2" fontId="7" fillId="3" borderId="3" xfId="0" applyNumberFormat="1" applyFont="1" applyFill="1" applyBorder="1"/>
    <xf numFmtId="0" fontId="7" fillId="3" borderId="8" xfId="0" applyFont="1" applyFill="1" applyBorder="1"/>
    <xf numFmtId="173" fontId="7" fillId="3" borderId="3" xfId="0" applyNumberFormat="1" applyFont="1" applyFill="1" applyBorder="1"/>
    <xf numFmtId="0" fontId="7" fillId="3" borderId="3" xfId="0" applyFont="1" applyFill="1" applyBorder="1" applyAlignment="1">
      <alignment horizontal="center"/>
    </xf>
    <xf numFmtId="3" fontId="7" fillId="3" borderId="3" xfId="0" applyNumberFormat="1" applyFont="1" applyFill="1" applyBorder="1"/>
    <xf numFmtId="167" fontId="41" fillId="0" borderId="3" xfId="0" applyNumberFormat="1" applyFont="1" applyBorder="1" applyAlignment="1">
      <alignment horizontal="right"/>
    </xf>
    <xf numFmtId="167" fontId="7" fillId="3" borderId="3" xfId="0" applyNumberFormat="1" applyFont="1" applyFill="1" applyBorder="1" applyAlignment="1">
      <alignment horizontal="right"/>
    </xf>
    <xf numFmtId="0" fontId="41" fillId="0" borderId="0" xfId="0" applyFont="1"/>
    <xf numFmtId="0" fontId="41" fillId="0" borderId="0" xfId="0" applyFont="1" applyAlignment="1">
      <alignment horizontal="center"/>
    </xf>
    <xf numFmtId="0" fontId="41" fillId="3" borderId="3" xfId="0" applyFont="1" applyFill="1" applyBorder="1"/>
    <xf numFmtId="167" fontId="41" fillId="3" borderId="3" xfId="0" applyNumberFormat="1" applyFont="1" applyFill="1" applyBorder="1" applyAlignment="1">
      <alignment horizontal="right"/>
    </xf>
    <xf numFmtId="1" fontId="41" fillId="3" borderId="3" xfId="0" applyNumberFormat="1" applyFont="1" applyFill="1" applyBorder="1" applyAlignment="1">
      <alignment horizontal="right"/>
    </xf>
    <xf numFmtId="172" fontId="41" fillId="3" borderId="3" xfId="0" applyNumberFormat="1" applyFont="1" applyFill="1" applyBorder="1"/>
    <xf numFmtId="2" fontId="41" fillId="3" borderId="3" xfId="0" applyNumberFormat="1" applyFont="1" applyFill="1" applyBorder="1"/>
    <xf numFmtId="0" fontId="41" fillId="3" borderId="8" xfId="0" applyFont="1" applyFill="1" applyBorder="1"/>
    <xf numFmtId="173" fontId="41" fillId="3" borderId="3" xfId="0" applyNumberFormat="1" applyFont="1" applyFill="1" applyBorder="1"/>
    <xf numFmtId="0" fontId="41" fillId="3" borderId="3" xfId="0" applyFont="1" applyFill="1" applyBorder="1" applyAlignment="1">
      <alignment horizontal="center"/>
    </xf>
    <xf numFmtId="3" fontId="41" fillId="3" borderId="3" xfId="0" applyNumberFormat="1" applyFont="1" applyFill="1" applyBorder="1"/>
    <xf numFmtId="0" fontId="49" fillId="0" borderId="0" xfId="0" applyFont="1" applyAlignment="1">
      <alignment horizontal="center"/>
    </xf>
    <xf numFmtId="0" fontId="49" fillId="0" borderId="0" xfId="0" applyFont="1"/>
    <xf numFmtId="0" fontId="35" fillId="0" borderId="0" xfId="0" quotePrefix="1" applyFont="1"/>
    <xf numFmtId="3" fontId="35" fillId="0" borderId="0" xfId="0" quotePrefix="1" applyNumberFormat="1" applyFont="1"/>
    <xf numFmtId="3" fontId="36" fillId="0" borderId="22" xfId="0" applyNumberFormat="1" applyFont="1" applyBorder="1"/>
    <xf numFmtId="0" fontId="39" fillId="0" borderId="10" xfId="0" applyFont="1" applyBorder="1" applyAlignment="1">
      <alignment horizontal="center"/>
    </xf>
    <xf numFmtId="3" fontId="15" fillId="0" borderId="5" xfId="0" applyNumberFormat="1" applyFont="1" applyBorder="1" applyAlignment="1">
      <alignment horizontal="center" vertical="center"/>
    </xf>
    <xf numFmtId="168" fontId="12" fillId="0" borderId="5" xfId="0" applyNumberFormat="1" applyFont="1" applyBorder="1" applyAlignment="1">
      <alignment horizontal="center" vertical="center"/>
    </xf>
    <xf numFmtId="168" fontId="23" fillId="0" borderId="5" xfId="2" applyNumberFormat="1" applyFont="1" applyFill="1" applyBorder="1" applyAlignment="1">
      <alignment horizontal="center" vertical="center"/>
    </xf>
    <xf numFmtId="168" fontId="56" fillId="0" borderId="5" xfId="0" applyNumberFormat="1" applyFont="1" applyBorder="1" applyAlignment="1">
      <alignment horizontal="center" vertical="center"/>
    </xf>
    <xf numFmtId="168" fontId="8" fillId="0" borderId="5" xfId="1" applyNumberFormat="1" applyFont="1" applyFill="1" applyBorder="1"/>
    <xf numFmtId="168" fontId="8" fillId="0" borderId="31" xfId="1" applyNumberFormat="1" applyFont="1" applyFill="1" applyBorder="1"/>
    <xf numFmtId="168" fontId="84" fillId="0" borderId="31" xfId="1" applyNumberFormat="1" applyFont="1" applyFill="1" applyBorder="1"/>
    <xf numFmtId="168" fontId="8" fillId="0" borderId="86" xfId="1" applyNumberFormat="1" applyFont="1" applyFill="1" applyBorder="1"/>
    <xf numFmtId="168" fontId="8" fillId="0" borderId="90" xfId="1" applyNumberFormat="1" applyFont="1" applyFill="1" applyBorder="1"/>
    <xf numFmtId="168" fontId="8" fillId="0" borderId="91" xfId="1" applyNumberFormat="1" applyFont="1" applyFill="1" applyBorder="1"/>
    <xf numFmtId="168" fontId="8" fillId="0" borderId="27" xfId="1" applyNumberFormat="1" applyFont="1" applyFill="1" applyBorder="1"/>
    <xf numFmtId="168" fontId="8" fillId="0" borderId="9" xfId="1" applyNumberFormat="1" applyFont="1" applyFill="1" applyBorder="1"/>
    <xf numFmtId="168" fontId="2" fillId="0" borderId="5" xfId="2" applyNumberFormat="1" applyFont="1" applyFill="1" applyBorder="1" applyAlignment="1">
      <alignment horizontal="center" vertical="center"/>
    </xf>
    <xf numFmtId="3" fontId="57" fillId="0" borderId="5" xfId="0" applyNumberFormat="1" applyFont="1" applyBorder="1" applyAlignment="1">
      <alignment horizontal="center" vertical="center"/>
    </xf>
    <xf numFmtId="168" fontId="54" fillId="0" borderId="5" xfId="2" applyNumberFormat="1" applyFont="1" applyFill="1" applyBorder="1" applyAlignment="1">
      <alignment horizontal="center" vertical="center"/>
    </xf>
    <xf numFmtId="168" fontId="20" fillId="0" borderId="5" xfId="0" applyNumberFormat="1" applyFont="1" applyBorder="1" applyAlignment="1">
      <alignment horizontal="center" vertical="center"/>
    </xf>
    <xf numFmtId="168" fontId="55" fillId="0" borderId="5" xfId="0" applyNumberFormat="1" applyFont="1" applyBorder="1" applyAlignment="1">
      <alignment horizontal="center" vertical="center"/>
    </xf>
    <xf numFmtId="168" fontId="55" fillId="0" borderId="5" xfId="2" applyNumberFormat="1" applyFont="1" applyFill="1" applyBorder="1" applyAlignment="1">
      <alignment horizontal="center" vertical="center"/>
    </xf>
    <xf numFmtId="3" fontId="87" fillId="0" borderId="5" xfId="0" applyNumberFormat="1" applyFont="1" applyBorder="1" applyAlignment="1">
      <alignment horizontal="center" vertical="center"/>
    </xf>
    <xf numFmtId="168" fontId="8" fillId="0" borderId="0" xfId="1" applyNumberFormat="1" applyFont="1" applyFill="1" applyBorder="1"/>
    <xf numFmtId="168" fontId="12" fillId="0" borderId="5" xfId="2" applyNumberFormat="1" applyFont="1" applyFill="1" applyBorder="1" applyAlignment="1">
      <alignment horizontal="center" vertical="center"/>
    </xf>
    <xf numFmtId="168" fontId="7" fillId="0" borderId="5" xfId="2" applyNumberFormat="1" applyFont="1" applyFill="1" applyBorder="1" applyAlignment="1">
      <alignment horizontal="center" vertical="center"/>
    </xf>
    <xf numFmtId="0" fontId="46" fillId="0" borderId="0" xfId="0" applyFont="1"/>
    <xf numFmtId="0" fontId="46" fillId="0" borderId="0" xfId="0" applyFont="1" applyAlignment="1">
      <alignment horizontal="center"/>
    </xf>
    <xf numFmtId="0" fontId="2" fillId="0" borderId="0" xfId="0" applyFont="1" applyAlignment="1">
      <alignment vertical="center" wrapText="1"/>
    </xf>
    <xf numFmtId="0" fontId="7" fillId="0" borderId="14" xfId="0" applyFont="1" applyBorder="1"/>
    <xf numFmtId="168" fontId="8" fillId="0" borderId="92" xfId="1" applyNumberFormat="1" applyFont="1" applyFill="1" applyBorder="1"/>
    <xf numFmtId="168" fontId="8" fillId="0" borderId="16" xfId="1" applyNumberFormat="1" applyFont="1" applyFill="1" applyBorder="1"/>
    <xf numFmtId="168" fontId="8" fillId="0" borderId="16" xfId="1" applyNumberFormat="1" applyFont="1" applyFill="1" applyBorder="1" applyAlignment="1">
      <alignment horizontal="center"/>
    </xf>
    <xf numFmtId="168" fontId="8" fillId="0" borderId="26" xfId="1" applyNumberFormat="1" applyFont="1" applyFill="1" applyBorder="1"/>
    <xf numFmtId="168" fontId="4" fillId="0" borderId="3" xfId="5" applyNumberFormat="1" applyFont="1" applyFill="1" applyBorder="1" applyAlignment="1">
      <alignment horizontal="center" vertical="center"/>
    </xf>
    <xf numFmtId="168" fontId="4" fillId="0" borderId="8" xfId="5" applyNumberFormat="1" applyFont="1" applyFill="1" applyBorder="1" applyAlignment="1">
      <alignment horizontal="center" vertical="center"/>
    </xf>
    <xf numFmtId="168" fontId="4" fillId="0" borderId="94" xfId="5" applyNumberFormat="1" applyFont="1" applyFill="1" applyBorder="1" applyAlignment="1">
      <alignment horizontal="center" vertical="center"/>
    </xf>
    <xf numFmtId="169" fontId="4" fillId="0" borderId="8" xfId="5" applyNumberFormat="1" applyFont="1" applyFill="1" applyBorder="1" applyAlignment="1">
      <alignment horizontal="center" vertical="center"/>
    </xf>
    <xf numFmtId="168" fontId="8" fillId="0" borderId="5" xfId="5" applyNumberFormat="1" applyFont="1" applyFill="1" applyBorder="1" applyAlignment="1">
      <alignment horizontal="center" vertical="center"/>
    </xf>
    <xf numFmtId="168" fontId="4" fillId="0" borderId="43" xfId="5" applyNumberFormat="1" applyFont="1" applyFill="1" applyBorder="1" applyAlignment="1">
      <alignment horizontal="center" vertical="center"/>
    </xf>
    <xf numFmtId="168" fontId="4" fillId="0" borderId="6" xfId="5" applyNumberFormat="1" applyFont="1" applyFill="1" applyBorder="1" applyAlignment="1">
      <alignment horizontal="center" vertical="center"/>
    </xf>
    <xf numFmtId="0" fontId="94" fillId="0" borderId="0" xfId="0" applyFont="1"/>
    <xf numFmtId="0" fontId="78" fillId="0" borderId="0" xfId="0" applyFont="1"/>
    <xf numFmtId="0" fontId="30" fillId="0" borderId="0" xfId="0" applyFont="1"/>
    <xf numFmtId="0" fontId="30" fillId="0" borderId="0" xfId="0" applyFont="1" applyAlignment="1">
      <alignment horizontal="center"/>
    </xf>
    <xf numFmtId="0" fontId="79" fillId="0" borderId="0" xfId="0" applyFont="1" applyAlignment="1">
      <alignment horizontal="center" vertical="center"/>
    </xf>
    <xf numFmtId="168" fontId="30" fillId="0" borderId="0" xfId="0" applyNumberFormat="1" applyFont="1" applyAlignment="1">
      <alignment horizontal="center" vertical="center"/>
    </xf>
    <xf numFmtId="168" fontId="79" fillId="0" borderId="42" xfId="0" applyNumberFormat="1" applyFont="1" applyBorder="1" applyAlignment="1">
      <alignment horizontal="center" vertical="center"/>
    </xf>
    <xf numFmtId="0" fontId="30" fillId="0" borderId="0" xfId="0" applyFont="1" applyAlignment="1">
      <alignment horizontal="center" vertical="center"/>
    </xf>
    <xf numFmtId="168" fontId="79" fillId="0" borderId="0" xfId="0" applyNumberFormat="1" applyFont="1" applyAlignment="1">
      <alignment horizontal="center" vertical="center"/>
    </xf>
    <xf numFmtId="168" fontId="31" fillId="0" borderId="0" xfId="0" applyNumberFormat="1" applyFont="1" applyAlignment="1">
      <alignment horizontal="center" vertical="center"/>
    </xf>
    <xf numFmtId="0" fontId="80" fillId="0" borderId="0" xfId="0" applyFont="1" applyAlignment="1">
      <alignment horizontal="center" vertical="center"/>
    </xf>
    <xf numFmtId="0" fontId="80" fillId="0" borderId="0" xfId="0" applyFont="1" applyAlignment="1">
      <alignment vertical="center"/>
    </xf>
    <xf numFmtId="0" fontId="80" fillId="0" borderId="3" xfId="0" applyFont="1" applyBorder="1" applyAlignment="1">
      <alignment horizontal="center" vertical="center"/>
    </xf>
    <xf numFmtId="0" fontId="80" fillId="0" borderId="41" xfId="0" applyFont="1" applyBorder="1" applyAlignment="1">
      <alignment horizontal="center" vertical="center"/>
    </xf>
    <xf numFmtId="0" fontId="80" fillId="0" borderId="27" xfId="0" applyFont="1" applyBorder="1" applyAlignment="1">
      <alignment horizontal="center" vertical="center"/>
    </xf>
    <xf numFmtId="0" fontId="79" fillId="0" borderId="43" xfId="0" applyFont="1" applyBorder="1" applyAlignment="1">
      <alignment horizontal="center" vertical="center"/>
    </xf>
    <xf numFmtId="0" fontId="79" fillId="0" borderId="3" xfId="0" applyFont="1" applyBorder="1" applyAlignment="1">
      <alignment horizontal="center" vertical="center"/>
    </xf>
    <xf numFmtId="168" fontId="38" fillId="0" borderId="3" xfId="0" applyNumberFormat="1" applyFont="1" applyBorder="1" applyAlignment="1">
      <alignment horizontal="center" vertical="center"/>
    </xf>
    <xf numFmtId="168" fontId="79" fillId="0" borderId="3" xfId="0" applyNumberFormat="1" applyFont="1" applyBorder="1" applyAlignment="1">
      <alignment horizontal="center" vertical="center"/>
    </xf>
    <xf numFmtId="0" fontId="80" fillId="0" borderId="89" xfId="0" applyFont="1" applyBorder="1" applyAlignment="1">
      <alignment horizontal="center"/>
    </xf>
    <xf numFmtId="0" fontId="80" fillId="0" borderId="31" xfId="0" applyFont="1" applyBorder="1" applyAlignment="1">
      <alignment horizontal="center"/>
    </xf>
    <xf numFmtId="168" fontId="81" fillId="0" borderId="31" xfId="0" applyNumberFormat="1" applyFont="1" applyBorder="1" applyAlignment="1">
      <alignment horizontal="center"/>
    </xf>
    <xf numFmtId="0" fontId="80" fillId="0" borderId="0" xfId="0" applyFont="1"/>
    <xf numFmtId="0" fontId="80" fillId="0" borderId="3" xfId="0" applyFont="1" applyBorder="1"/>
    <xf numFmtId="0" fontId="80" fillId="0" borderId="5" xfId="0" applyFont="1" applyBorder="1" applyAlignment="1">
      <alignment horizontal="center"/>
    </xf>
    <xf numFmtId="0" fontId="80" fillId="0" borderId="23" xfId="0" applyFont="1" applyBorder="1" applyAlignment="1">
      <alignment horizontal="center"/>
    </xf>
    <xf numFmtId="0" fontId="82" fillId="0" borderId="0" xfId="0" applyFont="1"/>
    <xf numFmtId="0" fontId="83" fillId="0" borderId="0" xfId="0" applyFont="1"/>
    <xf numFmtId="168" fontId="80" fillId="0" borderId="3" xfId="0" applyNumberFormat="1" applyFont="1" applyBorder="1"/>
    <xf numFmtId="0" fontId="80" fillId="0" borderId="93" xfId="0" applyFont="1" applyBorder="1" applyAlignment="1">
      <alignment horizontal="center"/>
    </xf>
    <xf numFmtId="0" fontId="80" fillId="0" borderId="27" xfId="0" applyFont="1" applyBorder="1" applyAlignment="1">
      <alignment horizontal="center"/>
    </xf>
    <xf numFmtId="168" fontId="81" fillId="0" borderId="9" xfId="0" applyNumberFormat="1" applyFont="1" applyBorder="1" applyAlignment="1">
      <alignment horizontal="center"/>
    </xf>
    <xf numFmtId="0" fontId="80" fillId="0" borderId="37" xfId="0" applyFont="1" applyBorder="1" applyAlignment="1">
      <alignment horizontal="center"/>
    </xf>
    <xf numFmtId="0" fontId="80" fillId="0" borderId="38" xfId="0" applyFont="1" applyBorder="1"/>
    <xf numFmtId="0" fontId="8" fillId="0" borderId="38" xfId="0" applyFont="1" applyBorder="1"/>
    <xf numFmtId="0" fontId="79" fillId="0" borderId="0" xfId="0" applyFont="1" applyAlignment="1">
      <alignment horizontal="left" wrapText="1"/>
    </xf>
    <xf numFmtId="168" fontId="30" fillId="0" borderId="0" xfId="0" applyNumberFormat="1" applyFont="1"/>
    <xf numFmtId="168" fontId="30" fillId="0" borderId="0" xfId="0" applyNumberFormat="1" applyFont="1" applyAlignment="1">
      <alignment horizontal="center"/>
    </xf>
    <xf numFmtId="0" fontId="5" fillId="0" borderId="13" xfId="0" applyFont="1" applyBorder="1"/>
    <xf numFmtId="0" fontId="7" fillId="0" borderId="13" xfId="0" applyFont="1" applyBorder="1"/>
    <xf numFmtId="0" fontId="12" fillId="0" borderId="13" xfId="0" applyFont="1" applyBorder="1" applyAlignment="1">
      <alignment horizontal="center" vertical="center" wrapText="1"/>
    </xf>
    <xf numFmtId="0" fontId="80" fillId="2" borderId="5" xfId="0" applyFont="1" applyFill="1" applyBorder="1" applyAlignment="1">
      <alignment horizontal="center"/>
    </xf>
    <xf numFmtId="168" fontId="8" fillId="2" borderId="5" xfId="1" applyNumberFormat="1" applyFont="1" applyFill="1" applyBorder="1"/>
    <xf numFmtId="168" fontId="8" fillId="2" borderId="31" xfId="1" applyNumberFormat="1" applyFont="1" applyFill="1" applyBorder="1"/>
    <xf numFmtId="0" fontId="83" fillId="2" borderId="0" xfId="0" applyFont="1" applyFill="1"/>
    <xf numFmtId="0" fontId="80" fillId="2" borderId="23" xfId="0" applyFont="1" applyFill="1" applyBorder="1" applyAlignment="1">
      <alignment horizontal="center"/>
    </xf>
    <xf numFmtId="168" fontId="81" fillId="2" borderId="31" xfId="0" applyNumberFormat="1" applyFont="1" applyFill="1" applyBorder="1" applyAlignment="1">
      <alignment horizontal="center"/>
    </xf>
    <xf numFmtId="168" fontId="8" fillId="2" borderId="0" xfId="1" applyNumberFormat="1" applyFont="1" applyFill="1" applyBorder="1"/>
    <xf numFmtId="0" fontId="80" fillId="2" borderId="0" xfId="0" applyFont="1" applyFill="1"/>
    <xf numFmtId="0" fontId="80" fillId="2" borderId="3" xfId="0" applyFont="1" applyFill="1" applyBorder="1"/>
    <xf numFmtId="0" fontId="5" fillId="0" borderId="13" xfId="0" applyFont="1" applyBorder="1" applyAlignment="1">
      <alignment horizontal="left"/>
    </xf>
    <xf numFmtId="0" fontId="9" fillId="0" borderId="31" xfId="0" applyFont="1" applyBorder="1"/>
    <xf numFmtId="0" fontId="8" fillId="0" borderId="65" xfId="0" applyFont="1" applyBorder="1" applyAlignment="1">
      <alignment horizontal="center" vertical="center"/>
    </xf>
    <xf numFmtId="0" fontId="4" fillId="0" borderId="67" xfId="0" applyFont="1" applyBorder="1" applyAlignment="1">
      <alignment horizontal="center" vertical="center"/>
    </xf>
    <xf numFmtId="0" fontId="8" fillId="0" borderId="62" xfId="0" applyFont="1" applyBorder="1" applyAlignment="1">
      <alignment horizontal="center" vertical="center"/>
    </xf>
    <xf numFmtId="0" fontId="8" fillId="0" borderId="10" xfId="0" applyFont="1" applyBorder="1" applyAlignment="1">
      <alignment horizontal="center" vertical="center"/>
    </xf>
    <xf numFmtId="0" fontId="8" fillId="0" borderId="57" xfId="0" applyFont="1" applyBorder="1" applyAlignment="1">
      <alignment horizontal="center" vertical="center"/>
    </xf>
    <xf numFmtId="0" fontId="8" fillId="0" borderId="61" xfId="0" applyFont="1" applyBorder="1" applyAlignment="1">
      <alignment horizontal="center" vertical="center"/>
    </xf>
    <xf numFmtId="0" fontId="8" fillId="0" borderId="6" xfId="0" applyFont="1" applyBorder="1" applyAlignment="1">
      <alignment horizontal="center" vertical="center"/>
    </xf>
    <xf numFmtId="0" fontId="8" fillId="0" borderId="43"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Continuous" vertical="center"/>
    </xf>
    <xf numFmtId="0" fontId="8" fillId="0" borderId="43" xfId="0" applyFont="1" applyBorder="1" applyAlignment="1">
      <alignment horizontal="centerContinuous" vertical="center"/>
    </xf>
    <xf numFmtId="0" fontId="4" fillId="0" borderId="28" xfId="0" applyFont="1" applyBorder="1" applyAlignment="1">
      <alignment horizontal="center" vertical="center"/>
    </xf>
    <xf numFmtId="0" fontId="4" fillId="0" borderId="43" xfId="0" applyFont="1" applyBorder="1" applyAlignment="1">
      <alignment horizontal="center" vertical="center"/>
    </xf>
    <xf numFmtId="0" fontId="4" fillId="0" borderId="3" xfId="0" applyFont="1" applyBorder="1" applyAlignment="1">
      <alignment horizontal="center" vertical="center"/>
    </xf>
    <xf numFmtId="168" fontId="17" fillId="0" borderId="3" xfId="5" applyNumberFormat="1" applyFont="1" applyFill="1" applyBorder="1" applyAlignment="1">
      <alignment horizontal="center" vertical="center"/>
    </xf>
    <xf numFmtId="169" fontId="4" fillId="0" borderId="29" xfId="0" applyNumberFormat="1" applyFont="1" applyBorder="1" applyAlignment="1">
      <alignment horizontal="center" vertical="center"/>
    </xf>
    <xf numFmtId="0" fontId="8" fillId="0" borderId="30" xfId="0" applyFont="1" applyBorder="1" applyAlignment="1">
      <alignment horizontal="center"/>
    </xf>
    <xf numFmtId="0" fontId="8" fillId="0" borderId="89" xfId="0" applyFont="1" applyBorder="1" applyAlignment="1">
      <alignment horizontal="center"/>
    </xf>
    <xf numFmtId="0" fontId="8" fillId="0" borderId="31" xfId="0" applyFont="1" applyBorder="1" applyAlignment="1">
      <alignment horizontal="center"/>
    </xf>
    <xf numFmtId="168" fontId="8" fillId="0" borderId="31" xfId="0" applyNumberFormat="1" applyFont="1" applyBorder="1" applyAlignment="1">
      <alignment horizontal="center"/>
    </xf>
    <xf numFmtId="167" fontId="8" fillId="0" borderId="85" xfId="0" applyNumberFormat="1" applyFont="1" applyBorder="1"/>
    <xf numFmtId="0" fontId="8" fillId="0" borderId="25" xfId="0" applyFont="1" applyBorder="1" applyAlignment="1">
      <alignment horizontal="center"/>
    </xf>
    <xf numFmtId="0" fontId="8" fillId="0" borderId="5" xfId="0" applyFont="1" applyBorder="1" applyAlignment="1">
      <alignment horizontal="center"/>
    </xf>
    <xf numFmtId="167" fontId="8" fillId="0" borderId="58" xfId="0" applyNumberFormat="1" applyFont="1" applyBorder="1"/>
    <xf numFmtId="0" fontId="21" fillId="0" borderId="58" xfId="0" applyFont="1" applyBorder="1"/>
    <xf numFmtId="0" fontId="19" fillId="0" borderId="58" xfId="0" applyFont="1" applyBorder="1"/>
    <xf numFmtId="0" fontId="8" fillId="0" borderId="58" xfId="0" applyFont="1" applyBorder="1"/>
    <xf numFmtId="0" fontId="8" fillId="0" borderId="23" xfId="0" applyFont="1" applyBorder="1" applyAlignment="1">
      <alignment horizontal="center"/>
    </xf>
    <xf numFmtId="0" fontId="8" fillId="0" borderId="60" xfId="0" applyFont="1" applyBorder="1"/>
    <xf numFmtId="0" fontId="8" fillId="0" borderId="36" xfId="0" applyFont="1" applyBorder="1" applyAlignment="1">
      <alignment horizontal="center"/>
    </xf>
    <xf numFmtId="0" fontId="8" fillId="0" borderId="37" xfId="0" applyFont="1" applyBorder="1" applyAlignment="1">
      <alignment horizontal="center"/>
    </xf>
    <xf numFmtId="0" fontId="8" fillId="0" borderId="39" xfId="0" applyFont="1" applyBorder="1"/>
    <xf numFmtId="0" fontId="9" fillId="0" borderId="0" xfId="0" applyFont="1"/>
    <xf numFmtId="3" fontId="2" fillId="0" borderId="5" xfId="0" applyNumberFormat="1" applyFont="1" applyBorder="1" applyAlignment="1">
      <alignment horizontal="center" vertical="top"/>
    </xf>
    <xf numFmtId="176" fontId="5" fillId="0" borderId="0" xfId="0" applyNumberFormat="1" applyFont="1" applyAlignment="1">
      <alignment horizontal="center"/>
    </xf>
    <xf numFmtId="0" fontId="5" fillId="0" borderId="10" xfId="0" applyFont="1" applyBorder="1" applyAlignment="1">
      <alignment vertical="center"/>
    </xf>
    <xf numFmtId="0" fontId="21" fillId="0" borderId="3" xfId="0" applyFont="1" applyBorder="1" applyAlignment="1">
      <alignment horizontal="center" vertical="center"/>
    </xf>
    <xf numFmtId="0" fontId="5" fillId="0" borderId="9" xfId="0" applyFont="1" applyBorder="1" applyAlignment="1">
      <alignment vertical="center"/>
    </xf>
    <xf numFmtId="0" fontId="5" fillId="0" borderId="31" xfId="0" applyFont="1" applyBorder="1"/>
    <xf numFmtId="0" fontId="7" fillId="0" borderId="31" xfId="0" applyFont="1" applyBorder="1"/>
    <xf numFmtId="0" fontId="33" fillId="0" borderId="31" xfId="0" applyFont="1" applyBorder="1"/>
    <xf numFmtId="0" fontId="7" fillId="0" borderId="38" xfId="0" applyFont="1" applyBorder="1"/>
    <xf numFmtId="0" fontId="51" fillId="0" borderId="0" xfId="0" quotePrefix="1" applyFont="1"/>
    <xf numFmtId="0" fontId="5" fillId="0" borderId="88" xfId="0" applyFont="1" applyBorder="1" applyAlignment="1">
      <alignment horizontal="center" vertical="center"/>
    </xf>
    <xf numFmtId="0" fontId="21" fillId="0" borderId="28" xfId="0" applyFont="1" applyBorder="1" applyAlignment="1">
      <alignment horizontal="center" vertical="center"/>
    </xf>
    <xf numFmtId="0" fontId="7" fillId="0" borderId="59" xfId="0" applyFont="1" applyBorder="1" applyAlignment="1">
      <alignment horizontal="center" vertical="center"/>
    </xf>
    <xf numFmtId="0" fontId="7" fillId="0" borderId="25" xfId="0" applyFont="1" applyBorder="1" applyAlignment="1">
      <alignment horizontal="center" vertical="center"/>
    </xf>
    <xf numFmtId="0" fontId="5" fillId="0" borderId="30" xfId="0" applyFont="1" applyBorder="1" applyAlignment="1">
      <alignment horizontal="center"/>
    </xf>
    <xf numFmtId="0" fontId="7" fillId="0" borderId="30" xfId="0" applyFont="1" applyBorder="1" applyAlignment="1">
      <alignment horizontal="center"/>
    </xf>
    <xf numFmtId="0" fontId="5" fillId="0" borderId="25" xfId="0" applyFont="1" applyBorder="1" applyAlignment="1">
      <alignment horizontal="center"/>
    </xf>
    <xf numFmtId="0" fontId="33" fillId="0" borderId="25" xfId="0" applyFont="1" applyBorder="1" applyAlignment="1">
      <alignment horizontal="center"/>
    </xf>
    <xf numFmtId="0" fontId="33" fillId="0" borderId="30" xfId="0" applyFont="1" applyBorder="1" applyAlignment="1">
      <alignment horizontal="center"/>
    </xf>
    <xf numFmtId="0" fontId="7" fillId="0" borderId="36" xfId="0" applyFont="1" applyBorder="1" applyAlignment="1">
      <alignment horizontal="center"/>
    </xf>
    <xf numFmtId="0" fontId="13" fillId="0" borderId="0" xfId="0" applyFont="1"/>
    <xf numFmtId="0" fontId="13" fillId="0" borderId="0" xfId="0" applyFont="1" applyAlignment="1">
      <alignment horizontal="center"/>
    </xf>
    <xf numFmtId="168" fontId="12" fillId="0" borderId="4" xfId="0" applyNumberFormat="1" applyFont="1" applyBorder="1" applyAlignment="1">
      <alignment horizontal="center"/>
    </xf>
    <xf numFmtId="0" fontId="13" fillId="0" borderId="0" xfId="4" applyFont="1" applyAlignment="1">
      <alignment horizontal="center" vertical="center"/>
    </xf>
    <xf numFmtId="0" fontId="12" fillId="0" borderId="0" xfId="0" applyFont="1"/>
    <xf numFmtId="168" fontId="12" fillId="0" borderId="0" xfId="0" applyNumberFormat="1" applyFont="1" applyAlignment="1">
      <alignment horizontal="center"/>
    </xf>
    <xf numFmtId="0" fontId="13" fillId="0" borderId="0" xfId="4" applyFont="1"/>
    <xf numFmtId="0" fontId="23" fillId="0" borderId="0" xfId="0" applyFont="1"/>
    <xf numFmtId="0" fontId="20" fillId="0" borderId="0" xfId="0" applyFont="1"/>
    <xf numFmtId="3" fontId="7" fillId="0" borderId="0" xfId="0" applyNumberFormat="1" applyFont="1"/>
    <xf numFmtId="1" fontId="7" fillId="0" borderId="0" xfId="0" applyNumberFormat="1" applyFont="1"/>
    <xf numFmtId="3" fontId="96" fillId="0" borderId="0" xfId="0" applyNumberFormat="1" applyFont="1"/>
    <xf numFmtId="3" fontId="7" fillId="0" borderId="0" xfId="0" applyNumberFormat="1" applyFont="1" applyAlignment="1">
      <alignment horizontal="center"/>
    </xf>
    <xf numFmtId="0" fontId="19" fillId="0" borderId="0" xfId="0" applyFont="1" applyAlignment="1">
      <alignment horizontal="center"/>
    </xf>
    <xf numFmtId="3" fontId="41" fillId="0" borderId="0" xfId="0" applyNumberFormat="1" applyFont="1"/>
    <xf numFmtId="0" fontId="50" fillId="0" borderId="0" xfId="0" applyFont="1" applyAlignment="1">
      <alignment horizontal="center"/>
    </xf>
    <xf numFmtId="0" fontId="9" fillId="0" borderId="0" xfId="0" applyFont="1" applyAlignment="1">
      <alignment horizontal="center"/>
    </xf>
    <xf numFmtId="0" fontId="95" fillId="0" borderId="0" xfId="0" applyFont="1" applyAlignment="1">
      <alignment horizontal="center"/>
    </xf>
    <xf numFmtId="0" fontId="50" fillId="0" borderId="0" xfId="0" applyFont="1"/>
    <xf numFmtId="0" fontId="5" fillId="0" borderId="0" xfId="0" applyFont="1" applyAlignment="1">
      <alignment horizontal="left"/>
    </xf>
    <xf numFmtId="3" fontId="90" fillId="0" borderId="0" xfId="0" applyNumberFormat="1" applyFont="1" applyAlignment="1">
      <alignment horizontal="center"/>
    </xf>
    <xf numFmtId="3" fontId="5" fillId="0" borderId="0" xfId="0" applyNumberFormat="1" applyFont="1" applyAlignment="1">
      <alignment horizontal="center"/>
    </xf>
    <xf numFmtId="0" fontId="5" fillId="0" borderId="10" xfId="0" applyFont="1" applyBorder="1" applyAlignment="1">
      <alignment horizontal="center" vertical="center"/>
    </xf>
    <xf numFmtId="0" fontId="53" fillId="0" borderId="10" xfId="0" applyFont="1" applyBorder="1" applyAlignment="1">
      <alignment horizontal="center" vertical="center"/>
    </xf>
    <xf numFmtId="0" fontId="5" fillId="0" borderId="10" xfId="0" applyFont="1" applyBorder="1" applyAlignment="1">
      <alignment horizontal="center" vertical="center" wrapText="1"/>
    </xf>
    <xf numFmtId="0" fontId="53" fillId="0" borderId="10" xfId="0" applyFont="1" applyBorder="1" applyAlignment="1">
      <alignment horizontal="center" vertical="center" wrapText="1"/>
    </xf>
    <xf numFmtId="0" fontId="5" fillId="0" borderId="3" xfId="0" applyFont="1" applyBorder="1" applyAlignment="1">
      <alignment horizontal="center" vertical="center"/>
    </xf>
    <xf numFmtId="0" fontId="53" fillId="0" borderId="3" xfId="0" applyFont="1" applyBorder="1" applyAlignment="1">
      <alignment horizontal="center" vertical="center"/>
    </xf>
    <xf numFmtId="0" fontId="5" fillId="0" borderId="3" xfId="0" applyFont="1" applyBorder="1" applyAlignment="1">
      <alignment horizontal="center" vertical="center" wrapText="1"/>
    </xf>
    <xf numFmtId="0" fontId="53" fillId="0" borderId="3" xfId="0" applyFont="1" applyBorder="1" applyAlignment="1">
      <alignment horizontal="center" vertical="center" wrapText="1"/>
    </xf>
    <xf numFmtId="0" fontId="5" fillId="0" borderId="58" xfId="0" applyFont="1" applyBorder="1" applyAlignment="1">
      <alignment horizontal="center" vertical="center" wrapText="1"/>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33" fillId="0" borderId="0" xfId="0" applyFont="1"/>
    <xf numFmtId="0" fontId="21" fillId="0" borderId="3" xfId="0" applyFont="1" applyBorder="1" applyAlignment="1">
      <alignment horizontal="center" vertical="center" wrapText="1"/>
    </xf>
    <xf numFmtId="0" fontId="21" fillId="0" borderId="6" xfId="0" applyFont="1" applyBorder="1" applyAlignment="1">
      <alignment horizontal="center" vertical="center"/>
    </xf>
    <xf numFmtId="0" fontId="21" fillId="0" borderId="2" xfId="0" applyFont="1" applyBorder="1" applyAlignment="1">
      <alignment horizontal="center" vertical="center"/>
    </xf>
    <xf numFmtId="0" fontId="33" fillId="0" borderId="58" xfId="0" applyFont="1" applyBorder="1"/>
    <xf numFmtId="3" fontId="5" fillId="0" borderId="0" xfId="0" applyNumberFormat="1" applyFont="1"/>
    <xf numFmtId="0" fontId="5" fillId="0" borderId="9" xfId="0" applyFont="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3" fontId="5" fillId="0" borderId="9" xfId="0" applyNumberFormat="1" applyFont="1" applyBorder="1" applyAlignment="1">
      <alignment horizontal="center" vertical="center" wrapText="1"/>
    </xf>
    <xf numFmtId="3" fontId="5" fillId="0" borderId="5" xfId="0" applyNumberFormat="1" applyFont="1" applyBorder="1" applyAlignment="1">
      <alignment horizontal="center" vertical="center"/>
    </xf>
    <xf numFmtId="3" fontId="3" fillId="0" borderId="9" xfId="0" applyNumberFormat="1" applyFont="1" applyBorder="1" applyAlignment="1">
      <alignment horizontal="center" vertical="center"/>
    </xf>
    <xf numFmtId="165" fontId="33" fillId="0" borderId="60" xfId="0" applyNumberFormat="1" applyFont="1" applyBorder="1"/>
    <xf numFmtId="0" fontId="5" fillId="0" borderId="5" xfId="0" applyFont="1" applyBorder="1" applyAlignment="1">
      <alignment horizontal="center" vertical="center"/>
    </xf>
    <xf numFmtId="0" fontId="7" fillId="0" borderId="5" xfId="0" applyFont="1" applyBorder="1" applyAlignment="1">
      <alignment horizontal="center" vertical="center"/>
    </xf>
    <xf numFmtId="0" fontId="7" fillId="0" borderId="5" xfId="0" applyFont="1" applyBorder="1" applyAlignment="1">
      <alignment horizontal="center" vertical="center" wrapText="1"/>
    </xf>
    <xf numFmtId="3" fontId="5" fillId="0" borderId="5" xfId="0" applyNumberFormat="1" applyFont="1" applyBorder="1" applyAlignment="1">
      <alignment horizontal="center" vertical="center" wrapText="1"/>
    </xf>
    <xf numFmtId="3" fontId="5" fillId="0" borderId="5" xfId="0" applyNumberFormat="1" applyFont="1" applyBorder="1" applyAlignment="1">
      <alignment horizontal="center" vertical="top" wrapText="1"/>
    </xf>
    <xf numFmtId="3" fontId="3" fillId="0" borderId="5" xfId="0" applyNumberFormat="1" applyFont="1" applyBorder="1" applyAlignment="1">
      <alignment horizontal="center" vertical="center"/>
    </xf>
    <xf numFmtId="3" fontId="3" fillId="0" borderId="5" xfId="0" applyNumberFormat="1" applyFont="1" applyBorder="1" applyAlignment="1">
      <alignment horizontal="center" vertical="top" wrapText="1"/>
    </xf>
    <xf numFmtId="0" fontId="5" fillId="0" borderId="31" xfId="0" applyFont="1" applyBorder="1" applyAlignment="1">
      <alignment horizontal="center"/>
    </xf>
    <xf numFmtId="3" fontId="5" fillId="0" borderId="31" xfId="0" applyNumberFormat="1" applyFont="1" applyBorder="1" applyAlignment="1">
      <alignment horizontal="center"/>
    </xf>
    <xf numFmtId="3" fontId="5" fillId="0" borderId="31" xfId="0" applyNumberFormat="1" applyFont="1" applyBorder="1" applyAlignment="1">
      <alignment horizontal="center" vertical="top"/>
    </xf>
    <xf numFmtId="0" fontId="5" fillId="0" borderId="5" xfId="0" applyFont="1" applyBorder="1" applyAlignment="1">
      <alignment horizontal="center"/>
    </xf>
    <xf numFmtId="0" fontId="7" fillId="0" borderId="5" xfId="0" applyFont="1" applyBorder="1" applyAlignment="1">
      <alignment horizontal="center"/>
    </xf>
    <xf numFmtId="3" fontId="5" fillId="0" borderId="5" xfId="0" applyNumberFormat="1" applyFont="1" applyBorder="1" applyAlignment="1">
      <alignment horizontal="center"/>
    </xf>
    <xf numFmtId="3" fontId="5" fillId="0" borderId="5" xfId="0" applyNumberFormat="1" applyFont="1" applyBorder="1" applyAlignment="1">
      <alignment horizontal="center" vertical="top"/>
    </xf>
    <xf numFmtId="3" fontId="5" fillId="0" borderId="23" xfId="0" applyNumberFormat="1" applyFont="1" applyBorder="1" applyAlignment="1">
      <alignment horizontal="center" vertical="top"/>
    </xf>
    <xf numFmtId="3" fontId="7" fillId="0" borderId="31" xfId="0" applyNumberFormat="1" applyFont="1" applyBorder="1"/>
    <xf numFmtId="3" fontId="7" fillId="0" borderId="5" xfId="0" applyNumberFormat="1" applyFont="1" applyBorder="1" applyAlignment="1">
      <alignment horizontal="center"/>
    </xf>
    <xf numFmtId="167" fontId="7" fillId="0" borderId="5" xfId="0" applyNumberFormat="1" applyFont="1" applyBorder="1" applyAlignment="1">
      <alignment horizontal="center"/>
    </xf>
    <xf numFmtId="3" fontId="7" fillId="0" borderId="5" xfId="0" applyNumberFormat="1" applyFont="1" applyBorder="1" applyAlignment="1">
      <alignment horizontal="center" vertical="top"/>
    </xf>
    <xf numFmtId="0" fontId="7" fillId="0" borderId="58" xfId="0" applyFont="1" applyBorder="1"/>
    <xf numFmtId="3" fontId="2" fillId="0" borderId="5" xfId="0" applyNumberFormat="1" applyFont="1" applyBorder="1" applyAlignment="1">
      <alignment vertical="top"/>
    </xf>
    <xf numFmtId="3" fontId="2" fillId="0" borderId="5" xfId="0" applyNumberFormat="1" applyFont="1" applyBorder="1" applyAlignment="1">
      <alignment horizontal="left" vertical="top"/>
    </xf>
    <xf numFmtId="3" fontId="2" fillId="0" borderId="26" xfId="0" applyNumberFormat="1" applyFont="1" applyBorder="1" applyAlignment="1">
      <alignment horizontal="center" vertical="top"/>
    </xf>
    <xf numFmtId="3" fontId="2" fillId="0" borderId="23" xfId="0" applyNumberFormat="1" applyFont="1" applyBorder="1" applyAlignment="1">
      <alignment horizontal="center" vertical="top"/>
    </xf>
    <xf numFmtId="2" fontId="7" fillId="0" borderId="5" xfId="0" applyNumberFormat="1" applyFont="1" applyBorder="1" applyAlignment="1">
      <alignment horizontal="center"/>
    </xf>
    <xf numFmtId="3" fontId="7" fillId="0" borderId="31" xfId="0" quotePrefix="1" applyNumberFormat="1" applyFont="1" applyBorder="1"/>
    <xf numFmtId="3" fontId="2" fillId="0" borderId="5" xfId="0" applyNumberFormat="1" applyFont="1" applyBorder="1" applyAlignment="1">
      <alignment horizontal="center" vertical="top" textRotation="90"/>
    </xf>
    <xf numFmtId="1" fontId="7" fillId="0" borderId="5" xfId="0" applyNumberFormat="1" applyFont="1" applyBorder="1" applyAlignment="1">
      <alignment horizontal="center"/>
    </xf>
    <xf numFmtId="3" fontId="21" fillId="0" borderId="5" xfId="0" applyNumberFormat="1" applyFont="1" applyBorder="1" applyAlignment="1">
      <alignment horizontal="center"/>
    </xf>
    <xf numFmtId="0" fontId="21" fillId="0" borderId="5" xfId="0" applyFont="1" applyBorder="1" applyAlignment="1">
      <alignment horizontal="center"/>
    </xf>
    <xf numFmtId="0" fontId="33" fillId="0" borderId="5" xfId="0" applyFont="1" applyBorder="1" applyAlignment="1">
      <alignment horizontal="center"/>
    </xf>
    <xf numFmtId="167" fontId="21" fillId="0" borderId="5" xfId="0" applyNumberFormat="1" applyFont="1" applyBorder="1" applyAlignment="1">
      <alignment horizontal="center"/>
    </xf>
    <xf numFmtId="3" fontId="33" fillId="0" borderId="5" xfId="0" applyNumberFormat="1" applyFont="1" applyBorder="1" applyAlignment="1">
      <alignment horizontal="center"/>
    </xf>
    <xf numFmtId="3" fontId="21" fillId="0" borderId="5" xfId="0" applyNumberFormat="1" applyFont="1" applyBorder="1" applyAlignment="1">
      <alignment horizontal="center" vertical="top"/>
    </xf>
    <xf numFmtId="3" fontId="22" fillId="0" borderId="5" xfId="0" applyNumberFormat="1" applyFont="1" applyBorder="1" applyAlignment="1">
      <alignment horizontal="center" vertical="top"/>
    </xf>
    <xf numFmtId="0" fontId="21" fillId="0" borderId="0" xfId="0" applyFont="1"/>
    <xf numFmtId="3" fontId="22" fillId="0" borderId="5" xfId="0" applyNumberFormat="1" applyFont="1" applyBorder="1" applyAlignment="1">
      <alignment horizontal="left" vertical="top"/>
    </xf>
    <xf numFmtId="3" fontId="2" fillId="0" borderId="34" xfId="0" applyNumberFormat="1" applyFont="1" applyBorder="1" applyAlignment="1">
      <alignment horizontal="center" vertical="top"/>
    </xf>
    <xf numFmtId="3" fontId="2" fillId="0" borderId="5" xfId="0" quotePrefix="1" applyNumberFormat="1" applyFont="1" applyBorder="1" applyAlignment="1">
      <alignment vertical="top"/>
    </xf>
    <xf numFmtId="3" fontId="2" fillId="0" borderId="5" xfId="0" applyNumberFormat="1" applyFont="1" applyBorder="1" applyAlignment="1">
      <alignment horizontal="right" vertical="top"/>
    </xf>
    <xf numFmtId="3" fontId="3" fillId="0" borderId="5" xfId="0" applyNumberFormat="1" applyFont="1" applyBorder="1" applyAlignment="1">
      <alignment horizontal="center" vertical="top"/>
    </xf>
    <xf numFmtId="3" fontId="21" fillId="0" borderId="31" xfId="0" applyNumberFormat="1" applyFont="1" applyBorder="1"/>
    <xf numFmtId="0" fontId="21" fillId="0" borderId="31" xfId="0" applyFont="1" applyBorder="1"/>
    <xf numFmtId="3" fontId="5" fillId="0" borderId="34" xfId="0" applyNumberFormat="1" applyFont="1" applyBorder="1" applyAlignment="1">
      <alignment horizontal="center" vertical="top"/>
    </xf>
    <xf numFmtId="0" fontId="7" fillId="0" borderId="38" xfId="0" applyFont="1" applyBorder="1" applyAlignment="1">
      <alignment horizontal="center"/>
    </xf>
    <xf numFmtId="0" fontId="7" fillId="0" borderId="63" xfId="0" applyFont="1" applyBorder="1"/>
    <xf numFmtId="0" fontId="7" fillId="0" borderId="39" xfId="0" applyFont="1" applyBorder="1"/>
    <xf numFmtId="3" fontId="7" fillId="0" borderId="5" xfId="0" applyNumberFormat="1" applyFont="1" applyBorder="1" applyAlignment="1">
      <alignment horizontal="left" vertical="top"/>
    </xf>
    <xf numFmtId="0" fontId="13" fillId="2" borderId="0" xfId="0" applyFont="1" applyFill="1"/>
    <xf numFmtId="0" fontId="12" fillId="0" borderId="0" xfId="0" applyFont="1" applyAlignment="1">
      <alignment horizontal="center"/>
    </xf>
    <xf numFmtId="0" fontId="13" fillId="0" borderId="5" xfId="4" applyFont="1" applyBorder="1" applyAlignment="1">
      <alignment horizontal="center" vertical="center"/>
    </xf>
    <xf numFmtId="1" fontId="12" fillId="0" borderId="22" xfId="0" applyNumberFormat="1" applyFont="1" applyBorder="1" applyAlignment="1">
      <alignment horizontal="center"/>
    </xf>
    <xf numFmtId="1" fontId="12" fillId="0" borderId="9" xfId="0" applyNumberFormat="1" applyFont="1" applyBorder="1" applyAlignment="1">
      <alignment horizontal="center"/>
    </xf>
    <xf numFmtId="0" fontId="93" fillId="0" borderId="0" xfId="0" applyFont="1" applyAlignment="1">
      <alignment horizontal="center" vertical="center"/>
    </xf>
    <xf numFmtId="0" fontId="13" fillId="0" borderId="0" xfId="0" applyFont="1" applyAlignment="1">
      <alignment horizontal="left"/>
    </xf>
    <xf numFmtId="0" fontId="38" fillId="0" borderId="0" xfId="0" applyFont="1"/>
    <xf numFmtId="37" fontId="13" fillId="0" borderId="0" xfId="0" applyNumberFormat="1" applyFont="1" applyAlignment="1">
      <alignment horizontal="center"/>
    </xf>
    <xf numFmtId="1" fontId="12" fillId="0" borderId="0" xfId="0" applyNumberFormat="1" applyFont="1" applyAlignment="1">
      <alignment horizontal="center"/>
    </xf>
    <xf numFmtId="0" fontId="13" fillId="0" borderId="0" xfId="0" applyFont="1" applyAlignment="1">
      <alignment vertical="center"/>
    </xf>
    <xf numFmtId="169" fontId="48" fillId="0" borderId="0" xfId="0" applyNumberFormat="1" applyFont="1" applyAlignment="1">
      <alignment vertical="center"/>
    </xf>
    <xf numFmtId="0" fontId="13" fillId="0" borderId="0" xfId="0" applyFont="1" applyAlignment="1">
      <alignment horizontal="center" vertical="center"/>
    </xf>
    <xf numFmtId="37" fontId="13" fillId="0" borderId="0" xfId="0" applyNumberFormat="1" applyFont="1" applyAlignment="1">
      <alignment vertical="center"/>
    </xf>
    <xf numFmtId="37" fontId="13" fillId="0" borderId="0" xfId="0" applyNumberFormat="1" applyFont="1" applyAlignment="1">
      <alignment horizontal="center" vertical="center"/>
    </xf>
    <xf numFmtId="177" fontId="13" fillId="0" borderId="0" xfId="0" applyNumberFormat="1" applyFont="1" applyAlignment="1">
      <alignment horizontal="center" vertical="center"/>
    </xf>
    <xf numFmtId="1" fontId="12" fillId="0" borderId="0" xfId="0" applyNumberFormat="1" applyFont="1" applyAlignment="1">
      <alignment horizontal="center" vertical="center"/>
    </xf>
    <xf numFmtId="1" fontId="7" fillId="0" borderId="0" xfId="0" applyNumberFormat="1" applyFont="1" applyAlignment="1">
      <alignment horizontal="center" vertical="center"/>
    </xf>
    <xf numFmtId="1" fontId="12" fillId="0" borderId="0" xfId="0" applyNumberFormat="1" applyFont="1" applyAlignment="1">
      <alignment vertical="center"/>
    </xf>
    <xf numFmtId="0" fontId="9" fillId="0" borderId="0" xfId="4" applyFont="1" applyAlignment="1">
      <alignment vertical="center"/>
    </xf>
    <xf numFmtId="0" fontId="5" fillId="0" borderId="0" xfId="4" applyFont="1" applyAlignment="1">
      <alignment horizontal="center" vertical="center"/>
    </xf>
    <xf numFmtId="0" fontId="7" fillId="0" borderId="0" xfId="4" applyFont="1" applyAlignment="1">
      <alignment horizontal="center" vertical="center"/>
    </xf>
    <xf numFmtId="0" fontId="12" fillId="0" borderId="0" xfId="4" applyFont="1" applyAlignment="1">
      <alignment horizontal="center" vertical="center"/>
    </xf>
    <xf numFmtId="0" fontId="12" fillId="0" borderId="0" xfId="4" applyFont="1" applyAlignment="1">
      <alignment vertical="center"/>
    </xf>
    <xf numFmtId="37" fontId="13" fillId="0" borderId="0" xfId="4" applyNumberFormat="1" applyFont="1"/>
    <xf numFmtId="0" fontId="91" fillId="0" borderId="0" xfId="4" applyFont="1" applyAlignment="1">
      <alignment horizontal="center" vertical="center"/>
    </xf>
    <xf numFmtId="0" fontId="13" fillId="0" borderId="0" xfId="4" applyFont="1" applyAlignment="1">
      <alignment vertical="center"/>
    </xf>
    <xf numFmtId="37" fontId="13" fillId="0" borderId="0" xfId="4" applyNumberFormat="1" applyFont="1" applyAlignment="1">
      <alignment vertical="center"/>
    </xf>
    <xf numFmtId="3" fontId="7" fillId="0" borderId="0" xfId="4" applyNumberFormat="1" applyFont="1" applyAlignment="1">
      <alignment horizontal="center" vertical="center"/>
    </xf>
    <xf numFmtId="169" fontId="13" fillId="0" borderId="0" xfId="4" applyNumberFormat="1" applyFont="1" applyAlignment="1">
      <alignment horizontal="center" vertical="center"/>
    </xf>
    <xf numFmtId="168" fontId="13" fillId="0" borderId="0" xfId="4" applyNumberFormat="1" applyFont="1" applyAlignment="1">
      <alignment vertical="center"/>
    </xf>
    <xf numFmtId="3" fontId="2" fillId="0" borderId="16" xfId="4" applyNumberFormat="1" applyFont="1" applyBorder="1" applyAlignment="1">
      <alignment horizontal="center" vertical="center"/>
    </xf>
    <xf numFmtId="3" fontId="86" fillId="0" borderId="0" xfId="4" applyNumberFormat="1" applyFont="1" applyAlignment="1">
      <alignment horizontal="center" vertical="center"/>
    </xf>
    <xf numFmtId="3" fontId="89" fillId="0" borderId="0" xfId="4" applyNumberFormat="1" applyFont="1" applyAlignment="1">
      <alignment horizontal="center" vertical="center"/>
    </xf>
    <xf numFmtId="0" fontId="48" fillId="0" borderId="0" xfId="4" applyFont="1" applyAlignment="1">
      <alignment horizontal="center" vertical="center"/>
    </xf>
    <xf numFmtId="0" fontId="91" fillId="0" borderId="16" xfId="4" applyFont="1" applyBorder="1" applyAlignment="1">
      <alignment horizontal="center" vertical="center"/>
    </xf>
    <xf numFmtId="0" fontId="13" fillId="0" borderId="1" xfId="4" applyFont="1" applyBorder="1" applyAlignment="1">
      <alignment horizontal="center" vertical="center" wrapText="1"/>
    </xf>
    <xf numFmtId="0" fontId="7" fillId="0" borderId="44" xfId="4" applyFont="1" applyBorder="1" applyAlignment="1">
      <alignment horizontal="center" vertical="center"/>
    </xf>
    <xf numFmtId="0" fontId="12" fillId="0" borderId="3" xfId="4" applyFont="1" applyBorder="1" applyAlignment="1">
      <alignment horizontal="center" vertical="center"/>
    </xf>
    <xf numFmtId="0" fontId="13" fillId="0" borderId="25" xfId="4" applyFont="1" applyBorder="1" applyAlignment="1">
      <alignment horizontal="center" vertical="center"/>
    </xf>
    <xf numFmtId="0" fontId="12" fillId="0" borderId="26" xfId="4" applyFont="1" applyBorder="1" applyAlignment="1">
      <alignment horizontal="centerContinuous" vertical="center" wrapText="1"/>
    </xf>
    <xf numFmtId="0" fontId="12" fillId="0" borderId="34" xfId="4" applyFont="1" applyBorder="1" applyAlignment="1">
      <alignment horizontal="centerContinuous" vertical="center" wrapText="1"/>
    </xf>
    <xf numFmtId="0" fontId="12" fillId="0" borderId="23" xfId="4" applyFont="1" applyBorder="1" applyAlignment="1">
      <alignment horizontal="centerContinuous" vertical="center" wrapText="1"/>
    </xf>
    <xf numFmtId="0" fontId="7" fillId="0" borderId="25" xfId="4" applyFont="1" applyBorder="1" applyAlignment="1">
      <alignment horizontal="center" vertical="center"/>
    </xf>
    <xf numFmtId="0" fontId="13" fillId="0" borderId="3" xfId="4" applyFont="1" applyBorder="1" applyAlignment="1">
      <alignment horizontal="center" vertical="center"/>
    </xf>
    <xf numFmtId="0" fontId="13" fillId="0" borderId="22" xfId="4" applyFont="1" applyBorder="1" applyAlignment="1">
      <alignment horizontal="center" vertical="center"/>
    </xf>
    <xf numFmtId="0" fontId="13" fillId="0" borderId="27" xfId="4" applyFont="1" applyBorder="1" applyAlignment="1">
      <alignment horizontal="center" vertical="center" wrapText="1"/>
    </xf>
    <xf numFmtId="0" fontId="13" fillId="0" borderId="22" xfId="4" applyFont="1" applyBorder="1" applyAlignment="1">
      <alignment horizontal="center" vertical="center" wrapText="1"/>
    </xf>
    <xf numFmtId="0" fontId="13" fillId="0" borderId="28" xfId="4" applyFont="1" applyBorder="1" applyAlignment="1">
      <alignment horizontal="center" vertical="center"/>
    </xf>
    <xf numFmtId="0" fontId="13" fillId="0" borderId="3" xfId="4" applyFont="1" applyBorder="1" applyAlignment="1">
      <alignment horizontal="center" vertical="center" wrapText="1"/>
    </xf>
    <xf numFmtId="0" fontId="13" fillId="0" borderId="29" xfId="4" applyFont="1" applyBorder="1" applyAlignment="1">
      <alignment horizontal="center" vertical="center"/>
    </xf>
    <xf numFmtId="0" fontId="12" fillId="0" borderId="30" xfId="4" applyFont="1" applyBorder="1" applyAlignment="1">
      <alignment horizontal="center" vertical="center"/>
    </xf>
    <xf numFmtId="0" fontId="15" fillId="0" borderId="31" xfId="4" applyFont="1" applyBorder="1" applyAlignment="1">
      <alignment vertical="center"/>
    </xf>
    <xf numFmtId="0" fontId="12" fillId="0" borderId="31" xfId="4" applyFont="1" applyBorder="1" applyAlignment="1">
      <alignment horizontal="center" vertical="center"/>
    </xf>
    <xf numFmtId="0" fontId="12" fillId="0" borderId="31" xfId="4" applyFont="1" applyBorder="1" applyAlignment="1">
      <alignment horizontal="center" vertical="center" wrapText="1"/>
    </xf>
    <xf numFmtId="168" fontId="13" fillId="0" borderId="0" xfId="4" applyNumberFormat="1" applyFont="1" applyAlignment="1">
      <alignment horizontal="center" vertical="center"/>
    </xf>
    <xf numFmtId="37" fontId="12" fillId="0" borderId="0" xfId="0" applyNumberFormat="1" applyFont="1"/>
    <xf numFmtId="167" fontId="23" fillId="0" borderId="52" xfId="4" applyNumberFormat="1" applyFont="1" applyBorder="1" applyAlignment="1">
      <alignment vertical="center"/>
    </xf>
    <xf numFmtId="0" fontId="15" fillId="0" borderId="25" xfId="4" applyFont="1" applyBorder="1" applyAlignment="1">
      <alignment horizontal="center" vertical="center"/>
    </xf>
    <xf numFmtId="0" fontId="15" fillId="0" borderId="5" xfId="4" applyFont="1" applyBorder="1" applyAlignment="1">
      <alignment horizontal="left" vertical="center"/>
    </xf>
    <xf numFmtId="0" fontId="15" fillId="0" borderId="5" xfId="4" applyFont="1" applyBorder="1" applyAlignment="1">
      <alignment horizontal="center" vertical="center"/>
    </xf>
    <xf numFmtId="0" fontId="15" fillId="0" borderId="35" xfId="4" applyFont="1" applyBorder="1" applyAlignment="1">
      <alignment horizontal="center" vertical="center"/>
    </xf>
    <xf numFmtId="0" fontId="28" fillId="0" borderId="5" xfId="4" applyFont="1" applyBorder="1" applyAlignment="1">
      <alignment horizontal="left" vertical="center"/>
    </xf>
    <xf numFmtId="0" fontId="13" fillId="0" borderId="35" xfId="4" applyFont="1" applyBorder="1" applyAlignment="1">
      <alignment horizontal="center" vertical="center"/>
    </xf>
    <xf numFmtId="168" fontId="23" fillId="0" borderId="0" xfId="0" applyNumberFormat="1" applyFont="1"/>
    <xf numFmtId="0" fontId="23" fillId="0" borderId="0" xfId="4" applyFont="1" applyAlignment="1">
      <alignment horizontal="center" vertical="center"/>
    </xf>
    <xf numFmtId="0" fontId="20" fillId="0" borderId="25" xfId="4" applyFont="1" applyBorder="1" applyAlignment="1">
      <alignment horizontal="center" vertical="center"/>
    </xf>
    <xf numFmtId="0" fontId="20" fillId="0" borderId="5" xfId="0" applyFont="1" applyBorder="1" applyAlignment="1">
      <alignment vertical="center"/>
    </xf>
    <xf numFmtId="0" fontId="23" fillId="0" borderId="5" xfId="4" applyFont="1" applyBorder="1" applyAlignment="1">
      <alignment horizontal="center" vertical="center"/>
    </xf>
    <xf numFmtId="0" fontId="20" fillId="0" borderId="5" xfId="4" applyFont="1" applyBorder="1" applyAlignment="1">
      <alignment vertical="center"/>
    </xf>
    <xf numFmtId="0" fontId="23" fillId="0" borderId="5" xfId="4" applyFont="1" applyBorder="1" applyAlignment="1">
      <alignment vertical="center"/>
    </xf>
    <xf numFmtId="0" fontId="23" fillId="0" borderId="35" xfId="4" applyFont="1" applyBorder="1" applyAlignment="1">
      <alignment horizontal="center" vertical="center"/>
    </xf>
    <xf numFmtId="168" fontId="23" fillId="0" borderId="0" xfId="4" applyNumberFormat="1" applyFont="1" applyAlignment="1">
      <alignment horizontal="center" vertical="center"/>
    </xf>
    <xf numFmtId="0" fontId="13" fillId="0" borderId="33" xfId="3" applyFont="1" applyBorder="1" applyAlignment="1">
      <alignment horizontal="center" vertical="center"/>
    </xf>
    <xf numFmtId="0" fontId="13" fillId="0" borderId="5" xfId="0" applyFont="1" applyBorder="1"/>
    <xf numFmtId="167" fontId="13" fillId="0" borderId="5" xfId="4" applyNumberFormat="1" applyFont="1" applyBorder="1" applyAlignment="1">
      <alignment horizontal="right" vertical="center"/>
    </xf>
    <xf numFmtId="0" fontId="13" fillId="0" borderId="5" xfId="4" applyFont="1" applyBorder="1" applyAlignment="1">
      <alignment horizontal="right" vertical="center"/>
    </xf>
    <xf numFmtId="3" fontId="13" fillId="0" borderId="5" xfId="4" applyNumberFormat="1" applyFont="1" applyBorder="1" applyAlignment="1">
      <alignment horizontal="center" vertical="center"/>
    </xf>
    <xf numFmtId="175" fontId="11" fillId="0" borderId="5" xfId="4" applyNumberFormat="1" applyFont="1" applyBorder="1" applyAlignment="1">
      <alignment horizontal="center" vertical="center"/>
    </xf>
    <xf numFmtId="174" fontId="13" fillId="0" borderId="0" xfId="4" applyNumberFormat="1" applyFont="1" applyAlignment="1">
      <alignment horizontal="center" vertical="center"/>
    </xf>
    <xf numFmtId="0" fontId="20" fillId="0" borderId="33" xfId="3" applyFont="1" applyBorder="1" applyAlignment="1">
      <alignment horizontal="center" vertical="center"/>
    </xf>
    <xf numFmtId="0" fontId="20" fillId="0" borderId="5" xfId="0" applyFont="1" applyBorder="1"/>
    <xf numFmtId="0" fontId="20" fillId="0" borderId="5" xfId="4" applyFont="1" applyBorder="1" applyAlignment="1">
      <alignment horizontal="center" vertical="center"/>
    </xf>
    <xf numFmtId="167" fontId="20" fillId="0" borderId="5" xfId="4" applyNumberFormat="1" applyFont="1" applyBorder="1" applyAlignment="1">
      <alignment horizontal="right" vertical="center"/>
    </xf>
    <xf numFmtId="0" fontId="20" fillId="0" borderId="5" xfId="4" applyFont="1" applyBorder="1" applyAlignment="1">
      <alignment horizontal="right" vertical="center"/>
    </xf>
    <xf numFmtId="0" fontId="20" fillId="0" borderId="35" xfId="4" applyFont="1" applyBorder="1" applyAlignment="1">
      <alignment horizontal="center" vertical="center"/>
    </xf>
    <xf numFmtId="0" fontId="13" fillId="0" borderId="5" xfId="0" applyFont="1" applyBorder="1" applyAlignment="1">
      <alignment vertical="center" wrapText="1"/>
    </xf>
    <xf numFmtId="168" fontId="15" fillId="0" borderId="5" xfId="4" applyNumberFormat="1" applyFont="1" applyBorder="1" applyAlignment="1">
      <alignment horizontal="center" vertical="center"/>
    </xf>
    <xf numFmtId="3" fontId="15" fillId="0" borderId="5" xfId="4" applyNumberFormat="1" applyFont="1" applyBorder="1" applyAlignment="1">
      <alignment horizontal="right" vertical="center"/>
    </xf>
    <xf numFmtId="168" fontId="20" fillId="0" borderId="0" xfId="0" applyNumberFormat="1" applyFont="1"/>
    <xf numFmtId="3" fontId="15" fillId="0" borderId="5" xfId="4" applyNumberFormat="1" applyFont="1" applyBorder="1" applyAlignment="1">
      <alignment horizontal="center" vertical="center"/>
    </xf>
    <xf numFmtId="0" fontId="13" fillId="0" borderId="35" xfId="4" applyFont="1" applyBorder="1" applyAlignment="1">
      <alignment vertical="center"/>
    </xf>
    <xf numFmtId="0" fontId="23" fillId="0" borderId="58" xfId="4" applyFont="1" applyBorder="1" applyAlignment="1">
      <alignment horizontal="center" vertical="center"/>
    </xf>
    <xf numFmtId="0" fontId="28" fillId="0" borderId="5" xfId="0" applyFont="1" applyBorder="1" applyAlignment="1">
      <alignment horizontal="left" vertical="center"/>
    </xf>
    <xf numFmtId="1" fontId="15" fillId="0" borderId="5" xfId="4" applyNumberFormat="1" applyFont="1" applyBorder="1" applyAlignment="1">
      <alignment horizontal="center" vertical="center"/>
    </xf>
    <xf numFmtId="0" fontId="8" fillId="0" borderId="5" xfId="0" applyFont="1" applyBorder="1" applyAlignment="1">
      <alignment vertical="center" wrapText="1"/>
    </xf>
    <xf numFmtId="0" fontId="13" fillId="0" borderId="59" xfId="3" applyFont="1" applyBorder="1" applyAlignment="1">
      <alignment horizontal="center" vertical="center"/>
    </xf>
    <xf numFmtId="0" fontId="13" fillId="0" borderId="5" xfId="0" applyFont="1" applyBorder="1" applyAlignment="1">
      <alignment wrapText="1"/>
    </xf>
    <xf numFmtId="0" fontId="12" fillId="0" borderId="33" xfId="3" applyFont="1" applyBorder="1" applyAlignment="1">
      <alignment horizontal="center" vertical="center"/>
    </xf>
    <xf numFmtId="2" fontId="13" fillId="0" borderId="5" xfId="4" applyNumberFormat="1" applyFont="1" applyBorder="1" applyAlignment="1">
      <alignment horizontal="right" vertical="center"/>
    </xf>
    <xf numFmtId="0" fontId="20" fillId="0" borderId="0" xfId="4" applyFont="1" applyAlignment="1">
      <alignment horizontal="center" vertical="center"/>
    </xf>
    <xf numFmtId="3" fontId="13" fillId="0" borderId="0" xfId="4" applyNumberFormat="1" applyFont="1" applyAlignment="1">
      <alignment horizontal="center" vertical="center"/>
    </xf>
    <xf numFmtId="0" fontId="15" fillId="0" borderId="5" xfId="0" applyFont="1" applyBorder="1" applyAlignment="1">
      <alignment horizontal="left" vertical="center"/>
    </xf>
    <xf numFmtId="0" fontId="13" fillId="0" borderId="5" xfId="4" applyFont="1" applyBorder="1" applyAlignment="1">
      <alignment horizontal="center" vertical="center" shrinkToFit="1"/>
    </xf>
    <xf numFmtId="0" fontId="13" fillId="0" borderId="36" xfId="0" quotePrefix="1" applyFont="1" applyBorder="1" applyAlignment="1">
      <alignment horizontal="center" vertical="center"/>
    </xf>
    <xf numFmtId="0" fontId="13" fillId="0" borderId="37" xfId="0" applyFont="1" applyBorder="1" applyAlignment="1">
      <alignment vertical="center" wrapText="1"/>
    </xf>
    <xf numFmtId="0" fontId="23" fillId="0" borderId="38" xfId="0" applyFont="1" applyBorder="1" applyAlignment="1">
      <alignment horizontal="center" vertical="center"/>
    </xf>
    <xf numFmtId="0" fontId="23" fillId="0" borderId="38" xfId="0" applyFont="1" applyBorder="1" applyAlignment="1">
      <alignment vertical="center"/>
    </xf>
    <xf numFmtId="0" fontId="13" fillId="0" borderId="38" xfId="0" applyFont="1" applyBorder="1" applyAlignment="1">
      <alignment horizontal="center" vertical="center"/>
    </xf>
    <xf numFmtId="0" fontId="13" fillId="0" borderId="39" xfId="4" applyFont="1" applyBorder="1" applyAlignment="1">
      <alignment vertical="center"/>
    </xf>
    <xf numFmtId="0" fontId="7" fillId="0" borderId="46" xfId="4" applyFont="1" applyBorder="1" applyAlignment="1">
      <alignment horizontal="center" vertical="center"/>
    </xf>
    <xf numFmtId="0" fontId="13" fillId="0" borderId="7" xfId="0" applyFont="1" applyBorder="1" applyAlignment="1">
      <alignment horizontal="center" vertical="center"/>
    </xf>
    <xf numFmtId="0" fontId="13" fillId="0" borderId="7" xfId="0" applyFont="1" applyBorder="1" applyAlignment="1">
      <alignment vertical="center"/>
    </xf>
    <xf numFmtId="0" fontId="12" fillId="0" borderId="0" xfId="4" quotePrefix="1" applyFont="1" applyAlignment="1">
      <alignment horizontal="left" vertical="center"/>
    </xf>
    <xf numFmtId="0" fontId="12" fillId="0" borderId="0" xfId="4" applyFont="1" applyAlignment="1">
      <alignment horizontal="left" vertical="center"/>
    </xf>
    <xf numFmtId="3" fontId="12" fillId="0" borderId="0" xfId="4" applyNumberFormat="1" applyFont="1" applyAlignment="1">
      <alignment horizontal="center" vertical="center"/>
    </xf>
    <xf numFmtId="0" fontId="12" fillId="0" borderId="3" xfId="0" applyFont="1" applyBorder="1" applyAlignment="1">
      <alignment horizontal="center" vertical="center"/>
    </xf>
    <xf numFmtId="0" fontId="12" fillId="0" borderId="3" xfId="4" applyFont="1" applyBorder="1" applyAlignment="1">
      <alignment horizontal="left" vertical="center"/>
    </xf>
    <xf numFmtId="0" fontId="12" fillId="0" borderId="3" xfId="0" applyFont="1" applyBorder="1" applyAlignment="1">
      <alignment vertical="center"/>
    </xf>
    <xf numFmtId="3" fontId="12" fillId="0" borderId="3" xfId="4" applyNumberFormat="1" applyFont="1" applyBorder="1" applyAlignment="1">
      <alignment horizontal="center" vertical="center"/>
    </xf>
    <xf numFmtId="2" fontId="13" fillId="0" borderId="0" xfId="0" applyNumberFormat="1" applyFont="1" applyAlignment="1">
      <alignment horizontal="center"/>
    </xf>
    <xf numFmtId="166" fontId="48" fillId="0" borderId="52" xfId="4" applyNumberFormat="1" applyFont="1" applyBorder="1" applyAlignment="1">
      <alignment vertical="center"/>
    </xf>
    <xf numFmtId="0" fontId="97" fillId="0" borderId="31" xfId="4" applyFont="1" applyBorder="1" applyAlignment="1">
      <alignment horizontal="center" vertical="center"/>
    </xf>
    <xf numFmtId="0" fontId="12" fillId="0" borderId="16" xfId="4" applyFont="1" applyBorder="1" applyAlignment="1">
      <alignment horizontal="center" vertical="center"/>
    </xf>
    <xf numFmtId="0" fontId="13" fillId="0" borderId="16" xfId="4" applyFont="1" applyBorder="1" applyAlignment="1">
      <alignment horizontal="center" vertical="center"/>
    </xf>
    <xf numFmtId="0" fontId="46" fillId="0" borderId="3" xfId="0" applyFont="1" applyBorder="1"/>
    <xf numFmtId="0" fontId="46" fillId="0" borderId="3" xfId="0" applyFont="1" applyBorder="1" applyAlignment="1">
      <alignment horizontal="center"/>
    </xf>
    <xf numFmtId="3" fontId="46" fillId="0" borderId="3" xfId="0" applyNumberFormat="1" applyFont="1" applyBorder="1"/>
    <xf numFmtId="3" fontId="5" fillId="0" borderId="3" xfId="0" applyNumberFormat="1" applyFont="1" applyBorder="1"/>
    <xf numFmtId="3" fontId="7" fillId="2" borderId="5" xfId="0" applyNumberFormat="1" applyFont="1" applyFill="1" applyBorder="1" applyAlignment="1">
      <alignment horizontal="center"/>
    </xf>
    <xf numFmtId="0" fontId="33" fillId="3" borderId="0" xfId="6" applyFont="1" applyFill="1" applyAlignment="1">
      <alignment horizontal="center" vertical="center"/>
    </xf>
    <xf numFmtId="0" fontId="3" fillId="0" borderId="3" xfId="6" applyFont="1" applyBorder="1" applyAlignment="1">
      <alignment horizontal="center" vertical="center" wrapText="1"/>
    </xf>
    <xf numFmtId="0" fontId="3" fillId="0" borderId="9" xfId="6" applyFont="1" applyBorder="1" applyAlignment="1">
      <alignment horizontal="center" vertical="center" wrapText="1"/>
    </xf>
    <xf numFmtId="0" fontId="3" fillId="0" borderId="9" xfId="6" applyFont="1" applyBorder="1" applyAlignment="1">
      <alignment vertical="center"/>
    </xf>
    <xf numFmtId="0" fontId="3" fillId="0" borderId="5" xfId="6" applyFont="1" applyBorder="1" applyAlignment="1">
      <alignment horizontal="center" vertical="center" wrapText="1"/>
    </xf>
    <xf numFmtId="0" fontId="3" fillId="0" borderId="5" xfId="6" applyFont="1" applyBorder="1" applyAlignment="1">
      <alignment vertical="center"/>
    </xf>
    <xf numFmtId="0" fontId="3" fillId="0" borderId="8" xfId="6" applyFont="1" applyBorder="1" applyAlignment="1">
      <alignment horizontal="center" vertical="center" wrapText="1"/>
    </xf>
    <xf numFmtId="0" fontId="2" fillId="0" borderId="5" xfId="6" applyFont="1" applyBorder="1" applyAlignment="1">
      <alignment horizontal="center" vertical="center"/>
    </xf>
    <xf numFmtId="169" fontId="3" fillId="0" borderId="8" xfId="7" applyNumberFormat="1" applyFont="1" applyFill="1" applyBorder="1" applyAlignment="1">
      <alignment horizontal="center" vertical="center" wrapText="1"/>
    </xf>
    <xf numFmtId="168" fontId="5" fillId="0" borderId="5" xfId="7" applyNumberFormat="1" applyFont="1" applyFill="1" applyBorder="1" applyAlignment="1">
      <alignment horizontal="right" vertical="center"/>
    </xf>
    <xf numFmtId="168" fontId="2" fillId="0" borderId="5" xfId="6" applyNumberFormat="1" applyFont="1" applyBorder="1" applyAlignment="1">
      <alignment horizontal="center" vertical="center"/>
    </xf>
    <xf numFmtId="168" fontId="7" fillId="0" borderId="5" xfId="7" applyNumberFormat="1" applyFont="1" applyFill="1" applyBorder="1" applyAlignment="1">
      <alignment horizontal="right" vertical="center"/>
    </xf>
    <xf numFmtId="0" fontId="2" fillId="0" borderId="5" xfId="6" applyFont="1" applyBorder="1" applyAlignment="1">
      <alignment vertical="justify"/>
    </xf>
    <xf numFmtId="0" fontId="3" fillId="3" borderId="0" xfId="6" applyFont="1" applyFill="1" applyAlignment="1">
      <alignment horizontal="center" vertical="center" wrapText="1"/>
    </xf>
    <xf numFmtId="0" fontId="2" fillId="3" borderId="0" xfId="6" applyFont="1" applyFill="1" applyAlignment="1">
      <alignment horizontal="center" vertical="center"/>
    </xf>
    <xf numFmtId="0" fontId="2" fillId="0" borderId="5" xfId="6" applyFont="1" applyBorder="1" applyAlignment="1">
      <alignment vertical="center"/>
    </xf>
    <xf numFmtId="0" fontId="22" fillId="0" borderId="5" xfId="6" applyFont="1" applyBorder="1" applyAlignment="1">
      <alignment vertical="center"/>
    </xf>
    <xf numFmtId="0" fontId="2" fillId="0" borderId="5" xfId="6" applyFont="1" applyBorder="1" applyAlignment="1">
      <alignment horizontal="center" vertical="center" wrapText="1"/>
    </xf>
    <xf numFmtId="168" fontId="2" fillId="0" borderId="5" xfId="6" applyNumberFormat="1" applyFont="1" applyBorder="1" applyAlignment="1">
      <alignment vertical="justify"/>
    </xf>
    <xf numFmtId="164" fontId="22" fillId="0" borderId="5" xfId="6" applyNumberFormat="1" applyFont="1" applyBorder="1" applyAlignment="1">
      <alignment vertical="justify"/>
    </xf>
    <xf numFmtId="2" fontId="2" fillId="0" borderId="5" xfId="6" applyNumberFormat="1" applyFont="1" applyBorder="1" applyAlignment="1">
      <alignment vertical="justify"/>
    </xf>
    <xf numFmtId="178" fontId="2" fillId="0" borderId="5" xfId="6" applyNumberFormat="1" applyFont="1" applyBorder="1" applyAlignment="1">
      <alignment vertical="justify"/>
    </xf>
    <xf numFmtId="164" fontId="7" fillId="0" borderId="5" xfId="7" applyFont="1" applyFill="1" applyBorder="1" applyAlignment="1">
      <alignment horizontal="right" vertical="center"/>
    </xf>
    <xf numFmtId="0" fontId="2" fillId="0" borderId="0" xfId="6" applyFont="1" applyAlignment="1">
      <alignment horizontal="center" vertical="center"/>
    </xf>
    <xf numFmtId="2" fontId="2" fillId="0" borderId="5" xfId="6" applyNumberFormat="1" applyFont="1" applyBorder="1" applyAlignment="1">
      <alignment horizontal="center" vertical="justify"/>
    </xf>
    <xf numFmtId="164" fontId="2" fillId="0" borderId="5" xfId="6" applyNumberFormat="1" applyFont="1" applyBorder="1" applyAlignment="1">
      <alignment vertical="justify"/>
    </xf>
    <xf numFmtId="0" fontId="14" fillId="0" borderId="5" xfId="6" applyFont="1" applyBorder="1" applyAlignment="1">
      <alignment horizontal="center" vertical="center" wrapText="1"/>
    </xf>
    <xf numFmtId="0" fontId="14" fillId="0" borderId="5" xfId="6" applyFont="1" applyBorder="1" applyAlignment="1">
      <alignment vertical="center"/>
    </xf>
    <xf numFmtId="0" fontId="22" fillId="0" borderId="5" xfId="6" applyFont="1" applyBorder="1" applyAlignment="1">
      <alignment horizontal="center" vertical="center" wrapText="1"/>
    </xf>
    <xf numFmtId="168" fontId="33" fillId="0" borderId="5" xfId="7" applyNumberFormat="1" applyFont="1" applyFill="1" applyBorder="1" applyAlignment="1">
      <alignment horizontal="right" vertical="center"/>
    </xf>
    <xf numFmtId="178" fontId="22" fillId="0" borderId="5" xfId="6" applyNumberFormat="1" applyFont="1" applyBorder="1" applyAlignment="1">
      <alignment vertical="justify"/>
    </xf>
    <xf numFmtId="0" fontId="22" fillId="0" borderId="0" xfId="6" applyFont="1" applyAlignment="1">
      <alignment horizontal="center" vertical="center"/>
    </xf>
    <xf numFmtId="0" fontId="22" fillId="0" borderId="5" xfId="6" quotePrefix="1" applyFont="1" applyBorder="1" applyAlignment="1">
      <alignment vertical="center"/>
    </xf>
    <xf numFmtId="3" fontId="7" fillId="0" borderId="5" xfId="6" applyNumberFormat="1" applyBorder="1" applyAlignment="1">
      <alignment horizontal="left" vertical="center" shrinkToFit="1"/>
    </xf>
    <xf numFmtId="0" fontId="21" fillId="0" borderId="5" xfId="6" applyFont="1" applyBorder="1" applyAlignment="1">
      <alignment vertical="justify"/>
    </xf>
    <xf numFmtId="0" fontId="7" fillId="0" borderId="5" xfId="6" applyBorder="1" applyAlignment="1">
      <alignment vertical="justify" wrapText="1"/>
    </xf>
    <xf numFmtId="2" fontId="54" fillId="0" borderId="5" xfId="6" applyNumberFormat="1" applyFont="1" applyBorder="1" applyAlignment="1">
      <alignment vertical="justify"/>
    </xf>
    <xf numFmtId="0" fontId="54" fillId="0" borderId="5" xfId="6" applyFont="1" applyBorder="1" applyAlignment="1">
      <alignment vertical="justify"/>
    </xf>
    <xf numFmtId="164" fontId="2" fillId="0" borderId="5" xfId="6" applyNumberFormat="1" applyFont="1" applyBorder="1" applyAlignment="1">
      <alignment horizontal="center" vertical="justify"/>
    </xf>
    <xf numFmtId="0" fontId="11" fillId="0" borderId="5" xfId="6" applyFont="1" applyBorder="1" applyAlignment="1">
      <alignment vertical="justify"/>
    </xf>
    <xf numFmtId="3" fontId="21" fillId="0" borderId="5" xfId="6" quotePrefix="1" applyNumberFormat="1" applyFont="1" applyBorder="1" applyAlignment="1">
      <alignment horizontal="left" vertical="center" shrinkToFit="1"/>
    </xf>
    <xf numFmtId="3" fontId="33" fillId="0" borderId="5" xfId="6" applyNumberFormat="1" applyFont="1" applyBorder="1" applyAlignment="1">
      <alignment horizontal="left" vertical="center" shrinkToFit="1"/>
    </xf>
    <xf numFmtId="169" fontId="7" fillId="0" borderId="5" xfId="7" applyNumberFormat="1" applyFont="1" applyFill="1" applyBorder="1" applyAlignment="1">
      <alignment horizontal="right" vertical="center"/>
    </xf>
    <xf numFmtId="170" fontId="99" fillId="0" borderId="5" xfId="7" applyNumberFormat="1" applyFont="1" applyFill="1" applyBorder="1" applyAlignment="1">
      <alignment horizontal="center" vertical="center"/>
    </xf>
    <xf numFmtId="0" fontId="22" fillId="0" borderId="5" xfId="6" applyFont="1" applyBorder="1" applyAlignment="1">
      <alignment horizontal="center" vertical="justify"/>
    </xf>
    <xf numFmtId="0" fontId="2" fillId="0" borderId="5" xfId="6" applyFont="1" applyBorder="1" applyAlignment="1">
      <alignment horizontal="center" vertical="justify"/>
    </xf>
    <xf numFmtId="0" fontId="3" fillId="4" borderId="5" xfId="6" applyFont="1" applyFill="1" applyBorder="1" applyAlignment="1">
      <alignment horizontal="center" vertical="center" wrapText="1"/>
    </xf>
    <xf numFmtId="0" fontId="2" fillId="4" borderId="5" xfId="6" applyFont="1" applyFill="1" applyBorder="1" applyAlignment="1">
      <alignment vertical="center"/>
    </xf>
    <xf numFmtId="0" fontId="2" fillId="4" borderId="5" xfId="6" applyFont="1" applyFill="1" applyBorder="1" applyAlignment="1">
      <alignment horizontal="center" vertical="center" wrapText="1"/>
    </xf>
    <xf numFmtId="168" fontId="99" fillId="4" borderId="5" xfId="7" applyNumberFormat="1" applyFont="1" applyFill="1" applyBorder="1" applyAlignment="1">
      <alignment horizontal="center" vertical="center"/>
    </xf>
    <xf numFmtId="0" fontId="2" fillId="4" borderId="5" xfId="6" applyFont="1" applyFill="1" applyBorder="1" applyAlignment="1">
      <alignment horizontal="center" vertical="justify"/>
    </xf>
    <xf numFmtId="170" fontId="99" fillId="0" borderId="5" xfId="7" applyNumberFormat="1" applyFont="1" applyFill="1" applyBorder="1" applyAlignment="1">
      <alignment horizontal="right" vertical="center"/>
    </xf>
    <xf numFmtId="0" fontId="2" fillId="4" borderId="0" xfId="6" applyFont="1" applyFill="1" applyAlignment="1">
      <alignment horizontal="center" vertical="center"/>
    </xf>
    <xf numFmtId="168" fontId="99" fillId="0" borderId="5" xfId="7" applyNumberFormat="1" applyFont="1" applyFill="1" applyBorder="1" applyAlignment="1">
      <alignment horizontal="right" vertical="center"/>
    </xf>
    <xf numFmtId="0" fontId="2" fillId="0" borderId="5" xfId="6" applyFont="1" applyBorder="1" applyAlignment="1">
      <alignment horizontal="left" vertical="center" wrapText="1"/>
    </xf>
    <xf numFmtId="168" fontId="22" fillId="0" borderId="5" xfId="6" applyNumberFormat="1" applyFont="1" applyBorder="1" applyAlignment="1">
      <alignment vertical="justify"/>
    </xf>
    <xf numFmtId="168" fontId="52" fillId="0" borderId="5" xfId="6" applyNumberFormat="1" applyFont="1" applyBorder="1" applyAlignment="1">
      <alignment vertical="justify"/>
    </xf>
    <xf numFmtId="168" fontId="5" fillId="5" borderId="5" xfId="7" applyNumberFormat="1" applyFont="1" applyFill="1" applyBorder="1" applyAlignment="1">
      <alignment horizontal="right" vertical="center"/>
    </xf>
    <xf numFmtId="0" fontId="52" fillId="0" borderId="5" xfId="6" applyFont="1" applyBorder="1" applyAlignment="1">
      <alignment vertical="justify"/>
    </xf>
    <xf numFmtId="168" fontId="100" fillId="0" borderId="5" xfId="7" applyNumberFormat="1" applyFont="1" applyFill="1" applyBorder="1" applyAlignment="1">
      <alignment horizontal="left" vertical="center"/>
    </xf>
    <xf numFmtId="169" fontId="7" fillId="0" borderId="5" xfId="7" applyNumberFormat="1" applyFont="1" applyFill="1" applyBorder="1" applyAlignment="1">
      <alignment horizontal="center" vertical="center"/>
    </xf>
    <xf numFmtId="0" fontId="3" fillId="0" borderId="5" xfId="6" applyFont="1" applyBorder="1" applyAlignment="1">
      <alignment horizontal="center" vertical="center"/>
    </xf>
    <xf numFmtId="3" fontId="3" fillId="0" borderId="5" xfId="6" applyNumberFormat="1" applyFont="1" applyBorder="1" applyAlignment="1">
      <alignment vertical="center" shrinkToFit="1"/>
    </xf>
    <xf numFmtId="1" fontId="3" fillId="0" borderId="5" xfId="6" applyNumberFormat="1" applyFont="1" applyBorder="1" applyAlignment="1">
      <alignment horizontal="center" vertical="center"/>
    </xf>
    <xf numFmtId="2" fontId="3" fillId="0" borderId="5" xfId="6" applyNumberFormat="1" applyFont="1" applyBorder="1" applyAlignment="1">
      <alignment horizontal="left" vertical="center" shrinkToFit="1"/>
    </xf>
    <xf numFmtId="1" fontId="2" fillId="0" borderId="5" xfId="6" applyNumberFormat="1" applyFont="1" applyBorder="1" applyAlignment="1">
      <alignment horizontal="center" vertical="center"/>
    </xf>
    <xf numFmtId="2" fontId="2" fillId="0" borderId="5" xfId="6" applyNumberFormat="1" applyFont="1" applyBorder="1" applyAlignment="1">
      <alignment horizontal="left" vertical="center" shrinkToFit="1"/>
    </xf>
    <xf numFmtId="166" fontId="2" fillId="0" borderId="5" xfId="6" applyNumberFormat="1" applyFont="1" applyBorder="1" applyAlignment="1">
      <alignment horizontal="left" vertical="center" shrinkToFit="1"/>
    </xf>
    <xf numFmtId="0" fontId="5" fillId="0" borderId="5" xfId="0" applyFont="1" applyBorder="1"/>
    <xf numFmtId="0" fontId="7" fillId="0" borderId="5" xfId="0" applyFont="1" applyBorder="1"/>
    <xf numFmtId="3" fontId="3" fillId="0" borderId="5" xfId="6" applyNumberFormat="1" applyFont="1" applyBorder="1" applyAlignment="1">
      <alignment horizontal="center" vertical="center"/>
    </xf>
    <xf numFmtId="179" fontId="2" fillId="0" borderId="5" xfId="6" applyNumberFormat="1" applyFont="1" applyBorder="1" applyAlignment="1">
      <alignment horizontal="center" vertical="center"/>
    </xf>
    <xf numFmtId="0" fontId="2" fillId="0" borderId="5" xfId="0" applyFont="1" applyBorder="1"/>
    <xf numFmtId="0" fontId="2" fillId="0" borderId="5" xfId="6" applyFont="1" applyBorder="1" applyAlignment="1">
      <alignment horizontal="center" vertical="center" shrinkToFit="1"/>
    </xf>
    <xf numFmtId="2" fontId="2" fillId="0" borderId="5" xfId="6" applyNumberFormat="1" applyFont="1" applyBorder="1" applyAlignment="1">
      <alignment horizontal="center" vertical="center" shrinkToFit="1"/>
    </xf>
    <xf numFmtId="166" fontId="2" fillId="0" borderId="5" xfId="6" applyNumberFormat="1" applyFont="1" applyBorder="1" applyAlignment="1">
      <alignment horizontal="center" vertical="center" shrinkToFit="1"/>
    </xf>
    <xf numFmtId="3" fontId="2" fillId="0" borderId="5" xfId="6" applyNumberFormat="1" applyFont="1" applyBorder="1" applyAlignment="1">
      <alignment horizontal="center" vertical="center" shrinkToFit="1"/>
    </xf>
    <xf numFmtId="164" fontId="7" fillId="0" borderId="5" xfId="7" quotePrefix="1" applyFont="1" applyFill="1" applyBorder="1" applyAlignment="1">
      <alignment horizontal="center" vertical="center"/>
    </xf>
    <xf numFmtId="169" fontId="99" fillId="0" borderId="5" xfId="7" applyNumberFormat="1" applyFont="1" applyFill="1" applyBorder="1" applyAlignment="1">
      <alignment horizontal="right" vertical="center"/>
    </xf>
    <xf numFmtId="169" fontId="102" fillId="0" borderId="5" xfId="7" applyNumberFormat="1" applyFont="1" applyFill="1" applyBorder="1" applyAlignment="1">
      <alignment horizontal="right" vertical="center"/>
    </xf>
    <xf numFmtId="164" fontId="102" fillId="0" borderId="5" xfId="7" applyFont="1" applyFill="1" applyBorder="1" applyAlignment="1">
      <alignment horizontal="right" vertical="center"/>
    </xf>
    <xf numFmtId="164" fontId="99" fillId="0" borderId="5" xfId="7" applyFont="1" applyFill="1" applyBorder="1" applyAlignment="1">
      <alignment horizontal="right" vertical="center"/>
    </xf>
    <xf numFmtId="170" fontId="102" fillId="0" borderId="5" xfId="7" applyNumberFormat="1" applyFont="1" applyFill="1" applyBorder="1" applyAlignment="1">
      <alignment horizontal="right" vertical="center"/>
    </xf>
    <xf numFmtId="170" fontId="7" fillId="0" borderId="5" xfId="7" applyNumberFormat="1" applyFont="1" applyFill="1" applyBorder="1" applyAlignment="1">
      <alignment horizontal="center" vertical="center"/>
    </xf>
    <xf numFmtId="166" fontId="22" fillId="0" borderId="5" xfId="6" applyNumberFormat="1" applyFont="1" applyBorder="1" applyAlignment="1">
      <alignment horizontal="center" vertical="justify"/>
    </xf>
    <xf numFmtId="166" fontId="2" fillId="0" borderId="5" xfId="6" applyNumberFormat="1" applyFont="1" applyBorder="1" applyAlignment="1">
      <alignment vertical="justify"/>
    </xf>
    <xf numFmtId="3" fontId="5" fillId="0" borderId="5" xfId="6" applyNumberFormat="1" applyFont="1" applyBorder="1" applyAlignment="1">
      <alignment horizontal="center"/>
    </xf>
    <xf numFmtId="3" fontId="3" fillId="0" borderId="5" xfId="6" quotePrefix="1" applyNumberFormat="1" applyFont="1" applyBorder="1"/>
    <xf numFmtId="0" fontId="2" fillId="0" borderId="5" xfId="0" applyFont="1" applyBorder="1" applyAlignment="1">
      <alignment horizontal="center"/>
    </xf>
    <xf numFmtId="0" fontId="3" fillId="0" borderId="5" xfId="0" applyFont="1" applyBorder="1" applyAlignment="1">
      <alignment horizontal="left"/>
    </xf>
    <xf numFmtId="0" fontId="2" fillId="0" borderId="5" xfId="0" applyFont="1" applyBorder="1" applyAlignment="1">
      <alignment horizontal="left"/>
    </xf>
    <xf numFmtId="0" fontId="2" fillId="0" borderId="5" xfId="0" applyFont="1" applyBorder="1" applyAlignment="1">
      <alignment horizontal="left" indent="1"/>
    </xf>
    <xf numFmtId="0" fontId="3" fillId="0" borderId="5" xfId="0" applyFont="1" applyBorder="1" applyAlignment="1">
      <alignment horizontal="center"/>
    </xf>
    <xf numFmtId="3" fontId="3" fillId="0" borderId="5" xfId="6" applyNumberFormat="1" applyFont="1" applyBorder="1"/>
    <xf numFmtId="164" fontId="5" fillId="0" borderId="5" xfId="7" applyFont="1" applyFill="1" applyBorder="1" applyAlignment="1">
      <alignment horizontal="right" vertical="center"/>
    </xf>
    <xf numFmtId="180" fontId="2" fillId="0" borderId="5" xfId="6" applyNumberFormat="1" applyFont="1" applyBorder="1" applyAlignment="1">
      <alignment vertical="justify"/>
    </xf>
    <xf numFmtId="180" fontId="2" fillId="0" borderId="5" xfId="6" applyNumberFormat="1" applyFont="1" applyBorder="1" applyAlignment="1">
      <alignment horizontal="center" vertical="justify"/>
    </xf>
    <xf numFmtId="0" fontId="3" fillId="0" borderId="5" xfId="0" applyFont="1" applyBorder="1"/>
    <xf numFmtId="181" fontId="7" fillId="0" borderId="5" xfId="7" applyNumberFormat="1" applyFont="1" applyFill="1" applyBorder="1" applyAlignment="1">
      <alignment vertical="center"/>
    </xf>
    <xf numFmtId="3" fontId="7" fillId="0" borderId="5" xfId="6" applyNumberFormat="1" applyBorder="1" applyAlignment="1">
      <alignment horizontal="center"/>
    </xf>
    <xf numFmtId="3" fontId="2" fillId="0" borderId="5" xfId="6" applyNumberFormat="1" applyFont="1" applyBorder="1"/>
    <xf numFmtId="168" fontId="7" fillId="0" borderId="5" xfId="7" applyNumberFormat="1" applyFont="1" applyFill="1" applyBorder="1" applyAlignment="1">
      <alignment vertical="center"/>
    </xf>
    <xf numFmtId="0" fontId="54" fillId="0" borderId="5" xfId="6" applyFont="1" applyBorder="1" applyAlignment="1">
      <alignment horizontal="center" vertical="justify"/>
    </xf>
    <xf numFmtId="0" fontId="3" fillId="0" borderId="22" xfId="6" applyFont="1" applyBorder="1" applyAlignment="1">
      <alignment horizontal="center" vertical="justify" wrapText="1"/>
    </xf>
    <xf numFmtId="0" fontId="2" fillId="0" borderId="22" xfId="6" applyFont="1" applyBorder="1" applyAlignment="1">
      <alignment vertical="justify"/>
    </xf>
    <xf numFmtId="0" fontId="2" fillId="0" borderId="22" xfId="6" applyFont="1" applyBorder="1" applyAlignment="1">
      <alignment horizontal="center" vertical="justify" wrapText="1"/>
    </xf>
    <xf numFmtId="169" fontId="102" fillId="0" borderId="22" xfId="7" applyNumberFormat="1" applyFont="1" applyFill="1" applyBorder="1" applyAlignment="1">
      <alignment horizontal="right" vertical="center"/>
    </xf>
    <xf numFmtId="3" fontId="7" fillId="0" borderId="5" xfId="7" applyNumberFormat="1" applyFont="1" applyFill="1" applyBorder="1" applyAlignment="1">
      <alignment horizontal="right" vertical="center"/>
    </xf>
    <xf numFmtId="3" fontId="21" fillId="0" borderId="5" xfId="7" applyNumberFormat="1" applyFont="1" applyFill="1" applyBorder="1" applyAlignment="1">
      <alignment horizontal="right" vertical="center"/>
    </xf>
    <xf numFmtId="3" fontId="5" fillId="0" borderId="5" xfId="7" applyNumberFormat="1" applyFont="1" applyFill="1" applyBorder="1" applyAlignment="1">
      <alignment horizontal="right" vertical="center"/>
    </xf>
    <xf numFmtId="167" fontId="21" fillId="0" borderId="5" xfId="7" applyNumberFormat="1" applyFont="1" applyFill="1" applyBorder="1" applyAlignment="1">
      <alignment horizontal="right" vertical="center"/>
    </xf>
    <xf numFmtId="3" fontId="33" fillId="0" borderId="5" xfId="7" applyNumberFormat="1" applyFont="1" applyFill="1" applyBorder="1" applyAlignment="1">
      <alignment horizontal="right" vertical="center"/>
    </xf>
    <xf numFmtId="167" fontId="7" fillId="0" borderId="5" xfId="7" applyNumberFormat="1" applyFont="1" applyFill="1" applyBorder="1" applyAlignment="1">
      <alignment horizontal="right" vertical="center"/>
    </xf>
    <xf numFmtId="3" fontId="99" fillId="0" borderId="5" xfId="7" applyNumberFormat="1" applyFont="1" applyFill="1" applyBorder="1" applyAlignment="1">
      <alignment horizontal="right" vertical="center"/>
    </xf>
    <xf numFmtId="3" fontId="99" fillId="5" borderId="5" xfId="7" applyNumberFormat="1" applyFont="1" applyFill="1" applyBorder="1" applyAlignment="1">
      <alignment horizontal="right" vertical="center"/>
    </xf>
    <xf numFmtId="2" fontId="7" fillId="0" borderId="5" xfId="7" applyNumberFormat="1" applyFont="1" applyFill="1" applyBorder="1" applyAlignment="1">
      <alignment horizontal="right" vertical="center"/>
    </xf>
    <xf numFmtId="2" fontId="102" fillId="0" borderId="5" xfId="7" applyNumberFormat="1" applyFont="1" applyFill="1" applyBorder="1" applyAlignment="1">
      <alignment horizontal="right" vertical="center"/>
    </xf>
    <xf numFmtId="3" fontId="7" fillId="0" borderId="5" xfId="7" applyNumberFormat="1" applyFont="1" applyFill="1" applyBorder="1" applyAlignment="1">
      <alignment vertical="center"/>
    </xf>
    <xf numFmtId="166" fontId="99" fillId="0" borderId="5" xfId="7" applyNumberFormat="1" applyFont="1" applyFill="1" applyBorder="1" applyAlignment="1">
      <alignment horizontal="right" vertical="center"/>
    </xf>
    <xf numFmtId="0" fontId="58" fillId="0" borderId="0" xfId="0" applyFont="1"/>
    <xf numFmtId="0" fontId="60" fillId="0" borderId="0" xfId="0" applyFont="1" applyAlignment="1">
      <alignment horizontal="center"/>
    </xf>
    <xf numFmtId="0" fontId="61" fillId="0" borderId="0" xfId="0" applyFont="1" applyAlignment="1">
      <alignment horizontal="center"/>
    </xf>
    <xf numFmtId="0" fontId="62" fillId="0" borderId="0" xfId="0" applyFont="1" applyAlignment="1">
      <alignment horizontal="center"/>
    </xf>
    <xf numFmtId="0" fontId="47" fillId="0" borderId="70" xfId="0" applyFont="1" applyBorder="1" applyAlignment="1">
      <alignment horizontal="center"/>
    </xf>
    <xf numFmtId="0" fontId="47" fillId="0" borderId="70" xfId="0" applyFont="1" applyBorder="1"/>
    <xf numFmtId="0" fontId="42" fillId="0" borderId="73" xfId="0" applyFont="1" applyBorder="1" applyAlignment="1">
      <alignment horizontal="center" vertical="center" wrapText="1"/>
    </xf>
    <xf numFmtId="0" fontId="8" fillId="0" borderId="74" xfId="0" applyFont="1" applyBorder="1"/>
    <xf numFmtId="0" fontId="8" fillId="0" borderId="75" xfId="0" applyFont="1" applyBorder="1"/>
    <xf numFmtId="0" fontId="8" fillId="0" borderId="76" xfId="0" applyFont="1" applyBorder="1"/>
    <xf numFmtId="0" fontId="42" fillId="0" borderId="76" xfId="0" applyFont="1" applyBorder="1" applyAlignment="1">
      <alignment horizontal="center" vertical="center" wrapText="1"/>
    </xf>
    <xf numFmtId="0" fontId="36" fillId="0" borderId="76" xfId="0" applyFont="1" applyBorder="1" applyAlignment="1">
      <alignment horizontal="center" vertical="center" wrapText="1"/>
    </xf>
    <xf numFmtId="0" fontId="36" fillId="0" borderId="77" xfId="0" applyFont="1" applyBorder="1" applyAlignment="1">
      <alignment horizontal="center" vertical="center" wrapText="1"/>
    </xf>
    <xf numFmtId="0" fontId="42" fillId="0" borderId="77" xfId="0" applyFont="1" applyBorder="1" applyAlignment="1">
      <alignment horizontal="center" vertical="center" wrapText="1"/>
    </xf>
    <xf numFmtId="0" fontId="42" fillId="0" borderId="78" xfId="0" applyFont="1" applyBorder="1" applyAlignment="1">
      <alignment horizontal="center" vertical="center"/>
    </xf>
    <xf numFmtId="0" fontId="42" fillId="0" borderId="79" xfId="0" applyFont="1" applyBorder="1" applyAlignment="1">
      <alignment horizontal="left" vertical="center"/>
    </xf>
    <xf numFmtId="0" fontId="42" fillId="0" borderId="79" xfId="0" applyFont="1" applyBorder="1" applyAlignment="1">
      <alignment horizontal="center" vertical="center"/>
    </xf>
    <xf numFmtId="3" fontId="42" fillId="0" borderId="79" xfId="0" applyNumberFormat="1" applyFont="1" applyBorder="1" applyAlignment="1">
      <alignment horizontal="center" vertical="center"/>
    </xf>
    <xf numFmtId="3" fontId="42" fillId="0" borderId="76" xfId="0" applyNumberFormat="1" applyFont="1" applyBorder="1" applyAlignment="1">
      <alignment horizontal="center" vertical="center"/>
    </xf>
    <xf numFmtId="3" fontId="46" fillId="0" borderId="76" xfId="0" applyNumberFormat="1" applyFont="1" applyBorder="1" applyAlignment="1">
      <alignment horizontal="center" vertical="center"/>
    </xf>
    <xf numFmtId="0" fontId="42" fillId="0" borderId="74" xfId="0" applyFont="1" applyBorder="1" applyAlignment="1">
      <alignment horizontal="center" vertical="center"/>
    </xf>
    <xf numFmtId="0" fontId="42" fillId="0" borderId="0" xfId="0" applyFont="1" applyAlignment="1">
      <alignment horizontal="center" vertical="center"/>
    </xf>
    <xf numFmtId="0" fontId="37" fillId="0" borderId="0" xfId="0" applyFont="1" applyAlignment="1">
      <alignment horizontal="center" vertical="center"/>
    </xf>
    <xf numFmtId="0" fontId="64" fillId="0" borderId="0" xfId="0" applyFont="1" applyAlignment="1">
      <alignment horizontal="center" vertical="center"/>
    </xf>
    <xf numFmtId="0" fontId="42" fillId="0" borderId="75" xfId="0" applyFont="1" applyBorder="1" applyAlignment="1">
      <alignment horizontal="center" vertical="center"/>
    </xf>
    <xf numFmtId="0" fontId="42" fillId="0" borderId="76" xfId="0" applyFont="1" applyBorder="1" applyAlignment="1">
      <alignment vertical="center"/>
    </xf>
    <xf numFmtId="0" fontId="42" fillId="0" borderId="76" xfId="0" applyFont="1" applyBorder="1" applyAlignment="1">
      <alignment horizontal="center" vertical="center"/>
    </xf>
    <xf numFmtId="3" fontId="65" fillId="0" borderId="76" xfId="0" applyNumberFormat="1" applyFont="1" applyBorder="1" applyAlignment="1">
      <alignment horizontal="center" vertical="center"/>
    </xf>
    <xf numFmtId="0" fontId="45" fillId="0" borderId="76" xfId="0" applyFont="1" applyBorder="1" applyAlignment="1">
      <alignment vertical="center"/>
    </xf>
    <xf numFmtId="1" fontId="42" fillId="0" borderId="74" xfId="0" applyNumberFormat="1" applyFont="1" applyBorder="1" applyAlignment="1">
      <alignment horizontal="center" vertical="center"/>
    </xf>
    <xf numFmtId="0" fontId="42" fillId="0" borderId="0" xfId="0" applyFont="1" applyAlignment="1">
      <alignment vertical="center"/>
    </xf>
    <xf numFmtId="0" fontId="37" fillId="0" borderId="0" xfId="0" applyFont="1" applyAlignment="1">
      <alignment vertical="center"/>
    </xf>
    <xf numFmtId="0" fontId="66" fillId="0" borderId="0" xfId="0" applyFont="1" applyAlignment="1">
      <alignment vertical="center"/>
    </xf>
    <xf numFmtId="0" fontId="42" fillId="0" borderId="76" xfId="0" applyFont="1" applyBorder="1"/>
    <xf numFmtId="0" fontId="46" fillId="0" borderId="76" xfId="0" applyFont="1" applyBorder="1"/>
    <xf numFmtId="3" fontId="46" fillId="0" borderId="76" xfId="0" applyNumberFormat="1" applyFont="1" applyBorder="1" applyAlignment="1">
      <alignment horizontal="center"/>
    </xf>
    <xf numFmtId="0" fontId="47" fillId="0" borderId="76" xfId="0" applyFont="1" applyBorder="1"/>
    <xf numFmtId="3" fontId="42" fillId="0" borderId="0" xfId="0" applyNumberFormat="1" applyFont="1" applyAlignment="1">
      <alignment vertical="center"/>
    </xf>
    <xf numFmtId="0" fontId="46" fillId="0" borderId="76" xfId="0" applyFont="1" applyBorder="1" applyAlignment="1">
      <alignment horizontal="center"/>
    </xf>
    <xf numFmtId="0" fontId="47" fillId="0" borderId="76" xfId="0" applyFont="1" applyBorder="1" applyAlignment="1">
      <alignment horizontal="center"/>
    </xf>
    <xf numFmtId="0" fontId="42" fillId="0" borderId="76" xfId="0" applyFont="1" applyBorder="1" applyAlignment="1">
      <alignment horizontal="center"/>
    </xf>
    <xf numFmtId="3" fontId="42" fillId="0" borderId="76" xfId="0" applyNumberFormat="1" applyFont="1" applyBorder="1" applyAlignment="1">
      <alignment horizontal="center"/>
    </xf>
    <xf numFmtId="0" fontId="66" fillId="0" borderId="0" xfId="0" applyFont="1"/>
    <xf numFmtId="4" fontId="42" fillId="0" borderId="76" xfId="0" applyNumberFormat="1" applyFont="1" applyBorder="1" applyAlignment="1">
      <alignment horizontal="center" vertical="center"/>
    </xf>
    <xf numFmtId="0" fontId="45" fillId="0" borderId="76" xfId="0" applyFont="1" applyBorder="1"/>
    <xf numFmtId="0" fontId="42" fillId="0" borderId="81" xfId="0" applyFont="1" applyBorder="1" applyAlignment="1">
      <alignment vertical="center"/>
    </xf>
    <xf numFmtId="165" fontId="42" fillId="0" borderId="76" xfId="0" applyNumberFormat="1" applyFont="1" applyBorder="1" applyAlignment="1">
      <alignment horizontal="center" vertical="center"/>
    </xf>
    <xf numFmtId="0" fontId="42" fillId="0" borderId="76" xfId="0" applyFont="1" applyBorder="1" applyAlignment="1">
      <alignment horizontal="left" vertical="center"/>
    </xf>
    <xf numFmtId="3" fontId="42" fillId="0" borderId="81" xfId="0" applyNumberFormat="1" applyFont="1" applyBorder="1" applyAlignment="1">
      <alignment vertical="center"/>
    </xf>
    <xf numFmtId="3" fontId="37" fillId="0" borderId="0" xfId="0" applyNumberFormat="1" applyFont="1" applyAlignment="1">
      <alignment vertical="center"/>
    </xf>
    <xf numFmtId="0" fontId="46" fillId="0" borderId="76" xfId="0" applyFont="1" applyBorder="1" applyAlignment="1">
      <alignment horizontal="center" vertical="center"/>
    </xf>
    <xf numFmtId="0" fontId="63" fillId="0" borderId="75" xfId="0" applyFont="1" applyBorder="1" applyAlignment="1">
      <alignment horizontal="center" vertical="center"/>
    </xf>
    <xf numFmtId="0" fontId="63" fillId="0" borderId="76" xfId="0" applyFont="1" applyBorder="1" applyAlignment="1">
      <alignment horizontal="center" vertical="center"/>
    </xf>
    <xf numFmtId="3" fontId="65" fillId="0" borderId="74" xfId="0" applyNumberFormat="1" applyFont="1" applyBorder="1" applyAlignment="1">
      <alignment horizontal="center" vertical="center"/>
    </xf>
    <xf numFmtId="0" fontId="63" fillId="0" borderId="0" xfId="0" applyFont="1" applyAlignment="1">
      <alignment vertical="center"/>
    </xf>
    <xf numFmtId="0" fontId="61" fillId="0" borderId="0" xfId="0" applyFont="1" applyAlignment="1">
      <alignment vertical="center"/>
    </xf>
    <xf numFmtId="168" fontId="46" fillId="0" borderId="76" xfId="0" applyNumberFormat="1" applyFont="1" applyBorder="1" applyAlignment="1">
      <alignment horizontal="center" vertical="center"/>
    </xf>
    <xf numFmtId="0" fontId="63" fillId="0" borderId="74" xfId="0" applyFont="1" applyBorder="1" applyAlignment="1">
      <alignment horizontal="center" vertical="center"/>
    </xf>
    <xf numFmtId="3" fontId="63" fillId="0" borderId="0" xfId="0" applyNumberFormat="1" applyFont="1" applyAlignment="1">
      <alignment vertical="center"/>
    </xf>
    <xf numFmtId="0" fontId="65" fillId="0" borderId="76" xfId="0" applyFont="1" applyBorder="1" applyAlignment="1">
      <alignment horizontal="left" vertical="center"/>
    </xf>
    <xf numFmtId="0" fontId="65" fillId="0" borderId="74" xfId="0" applyFont="1" applyBorder="1" applyAlignment="1">
      <alignment horizontal="center" vertical="center"/>
    </xf>
    <xf numFmtId="0" fontId="46" fillId="0" borderId="75" xfId="0" applyFont="1" applyBorder="1" applyAlignment="1">
      <alignment horizontal="center" vertical="center"/>
    </xf>
    <xf numFmtId="168" fontId="46" fillId="0" borderId="76" xfId="0" applyNumberFormat="1" applyFont="1" applyBorder="1" applyAlignment="1">
      <alignment horizontal="center"/>
    </xf>
    <xf numFmtId="168" fontId="65" fillId="0" borderId="76" xfId="0" applyNumberFormat="1" applyFont="1" applyBorder="1" applyAlignment="1">
      <alignment horizontal="center" vertical="center"/>
    </xf>
    <xf numFmtId="0" fontId="65" fillId="0" borderId="76" xfId="0" applyFont="1" applyBorder="1" applyAlignment="1">
      <alignment horizontal="center" vertical="center"/>
    </xf>
    <xf numFmtId="3" fontId="42" fillId="0" borderId="74" xfId="0" applyNumberFormat="1" applyFont="1" applyBorder="1" applyAlignment="1">
      <alignment horizontal="center" vertical="center"/>
    </xf>
    <xf numFmtId="0" fontId="46" fillId="0" borderId="0" xfId="0" applyFont="1" applyAlignment="1">
      <alignment vertical="center"/>
    </xf>
    <xf numFmtId="0" fontId="36" fillId="0" borderId="0" xfId="0" applyFont="1" applyAlignment="1">
      <alignment vertical="center"/>
    </xf>
    <xf numFmtId="0" fontId="46" fillId="0" borderId="74" xfId="0" applyFont="1" applyBorder="1" applyAlignment="1">
      <alignment horizontal="center" vertical="center"/>
    </xf>
    <xf numFmtId="1" fontId="63" fillId="0" borderId="76" xfId="0" applyNumberFormat="1" applyFont="1" applyBorder="1" applyAlignment="1">
      <alignment horizontal="center" vertical="center"/>
    </xf>
    <xf numFmtId="3" fontId="63" fillId="0" borderId="76" xfId="0" applyNumberFormat="1" applyFont="1" applyBorder="1" applyAlignment="1">
      <alignment horizontal="center" vertical="center"/>
    </xf>
    <xf numFmtId="0" fontId="66" fillId="0" borderId="0" xfId="0" applyFont="1" applyAlignment="1">
      <alignment horizontal="center"/>
    </xf>
    <xf numFmtId="0" fontId="46" fillId="0" borderId="76" xfId="0" applyFont="1" applyBorder="1" applyAlignment="1">
      <alignment vertical="center"/>
    </xf>
    <xf numFmtId="1" fontId="46" fillId="0" borderId="75" xfId="0" applyNumberFormat="1" applyFont="1" applyBorder="1" applyAlignment="1">
      <alignment horizontal="center" vertical="center"/>
    </xf>
    <xf numFmtId="1" fontId="46" fillId="0" borderId="76" xfId="0" applyNumberFormat="1" applyFont="1" applyBorder="1" applyAlignment="1">
      <alignment horizontal="center" vertical="center"/>
    </xf>
    <xf numFmtId="1" fontId="46" fillId="0" borderId="74" xfId="0" applyNumberFormat="1" applyFont="1" applyBorder="1" applyAlignment="1">
      <alignment horizontal="right" vertical="center"/>
    </xf>
    <xf numFmtId="0" fontId="42" fillId="0" borderId="82" xfId="0" applyFont="1" applyBorder="1" applyAlignment="1">
      <alignment horizontal="center" vertical="center"/>
    </xf>
    <xf numFmtId="0" fontId="42" fillId="0" borderId="83" xfId="0" applyFont="1" applyBorder="1" applyAlignment="1">
      <alignment vertical="center"/>
    </xf>
    <xf numFmtId="3" fontId="42" fillId="0" borderId="83" xfId="0" applyNumberFormat="1" applyFont="1" applyBorder="1" applyAlignment="1">
      <alignment horizontal="center" vertical="center"/>
    </xf>
    <xf numFmtId="3" fontId="46" fillId="0" borderId="83" xfId="0" applyNumberFormat="1" applyFont="1" applyBorder="1" applyAlignment="1">
      <alignment horizontal="center" vertical="center"/>
    </xf>
    <xf numFmtId="1" fontId="46" fillId="0" borderId="83" xfId="0" applyNumberFormat="1" applyFont="1" applyBorder="1" applyAlignment="1">
      <alignment horizontal="center" vertical="center"/>
    </xf>
    <xf numFmtId="1" fontId="42" fillId="0" borderId="83" xfId="0" applyNumberFormat="1" applyFont="1" applyBorder="1" applyAlignment="1">
      <alignment horizontal="center" vertical="center"/>
    </xf>
    <xf numFmtId="0" fontId="47" fillId="0" borderId="83" xfId="0" applyFont="1" applyBorder="1"/>
    <xf numFmtId="1" fontId="42" fillId="0" borderId="84" xfId="0" applyNumberFormat="1" applyFont="1" applyBorder="1" applyAlignment="1">
      <alignment horizontal="right" vertical="center"/>
    </xf>
    <xf numFmtId="0" fontId="42" fillId="0" borderId="0" xfId="0" applyFont="1" applyAlignment="1">
      <alignment horizontal="left"/>
    </xf>
    <xf numFmtId="0" fontId="67" fillId="0" borderId="0" xfId="0" applyFont="1" applyAlignment="1">
      <alignment vertical="center" wrapText="1"/>
    </xf>
    <xf numFmtId="0" fontId="62" fillId="0" borderId="0" xfId="0" applyFont="1"/>
    <xf numFmtId="0" fontId="67" fillId="0" borderId="0" xfId="0" applyFont="1" applyAlignment="1">
      <alignment vertical="top" wrapText="1"/>
    </xf>
    <xf numFmtId="0" fontId="69" fillId="0" borderId="0" xfId="0" applyFont="1" applyAlignment="1">
      <alignment vertical="top" wrapText="1"/>
    </xf>
    <xf numFmtId="0" fontId="42" fillId="0" borderId="0" xfId="0" applyFont="1" applyAlignment="1">
      <alignment vertical="center" wrapText="1"/>
    </xf>
    <xf numFmtId="0" fontId="44" fillId="0" borderId="0" xfId="0" applyFont="1" applyAlignment="1">
      <alignment vertical="center"/>
    </xf>
    <xf numFmtId="0" fontId="69" fillId="0" borderId="0" xfId="0" applyFont="1" applyAlignment="1">
      <alignment horizontal="right" vertical="top" wrapText="1"/>
    </xf>
    <xf numFmtId="0" fontId="72" fillId="0" borderId="0" xfId="0" applyFont="1" applyAlignment="1">
      <alignment vertical="top" wrapText="1"/>
    </xf>
    <xf numFmtId="0" fontId="45" fillId="0" borderId="0" xfId="0" applyFont="1" applyAlignment="1">
      <alignment vertical="center"/>
    </xf>
    <xf numFmtId="0" fontId="39" fillId="0" borderId="0" xfId="0" applyFont="1" applyAlignment="1">
      <alignment vertical="center"/>
    </xf>
    <xf numFmtId="0" fontId="42" fillId="0" borderId="0" xfId="0" applyFont="1" applyAlignment="1">
      <alignment vertical="top" wrapText="1"/>
    </xf>
    <xf numFmtId="0" fontId="73" fillId="0" borderId="0" xfId="0" applyFont="1" applyAlignment="1">
      <alignment horizontal="center" vertical="center"/>
    </xf>
    <xf numFmtId="0" fontId="73" fillId="0" borderId="0" xfId="0" applyFont="1" applyAlignment="1">
      <alignment vertical="center"/>
    </xf>
    <xf numFmtId="0" fontId="74" fillId="0" borderId="0" xfId="0" applyFont="1"/>
    <xf numFmtId="0" fontId="75" fillId="0" borderId="0" xfId="0" applyFont="1"/>
    <xf numFmtId="0" fontId="75" fillId="0" borderId="0" xfId="0" applyFont="1" applyAlignment="1">
      <alignment horizontal="center"/>
    </xf>
    <xf numFmtId="0" fontId="73" fillId="0" borderId="0" xfId="0" applyFont="1" applyAlignment="1">
      <alignment horizontal="left"/>
    </xf>
    <xf numFmtId="0" fontId="73" fillId="0" borderId="0" xfId="0" applyFont="1" applyAlignment="1">
      <alignment horizontal="center"/>
    </xf>
    <xf numFmtId="0" fontId="73" fillId="0" borderId="0" xfId="0" applyFont="1"/>
    <xf numFmtId="0" fontId="76" fillId="0" borderId="0" xfId="0" applyFont="1"/>
    <xf numFmtId="0" fontId="76" fillId="0" borderId="0" xfId="0" applyFont="1" applyAlignment="1">
      <alignment horizontal="center"/>
    </xf>
    <xf numFmtId="0" fontId="46" fillId="0" borderId="0" xfId="0" applyFont="1" applyAlignment="1">
      <alignment horizontal="left"/>
    </xf>
    <xf numFmtId="0" fontId="36" fillId="0" borderId="0" xfId="0" applyFont="1" applyAlignment="1">
      <alignment horizontal="left"/>
    </xf>
    <xf numFmtId="0" fontId="58" fillId="0" borderId="0" xfId="0" applyFont="1" applyAlignment="1">
      <alignment horizontal="center"/>
    </xf>
    <xf numFmtId="0" fontId="77" fillId="0" borderId="0" xfId="0" applyFont="1"/>
    <xf numFmtId="0" fontId="46" fillId="0" borderId="3" xfId="0" applyFont="1" applyBorder="1" applyAlignment="1">
      <alignment horizontal="center" wrapText="1"/>
    </xf>
    <xf numFmtId="0" fontId="46" fillId="0" borderId="3" xfId="0" applyFont="1" applyBorder="1" applyAlignment="1">
      <alignment horizontal="center" vertical="center"/>
    </xf>
    <xf numFmtId="0" fontId="42" fillId="0" borderId="3" xfId="0" applyFont="1" applyBorder="1" applyAlignment="1">
      <alignment horizontal="center"/>
    </xf>
    <xf numFmtId="0" fontId="65" fillId="0" borderId="3" xfId="0" applyFont="1" applyBorder="1" applyAlignment="1">
      <alignment horizontal="center"/>
    </xf>
    <xf numFmtId="169" fontId="20" fillId="0" borderId="5" xfId="2" applyNumberFormat="1" applyFont="1" applyFill="1" applyBorder="1" applyAlignment="1">
      <alignment horizontal="center" vertical="center"/>
    </xf>
    <xf numFmtId="3" fontId="12" fillId="3" borderId="3" xfId="4" applyNumberFormat="1" applyFont="1" applyFill="1" applyBorder="1" applyAlignment="1">
      <alignment horizontal="center" vertical="center"/>
    </xf>
    <xf numFmtId="3" fontId="12" fillId="4" borderId="3" xfId="4" applyNumberFormat="1" applyFont="1" applyFill="1" applyBorder="1" applyAlignment="1">
      <alignment horizontal="center" vertical="center"/>
    </xf>
    <xf numFmtId="3" fontId="12" fillId="33" borderId="3" xfId="4" applyNumberFormat="1" applyFont="1" applyFill="1" applyBorder="1" applyAlignment="1">
      <alignment horizontal="center" vertical="center"/>
    </xf>
    <xf numFmtId="37" fontId="18" fillId="2" borderId="31" xfId="0" applyNumberFormat="1" applyFont="1" applyFill="1" applyBorder="1" applyAlignment="1">
      <alignment horizontal="center" vertical="center" wrapText="1"/>
    </xf>
    <xf numFmtId="168" fontId="12" fillId="2" borderId="0" xfId="0" applyNumberFormat="1" applyFont="1" applyFill="1" applyAlignment="1">
      <alignment horizontal="center"/>
    </xf>
    <xf numFmtId="1" fontId="12" fillId="2" borderId="9" xfId="0" applyNumberFormat="1" applyFont="1" applyFill="1" applyBorder="1" applyAlignment="1">
      <alignment horizontal="center"/>
    </xf>
    <xf numFmtId="1" fontId="12" fillId="2" borderId="0" xfId="0" applyNumberFormat="1" applyFont="1" applyFill="1" applyAlignment="1">
      <alignment horizontal="center"/>
    </xf>
    <xf numFmtId="37" fontId="13" fillId="2" borderId="0" xfId="0" applyNumberFormat="1" applyFont="1" applyFill="1" applyAlignment="1">
      <alignment horizontal="center" vertical="center"/>
    </xf>
    <xf numFmtId="3" fontId="2" fillId="2" borderId="16" xfId="4" applyNumberFormat="1" applyFont="1" applyFill="1" applyBorder="1" applyAlignment="1">
      <alignment horizontal="center" vertical="center"/>
    </xf>
    <xf numFmtId="0" fontId="13" fillId="2" borderId="16" xfId="4" applyFont="1" applyFill="1" applyBorder="1" applyAlignment="1">
      <alignment horizontal="center" vertical="center"/>
    </xf>
    <xf numFmtId="0" fontId="13" fillId="2" borderId="27" xfId="4" applyFont="1" applyFill="1" applyBorder="1" applyAlignment="1">
      <alignment horizontal="center" vertical="center" wrapText="1"/>
    </xf>
    <xf numFmtId="0" fontId="13" fillId="2" borderId="3" xfId="4" applyFont="1" applyFill="1" applyBorder="1" applyAlignment="1">
      <alignment horizontal="center" vertical="center" wrapText="1"/>
    </xf>
    <xf numFmtId="168" fontId="15" fillId="2" borderId="5" xfId="0" applyNumberFormat="1" applyFont="1" applyFill="1" applyBorder="1" applyAlignment="1">
      <alignment horizontal="center" vertical="center"/>
    </xf>
    <xf numFmtId="3" fontId="15" fillId="2" borderId="5" xfId="0" applyNumberFormat="1" applyFont="1" applyFill="1" applyBorder="1" applyAlignment="1">
      <alignment horizontal="center" vertical="center"/>
    </xf>
    <xf numFmtId="168" fontId="23" fillId="2" borderId="5" xfId="2" applyNumberFormat="1" applyFont="1" applyFill="1" applyBorder="1" applyAlignment="1">
      <alignment horizontal="center" vertical="center"/>
    </xf>
    <xf numFmtId="168" fontId="13" fillId="2" borderId="5" xfId="0" applyNumberFormat="1" applyFont="1" applyFill="1" applyBorder="1" applyAlignment="1">
      <alignment horizontal="center" vertical="center"/>
    </xf>
    <xf numFmtId="168" fontId="20" fillId="2" borderId="5" xfId="0" applyNumberFormat="1" applyFont="1" applyFill="1" applyBorder="1" applyAlignment="1">
      <alignment horizontal="center" vertical="center"/>
    </xf>
    <xf numFmtId="168" fontId="20" fillId="2" borderId="5" xfId="2" applyNumberFormat="1" applyFont="1" applyFill="1" applyBorder="1" applyAlignment="1">
      <alignment horizontal="center" vertical="center"/>
    </xf>
    <xf numFmtId="168" fontId="20" fillId="2" borderId="5" xfId="0" applyNumberFormat="1" applyFont="1" applyFill="1" applyBorder="1" applyAlignment="1">
      <alignment vertical="center"/>
    </xf>
    <xf numFmtId="3" fontId="15" fillId="2" borderId="5" xfId="4" applyNumberFormat="1" applyFont="1" applyFill="1" applyBorder="1" applyAlignment="1">
      <alignment horizontal="center" vertical="center"/>
    </xf>
    <xf numFmtId="168" fontId="12" fillId="2" borderId="5" xfId="0" applyNumberFormat="1" applyFont="1" applyFill="1" applyBorder="1" applyAlignment="1">
      <alignment horizontal="center" vertical="center"/>
    </xf>
    <xf numFmtId="168" fontId="13" fillId="2" borderId="5" xfId="2" applyNumberFormat="1" applyFont="1" applyFill="1" applyBorder="1" applyAlignment="1">
      <alignment horizontal="center" vertical="center"/>
    </xf>
    <xf numFmtId="168" fontId="12" fillId="2" borderId="5" xfId="2" applyNumberFormat="1" applyFont="1" applyFill="1" applyBorder="1" applyAlignment="1">
      <alignment horizontal="center" vertical="center"/>
    </xf>
    <xf numFmtId="168" fontId="2" fillId="2" borderId="5" xfId="2" applyNumberFormat="1" applyFont="1" applyFill="1" applyBorder="1" applyAlignment="1">
      <alignment horizontal="center" vertical="center"/>
    </xf>
    <xf numFmtId="168" fontId="23" fillId="2" borderId="38" xfId="0" applyNumberFormat="1" applyFont="1" applyFill="1" applyBorder="1" applyAlignment="1">
      <alignment horizontal="center" vertical="center"/>
    </xf>
    <xf numFmtId="0" fontId="13" fillId="2" borderId="0" xfId="0" applyFont="1" applyFill="1" applyAlignment="1">
      <alignment horizontal="center" vertical="center"/>
    </xf>
    <xf numFmtId="3" fontId="12" fillId="2" borderId="0" xfId="4" applyNumberFormat="1" applyFont="1" applyFill="1" applyAlignment="1">
      <alignment horizontal="center" vertical="center"/>
    </xf>
    <xf numFmtId="0" fontId="13" fillId="2" borderId="0" xfId="0" applyFont="1" applyFill="1" applyAlignment="1">
      <alignment horizontal="center"/>
    </xf>
    <xf numFmtId="0" fontId="5" fillId="0" borderId="0" xfId="6" applyFont="1" applyAlignment="1">
      <alignment horizontal="center" vertical="center" wrapText="1"/>
    </xf>
    <xf numFmtId="0" fontId="23" fillId="0" borderId="42" xfId="6" applyFont="1" applyBorder="1" applyAlignment="1">
      <alignment horizontal="center" vertical="center"/>
    </xf>
    <xf numFmtId="0" fontId="2" fillId="0" borderId="13" xfId="0" applyFont="1" applyBorder="1" applyAlignment="1">
      <alignment vertical="center" wrapText="1"/>
    </xf>
    <xf numFmtId="0" fontId="2" fillId="0" borderId="0" xfId="0" applyFont="1" applyAlignment="1">
      <alignment vertical="center" wrapText="1"/>
    </xf>
    <xf numFmtId="0" fontId="2" fillId="0" borderId="13" xfId="0" quotePrefix="1" applyFont="1" applyBorder="1" applyAlignment="1">
      <alignment vertical="center" wrapText="1"/>
    </xf>
    <xf numFmtId="0" fontId="2" fillId="0" borderId="0" xfId="0" quotePrefix="1" applyFont="1" applyAlignment="1">
      <alignment vertical="center" wrapText="1"/>
    </xf>
    <xf numFmtId="0" fontId="14" fillId="0" borderId="13" xfId="0" applyFont="1" applyBorder="1" applyAlignment="1">
      <alignment vertical="center" wrapText="1"/>
    </xf>
    <xf numFmtId="0" fontId="14" fillId="0" borderId="0" xfId="0" applyFont="1" applyAlignment="1">
      <alignment vertical="center" wrapText="1"/>
    </xf>
    <xf numFmtId="0" fontId="12" fillId="0" borderId="13" xfId="0" applyFont="1" applyBorder="1" applyAlignment="1">
      <alignment horizontal="center" vertical="center"/>
    </xf>
    <xf numFmtId="0" fontId="12" fillId="0" borderId="0" xfId="0" applyFont="1" applyAlignment="1">
      <alignment horizontal="center" vertical="center"/>
    </xf>
    <xf numFmtId="0" fontId="5" fillId="0" borderId="0" xfId="0" applyFont="1" applyAlignment="1">
      <alignment horizontal="center" vertical="center"/>
    </xf>
    <xf numFmtId="0" fontId="5" fillId="0" borderId="14" xfId="0" applyFont="1" applyBorder="1" applyAlignment="1">
      <alignment horizontal="center" vertical="center"/>
    </xf>
    <xf numFmtId="0" fontId="5" fillId="0" borderId="13" xfId="0" applyFont="1" applyBorder="1" applyAlignment="1">
      <alignment horizontal="center" vertical="center"/>
    </xf>
    <xf numFmtId="0" fontId="4" fillId="0" borderId="0" xfId="0" applyFont="1" applyAlignment="1">
      <alignment horizontal="center" vertical="center"/>
    </xf>
    <xf numFmtId="0" fontId="19" fillId="0" borderId="0" xfId="0" applyFont="1" applyAlignment="1">
      <alignment horizontal="center" vertical="center"/>
    </xf>
    <xf numFmtId="0" fontId="29" fillId="0" borderId="13" xfId="0" applyFont="1" applyBorder="1" applyAlignment="1">
      <alignment horizontal="center" vertical="center"/>
    </xf>
    <xf numFmtId="0" fontId="29" fillId="0" borderId="0" xfId="0" applyFont="1" applyAlignment="1">
      <alignment horizontal="center" vertical="center"/>
    </xf>
    <xf numFmtId="0" fontId="29" fillId="0" borderId="14" xfId="0" applyFont="1" applyBorder="1" applyAlignment="1">
      <alignment horizontal="center" vertical="center"/>
    </xf>
    <xf numFmtId="0" fontId="17" fillId="0" borderId="13" xfId="0" applyFont="1" applyBorder="1" applyAlignment="1">
      <alignment horizontal="center" vertical="center"/>
    </xf>
    <xf numFmtId="0" fontId="17" fillId="0" borderId="0" xfId="0" applyFont="1" applyAlignment="1">
      <alignment horizontal="center" vertical="center"/>
    </xf>
    <xf numFmtId="0" fontId="17" fillId="0" borderId="14" xfId="0" applyFont="1" applyBorder="1" applyAlignment="1">
      <alignment horizontal="center" vertical="center"/>
    </xf>
    <xf numFmtId="0" fontId="92" fillId="0" borderId="13" xfId="0" applyFont="1" applyBorder="1" applyAlignment="1">
      <alignment horizontal="center" vertical="center"/>
    </xf>
    <xf numFmtId="0" fontId="4" fillId="0" borderId="0" xfId="0" applyFont="1" applyAlignment="1">
      <alignment horizontal="center" vertical="center" wrapText="1"/>
    </xf>
    <xf numFmtId="0" fontId="79" fillId="0" borderId="0" xfId="0" applyFont="1" applyAlignment="1">
      <alignment horizontal="left" wrapText="1"/>
    </xf>
    <xf numFmtId="0" fontId="79" fillId="0" borderId="0" xfId="0" applyFont="1" applyAlignment="1">
      <alignment horizontal="center" vertical="center"/>
    </xf>
    <xf numFmtId="0" fontId="8" fillId="0" borderId="87" xfId="0" applyFont="1" applyBorder="1" applyAlignment="1">
      <alignment horizontal="center" vertical="center"/>
    </xf>
    <xf numFmtId="0" fontId="8" fillId="0" borderId="59" xfId="0" applyFont="1" applyBorder="1" applyAlignment="1">
      <alignment horizontal="center" vertical="center"/>
    </xf>
    <xf numFmtId="0" fontId="8" fillId="0" borderId="88" xfId="0" applyFont="1" applyBorder="1" applyAlignment="1">
      <alignment horizontal="center" vertical="center"/>
    </xf>
    <xf numFmtId="0" fontId="8" fillId="0" borderId="53"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53"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66" xfId="0" applyFont="1" applyBorder="1" applyAlignment="1">
      <alignment horizontal="center" vertical="center"/>
    </xf>
    <xf numFmtId="0" fontId="4" fillId="0" borderId="0" xfId="0" applyFont="1" applyAlignment="1">
      <alignment horizontal="left" vertical="center" wrapText="1"/>
    </xf>
    <xf numFmtId="0" fontId="4" fillId="0" borderId="54" xfId="0" applyFont="1" applyBorder="1" applyAlignment="1">
      <alignment horizontal="center" vertical="center"/>
    </xf>
    <xf numFmtId="0" fontId="4" fillId="0" borderId="55" xfId="0" applyFont="1" applyBorder="1" applyAlignment="1">
      <alignment horizontal="center" vertical="center"/>
    </xf>
    <xf numFmtId="0" fontId="8" fillId="0" borderId="32" xfId="0" applyFont="1" applyBorder="1" applyAlignment="1">
      <alignment horizontal="center" vertical="center"/>
    </xf>
    <xf numFmtId="0" fontId="8" fillId="0" borderId="49" xfId="0" applyFont="1" applyBorder="1" applyAlignment="1">
      <alignment horizontal="center" vertical="center"/>
    </xf>
    <xf numFmtId="0" fontId="8" fillId="0" borderId="50" xfId="0" applyFont="1" applyBorder="1" applyAlignment="1">
      <alignment horizontal="center" vertical="center"/>
    </xf>
    <xf numFmtId="0" fontId="8" fillId="0" borderId="6" xfId="0" applyFont="1" applyBorder="1" applyAlignment="1">
      <alignment horizontal="center" vertical="center"/>
    </xf>
    <xf numFmtId="0" fontId="8" fillId="0" borderId="43" xfId="0" applyFont="1" applyBorder="1" applyAlignment="1">
      <alignment horizontal="center" vertical="center"/>
    </xf>
    <xf numFmtId="0" fontId="4" fillId="0" borderId="67" xfId="0" applyFont="1" applyBorder="1" applyAlignment="1">
      <alignment horizontal="center" vertical="center"/>
    </xf>
    <xf numFmtId="168" fontId="79" fillId="0" borderId="42" xfId="0" applyNumberFormat="1" applyFont="1" applyBorder="1" applyAlignment="1">
      <alignment horizontal="center" vertical="center"/>
    </xf>
    <xf numFmtId="0" fontId="80" fillId="0" borderId="65" xfId="0" applyFont="1" applyBorder="1" applyAlignment="1">
      <alignment horizontal="center" vertical="center"/>
    </xf>
    <xf numFmtId="0" fontId="80" fillId="0" borderId="62" xfId="0" applyFont="1" applyBorder="1" applyAlignment="1">
      <alignment horizontal="center" vertical="center"/>
    </xf>
    <xf numFmtId="0" fontId="80" fillId="0" borderId="61" xfId="0" applyFont="1" applyBorder="1" applyAlignment="1">
      <alignment horizontal="center" vertical="center"/>
    </xf>
    <xf numFmtId="0" fontId="80" fillId="0" borderId="53" xfId="0" applyFont="1" applyBorder="1" applyAlignment="1">
      <alignment horizontal="center" vertical="center"/>
    </xf>
    <xf numFmtId="0" fontId="80" fillId="0" borderId="9" xfId="0" applyFont="1" applyBorder="1" applyAlignment="1">
      <alignment horizontal="center" vertical="center"/>
    </xf>
    <xf numFmtId="0" fontId="80" fillId="0" borderId="10" xfId="0" applyFont="1" applyBorder="1" applyAlignment="1">
      <alignment horizontal="center" vertical="center"/>
    </xf>
    <xf numFmtId="0" fontId="80" fillId="0" borderId="53" xfId="0" applyFont="1" applyBorder="1" applyAlignment="1">
      <alignment horizontal="center" vertical="center" wrapText="1"/>
    </xf>
    <xf numFmtId="0" fontId="80" fillId="0" borderId="9" xfId="0" applyFont="1" applyBorder="1" applyAlignment="1">
      <alignment horizontal="center" vertical="center" wrapText="1"/>
    </xf>
    <xf numFmtId="0" fontId="80" fillId="0" borderId="10" xfId="0" applyFont="1" applyBorder="1" applyAlignment="1">
      <alignment horizontal="center" vertical="center" wrapText="1"/>
    </xf>
    <xf numFmtId="0" fontId="80" fillId="0" borderId="45" xfId="0" applyFont="1" applyBorder="1" applyAlignment="1">
      <alignment horizontal="center" vertical="center"/>
    </xf>
    <xf numFmtId="0" fontId="80" fillId="0" borderId="47" xfId="0" applyFont="1" applyBorder="1" applyAlignment="1">
      <alignment horizontal="center" vertical="center"/>
    </xf>
    <xf numFmtId="3" fontId="97" fillId="0" borderId="8" xfId="4" applyNumberFormat="1" applyFont="1" applyBorder="1" applyAlignment="1">
      <alignment horizontal="center" vertical="center"/>
    </xf>
    <xf numFmtId="3" fontId="97" fillId="0" borderId="10" xfId="4" applyNumberFormat="1" applyFont="1" applyBorder="1" applyAlignment="1">
      <alignment horizontal="center" vertical="center"/>
    </xf>
    <xf numFmtId="3" fontId="13" fillId="0" borderId="41" xfId="4" applyNumberFormat="1" applyFont="1" applyBorder="1" applyAlignment="1">
      <alignment horizontal="left" vertical="center" wrapText="1"/>
    </xf>
    <xf numFmtId="3" fontId="13" fillId="0" borderId="0" xfId="4" applyNumberFormat="1" applyFont="1" applyAlignment="1">
      <alignment horizontal="left" vertical="center" wrapText="1"/>
    </xf>
    <xf numFmtId="0" fontId="12" fillId="0" borderId="6" xfId="4" quotePrefix="1" applyFont="1" applyBorder="1" applyAlignment="1">
      <alignment horizontal="center" vertical="center"/>
    </xf>
    <xf numFmtId="0" fontId="12" fillId="0" borderId="2" xfId="4" quotePrefix="1" applyFont="1" applyBorder="1" applyAlignment="1">
      <alignment horizontal="center" vertical="center"/>
    </xf>
    <xf numFmtId="0" fontId="12" fillId="0" borderId="43" xfId="4" quotePrefix="1" applyFont="1" applyBorder="1" applyAlignment="1">
      <alignment horizontal="center" vertical="center"/>
    </xf>
    <xf numFmtId="0" fontId="12" fillId="0" borderId="6" xfId="4" applyFont="1" applyBorder="1" applyAlignment="1">
      <alignment horizontal="center" vertical="center"/>
    </xf>
    <xf numFmtId="0" fontId="12" fillId="0" borderId="2" xfId="4" applyFont="1" applyBorder="1" applyAlignment="1">
      <alignment horizontal="center" vertical="center"/>
    </xf>
    <xf numFmtId="0" fontId="12" fillId="0" borderId="43" xfId="4" applyFont="1" applyBorder="1" applyAlignment="1">
      <alignment horizontal="center" vertical="center"/>
    </xf>
    <xf numFmtId="0" fontId="12" fillId="0" borderId="0" xfId="4" applyFont="1" applyAlignment="1">
      <alignment horizontal="center" vertical="center"/>
    </xf>
    <xf numFmtId="0" fontId="4" fillId="0" borderId="0" xfId="4" applyFont="1" applyAlignment="1">
      <alignment horizontal="center" vertical="center"/>
    </xf>
    <xf numFmtId="0" fontId="12" fillId="0" borderId="1" xfId="4" applyFont="1" applyBorder="1" applyAlignment="1">
      <alignment horizontal="center" vertical="center"/>
    </xf>
    <xf numFmtId="0" fontId="13" fillId="0" borderId="5" xfId="4" applyFont="1" applyBorder="1" applyAlignment="1">
      <alignment horizontal="center" vertical="center" wrapText="1"/>
    </xf>
    <xf numFmtId="0" fontId="13" fillId="0" borderId="27" xfId="4" applyFont="1" applyBorder="1" applyAlignment="1">
      <alignment horizontal="center" vertical="center" wrapText="1"/>
    </xf>
    <xf numFmtId="0" fontId="12" fillId="0" borderId="32" xfId="4" applyFont="1" applyBorder="1" applyAlignment="1">
      <alignment horizontal="center" vertical="center" wrapText="1"/>
    </xf>
    <xf numFmtId="0" fontId="12" fillId="0" borderId="49" xfId="4" applyFont="1" applyBorder="1" applyAlignment="1">
      <alignment horizontal="center" vertical="center" wrapText="1"/>
    </xf>
    <xf numFmtId="0" fontId="12" fillId="0" borderId="50" xfId="4" applyFont="1" applyBorder="1" applyAlignment="1">
      <alignment horizontal="center" vertical="center" wrapText="1"/>
    </xf>
    <xf numFmtId="3" fontId="13" fillId="0" borderId="5" xfId="4" applyNumberFormat="1" applyFont="1" applyBorder="1" applyAlignment="1">
      <alignment horizontal="center" vertical="center" wrapText="1"/>
    </xf>
    <xf numFmtId="0" fontId="13" fillId="0" borderId="22" xfId="4" applyFont="1" applyBorder="1" applyAlignment="1">
      <alignment horizontal="center" vertical="center"/>
    </xf>
    <xf numFmtId="0" fontId="12" fillId="0" borderId="26" xfId="4" applyFont="1" applyBorder="1" applyAlignment="1">
      <alignment horizontal="center" vertical="center" wrapText="1"/>
    </xf>
    <xf numFmtId="0" fontId="12" fillId="0" borderId="34" xfId="4" applyFont="1" applyBorder="1" applyAlignment="1">
      <alignment horizontal="center" vertical="center" wrapText="1"/>
    </xf>
    <xf numFmtId="0" fontId="12" fillId="0" borderId="23" xfId="4" applyFont="1" applyBorder="1" applyAlignment="1">
      <alignment horizontal="center" vertical="center" wrapText="1"/>
    </xf>
    <xf numFmtId="0" fontId="12" fillId="0" borderId="3" xfId="4" applyFont="1" applyBorder="1" applyAlignment="1">
      <alignment horizontal="center" vertical="center"/>
    </xf>
    <xf numFmtId="0" fontId="12" fillId="0" borderId="45" xfId="4" applyFont="1" applyBorder="1" applyAlignment="1">
      <alignment horizontal="center" vertical="center"/>
    </xf>
    <xf numFmtId="0" fontId="12" fillId="0" borderId="47" xfId="4" applyFont="1" applyBorder="1" applyAlignment="1">
      <alignment horizontal="center" vertical="center"/>
    </xf>
    <xf numFmtId="0" fontId="12" fillId="0" borderId="24" xfId="4" applyFont="1" applyBorder="1" applyAlignment="1">
      <alignment horizontal="center" vertical="center"/>
    </xf>
    <xf numFmtId="0" fontId="13" fillId="0" borderId="0" xfId="4" applyFont="1" applyAlignment="1">
      <alignment horizontal="center" vertical="center"/>
    </xf>
    <xf numFmtId="0" fontId="12" fillId="0" borderId="48" xfId="4" applyFont="1" applyBorder="1" applyAlignment="1">
      <alignment horizontal="center" vertical="center"/>
    </xf>
    <xf numFmtId="0" fontId="13" fillId="0" borderId="25" xfId="4" applyFont="1" applyBorder="1" applyAlignment="1">
      <alignment horizontal="center" vertical="center"/>
    </xf>
    <xf numFmtId="0" fontId="13" fillId="0" borderId="46" xfId="4" applyFont="1" applyBorder="1" applyAlignment="1">
      <alignment horizontal="center" vertical="center"/>
    </xf>
    <xf numFmtId="0" fontId="12" fillId="0" borderId="1" xfId="4" applyFont="1" applyBorder="1" applyAlignment="1">
      <alignment horizontal="center" vertical="center" wrapText="1"/>
    </xf>
    <xf numFmtId="0" fontId="12" fillId="0" borderId="5" xfId="4" applyFont="1" applyBorder="1" applyAlignment="1">
      <alignment horizontal="center" vertical="center" wrapText="1"/>
    </xf>
    <xf numFmtId="0" fontId="12" fillId="0" borderId="22" xfId="4" applyFont="1" applyBorder="1" applyAlignment="1">
      <alignment horizontal="center" vertical="center" wrapText="1"/>
    </xf>
    <xf numFmtId="0" fontId="13" fillId="0" borderId="1" xfId="4" applyFont="1" applyBorder="1" applyAlignment="1">
      <alignment horizontal="center" vertical="center" wrapText="1"/>
    </xf>
    <xf numFmtId="0" fontId="13" fillId="0" borderId="5" xfId="4" applyFont="1" applyBorder="1" applyAlignment="1">
      <alignment horizontal="center" vertical="center"/>
    </xf>
    <xf numFmtId="0" fontId="13" fillId="0" borderId="5" xfId="4" applyFont="1" applyBorder="1" applyAlignment="1">
      <alignment vertical="center"/>
    </xf>
    <xf numFmtId="0" fontId="13" fillId="0" borderId="22" xfId="4" applyFont="1" applyBorder="1" applyAlignment="1">
      <alignment vertical="center"/>
    </xf>
    <xf numFmtId="37" fontId="12" fillId="0" borderId="0" xfId="0" applyNumberFormat="1" applyFont="1" applyAlignment="1">
      <alignment horizontal="center"/>
    </xf>
    <xf numFmtId="0" fontId="13" fillId="0" borderId="95" xfId="3" applyFont="1" applyBorder="1" applyAlignment="1">
      <alignment horizontal="center" vertical="center"/>
    </xf>
    <xf numFmtId="0" fontId="13" fillId="0" borderId="59" xfId="3" applyFont="1" applyBorder="1" applyAlignment="1">
      <alignment horizontal="center" vertical="center"/>
    </xf>
    <xf numFmtId="0" fontId="13" fillId="0" borderId="30" xfId="3" applyFont="1" applyBorder="1" applyAlignment="1">
      <alignment horizontal="center" vertical="center"/>
    </xf>
    <xf numFmtId="0" fontId="13" fillId="0" borderId="95" xfId="4" applyFont="1" applyBorder="1" applyAlignment="1">
      <alignment horizontal="center" vertical="center"/>
    </xf>
    <xf numFmtId="0" fontId="13" fillId="0" borderId="59" xfId="4" applyFont="1" applyBorder="1" applyAlignment="1">
      <alignment horizontal="center" vertical="center"/>
    </xf>
    <xf numFmtId="0" fontId="13" fillId="0" borderId="30" xfId="4" applyFont="1" applyBorder="1" applyAlignment="1">
      <alignment horizontal="center" vertical="center"/>
    </xf>
    <xf numFmtId="3" fontId="2" fillId="0" borderId="26" xfId="0" applyNumberFormat="1" applyFont="1" applyBorder="1" applyAlignment="1">
      <alignment horizontal="center" vertical="top"/>
    </xf>
    <xf numFmtId="3" fontId="2" fillId="0" borderId="23" xfId="0" applyNumberFormat="1" applyFont="1" applyBorder="1" applyAlignment="1">
      <alignment horizontal="center" vertical="top"/>
    </xf>
    <xf numFmtId="0" fontId="12" fillId="0" borderId="0" xfId="0" applyFont="1" applyAlignment="1">
      <alignment horizontal="center"/>
    </xf>
    <xf numFmtId="0" fontId="4" fillId="0" borderId="0" xfId="0" applyFont="1" applyAlignment="1">
      <alignment horizontal="center"/>
    </xf>
    <xf numFmtId="0" fontId="19" fillId="0" borderId="0" xfId="0" applyFont="1" applyAlignment="1">
      <alignment horizontal="center"/>
    </xf>
    <xf numFmtId="0" fontId="5" fillId="0" borderId="48" xfId="0" applyFont="1" applyBorder="1" applyAlignment="1">
      <alignment horizontal="center" vertical="center"/>
    </xf>
    <xf numFmtId="0" fontId="5" fillId="0" borderId="46" xfId="0" applyFont="1" applyBorder="1" applyAlignment="1">
      <alignment horizontal="center" vertical="center"/>
    </xf>
    <xf numFmtId="0" fontId="5" fillId="0" borderId="1" xfId="0" applyFont="1" applyBorder="1" applyAlignment="1">
      <alignment horizontal="center" vertical="center"/>
    </xf>
    <xf numFmtId="0" fontId="5" fillId="0" borderId="22" xfId="0" applyFont="1" applyBorder="1" applyAlignment="1">
      <alignment horizontal="center" vertical="center"/>
    </xf>
    <xf numFmtId="0" fontId="5" fillId="0" borderId="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55" xfId="0" applyFont="1" applyBorder="1" applyAlignment="1">
      <alignment horizontal="center" vertical="center" wrapText="1"/>
    </xf>
    <xf numFmtId="0" fontId="5" fillId="0" borderId="67" xfId="0" applyFont="1" applyBorder="1" applyAlignment="1">
      <alignment horizontal="center" vertical="center" wrapText="1"/>
    </xf>
    <xf numFmtId="0" fontId="5" fillId="0" borderId="56" xfId="0" applyFont="1" applyBorder="1" applyAlignment="1">
      <alignment horizontal="center" vertical="center" wrapText="1"/>
    </xf>
    <xf numFmtId="0" fontId="5" fillId="0" borderId="58" xfId="0" applyFont="1" applyBorder="1" applyAlignment="1">
      <alignment horizontal="center" vertical="center" wrapText="1"/>
    </xf>
    <xf numFmtId="0" fontId="5" fillId="0" borderId="66" xfId="0" applyFont="1" applyBorder="1" applyAlignment="1">
      <alignment horizontal="center" vertical="center"/>
    </xf>
    <xf numFmtId="0" fontId="5" fillId="0" borderId="53" xfId="0" applyFont="1" applyBorder="1" applyAlignment="1">
      <alignment horizontal="center" vertical="center" wrapText="1"/>
    </xf>
    <xf numFmtId="0" fontId="5" fillId="0" borderId="10"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10" xfId="0" applyFont="1" applyBorder="1" applyAlignment="1">
      <alignment horizontal="center" vertical="center" wrapText="1"/>
    </xf>
    <xf numFmtId="0" fontId="5" fillId="0" borderId="6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5" xfId="0" applyFont="1" applyBorder="1" applyAlignment="1">
      <alignment horizontal="center" vertical="center" wrapText="1"/>
    </xf>
    <xf numFmtId="0" fontId="73" fillId="0" borderId="0" xfId="0" applyFont="1" applyAlignment="1">
      <alignment horizontal="center"/>
    </xf>
    <xf numFmtId="0" fontId="24" fillId="0" borderId="0" xfId="0" applyFont="1"/>
    <xf numFmtId="0" fontId="68" fillId="0" borderId="0" xfId="0" applyFont="1" applyAlignment="1">
      <alignment horizontal="left" vertical="top" wrapText="1"/>
    </xf>
    <xf numFmtId="0" fontId="68" fillId="0" borderId="0" xfId="0" applyFont="1" applyAlignment="1">
      <alignment horizontal="left" vertical="top"/>
    </xf>
    <xf numFmtId="0" fontId="67" fillId="0" borderId="0" xfId="0" applyFont="1" applyAlignment="1">
      <alignment horizontal="left" vertical="top" wrapText="1"/>
    </xf>
    <xf numFmtId="0" fontId="68" fillId="0" borderId="0" xfId="0" applyFont="1" applyAlignment="1">
      <alignment vertical="top" wrapText="1"/>
    </xf>
    <xf numFmtId="0" fontId="73" fillId="0" borderId="0" xfId="0" applyFont="1" applyAlignment="1">
      <alignment horizontal="center" vertical="center"/>
    </xf>
    <xf numFmtId="0" fontId="76" fillId="0" borderId="0" xfId="0" applyFont="1" applyAlignment="1">
      <alignment horizontal="center"/>
    </xf>
    <xf numFmtId="0" fontId="42" fillId="0" borderId="80" xfId="0" applyFont="1" applyBorder="1" applyAlignment="1">
      <alignment horizontal="center" vertical="center"/>
    </xf>
    <xf numFmtId="0" fontId="42" fillId="0" borderId="78" xfId="0" applyFont="1" applyBorder="1" applyAlignment="1">
      <alignment horizontal="center" vertical="center"/>
    </xf>
    <xf numFmtId="0" fontId="69" fillId="0" borderId="0" xfId="0" applyFont="1" applyAlignment="1">
      <alignment horizontal="left" vertical="top" wrapText="1"/>
    </xf>
    <xf numFmtId="0" fontId="46" fillId="0" borderId="0" xfId="0" applyFont="1" applyAlignment="1">
      <alignment horizontal="center"/>
    </xf>
    <xf numFmtId="0" fontId="8" fillId="0" borderId="0" xfId="0" applyFont="1"/>
    <xf numFmtId="0" fontId="63" fillId="0" borderId="68" xfId="0" applyFont="1" applyBorder="1" applyAlignment="1">
      <alignment horizontal="center" vertical="center"/>
    </xf>
    <xf numFmtId="0" fontId="8" fillId="0" borderId="68" xfId="0" applyFont="1" applyBorder="1"/>
    <xf numFmtId="0" fontId="42" fillId="0" borderId="69" xfId="0" applyFont="1" applyBorder="1" applyAlignment="1">
      <alignment horizontal="center" vertical="center"/>
    </xf>
    <xf numFmtId="0" fontId="8" fillId="0" borderId="72" xfId="0" applyFont="1" applyBorder="1"/>
    <xf numFmtId="0" fontId="42" fillId="0" borderId="70" xfId="0" applyFont="1" applyBorder="1" applyAlignment="1">
      <alignment horizontal="center" vertical="center"/>
    </xf>
    <xf numFmtId="0" fontId="8" fillId="0" borderId="73" xfId="0" applyFont="1" applyBorder="1"/>
    <xf numFmtId="0" fontId="42" fillId="0" borderId="70" xfId="0" applyFont="1" applyBorder="1" applyAlignment="1">
      <alignment horizontal="center" vertical="center" wrapText="1"/>
    </xf>
    <xf numFmtId="0" fontId="8" fillId="0" borderId="70" xfId="0" applyFont="1" applyBorder="1"/>
    <xf numFmtId="0" fontId="42" fillId="0" borderId="71" xfId="0" applyFont="1" applyBorder="1" applyAlignment="1">
      <alignment horizontal="center" vertical="center" wrapText="1"/>
    </xf>
    <xf numFmtId="0" fontId="8" fillId="0" borderId="74" xfId="0" applyFont="1" applyBorder="1"/>
    <xf numFmtId="0" fontId="42" fillId="0" borderId="0" xfId="0" applyFont="1" applyAlignment="1">
      <alignment horizontal="center"/>
    </xf>
    <xf numFmtId="0" fontId="36" fillId="0" borderId="0" xfId="0" applyFont="1" applyAlignment="1">
      <alignment horizontal="center"/>
    </xf>
    <xf numFmtId="0" fontId="9" fillId="0" borderId="0" xfId="0" applyFont="1"/>
    <xf numFmtId="0" fontId="37" fillId="0" borderId="0" xfId="0" applyFont="1" applyAlignment="1">
      <alignment horizontal="center"/>
    </xf>
    <xf numFmtId="0" fontId="59" fillId="0" borderId="0" xfId="0" applyFont="1" applyAlignment="1">
      <alignment horizontal="center"/>
    </xf>
    <xf numFmtId="0" fontId="46" fillId="0" borderId="3" xfId="0" applyFont="1" applyBorder="1" applyAlignment="1">
      <alignment horizontal="center"/>
    </xf>
    <xf numFmtId="0" fontId="39" fillId="0" borderId="6" xfId="0" applyFont="1" applyBorder="1" applyAlignment="1">
      <alignment horizontal="center"/>
    </xf>
    <xf numFmtId="0" fontId="39" fillId="0" borderId="2" xfId="0" applyFont="1" applyBorder="1" applyAlignment="1">
      <alignment horizontal="center"/>
    </xf>
    <xf numFmtId="0" fontId="39" fillId="0" borderId="43" xfId="0" applyFont="1" applyBorder="1" applyAlignment="1">
      <alignment horizontal="center"/>
    </xf>
    <xf numFmtId="0" fontId="39" fillId="0" borderId="41" xfId="0" applyFont="1" applyBorder="1" applyAlignment="1">
      <alignment horizontal="center"/>
    </xf>
    <xf numFmtId="0" fontId="39" fillId="0" borderId="0" xfId="0" applyFont="1" applyAlignment="1">
      <alignment horizontal="center"/>
    </xf>
    <xf numFmtId="0" fontId="24" fillId="0" borderId="0" xfId="0" applyFont="1" applyAlignment="1">
      <alignment horizontal="center" vertical="center"/>
    </xf>
    <xf numFmtId="173" fontId="21" fillId="0" borderId="0" xfId="0" applyNumberFormat="1" applyFont="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2" fillId="0" borderId="8" xfId="0" applyFont="1" applyBorder="1" applyAlignment="1">
      <alignment horizontal="center" vertical="center" wrapText="1"/>
    </xf>
    <xf numFmtId="0" fontId="2" fillId="0" borderId="10" xfId="0" applyFont="1" applyBorder="1" applyAlignment="1">
      <alignment horizontal="center" vertical="center"/>
    </xf>
    <xf numFmtId="173" fontId="2" fillId="0" borderId="8" xfId="0" applyNumberFormat="1" applyFont="1" applyBorder="1" applyAlignment="1">
      <alignment horizontal="center" vertical="center"/>
    </xf>
    <xf numFmtId="173" fontId="2" fillId="0" borderId="10" xfId="0" applyNumberFormat="1" applyFont="1" applyBorder="1" applyAlignment="1">
      <alignment horizontal="center" vertical="center"/>
    </xf>
    <xf numFmtId="173" fontId="2" fillId="0" borderId="8" xfId="0" applyNumberFormat="1" applyFont="1" applyBorder="1" applyAlignment="1">
      <alignment horizontal="center" vertical="center" wrapText="1"/>
    </xf>
    <xf numFmtId="173" fontId="2" fillId="0" borderId="10" xfId="0" applyNumberFormat="1" applyFont="1" applyBorder="1" applyAlignment="1">
      <alignment horizontal="center" vertical="center" wrapText="1"/>
    </xf>
    <xf numFmtId="0" fontId="36" fillId="0" borderId="0" xfId="0" applyFont="1" applyAlignment="1">
      <alignment horizontal="left" wrapText="1"/>
    </xf>
    <xf numFmtId="0" fontId="36" fillId="0" borderId="40" xfId="0" applyFont="1" applyBorder="1"/>
    <xf numFmtId="0" fontId="36" fillId="0" borderId="0" xfId="0" applyFont="1" applyAlignment="1">
      <alignment horizontal="center" wrapText="1"/>
    </xf>
    <xf numFmtId="0" fontId="36" fillId="0" borderId="0" xfId="0" applyFont="1" applyAlignment="1">
      <alignment horizontal="left" vertical="center" wrapText="1"/>
    </xf>
    <xf numFmtId="0" fontId="36" fillId="0" borderId="0" xfId="0" applyFont="1"/>
    <xf numFmtId="2" fontId="36" fillId="0" borderId="3" xfId="0" applyNumberFormat="1" applyFont="1" applyBorder="1" applyAlignment="1">
      <alignment horizontal="center" vertical="center"/>
    </xf>
    <xf numFmtId="0" fontId="36" fillId="0" borderId="3" xfId="0" applyFont="1" applyBorder="1" applyAlignment="1">
      <alignment horizontal="center" vertical="center"/>
    </xf>
    <xf numFmtId="2" fontId="36" fillId="0" borderId="3" xfId="0" applyNumberFormat="1" applyFont="1" applyBorder="1" applyAlignment="1">
      <alignment horizontal="center" vertical="center" wrapText="1"/>
    </xf>
    <xf numFmtId="0" fontId="2" fillId="0" borderId="0" xfId="0" applyFont="1" applyAlignment="1">
      <alignment horizontal="center" vertical="center"/>
    </xf>
    <xf numFmtId="1" fontId="21" fillId="0" borderId="85" xfId="0" applyNumberFormat="1" applyFont="1" applyBorder="1"/>
    <xf numFmtId="1" fontId="21" fillId="0" borderId="58" xfId="0" applyNumberFormat="1" applyFont="1" applyBorder="1"/>
  </cellXfs>
  <cellStyles count="42">
    <cellStyle name="20% - Accent1" xfId="19" builtinId="30" hidden="1"/>
    <cellStyle name="20% - Accent2" xfId="23" builtinId="34" hidden="1"/>
    <cellStyle name="20% - Accent3" xfId="27" builtinId="38" hidden="1"/>
    <cellStyle name="20% - Accent4" xfId="31" builtinId="42" hidden="1"/>
    <cellStyle name="20% - Accent5" xfId="35" builtinId="46" hidden="1"/>
    <cellStyle name="20% - Accent6" xfId="39" builtinId="50" hidden="1"/>
    <cellStyle name="40% - Accent1" xfId="20" builtinId="31" hidden="1"/>
    <cellStyle name="40% - Accent2" xfId="24" builtinId="35" hidden="1"/>
    <cellStyle name="40% - Accent3" xfId="28" builtinId="39" hidden="1"/>
    <cellStyle name="40% - Accent4" xfId="32" builtinId="43" hidden="1"/>
    <cellStyle name="40% - Accent5" xfId="36" builtinId="47" hidden="1"/>
    <cellStyle name="40% - Accent6" xfId="40" builtinId="51" hidden="1"/>
    <cellStyle name="60% - Accent1" xfId="21" builtinId="32" hidden="1"/>
    <cellStyle name="60% - Accent2" xfId="25" builtinId="36" hidden="1"/>
    <cellStyle name="60% - Accent3" xfId="29" builtinId="40" hidden="1"/>
    <cellStyle name="60% - Accent4" xfId="33" builtinId="44" hidden="1"/>
    <cellStyle name="60% - Accent5" xfId="37" builtinId="48" hidden="1"/>
    <cellStyle name="60% - Accent6" xfId="41" builtinId="52" hidden="1"/>
    <cellStyle name="Accent1" xfId="18" builtinId="29" hidden="1"/>
    <cellStyle name="Accent2" xfId="22" builtinId="33" hidden="1"/>
    <cellStyle name="Accent3" xfId="26" builtinId="37" hidden="1"/>
    <cellStyle name="Accent4" xfId="30" builtinId="41" hidden="1"/>
    <cellStyle name="Accent5" xfId="34" builtinId="45" hidden="1"/>
    <cellStyle name="Accent6" xfId="38" builtinId="49" hidden="1"/>
    <cellStyle name="Calculation" xfId="13" builtinId="22" hidden="1"/>
    <cellStyle name="Comma" xfId="5" builtinId="3"/>
    <cellStyle name="Comma [0]" xfId="8" builtinId="6" hidden="1"/>
    <cellStyle name="Comma 10 2 2" xfId="1" xr:uid="{00000000-0005-0000-0000-00009C000000}"/>
    <cellStyle name="Comma 2 4" xfId="7" xr:uid="{2607936B-1ADC-42D3-93F6-9C5FC4F7F952}"/>
    <cellStyle name="Comma 3" xfId="2" xr:uid="{00000000-0005-0000-0000-0000BB000000}"/>
    <cellStyle name="Currency [0]" xfId="9" builtinId="7" hidden="1"/>
    <cellStyle name="Check Cell" xfId="15" builtinId="23" hidden="1"/>
    <cellStyle name="Explanatory Text" xfId="17" builtinId="53" hidden="1"/>
    <cellStyle name="Heading 2" xfId="11" builtinId="17" hidden="1"/>
    <cellStyle name="Input" xfId="12" builtinId="20" hidden="1"/>
    <cellStyle name="Linked Cell" xfId="14" builtinId="24" hidden="1"/>
    <cellStyle name="Normal" xfId="0" builtinId="0"/>
    <cellStyle name="Normal 2" xfId="3" xr:uid="{00000000-0005-0000-0000-00006F010000}"/>
    <cellStyle name="Normal 2 4" xfId="6" xr:uid="{8C95EA70-80EC-42E2-881E-E6257415780E}"/>
    <cellStyle name="Normal_KH thang 11.20191" xfId="4" xr:uid="{00000000-0005-0000-0000-0000BD010000}"/>
    <cellStyle name="Percent" xfId="10" builtinId="5" hidden="1"/>
    <cellStyle name="Warning Text" xfId="16" builtinId="11" hidden="1"/>
  </cellStyles>
  <dxfs count="107">
    <dxf>
      <fill>
        <patternFill>
          <bgColor indexed="13"/>
        </patternFill>
      </fill>
    </dxf>
    <dxf>
      <fill>
        <patternFill>
          <bgColor indexed="47"/>
        </patternFill>
      </fill>
    </dxf>
    <dxf>
      <fill>
        <patternFill>
          <bgColor indexed="43"/>
        </patternFill>
      </fill>
    </dxf>
    <dxf>
      <fill>
        <patternFill patternType="solid">
          <fgColor indexed="64"/>
          <bgColor rgb="FFE2EFDA"/>
        </patternFill>
      </fill>
    </dxf>
    <dxf>
      <fill>
        <patternFill patternType="solid">
          <fgColor indexed="64"/>
          <bgColor rgb="FFD9D2E9"/>
        </patternFill>
      </fill>
    </dxf>
    <dxf>
      <fill>
        <patternFill patternType="solid">
          <fgColor indexed="64"/>
          <bgColor rgb="FFF8CBAD"/>
        </patternFill>
      </fill>
    </dxf>
    <dxf>
      <fill>
        <patternFill patternType="solid">
          <fgColor indexed="64"/>
          <bgColor rgb="FFBDD7EE"/>
        </patternFill>
      </fill>
    </dxf>
    <dxf>
      <fill>
        <patternFill patternType="solid">
          <fgColor indexed="64"/>
          <bgColor rgb="FFC6EFCE"/>
        </patternFill>
      </fill>
    </dxf>
    <dxf>
      <fill>
        <patternFill patternType="solid">
          <fgColor indexed="64"/>
          <bgColor rgb="FFFFE69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2"/>
        <color theme="1"/>
        <name val="Times New Roman"/>
        <family val="1"/>
        <scheme val="none"/>
      </font>
      <numFmt numFmtId="3" formatCode="#,##0"/>
      <fill>
        <patternFill patternType="none">
          <fgColor indexed="64"/>
          <bgColor indexed="65"/>
        </patternFill>
      </fill>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left/>
        <right style="thin">
          <color indexed="64"/>
        </right>
        <top style="hair">
          <color indexed="64"/>
        </top>
        <bottom style="hair">
          <color indexed="64"/>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Times New Roman"/>
        <family val="1"/>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593577</xdr:colOff>
      <xdr:row>3</xdr:row>
      <xdr:rowOff>226247</xdr:rowOff>
    </xdr:from>
    <xdr:to>
      <xdr:col>4</xdr:col>
      <xdr:colOff>627250</xdr:colOff>
      <xdr:row>3</xdr:row>
      <xdr:rowOff>226247</xdr:rowOff>
    </xdr:to>
    <xdr:cxnSp macro="">
      <xdr:nvCxnSpPr>
        <xdr:cNvPr id="2" name="Straight Connector 1">
          <a:extLst>
            <a:ext uri="{FF2B5EF4-FFF2-40B4-BE49-F238E27FC236}">
              <a16:creationId xmlns:a16="http://schemas.microsoft.com/office/drawing/2014/main" id="{0EA09BD4-03D6-43DB-B716-48E880AFEA82}"/>
            </a:ext>
          </a:extLst>
        </xdr:cNvPr>
        <xdr:cNvCxnSpPr/>
      </xdr:nvCxnSpPr>
      <xdr:spPr>
        <a:xfrm>
          <a:off x="1400401" y="842571"/>
          <a:ext cx="124390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428849</xdr:colOff>
      <xdr:row>11</xdr:row>
      <xdr:rowOff>316005</xdr:rowOff>
    </xdr:from>
    <xdr:to>
      <xdr:col>9</xdr:col>
      <xdr:colOff>600075</xdr:colOff>
      <xdr:row>11</xdr:row>
      <xdr:rowOff>316005</xdr:rowOff>
    </xdr:to>
    <xdr:cxnSp macro="">
      <xdr:nvCxnSpPr>
        <xdr:cNvPr id="4" name="Straight Connector 3">
          <a:extLst>
            <a:ext uri="{FF2B5EF4-FFF2-40B4-BE49-F238E27FC236}">
              <a16:creationId xmlns:a16="http://schemas.microsoft.com/office/drawing/2014/main" id="{2FE4879F-91AD-4B86-8A31-7CDFD2F66B52}"/>
            </a:ext>
          </a:extLst>
        </xdr:cNvPr>
        <xdr:cNvCxnSpPr/>
      </xdr:nvCxnSpPr>
      <xdr:spPr>
        <a:xfrm>
          <a:off x="3486374" y="3173505"/>
          <a:ext cx="2914426"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190500</xdr:colOff>
      <xdr:row>3</xdr:row>
      <xdr:rowOff>224117</xdr:rowOff>
    </xdr:from>
    <xdr:to>
      <xdr:col>12</xdr:col>
      <xdr:colOff>582705</xdr:colOff>
      <xdr:row>3</xdr:row>
      <xdr:rowOff>224117</xdr:rowOff>
    </xdr:to>
    <xdr:cxnSp macro="">
      <xdr:nvCxnSpPr>
        <xdr:cNvPr id="6" name="Straight Connector 5">
          <a:extLst>
            <a:ext uri="{FF2B5EF4-FFF2-40B4-BE49-F238E27FC236}">
              <a16:creationId xmlns:a16="http://schemas.microsoft.com/office/drawing/2014/main" id="{E825C158-2AB0-8C00-EA7E-834A2E578875}"/>
            </a:ext>
          </a:extLst>
        </xdr:cNvPr>
        <xdr:cNvCxnSpPr/>
      </xdr:nvCxnSpPr>
      <xdr:spPr>
        <a:xfrm>
          <a:off x="5972735" y="840441"/>
          <a:ext cx="216273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316</xdr:row>
      <xdr:rowOff>0</xdr:rowOff>
    </xdr:from>
    <xdr:to>
      <xdr:col>0</xdr:col>
      <xdr:colOff>0</xdr:colOff>
      <xdr:row>316</xdr:row>
      <xdr:rowOff>219343</xdr:rowOff>
    </xdr:to>
    <xdr:cxnSp macro="">
      <xdr:nvCxnSpPr>
        <xdr:cNvPr id="28" name="Straight Arrow Connector 1822">
          <a:extLst>
            <a:ext uri="{FF2B5EF4-FFF2-40B4-BE49-F238E27FC236}">
              <a16:creationId xmlns:a16="http://schemas.microsoft.com/office/drawing/2014/main" id="{87E439A9-4F57-42DA-8331-BEF32645009F}"/>
            </a:ext>
          </a:extLst>
        </xdr:cNvPr>
        <xdr:cNvCxnSpPr/>
      </xdr:nvCxnSpPr>
      <xdr:spPr>
        <a:xfrm>
          <a:off x="0" y="71029286"/>
          <a:ext cx="0" cy="219343"/>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304</xdr:row>
      <xdr:rowOff>0</xdr:rowOff>
    </xdr:from>
    <xdr:to>
      <xdr:col>79</xdr:col>
      <xdr:colOff>0</xdr:colOff>
      <xdr:row>306</xdr:row>
      <xdr:rowOff>172949</xdr:rowOff>
    </xdr:to>
    <xdr:cxnSp macro="">
      <xdr:nvCxnSpPr>
        <xdr:cNvPr id="29" name="Straight Arrow Connector 1822">
          <a:extLst>
            <a:ext uri="{FF2B5EF4-FFF2-40B4-BE49-F238E27FC236}">
              <a16:creationId xmlns:a16="http://schemas.microsoft.com/office/drawing/2014/main" id="{67FBD280-F632-4AF6-8C50-7F6B44067C6D}"/>
            </a:ext>
          </a:extLst>
        </xdr:cNvPr>
        <xdr:cNvCxnSpPr/>
      </xdr:nvCxnSpPr>
      <xdr:spPr>
        <a:xfrm>
          <a:off x="18492107" y="67722750"/>
          <a:ext cx="0" cy="472306"/>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11205</xdr:colOff>
      <xdr:row>166</xdr:row>
      <xdr:rowOff>235323</xdr:rowOff>
    </xdr:from>
    <xdr:to>
      <xdr:col>27</xdr:col>
      <xdr:colOff>112058</xdr:colOff>
      <xdr:row>166</xdr:row>
      <xdr:rowOff>235323</xdr:rowOff>
    </xdr:to>
    <xdr:cxnSp macro="">
      <xdr:nvCxnSpPr>
        <xdr:cNvPr id="2" name="Straight Arrow Connector 1">
          <a:extLst>
            <a:ext uri="{FF2B5EF4-FFF2-40B4-BE49-F238E27FC236}">
              <a16:creationId xmlns:a16="http://schemas.microsoft.com/office/drawing/2014/main" id="{5F143B74-AFFF-4403-8109-54272F6A3F91}"/>
            </a:ext>
            <a:ext uri="{147F2762-F138-4A5C-976F-8EAC2B608ADB}">
              <a16:predDERef xmlns:a16="http://schemas.microsoft.com/office/drawing/2014/main" pred="{6A33D320-F27B-E0A8-4C99-8558FB7F64DB}"/>
            </a:ext>
          </a:extLst>
        </xdr:cNvPr>
        <xdr:cNvCxnSpPr>
          <a:cxnSpLocks/>
        </xdr:cNvCxnSpPr>
      </xdr:nvCxnSpPr>
      <xdr:spPr bwMode="auto">
        <a:xfrm>
          <a:off x="8045823" y="45518294"/>
          <a:ext cx="887505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33618</xdr:colOff>
      <xdr:row>167</xdr:row>
      <xdr:rowOff>246530</xdr:rowOff>
    </xdr:from>
    <xdr:to>
      <xdr:col>48</xdr:col>
      <xdr:colOff>285750</xdr:colOff>
      <xdr:row>167</xdr:row>
      <xdr:rowOff>246530</xdr:rowOff>
    </xdr:to>
    <xdr:cxnSp macro="">
      <xdr:nvCxnSpPr>
        <xdr:cNvPr id="5" name="Straight Arrow Connector 4">
          <a:extLst>
            <a:ext uri="{FF2B5EF4-FFF2-40B4-BE49-F238E27FC236}">
              <a16:creationId xmlns:a16="http://schemas.microsoft.com/office/drawing/2014/main" id="{CB7F34D5-2748-4305-B046-2842CC8EF96A}"/>
            </a:ext>
            <a:ext uri="{147F2762-F138-4A5C-976F-8EAC2B608ADB}">
              <a16:predDERef xmlns:a16="http://schemas.microsoft.com/office/drawing/2014/main" pred="{6A33D320-F27B-E0A8-4C99-8558FB7F64DB}"/>
            </a:ext>
          </a:extLst>
        </xdr:cNvPr>
        <xdr:cNvCxnSpPr>
          <a:cxnSpLocks/>
        </xdr:cNvCxnSpPr>
      </xdr:nvCxnSpPr>
      <xdr:spPr bwMode="auto">
        <a:xfrm>
          <a:off x="16974511" y="45585530"/>
          <a:ext cx="1274348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22412</xdr:colOff>
      <xdr:row>169</xdr:row>
      <xdr:rowOff>246530</xdr:rowOff>
    </xdr:from>
    <xdr:to>
      <xdr:col>24</xdr:col>
      <xdr:colOff>33618</xdr:colOff>
      <xdr:row>169</xdr:row>
      <xdr:rowOff>246530</xdr:rowOff>
    </xdr:to>
    <xdr:cxnSp macro="">
      <xdr:nvCxnSpPr>
        <xdr:cNvPr id="9" name="Straight Arrow Connector 8">
          <a:extLst>
            <a:ext uri="{FF2B5EF4-FFF2-40B4-BE49-F238E27FC236}">
              <a16:creationId xmlns:a16="http://schemas.microsoft.com/office/drawing/2014/main" id="{1AB4CD22-A2D5-4538-97A5-F9CB90F4459C}"/>
            </a:ext>
            <a:ext uri="{147F2762-F138-4A5C-976F-8EAC2B608ADB}">
              <a16:predDERef xmlns:a16="http://schemas.microsoft.com/office/drawing/2014/main" pred="{6A33D320-F27B-E0A8-4C99-8558FB7F64DB}"/>
            </a:ext>
          </a:extLst>
        </xdr:cNvPr>
        <xdr:cNvCxnSpPr>
          <a:cxnSpLocks/>
        </xdr:cNvCxnSpPr>
      </xdr:nvCxnSpPr>
      <xdr:spPr bwMode="auto">
        <a:xfrm>
          <a:off x="8057030" y="46437177"/>
          <a:ext cx="693644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42745</xdr:colOff>
      <xdr:row>170</xdr:row>
      <xdr:rowOff>264460</xdr:rowOff>
    </xdr:from>
    <xdr:to>
      <xdr:col>29</xdr:col>
      <xdr:colOff>593912</xdr:colOff>
      <xdr:row>170</xdr:row>
      <xdr:rowOff>264460</xdr:rowOff>
    </xdr:to>
    <xdr:cxnSp macro="">
      <xdr:nvCxnSpPr>
        <xdr:cNvPr id="11" name="Straight Arrow Connector 10">
          <a:extLst>
            <a:ext uri="{FF2B5EF4-FFF2-40B4-BE49-F238E27FC236}">
              <a16:creationId xmlns:a16="http://schemas.microsoft.com/office/drawing/2014/main" id="{7C1413B0-E8EE-4E7A-99B5-B0F4FCE71843}"/>
            </a:ext>
            <a:ext uri="{147F2762-F138-4A5C-976F-8EAC2B608ADB}">
              <a16:predDERef xmlns:a16="http://schemas.microsoft.com/office/drawing/2014/main" pred="{6A33D320-F27B-E0A8-4C99-8558FB7F64DB}"/>
            </a:ext>
          </a:extLst>
        </xdr:cNvPr>
        <xdr:cNvCxnSpPr>
          <a:cxnSpLocks/>
        </xdr:cNvCxnSpPr>
      </xdr:nvCxnSpPr>
      <xdr:spPr bwMode="auto">
        <a:xfrm>
          <a:off x="14621598" y="33120107"/>
          <a:ext cx="348710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302558</xdr:colOff>
      <xdr:row>172</xdr:row>
      <xdr:rowOff>260136</xdr:rowOff>
    </xdr:from>
    <xdr:to>
      <xdr:col>48</xdr:col>
      <xdr:colOff>0</xdr:colOff>
      <xdr:row>172</xdr:row>
      <xdr:rowOff>260136</xdr:rowOff>
    </xdr:to>
    <xdr:cxnSp macro="">
      <xdr:nvCxnSpPr>
        <xdr:cNvPr id="15" name="Straight Arrow Connector 14">
          <a:extLst>
            <a:ext uri="{FF2B5EF4-FFF2-40B4-BE49-F238E27FC236}">
              <a16:creationId xmlns:a16="http://schemas.microsoft.com/office/drawing/2014/main" id="{DEB90B06-D640-49FA-9918-85837181180C}"/>
            </a:ext>
            <a:ext uri="{147F2762-F138-4A5C-976F-8EAC2B608ADB}">
              <a16:predDERef xmlns:a16="http://schemas.microsoft.com/office/drawing/2014/main" pred="{6A33D320-F27B-E0A8-4C99-8558FB7F64DB}"/>
            </a:ext>
          </a:extLst>
        </xdr:cNvPr>
        <xdr:cNvCxnSpPr>
          <a:cxnSpLocks/>
        </xdr:cNvCxnSpPr>
      </xdr:nvCxnSpPr>
      <xdr:spPr bwMode="auto">
        <a:xfrm>
          <a:off x="23778882" y="33720901"/>
          <a:ext cx="512108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67236</xdr:colOff>
      <xdr:row>175</xdr:row>
      <xdr:rowOff>235324</xdr:rowOff>
    </xdr:from>
    <xdr:to>
      <xdr:col>53</xdr:col>
      <xdr:colOff>593912</xdr:colOff>
      <xdr:row>175</xdr:row>
      <xdr:rowOff>235324</xdr:rowOff>
    </xdr:to>
    <xdr:cxnSp macro="">
      <xdr:nvCxnSpPr>
        <xdr:cNvPr id="19" name="Straight Arrow Connector 18">
          <a:extLst>
            <a:ext uri="{FF2B5EF4-FFF2-40B4-BE49-F238E27FC236}">
              <a16:creationId xmlns:a16="http://schemas.microsoft.com/office/drawing/2014/main" id="{8CB29A62-32D7-4DE9-883A-6190C9E12321}"/>
            </a:ext>
            <a:ext uri="{147F2762-F138-4A5C-976F-8EAC2B608ADB}">
              <a16:predDERef xmlns:a16="http://schemas.microsoft.com/office/drawing/2014/main" pred="{6A33D320-F27B-E0A8-4C99-8558FB7F64DB}"/>
            </a:ext>
          </a:extLst>
        </xdr:cNvPr>
        <xdr:cNvCxnSpPr>
          <a:cxnSpLocks/>
        </xdr:cNvCxnSpPr>
      </xdr:nvCxnSpPr>
      <xdr:spPr bwMode="auto">
        <a:xfrm>
          <a:off x="29236148" y="47938765"/>
          <a:ext cx="332814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0</xdr:colOff>
      <xdr:row>174</xdr:row>
      <xdr:rowOff>246530</xdr:rowOff>
    </xdr:from>
    <xdr:to>
      <xdr:col>58</xdr:col>
      <xdr:colOff>336177</xdr:colOff>
      <xdr:row>174</xdr:row>
      <xdr:rowOff>246530</xdr:rowOff>
    </xdr:to>
    <xdr:cxnSp macro="">
      <xdr:nvCxnSpPr>
        <xdr:cNvPr id="21" name="Straight Arrow Connector 20">
          <a:extLst>
            <a:ext uri="{FF2B5EF4-FFF2-40B4-BE49-F238E27FC236}">
              <a16:creationId xmlns:a16="http://schemas.microsoft.com/office/drawing/2014/main" id="{C09766C3-089D-4445-992E-A5BEDCA6A44D}"/>
            </a:ext>
            <a:ext uri="{147F2762-F138-4A5C-976F-8EAC2B608ADB}">
              <a16:predDERef xmlns:a16="http://schemas.microsoft.com/office/drawing/2014/main" pred="{6A33D320-F27B-E0A8-4C99-8558FB7F64DB}"/>
            </a:ext>
          </a:extLst>
        </xdr:cNvPr>
        <xdr:cNvCxnSpPr>
          <a:cxnSpLocks/>
        </xdr:cNvCxnSpPr>
      </xdr:nvCxnSpPr>
      <xdr:spPr bwMode="auto">
        <a:xfrm>
          <a:off x="13077265" y="33707295"/>
          <a:ext cx="9412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178</xdr:row>
      <xdr:rowOff>235322</xdr:rowOff>
    </xdr:from>
    <xdr:to>
      <xdr:col>12</xdr:col>
      <xdr:colOff>369794</xdr:colOff>
      <xdr:row>178</xdr:row>
      <xdr:rowOff>235322</xdr:rowOff>
    </xdr:to>
    <xdr:cxnSp macro="">
      <xdr:nvCxnSpPr>
        <xdr:cNvPr id="23" name="Straight Arrow Connector 22">
          <a:extLst>
            <a:ext uri="{FF2B5EF4-FFF2-40B4-BE49-F238E27FC236}">
              <a16:creationId xmlns:a16="http://schemas.microsoft.com/office/drawing/2014/main" id="{106ED767-8FB3-476A-B9FF-BBC6D0EACF03}"/>
            </a:ext>
            <a:ext uri="{147F2762-F138-4A5C-976F-8EAC2B608ADB}">
              <a16:predDERef xmlns:a16="http://schemas.microsoft.com/office/drawing/2014/main" pred="{6A33D320-F27B-E0A8-4C99-8558FB7F64DB}"/>
            </a:ext>
          </a:extLst>
        </xdr:cNvPr>
        <xdr:cNvCxnSpPr>
          <a:cxnSpLocks/>
        </xdr:cNvCxnSpPr>
      </xdr:nvCxnSpPr>
      <xdr:spPr bwMode="auto">
        <a:xfrm>
          <a:off x="8034618" y="48846440"/>
          <a:ext cx="3697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421341</xdr:colOff>
      <xdr:row>176</xdr:row>
      <xdr:rowOff>264458</xdr:rowOff>
    </xdr:from>
    <xdr:to>
      <xdr:col>30</xdr:col>
      <xdr:colOff>67235</xdr:colOff>
      <xdr:row>176</xdr:row>
      <xdr:rowOff>264458</xdr:rowOff>
    </xdr:to>
    <xdr:cxnSp macro="">
      <xdr:nvCxnSpPr>
        <xdr:cNvPr id="24" name="Straight Arrow Connector 23">
          <a:extLst>
            <a:ext uri="{FF2B5EF4-FFF2-40B4-BE49-F238E27FC236}">
              <a16:creationId xmlns:a16="http://schemas.microsoft.com/office/drawing/2014/main" id="{BF3E44AC-9BE9-4433-B8EC-B64CB553729F}"/>
            </a:ext>
            <a:ext uri="{147F2762-F138-4A5C-976F-8EAC2B608ADB}">
              <a16:predDERef xmlns:a16="http://schemas.microsoft.com/office/drawing/2014/main" pred="{6A33D320-F27B-E0A8-4C99-8558FB7F64DB}"/>
            </a:ext>
          </a:extLst>
        </xdr:cNvPr>
        <xdr:cNvCxnSpPr>
          <a:cxnSpLocks/>
        </xdr:cNvCxnSpPr>
      </xdr:nvCxnSpPr>
      <xdr:spPr bwMode="auto">
        <a:xfrm>
          <a:off x="8455959" y="48270458"/>
          <a:ext cx="1011218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22411</xdr:colOff>
      <xdr:row>177</xdr:row>
      <xdr:rowOff>257736</xdr:rowOff>
    </xdr:from>
    <xdr:to>
      <xdr:col>39</xdr:col>
      <xdr:colOff>235323</xdr:colOff>
      <xdr:row>177</xdr:row>
      <xdr:rowOff>257736</xdr:rowOff>
    </xdr:to>
    <xdr:cxnSp macro="">
      <xdr:nvCxnSpPr>
        <xdr:cNvPr id="27" name="Straight Arrow Connector 26">
          <a:extLst>
            <a:ext uri="{FF2B5EF4-FFF2-40B4-BE49-F238E27FC236}">
              <a16:creationId xmlns:a16="http://schemas.microsoft.com/office/drawing/2014/main" id="{9E565A12-7886-4CDA-BA49-CEC018F77D34}"/>
            </a:ext>
            <a:ext uri="{147F2762-F138-4A5C-976F-8EAC2B608ADB}">
              <a16:predDERef xmlns:a16="http://schemas.microsoft.com/office/drawing/2014/main" pred="{6A33D320-F27B-E0A8-4C99-8558FB7F64DB}"/>
            </a:ext>
          </a:extLst>
        </xdr:cNvPr>
        <xdr:cNvCxnSpPr>
          <a:cxnSpLocks/>
        </xdr:cNvCxnSpPr>
      </xdr:nvCxnSpPr>
      <xdr:spPr bwMode="auto">
        <a:xfrm>
          <a:off x="18523323" y="48566295"/>
          <a:ext cx="556932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224117</xdr:colOff>
      <xdr:row>179</xdr:row>
      <xdr:rowOff>246529</xdr:rowOff>
    </xdr:from>
    <xdr:to>
      <xdr:col>59</xdr:col>
      <xdr:colOff>638735</xdr:colOff>
      <xdr:row>179</xdr:row>
      <xdr:rowOff>246529</xdr:rowOff>
    </xdr:to>
    <xdr:cxnSp macro="">
      <xdr:nvCxnSpPr>
        <xdr:cNvPr id="31" name="Straight Arrow Connector 30">
          <a:extLst>
            <a:ext uri="{FF2B5EF4-FFF2-40B4-BE49-F238E27FC236}">
              <a16:creationId xmlns:a16="http://schemas.microsoft.com/office/drawing/2014/main" id="{E3B77C96-CE76-4F3E-9C11-8B02DCC0CEBB}"/>
            </a:ext>
            <a:ext uri="{147F2762-F138-4A5C-976F-8EAC2B608ADB}">
              <a16:predDERef xmlns:a16="http://schemas.microsoft.com/office/drawing/2014/main" pred="{6A33D320-F27B-E0A8-4C99-8558FB7F64DB}"/>
            </a:ext>
          </a:extLst>
        </xdr:cNvPr>
        <xdr:cNvCxnSpPr>
          <a:cxnSpLocks/>
        </xdr:cNvCxnSpPr>
      </xdr:nvCxnSpPr>
      <xdr:spPr bwMode="auto">
        <a:xfrm>
          <a:off x="24081441" y="49160205"/>
          <a:ext cx="1211355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11206</xdr:colOff>
      <xdr:row>215</xdr:row>
      <xdr:rowOff>257735</xdr:rowOff>
    </xdr:from>
    <xdr:to>
      <xdr:col>27</xdr:col>
      <xdr:colOff>280147</xdr:colOff>
      <xdr:row>215</xdr:row>
      <xdr:rowOff>257735</xdr:rowOff>
    </xdr:to>
    <xdr:cxnSp macro="">
      <xdr:nvCxnSpPr>
        <xdr:cNvPr id="34" name="Straight Arrow Connector 33">
          <a:extLst>
            <a:ext uri="{FF2B5EF4-FFF2-40B4-BE49-F238E27FC236}">
              <a16:creationId xmlns:a16="http://schemas.microsoft.com/office/drawing/2014/main" id="{05B41E2B-117B-406E-8F1E-6FB2496A0661}"/>
            </a:ext>
            <a:ext uri="{147F2762-F138-4A5C-976F-8EAC2B608ADB}">
              <a16:predDERef xmlns:a16="http://schemas.microsoft.com/office/drawing/2014/main" pred="{6A33D320-F27B-E0A8-4C99-8558FB7F64DB}"/>
            </a:ext>
          </a:extLst>
        </xdr:cNvPr>
        <xdr:cNvCxnSpPr>
          <a:cxnSpLocks/>
        </xdr:cNvCxnSpPr>
      </xdr:nvCxnSpPr>
      <xdr:spPr bwMode="auto">
        <a:xfrm>
          <a:off x="7250206" y="45798441"/>
          <a:ext cx="907676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22412</xdr:colOff>
      <xdr:row>220</xdr:row>
      <xdr:rowOff>205708</xdr:rowOff>
    </xdr:from>
    <xdr:to>
      <xdr:col>36</xdr:col>
      <xdr:colOff>0</xdr:colOff>
      <xdr:row>220</xdr:row>
      <xdr:rowOff>205708</xdr:rowOff>
    </xdr:to>
    <xdr:cxnSp macro="">
      <xdr:nvCxnSpPr>
        <xdr:cNvPr id="46" name="Straight Arrow Connector 45">
          <a:extLst>
            <a:ext uri="{FF2B5EF4-FFF2-40B4-BE49-F238E27FC236}">
              <a16:creationId xmlns:a16="http://schemas.microsoft.com/office/drawing/2014/main" id="{F30476CF-8185-4789-A42C-24780DC148D0}"/>
            </a:ext>
            <a:ext uri="{147F2762-F138-4A5C-976F-8EAC2B608ADB}">
              <a16:predDERef xmlns:a16="http://schemas.microsoft.com/office/drawing/2014/main" pred="{6A33D320-F27B-E0A8-4C99-8558FB7F64DB}"/>
            </a:ext>
          </a:extLst>
        </xdr:cNvPr>
        <xdr:cNvCxnSpPr>
          <a:cxnSpLocks/>
        </xdr:cNvCxnSpPr>
      </xdr:nvCxnSpPr>
      <xdr:spPr bwMode="auto">
        <a:xfrm>
          <a:off x="8064233" y="59342351"/>
          <a:ext cx="1396573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36819</xdr:colOff>
      <xdr:row>228</xdr:row>
      <xdr:rowOff>189698</xdr:rowOff>
    </xdr:from>
    <xdr:to>
      <xdr:col>15</xdr:col>
      <xdr:colOff>312964</xdr:colOff>
      <xdr:row>228</xdr:row>
      <xdr:rowOff>189698</xdr:rowOff>
    </xdr:to>
    <xdr:cxnSp macro="">
      <xdr:nvCxnSpPr>
        <xdr:cNvPr id="48" name="Straight Arrow Connector 47">
          <a:extLst>
            <a:ext uri="{FF2B5EF4-FFF2-40B4-BE49-F238E27FC236}">
              <a16:creationId xmlns:a16="http://schemas.microsoft.com/office/drawing/2014/main" id="{147DC153-EE8B-4355-AD6D-CBD118AF04E1}"/>
            </a:ext>
            <a:ext uri="{147F2762-F138-4A5C-976F-8EAC2B608ADB}">
              <a16:predDERef xmlns:a16="http://schemas.microsoft.com/office/drawing/2014/main" pred="{6A33D320-F27B-E0A8-4C99-8558FB7F64DB}"/>
            </a:ext>
          </a:extLst>
        </xdr:cNvPr>
        <xdr:cNvCxnSpPr>
          <a:cxnSpLocks/>
        </xdr:cNvCxnSpPr>
      </xdr:nvCxnSpPr>
      <xdr:spPr bwMode="auto">
        <a:xfrm>
          <a:off x="8078640" y="61204127"/>
          <a:ext cx="196343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243</xdr:row>
      <xdr:rowOff>246530</xdr:rowOff>
    </xdr:from>
    <xdr:to>
      <xdr:col>18</xdr:col>
      <xdr:colOff>224118</xdr:colOff>
      <xdr:row>243</xdr:row>
      <xdr:rowOff>246530</xdr:rowOff>
    </xdr:to>
    <xdr:cxnSp macro="">
      <xdr:nvCxnSpPr>
        <xdr:cNvPr id="50" name="Straight Arrow Connector 49">
          <a:extLst>
            <a:ext uri="{FF2B5EF4-FFF2-40B4-BE49-F238E27FC236}">
              <a16:creationId xmlns:a16="http://schemas.microsoft.com/office/drawing/2014/main" id="{A8AE51D9-FAC2-4A2D-9021-D4A2A22BCD93}"/>
            </a:ext>
            <a:ext uri="{147F2762-F138-4A5C-976F-8EAC2B608ADB}">
              <a16:predDERef xmlns:a16="http://schemas.microsoft.com/office/drawing/2014/main" pred="{6A33D320-F27B-E0A8-4C99-8558FB7F64DB}"/>
            </a:ext>
          </a:extLst>
        </xdr:cNvPr>
        <xdr:cNvCxnSpPr>
          <a:cxnSpLocks/>
        </xdr:cNvCxnSpPr>
      </xdr:nvCxnSpPr>
      <xdr:spPr bwMode="auto">
        <a:xfrm>
          <a:off x="8034618" y="62685706"/>
          <a:ext cx="36195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224117</xdr:colOff>
      <xdr:row>244</xdr:row>
      <xdr:rowOff>257735</xdr:rowOff>
    </xdr:from>
    <xdr:to>
      <xdr:col>26</xdr:col>
      <xdr:colOff>661147</xdr:colOff>
      <xdr:row>244</xdr:row>
      <xdr:rowOff>257735</xdr:rowOff>
    </xdr:to>
    <xdr:cxnSp macro="">
      <xdr:nvCxnSpPr>
        <xdr:cNvPr id="52" name="Straight Arrow Connector 51">
          <a:extLst>
            <a:ext uri="{FF2B5EF4-FFF2-40B4-BE49-F238E27FC236}">
              <a16:creationId xmlns:a16="http://schemas.microsoft.com/office/drawing/2014/main" id="{AB63067D-DD34-4D19-A30B-DA68DAE8110D}"/>
            </a:ext>
            <a:ext uri="{147F2762-F138-4A5C-976F-8EAC2B608ADB}">
              <a16:predDERef xmlns:a16="http://schemas.microsoft.com/office/drawing/2014/main" pred="{6A33D320-F27B-E0A8-4C99-8558FB7F64DB}"/>
            </a:ext>
          </a:extLst>
        </xdr:cNvPr>
        <xdr:cNvCxnSpPr>
          <a:cxnSpLocks/>
        </xdr:cNvCxnSpPr>
      </xdr:nvCxnSpPr>
      <xdr:spPr bwMode="auto">
        <a:xfrm>
          <a:off x="11654117" y="62999470"/>
          <a:ext cx="514350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33617</xdr:colOff>
      <xdr:row>180</xdr:row>
      <xdr:rowOff>246530</xdr:rowOff>
    </xdr:from>
    <xdr:to>
      <xdr:col>18</xdr:col>
      <xdr:colOff>22412</xdr:colOff>
      <xdr:row>180</xdr:row>
      <xdr:rowOff>246530</xdr:rowOff>
    </xdr:to>
    <xdr:cxnSp macro="">
      <xdr:nvCxnSpPr>
        <xdr:cNvPr id="55" name="Straight Arrow Connector 54">
          <a:extLst>
            <a:ext uri="{FF2B5EF4-FFF2-40B4-BE49-F238E27FC236}">
              <a16:creationId xmlns:a16="http://schemas.microsoft.com/office/drawing/2014/main" id="{C245BB93-D0F0-4F4A-B49F-9B6B5DB18CF9}"/>
            </a:ext>
            <a:ext uri="{147F2762-F138-4A5C-976F-8EAC2B608ADB}">
              <a16:predDERef xmlns:a16="http://schemas.microsoft.com/office/drawing/2014/main" pred="{6A33D320-F27B-E0A8-4C99-8558FB7F64DB}"/>
            </a:ext>
          </a:extLst>
        </xdr:cNvPr>
        <xdr:cNvCxnSpPr>
          <a:cxnSpLocks/>
        </xdr:cNvCxnSpPr>
      </xdr:nvCxnSpPr>
      <xdr:spPr bwMode="auto">
        <a:xfrm>
          <a:off x="8068235" y="48129265"/>
          <a:ext cx="338417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11206</xdr:colOff>
      <xdr:row>181</xdr:row>
      <xdr:rowOff>268942</xdr:rowOff>
    </xdr:from>
    <xdr:to>
      <xdr:col>23</xdr:col>
      <xdr:colOff>593912</xdr:colOff>
      <xdr:row>181</xdr:row>
      <xdr:rowOff>268942</xdr:rowOff>
    </xdr:to>
    <xdr:cxnSp macro="">
      <xdr:nvCxnSpPr>
        <xdr:cNvPr id="57" name="Straight Arrow Connector 56">
          <a:extLst>
            <a:ext uri="{FF2B5EF4-FFF2-40B4-BE49-F238E27FC236}">
              <a16:creationId xmlns:a16="http://schemas.microsoft.com/office/drawing/2014/main" id="{444D34C3-5EF3-48F5-877A-1BEC433D59F6}"/>
            </a:ext>
            <a:ext uri="{147F2762-F138-4A5C-976F-8EAC2B608ADB}">
              <a16:predDERef xmlns:a16="http://schemas.microsoft.com/office/drawing/2014/main" pred="{6A33D320-F27B-E0A8-4C99-8558FB7F64DB}"/>
            </a:ext>
          </a:extLst>
        </xdr:cNvPr>
        <xdr:cNvCxnSpPr>
          <a:cxnSpLocks/>
        </xdr:cNvCxnSpPr>
      </xdr:nvCxnSpPr>
      <xdr:spPr bwMode="auto">
        <a:xfrm>
          <a:off x="11441206" y="48454236"/>
          <a:ext cx="349623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560294</xdr:colOff>
      <xdr:row>181</xdr:row>
      <xdr:rowOff>268942</xdr:rowOff>
    </xdr:from>
    <xdr:to>
      <xdr:col>23</xdr:col>
      <xdr:colOff>560294</xdr:colOff>
      <xdr:row>185</xdr:row>
      <xdr:rowOff>123264</xdr:rowOff>
    </xdr:to>
    <xdr:cxnSp macro="">
      <xdr:nvCxnSpPr>
        <xdr:cNvPr id="59" name="Straight Arrow Connector 1822">
          <a:extLst>
            <a:ext uri="{FF2B5EF4-FFF2-40B4-BE49-F238E27FC236}">
              <a16:creationId xmlns:a16="http://schemas.microsoft.com/office/drawing/2014/main" id="{66429386-89BB-4ADD-9D18-D400264F143A}"/>
            </a:ext>
          </a:extLst>
        </xdr:cNvPr>
        <xdr:cNvCxnSpPr/>
      </xdr:nvCxnSpPr>
      <xdr:spPr>
        <a:xfrm>
          <a:off x="14903823" y="48454236"/>
          <a:ext cx="0" cy="1042146"/>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180</xdr:row>
      <xdr:rowOff>257736</xdr:rowOff>
    </xdr:from>
    <xdr:to>
      <xdr:col>18</xdr:col>
      <xdr:colOff>0</xdr:colOff>
      <xdr:row>182</xdr:row>
      <xdr:rowOff>0</xdr:rowOff>
    </xdr:to>
    <xdr:cxnSp macro="">
      <xdr:nvCxnSpPr>
        <xdr:cNvPr id="61" name="Straight Arrow Connector 1822">
          <a:extLst>
            <a:ext uri="{FF2B5EF4-FFF2-40B4-BE49-F238E27FC236}">
              <a16:creationId xmlns:a16="http://schemas.microsoft.com/office/drawing/2014/main" id="{34B16837-B27F-4390-9015-26B45B1DDE2E}"/>
            </a:ext>
          </a:extLst>
        </xdr:cNvPr>
        <xdr:cNvCxnSpPr/>
      </xdr:nvCxnSpPr>
      <xdr:spPr>
        <a:xfrm>
          <a:off x="11430000" y="48140471"/>
          <a:ext cx="0" cy="347382"/>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358588</xdr:colOff>
      <xdr:row>176</xdr:row>
      <xdr:rowOff>246529</xdr:rowOff>
    </xdr:from>
    <xdr:to>
      <xdr:col>12</xdr:col>
      <xdr:colOff>358588</xdr:colOff>
      <xdr:row>178</xdr:row>
      <xdr:rowOff>257734</xdr:rowOff>
    </xdr:to>
    <xdr:cxnSp macro="">
      <xdr:nvCxnSpPr>
        <xdr:cNvPr id="63" name="Straight Arrow Connector 1822">
          <a:extLst>
            <a:ext uri="{FF2B5EF4-FFF2-40B4-BE49-F238E27FC236}">
              <a16:creationId xmlns:a16="http://schemas.microsoft.com/office/drawing/2014/main" id="{500C0C1C-2338-47B5-B4B1-D855813E3D2B}"/>
            </a:ext>
          </a:extLst>
        </xdr:cNvPr>
        <xdr:cNvCxnSpPr/>
      </xdr:nvCxnSpPr>
      <xdr:spPr>
        <a:xfrm flipV="1">
          <a:off x="8393206" y="46919029"/>
          <a:ext cx="0" cy="616323"/>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89646</xdr:colOff>
      <xdr:row>176</xdr:row>
      <xdr:rowOff>224117</xdr:rowOff>
    </xdr:from>
    <xdr:to>
      <xdr:col>30</xdr:col>
      <xdr:colOff>89646</xdr:colOff>
      <xdr:row>177</xdr:row>
      <xdr:rowOff>268940</xdr:rowOff>
    </xdr:to>
    <xdr:cxnSp macro="">
      <xdr:nvCxnSpPr>
        <xdr:cNvPr id="66" name="Straight Arrow Connector 1822">
          <a:extLst>
            <a:ext uri="{FF2B5EF4-FFF2-40B4-BE49-F238E27FC236}">
              <a16:creationId xmlns:a16="http://schemas.microsoft.com/office/drawing/2014/main" id="{845A6005-9FCD-4189-96D2-1CF07F5F4A02}"/>
            </a:ext>
          </a:extLst>
        </xdr:cNvPr>
        <xdr:cNvCxnSpPr/>
      </xdr:nvCxnSpPr>
      <xdr:spPr>
        <a:xfrm>
          <a:off x="18590558" y="46896617"/>
          <a:ext cx="0" cy="347382"/>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224116</xdr:colOff>
      <xdr:row>177</xdr:row>
      <xdr:rowOff>291352</xdr:rowOff>
    </xdr:from>
    <xdr:to>
      <xdr:col>39</xdr:col>
      <xdr:colOff>224116</xdr:colOff>
      <xdr:row>179</xdr:row>
      <xdr:rowOff>268942</xdr:rowOff>
    </xdr:to>
    <xdr:cxnSp macro="">
      <xdr:nvCxnSpPr>
        <xdr:cNvPr id="67" name="Straight Arrow Connector 1822">
          <a:extLst>
            <a:ext uri="{FF2B5EF4-FFF2-40B4-BE49-F238E27FC236}">
              <a16:creationId xmlns:a16="http://schemas.microsoft.com/office/drawing/2014/main" id="{DE034C27-325F-4F4C-92B2-575F10DCD483}"/>
            </a:ext>
          </a:extLst>
        </xdr:cNvPr>
        <xdr:cNvCxnSpPr/>
      </xdr:nvCxnSpPr>
      <xdr:spPr>
        <a:xfrm>
          <a:off x="24081440" y="47266411"/>
          <a:ext cx="0" cy="582707"/>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44022</xdr:colOff>
      <xdr:row>172</xdr:row>
      <xdr:rowOff>285750</xdr:rowOff>
    </xdr:from>
    <xdr:to>
      <xdr:col>48</xdr:col>
      <xdr:colOff>44022</xdr:colOff>
      <xdr:row>175</xdr:row>
      <xdr:rowOff>212912</xdr:rowOff>
    </xdr:to>
    <xdr:cxnSp macro="">
      <xdr:nvCxnSpPr>
        <xdr:cNvPr id="69" name="Straight Arrow Connector 1822">
          <a:extLst>
            <a:ext uri="{FF2B5EF4-FFF2-40B4-BE49-F238E27FC236}">
              <a16:creationId xmlns:a16="http://schemas.microsoft.com/office/drawing/2014/main" id="{8B04A573-818D-4029-A618-F9B8D364CEDC}"/>
            </a:ext>
          </a:extLst>
        </xdr:cNvPr>
        <xdr:cNvCxnSpPr/>
      </xdr:nvCxnSpPr>
      <xdr:spPr>
        <a:xfrm>
          <a:off x="28959201" y="36698464"/>
          <a:ext cx="0" cy="525877"/>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0</xdr:colOff>
      <xdr:row>174</xdr:row>
      <xdr:rowOff>246530</xdr:rowOff>
    </xdr:from>
    <xdr:to>
      <xdr:col>54</xdr:col>
      <xdr:colOff>0</xdr:colOff>
      <xdr:row>176</xdr:row>
      <xdr:rowOff>0</xdr:rowOff>
    </xdr:to>
    <xdr:cxnSp macro="">
      <xdr:nvCxnSpPr>
        <xdr:cNvPr id="71" name="Straight Arrow Connector 1822">
          <a:extLst>
            <a:ext uri="{FF2B5EF4-FFF2-40B4-BE49-F238E27FC236}">
              <a16:creationId xmlns:a16="http://schemas.microsoft.com/office/drawing/2014/main" id="{0D9E140A-7BEF-4AF2-B842-C05E9846BBDB}"/>
            </a:ext>
          </a:extLst>
        </xdr:cNvPr>
        <xdr:cNvCxnSpPr/>
      </xdr:nvCxnSpPr>
      <xdr:spPr>
        <a:xfrm flipV="1">
          <a:off x="32575500" y="46313912"/>
          <a:ext cx="0" cy="358588"/>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268140</xdr:colOff>
      <xdr:row>172</xdr:row>
      <xdr:rowOff>16008</xdr:rowOff>
    </xdr:from>
    <xdr:to>
      <xdr:col>39</xdr:col>
      <xdr:colOff>268140</xdr:colOff>
      <xdr:row>173</xdr:row>
      <xdr:rowOff>4804</xdr:rowOff>
    </xdr:to>
    <xdr:cxnSp macro="">
      <xdr:nvCxnSpPr>
        <xdr:cNvPr id="76" name="Straight Arrow Connector 1822">
          <a:extLst>
            <a:ext uri="{FF2B5EF4-FFF2-40B4-BE49-F238E27FC236}">
              <a16:creationId xmlns:a16="http://schemas.microsoft.com/office/drawing/2014/main" id="{76A28F66-B9EC-4259-9FD5-C98275E66406}"/>
            </a:ext>
          </a:extLst>
        </xdr:cNvPr>
        <xdr:cNvCxnSpPr/>
      </xdr:nvCxnSpPr>
      <xdr:spPr>
        <a:xfrm>
          <a:off x="23744464" y="33476773"/>
          <a:ext cx="0" cy="291355"/>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56030</xdr:colOff>
      <xdr:row>169</xdr:row>
      <xdr:rowOff>257736</xdr:rowOff>
    </xdr:from>
    <xdr:to>
      <xdr:col>24</xdr:col>
      <xdr:colOff>56030</xdr:colOff>
      <xdr:row>170</xdr:row>
      <xdr:rowOff>291353</xdr:rowOff>
    </xdr:to>
    <xdr:cxnSp macro="">
      <xdr:nvCxnSpPr>
        <xdr:cNvPr id="77" name="Straight Arrow Connector 1822">
          <a:extLst>
            <a:ext uri="{FF2B5EF4-FFF2-40B4-BE49-F238E27FC236}">
              <a16:creationId xmlns:a16="http://schemas.microsoft.com/office/drawing/2014/main" id="{021273F5-F32C-41E4-ABD5-82CF2B31415A}"/>
            </a:ext>
          </a:extLst>
        </xdr:cNvPr>
        <xdr:cNvCxnSpPr/>
      </xdr:nvCxnSpPr>
      <xdr:spPr>
        <a:xfrm>
          <a:off x="14634883" y="32810824"/>
          <a:ext cx="0" cy="336176"/>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241726</xdr:colOff>
      <xdr:row>167</xdr:row>
      <xdr:rowOff>284951</xdr:rowOff>
    </xdr:from>
    <xdr:to>
      <xdr:col>48</xdr:col>
      <xdr:colOff>241726</xdr:colOff>
      <xdr:row>173</xdr:row>
      <xdr:rowOff>231322</xdr:rowOff>
    </xdr:to>
    <xdr:cxnSp macro="">
      <xdr:nvCxnSpPr>
        <xdr:cNvPr id="79" name="Straight Arrow Connector 1822">
          <a:extLst>
            <a:ext uri="{FF2B5EF4-FFF2-40B4-BE49-F238E27FC236}">
              <a16:creationId xmlns:a16="http://schemas.microsoft.com/office/drawing/2014/main" id="{16E87871-FC25-4EBE-8AD0-5E4F0F2ACCA4}"/>
            </a:ext>
          </a:extLst>
        </xdr:cNvPr>
        <xdr:cNvCxnSpPr/>
      </xdr:nvCxnSpPr>
      <xdr:spPr>
        <a:xfrm>
          <a:off x="29673976" y="45623951"/>
          <a:ext cx="0" cy="1742514"/>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73959</xdr:colOff>
      <xdr:row>166</xdr:row>
      <xdr:rowOff>219634</xdr:rowOff>
    </xdr:from>
    <xdr:to>
      <xdr:col>27</xdr:col>
      <xdr:colOff>73959</xdr:colOff>
      <xdr:row>167</xdr:row>
      <xdr:rowOff>208430</xdr:rowOff>
    </xdr:to>
    <xdr:cxnSp macro="">
      <xdr:nvCxnSpPr>
        <xdr:cNvPr id="80" name="Straight Arrow Connector 1822">
          <a:extLst>
            <a:ext uri="{FF2B5EF4-FFF2-40B4-BE49-F238E27FC236}">
              <a16:creationId xmlns:a16="http://schemas.microsoft.com/office/drawing/2014/main" id="{33DE11AC-D1E3-46CD-A653-75CC0DD85D5E}"/>
            </a:ext>
          </a:extLst>
        </xdr:cNvPr>
        <xdr:cNvCxnSpPr/>
      </xdr:nvCxnSpPr>
      <xdr:spPr>
        <a:xfrm>
          <a:off x="16882783" y="44169105"/>
          <a:ext cx="0" cy="291354"/>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40822</xdr:colOff>
      <xdr:row>245</xdr:row>
      <xdr:rowOff>258536</xdr:rowOff>
    </xdr:from>
    <xdr:to>
      <xdr:col>59</xdr:col>
      <xdr:colOff>612322</xdr:colOff>
      <xdr:row>245</xdr:row>
      <xdr:rowOff>258536</xdr:rowOff>
    </xdr:to>
    <xdr:cxnSp macro="">
      <xdr:nvCxnSpPr>
        <xdr:cNvPr id="3" name="Straight Arrow Connector 2">
          <a:extLst>
            <a:ext uri="{FF2B5EF4-FFF2-40B4-BE49-F238E27FC236}">
              <a16:creationId xmlns:a16="http://schemas.microsoft.com/office/drawing/2014/main" id="{9E792A4A-3EAF-4171-9430-89BF4F1AF21C}"/>
            </a:ext>
            <a:ext uri="{147F2762-F138-4A5C-976F-8EAC2B608ADB}">
              <a16:predDERef xmlns:a16="http://schemas.microsoft.com/office/drawing/2014/main" pred="{6A33D320-F27B-E0A8-4C99-8558FB7F64DB}"/>
            </a:ext>
          </a:extLst>
        </xdr:cNvPr>
        <xdr:cNvCxnSpPr>
          <a:cxnSpLocks/>
        </xdr:cNvCxnSpPr>
      </xdr:nvCxnSpPr>
      <xdr:spPr bwMode="auto">
        <a:xfrm>
          <a:off x="16832036" y="64212107"/>
          <a:ext cx="19431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81643</xdr:colOff>
      <xdr:row>246</xdr:row>
      <xdr:rowOff>233724</xdr:rowOff>
    </xdr:from>
    <xdr:to>
      <xdr:col>18</xdr:col>
      <xdr:colOff>54429</xdr:colOff>
      <xdr:row>246</xdr:row>
      <xdr:rowOff>233724</xdr:rowOff>
    </xdr:to>
    <xdr:cxnSp macro="">
      <xdr:nvCxnSpPr>
        <xdr:cNvPr id="10" name="Straight Arrow Connector 9">
          <a:extLst>
            <a:ext uri="{FF2B5EF4-FFF2-40B4-BE49-F238E27FC236}">
              <a16:creationId xmlns:a16="http://schemas.microsoft.com/office/drawing/2014/main" id="{03F877AF-67B6-4BDE-8138-3AF10D5AD2C1}"/>
            </a:ext>
            <a:ext uri="{147F2762-F138-4A5C-976F-8EAC2B608ADB}">
              <a16:predDERef xmlns:a16="http://schemas.microsoft.com/office/drawing/2014/main" pred="{6A33D320-F27B-E0A8-4C99-8558FB7F64DB}"/>
            </a:ext>
          </a:extLst>
        </xdr:cNvPr>
        <xdr:cNvCxnSpPr>
          <a:cxnSpLocks/>
        </xdr:cNvCxnSpPr>
      </xdr:nvCxnSpPr>
      <xdr:spPr bwMode="auto">
        <a:xfrm>
          <a:off x="7633607" y="52308260"/>
          <a:ext cx="340178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103254</xdr:colOff>
      <xdr:row>247</xdr:row>
      <xdr:rowOff>267340</xdr:rowOff>
    </xdr:from>
    <xdr:to>
      <xdr:col>29</xdr:col>
      <xdr:colOff>593912</xdr:colOff>
      <xdr:row>247</xdr:row>
      <xdr:rowOff>267340</xdr:rowOff>
    </xdr:to>
    <xdr:cxnSp macro="">
      <xdr:nvCxnSpPr>
        <xdr:cNvPr id="14" name="Straight Arrow Connector 13">
          <a:extLst>
            <a:ext uri="{FF2B5EF4-FFF2-40B4-BE49-F238E27FC236}">
              <a16:creationId xmlns:a16="http://schemas.microsoft.com/office/drawing/2014/main" id="{817D495E-EBB3-43CC-AC50-B7D48021DE97}"/>
            </a:ext>
            <a:ext uri="{147F2762-F138-4A5C-976F-8EAC2B608ADB}">
              <a16:predDERef xmlns:a16="http://schemas.microsoft.com/office/drawing/2014/main" pred="{6A33D320-F27B-E0A8-4C99-8558FB7F64DB}"/>
            </a:ext>
          </a:extLst>
        </xdr:cNvPr>
        <xdr:cNvCxnSpPr>
          <a:cxnSpLocks/>
        </xdr:cNvCxnSpPr>
      </xdr:nvCxnSpPr>
      <xdr:spPr bwMode="auto">
        <a:xfrm>
          <a:off x="10771254" y="53428046"/>
          <a:ext cx="695645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253</xdr:row>
      <xdr:rowOff>258536</xdr:rowOff>
    </xdr:from>
    <xdr:to>
      <xdr:col>36</xdr:col>
      <xdr:colOff>163286</xdr:colOff>
      <xdr:row>253</xdr:row>
      <xdr:rowOff>258536</xdr:rowOff>
    </xdr:to>
    <xdr:cxnSp macro="">
      <xdr:nvCxnSpPr>
        <xdr:cNvPr id="30" name="Straight Arrow Connector 29">
          <a:extLst>
            <a:ext uri="{FF2B5EF4-FFF2-40B4-BE49-F238E27FC236}">
              <a16:creationId xmlns:a16="http://schemas.microsoft.com/office/drawing/2014/main" id="{735E4736-D450-4EF6-9CCA-59AD91D14CE7}"/>
            </a:ext>
            <a:ext uri="{147F2762-F138-4A5C-976F-8EAC2B608ADB}">
              <a16:predDERef xmlns:a16="http://schemas.microsoft.com/office/drawing/2014/main" pred="{6A33D320-F27B-E0A8-4C99-8558FB7F64DB}"/>
            </a:ext>
          </a:extLst>
        </xdr:cNvPr>
        <xdr:cNvCxnSpPr>
          <a:cxnSpLocks/>
        </xdr:cNvCxnSpPr>
      </xdr:nvCxnSpPr>
      <xdr:spPr bwMode="auto">
        <a:xfrm>
          <a:off x="8041821" y="67341750"/>
          <a:ext cx="1415142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244929</xdr:colOff>
      <xdr:row>254</xdr:row>
      <xdr:rowOff>258535</xdr:rowOff>
    </xdr:from>
    <xdr:to>
      <xdr:col>59</xdr:col>
      <xdr:colOff>625929</xdr:colOff>
      <xdr:row>254</xdr:row>
      <xdr:rowOff>258535</xdr:rowOff>
    </xdr:to>
    <xdr:cxnSp macro="">
      <xdr:nvCxnSpPr>
        <xdr:cNvPr id="33" name="Straight Arrow Connector 32">
          <a:extLst>
            <a:ext uri="{FF2B5EF4-FFF2-40B4-BE49-F238E27FC236}">
              <a16:creationId xmlns:a16="http://schemas.microsoft.com/office/drawing/2014/main" id="{3B469DDA-E0C5-4CEC-9BD7-0860F23D9DD7}"/>
            </a:ext>
            <a:ext uri="{147F2762-F138-4A5C-976F-8EAC2B608ADB}">
              <a16:predDERef xmlns:a16="http://schemas.microsoft.com/office/drawing/2014/main" pred="{6A33D320-F27B-E0A8-4C99-8558FB7F64DB}"/>
            </a:ext>
          </a:extLst>
        </xdr:cNvPr>
        <xdr:cNvCxnSpPr>
          <a:cxnSpLocks/>
        </xdr:cNvCxnSpPr>
      </xdr:nvCxnSpPr>
      <xdr:spPr bwMode="auto">
        <a:xfrm>
          <a:off x="22274893" y="67641106"/>
          <a:ext cx="140017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33618</xdr:colOff>
      <xdr:row>222</xdr:row>
      <xdr:rowOff>205708</xdr:rowOff>
    </xdr:from>
    <xdr:to>
      <xdr:col>41</xdr:col>
      <xdr:colOff>571500</xdr:colOff>
      <xdr:row>222</xdr:row>
      <xdr:rowOff>205708</xdr:rowOff>
    </xdr:to>
    <xdr:cxnSp macro="">
      <xdr:nvCxnSpPr>
        <xdr:cNvPr id="4" name="Straight Arrow Connector 3">
          <a:extLst>
            <a:ext uri="{FF2B5EF4-FFF2-40B4-BE49-F238E27FC236}">
              <a16:creationId xmlns:a16="http://schemas.microsoft.com/office/drawing/2014/main" id="{EA26360E-91D7-488C-AEAB-A029976D55B9}"/>
            </a:ext>
            <a:ext uri="{147F2762-F138-4A5C-976F-8EAC2B608ADB}">
              <a16:predDERef xmlns:a16="http://schemas.microsoft.com/office/drawing/2014/main" pred="{6A33D320-F27B-E0A8-4C99-8558FB7F64DB}"/>
            </a:ext>
          </a:extLst>
        </xdr:cNvPr>
        <xdr:cNvCxnSpPr>
          <a:cxnSpLocks/>
        </xdr:cNvCxnSpPr>
      </xdr:nvCxnSpPr>
      <xdr:spPr bwMode="auto">
        <a:xfrm>
          <a:off x="21324794" y="45892090"/>
          <a:ext cx="348503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1</xdr:colOff>
      <xdr:row>223</xdr:row>
      <xdr:rowOff>205708</xdr:rowOff>
    </xdr:from>
    <xdr:to>
      <xdr:col>51</xdr:col>
      <xdr:colOff>217714</xdr:colOff>
      <xdr:row>223</xdr:row>
      <xdr:rowOff>205708</xdr:rowOff>
    </xdr:to>
    <xdr:cxnSp macro="">
      <xdr:nvCxnSpPr>
        <xdr:cNvPr id="8" name="Straight Arrow Connector 7">
          <a:extLst>
            <a:ext uri="{FF2B5EF4-FFF2-40B4-BE49-F238E27FC236}">
              <a16:creationId xmlns:a16="http://schemas.microsoft.com/office/drawing/2014/main" id="{3BE54F1E-767A-4CD1-83DE-19FD9F85FB12}"/>
            </a:ext>
            <a:ext uri="{147F2762-F138-4A5C-976F-8EAC2B608ADB}">
              <a16:predDERef xmlns:a16="http://schemas.microsoft.com/office/drawing/2014/main" pred="{6A33D320-F27B-E0A8-4C99-8558FB7F64DB}"/>
            </a:ext>
          </a:extLst>
        </xdr:cNvPr>
        <xdr:cNvCxnSpPr>
          <a:cxnSpLocks/>
        </xdr:cNvCxnSpPr>
      </xdr:nvCxnSpPr>
      <xdr:spPr bwMode="auto">
        <a:xfrm>
          <a:off x="25567822" y="60077137"/>
          <a:ext cx="561974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217714</xdr:colOff>
      <xdr:row>224</xdr:row>
      <xdr:rowOff>258536</xdr:rowOff>
    </xdr:from>
    <xdr:to>
      <xdr:col>59</xdr:col>
      <xdr:colOff>625929</xdr:colOff>
      <xdr:row>224</xdr:row>
      <xdr:rowOff>258536</xdr:rowOff>
    </xdr:to>
    <xdr:cxnSp macro="">
      <xdr:nvCxnSpPr>
        <xdr:cNvPr id="20" name="Straight Arrow Connector 19">
          <a:extLst>
            <a:ext uri="{FF2B5EF4-FFF2-40B4-BE49-F238E27FC236}">
              <a16:creationId xmlns:a16="http://schemas.microsoft.com/office/drawing/2014/main" id="{9AC220B9-6F02-4E38-85A2-C2F1D75B421C}"/>
            </a:ext>
            <a:ext uri="{147F2762-F138-4A5C-976F-8EAC2B608ADB}">
              <a16:predDERef xmlns:a16="http://schemas.microsoft.com/office/drawing/2014/main" pred="{6A33D320-F27B-E0A8-4C99-8558FB7F64DB}"/>
            </a:ext>
          </a:extLst>
        </xdr:cNvPr>
        <xdr:cNvCxnSpPr>
          <a:cxnSpLocks/>
        </xdr:cNvCxnSpPr>
      </xdr:nvCxnSpPr>
      <xdr:spPr bwMode="auto">
        <a:xfrm>
          <a:off x="31187571" y="60374893"/>
          <a:ext cx="508907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226</xdr:row>
      <xdr:rowOff>244928</xdr:rowOff>
    </xdr:from>
    <xdr:to>
      <xdr:col>30</xdr:col>
      <xdr:colOff>257735</xdr:colOff>
      <xdr:row>226</xdr:row>
      <xdr:rowOff>244928</xdr:rowOff>
    </xdr:to>
    <xdr:cxnSp macro="">
      <xdr:nvCxnSpPr>
        <xdr:cNvPr id="35" name="Straight Arrow Connector 34">
          <a:extLst>
            <a:ext uri="{FF2B5EF4-FFF2-40B4-BE49-F238E27FC236}">
              <a16:creationId xmlns:a16="http://schemas.microsoft.com/office/drawing/2014/main" id="{24982710-D463-419D-9CC7-C53C741BB8D4}"/>
            </a:ext>
            <a:ext uri="{147F2762-F138-4A5C-976F-8EAC2B608ADB}">
              <a16:predDERef xmlns:a16="http://schemas.microsoft.com/office/drawing/2014/main" pred="{6A33D320-F27B-E0A8-4C99-8558FB7F64DB}"/>
            </a:ext>
          </a:extLst>
        </xdr:cNvPr>
        <xdr:cNvCxnSpPr>
          <a:cxnSpLocks/>
        </xdr:cNvCxnSpPr>
      </xdr:nvCxnSpPr>
      <xdr:spPr bwMode="auto">
        <a:xfrm>
          <a:off x="7541559" y="44911575"/>
          <a:ext cx="1083608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268941</xdr:colOff>
      <xdr:row>229</xdr:row>
      <xdr:rowOff>244928</xdr:rowOff>
    </xdr:from>
    <xdr:to>
      <xdr:col>45</xdr:col>
      <xdr:colOff>13607</xdr:colOff>
      <xdr:row>229</xdr:row>
      <xdr:rowOff>244928</xdr:rowOff>
    </xdr:to>
    <xdr:cxnSp macro="">
      <xdr:nvCxnSpPr>
        <xdr:cNvPr id="38" name="Straight Arrow Connector 37">
          <a:extLst>
            <a:ext uri="{FF2B5EF4-FFF2-40B4-BE49-F238E27FC236}">
              <a16:creationId xmlns:a16="http://schemas.microsoft.com/office/drawing/2014/main" id="{B4A77214-56CC-42AC-AEDC-46FFA120292A}"/>
            </a:ext>
            <a:ext uri="{147F2762-F138-4A5C-976F-8EAC2B608ADB}">
              <a16:predDERef xmlns:a16="http://schemas.microsoft.com/office/drawing/2014/main" pred="{6A33D320-F27B-E0A8-4C99-8558FB7F64DB}"/>
            </a:ext>
          </a:extLst>
        </xdr:cNvPr>
        <xdr:cNvCxnSpPr>
          <a:cxnSpLocks/>
        </xdr:cNvCxnSpPr>
      </xdr:nvCxnSpPr>
      <xdr:spPr bwMode="auto">
        <a:xfrm>
          <a:off x="9536206" y="45785634"/>
          <a:ext cx="1750598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257735</xdr:colOff>
      <xdr:row>227</xdr:row>
      <xdr:rowOff>244928</xdr:rowOff>
    </xdr:from>
    <xdr:to>
      <xdr:col>39</xdr:col>
      <xdr:colOff>134470</xdr:colOff>
      <xdr:row>227</xdr:row>
      <xdr:rowOff>244928</xdr:rowOff>
    </xdr:to>
    <xdr:cxnSp macro="">
      <xdr:nvCxnSpPr>
        <xdr:cNvPr id="41" name="Straight Arrow Connector 40">
          <a:extLst>
            <a:ext uri="{FF2B5EF4-FFF2-40B4-BE49-F238E27FC236}">
              <a16:creationId xmlns:a16="http://schemas.microsoft.com/office/drawing/2014/main" id="{E02F4886-0DE5-4021-804B-76F125B08654}"/>
            </a:ext>
            <a:ext uri="{147F2762-F138-4A5C-976F-8EAC2B608ADB}">
              <a16:predDERef xmlns:a16="http://schemas.microsoft.com/office/drawing/2014/main" pred="{6A33D320-F27B-E0A8-4C99-8558FB7F64DB}"/>
            </a:ext>
          </a:extLst>
        </xdr:cNvPr>
        <xdr:cNvCxnSpPr>
          <a:cxnSpLocks/>
        </xdr:cNvCxnSpPr>
      </xdr:nvCxnSpPr>
      <xdr:spPr bwMode="auto">
        <a:xfrm>
          <a:off x="18377647" y="45214134"/>
          <a:ext cx="523314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68036</xdr:colOff>
      <xdr:row>230</xdr:row>
      <xdr:rowOff>190500</xdr:rowOff>
    </xdr:from>
    <xdr:to>
      <xdr:col>36</xdr:col>
      <xdr:colOff>394607</xdr:colOff>
      <xdr:row>230</xdr:row>
      <xdr:rowOff>190500</xdr:rowOff>
    </xdr:to>
    <xdr:cxnSp macro="">
      <xdr:nvCxnSpPr>
        <xdr:cNvPr id="44" name="Straight Arrow Connector 43">
          <a:extLst>
            <a:ext uri="{FF2B5EF4-FFF2-40B4-BE49-F238E27FC236}">
              <a16:creationId xmlns:a16="http://schemas.microsoft.com/office/drawing/2014/main" id="{AD9DAC6E-BEF1-41EB-8B13-612F1AE6FD0A}"/>
            </a:ext>
            <a:ext uri="{147F2762-F138-4A5C-976F-8EAC2B608ADB}">
              <a16:predDERef xmlns:a16="http://schemas.microsoft.com/office/drawing/2014/main" pred="{6A33D320-F27B-E0A8-4C99-8558FB7F64DB}"/>
            </a:ext>
          </a:extLst>
        </xdr:cNvPr>
        <xdr:cNvCxnSpPr>
          <a:cxnSpLocks/>
        </xdr:cNvCxnSpPr>
      </xdr:nvCxnSpPr>
      <xdr:spPr bwMode="auto">
        <a:xfrm>
          <a:off x="22098000" y="61912500"/>
          <a:ext cx="32657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394607</xdr:colOff>
      <xdr:row>231</xdr:row>
      <xdr:rowOff>176892</xdr:rowOff>
    </xdr:from>
    <xdr:to>
      <xdr:col>44</xdr:col>
      <xdr:colOff>231322</xdr:colOff>
      <xdr:row>231</xdr:row>
      <xdr:rowOff>176892</xdr:rowOff>
    </xdr:to>
    <xdr:cxnSp macro="">
      <xdr:nvCxnSpPr>
        <xdr:cNvPr id="47" name="Straight Arrow Connector 46">
          <a:extLst>
            <a:ext uri="{FF2B5EF4-FFF2-40B4-BE49-F238E27FC236}">
              <a16:creationId xmlns:a16="http://schemas.microsoft.com/office/drawing/2014/main" id="{9DDA216E-5179-405F-A610-75FD5B84DD9A}"/>
            </a:ext>
            <a:ext uri="{147F2762-F138-4A5C-976F-8EAC2B608ADB}">
              <a16:predDERef xmlns:a16="http://schemas.microsoft.com/office/drawing/2014/main" pred="{6A33D320-F27B-E0A8-4C99-8558FB7F64DB}"/>
            </a:ext>
          </a:extLst>
        </xdr:cNvPr>
        <xdr:cNvCxnSpPr>
          <a:cxnSpLocks/>
        </xdr:cNvCxnSpPr>
      </xdr:nvCxnSpPr>
      <xdr:spPr bwMode="auto">
        <a:xfrm>
          <a:off x="22424571" y="62102999"/>
          <a:ext cx="461282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44</xdr:col>
      <xdr:colOff>176893</xdr:colOff>
      <xdr:row>232</xdr:row>
      <xdr:rowOff>176893</xdr:rowOff>
    </xdr:from>
    <xdr:to>
      <xdr:col>54</xdr:col>
      <xdr:colOff>231322</xdr:colOff>
      <xdr:row>232</xdr:row>
      <xdr:rowOff>176893</xdr:rowOff>
    </xdr:to>
    <xdr:cxnSp macro="">
      <xdr:nvCxnSpPr>
        <xdr:cNvPr id="53" name="Straight Arrow Connector 52">
          <a:extLst>
            <a:ext uri="{FF2B5EF4-FFF2-40B4-BE49-F238E27FC236}">
              <a16:creationId xmlns:a16="http://schemas.microsoft.com/office/drawing/2014/main" id="{A46424E0-1CF6-450D-99AB-DFD7B802D30C}"/>
            </a:ext>
            <a:ext uri="{147F2762-F138-4A5C-976F-8EAC2B608ADB}">
              <a16:predDERef xmlns:a16="http://schemas.microsoft.com/office/drawing/2014/main" pred="{6A33D320-F27B-E0A8-4C99-8558FB7F64DB}"/>
            </a:ext>
          </a:extLst>
        </xdr:cNvPr>
        <xdr:cNvCxnSpPr>
          <a:cxnSpLocks/>
        </xdr:cNvCxnSpPr>
      </xdr:nvCxnSpPr>
      <xdr:spPr bwMode="auto">
        <a:xfrm>
          <a:off x="26615572" y="49121786"/>
          <a:ext cx="591910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204107</xdr:colOff>
      <xdr:row>233</xdr:row>
      <xdr:rowOff>176893</xdr:rowOff>
    </xdr:from>
    <xdr:to>
      <xdr:col>59</xdr:col>
      <xdr:colOff>612322</xdr:colOff>
      <xdr:row>233</xdr:row>
      <xdr:rowOff>176893</xdr:rowOff>
    </xdr:to>
    <xdr:cxnSp macro="">
      <xdr:nvCxnSpPr>
        <xdr:cNvPr id="56" name="Straight Arrow Connector 55">
          <a:extLst>
            <a:ext uri="{FF2B5EF4-FFF2-40B4-BE49-F238E27FC236}">
              <a16:creationId xmlns:a16="http://schemas.microsoft.com/office/drawing/2014/main" id="{5A0D2AC3-5E16-4694-BB88-5CCC2C7480A0}"/>
            </a:ext>
            <a:ext uri="{147F2762-F138-4A5C-976F-8EAC2B608ADB}">
              <a16:predDERef xmlns:a16="http://schemas.microsoft.com/office/drawing/2014/main" pred="{6A33D320-F27B-E0A8-4C99-8558FB7F64DB}"/>
            </a:ext>
          </a:extLst>
        </xdr:cNvPr>
        <xdr:cNvCxnSpPr>
          <a:cxnSpLocks/>
        </xdr:cNvCxnSpPr>
      </xdr:nvCxnSpPr>
      <xdr:spPr bwMode="auto">
        <a:xfrm>
          <a:off x="32507464" y="49325893"/>
          <a:ext cx="338817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176893</xdr:colOff>
      <xdr:row>236</xdr:row>
      <xdr:rowOff>299358</xdr:rowOff>
    </xdr:from>
    <xdr:to>
      <xdr:col>54</xdr:col>
      <xdr:colOff>40822</xdr:colOff>
      <xdr:row>236</xdr:row>
      <xdr:rowOff>299358</xdr:rowOff>
    </xdr:to>
    <xdr:cxnSp macro="">
      <xdr:nvCxnSpPr>
        <xdr:cNvPr id="60" name="Straight Arrow Connector 59">
          <a:extLst>
            <a:ext uri="{FF2B5EF4-FFF2-40B4-BE49-F238E27FC236}">
              <a16:creationId xmlns:a16="http://schemas.microsoft.com/office/drawing/2014/main" id="{89C9D22C-EE4B-4CC7-B840-2F1F30A3D1A1}"/>
            </a:ext>
            <a:ext uri="{147F2762-F138-4A5C-976F-8EAC2B608ADB}">
              <a16:predDERef xmlns:a16="http://schemas.microsoft.com/office/drawing/2014/main" pred="{6A33D320-F27B-E0A8-4C99-8558FB7F64DB}"/>
            </a:ext>
          </a:extLst>
        </xdr:cNvPr>
        <xdr:cNvCxnSpPr>
          <a:cxnSpLocks/>
        </xdr:cNvCxnSpPr>
      </xdr:nvCxnSpPr>
      <xdr:spPr bwMode="auto">
        <a:xfrm>
          <a:off x="24016607" y="64375394"/>
          <a:ext cx="869496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326570</xdr:colOff>
      <xdr:row>238</xdr:row>
      <xdr:rowOff>258536</xdr:rowOff>
    </xdr:from>
    <xdr:to>
      <xdr:col>59</xdr:col>
      <xdr:colOff>571500</xdr:colOff>
      <xdr:row>238</xdr:row>
      <xdr:rowOff>258536</xdr:rowOff>
    </xdr:to>
    <xdr:cxnSp macro="">
      <xdr:nvCxnSpPr>
        <xdr:cNvPr id="64" name="Straight Arrow Connector 63">
          <a:extLst>
            <a:ext uri="{FF2B5EF4-FFF2-40B4-BE49-F238E27FC236}">
              <a16:creationId xmlns:a16="http://schemas.microsoft.com/office/drawing/2014/main" id="{5D95012A-59EF-4D94-8E1E-8BFB47275E31}"/>
            </a:ext>
            <a:ext uri="{147F2762-F138-4A5C-976F-8EAC2B608ADB}">
              <a16:predDERef xmlns:a16="http://schemas.microsoft.com/office/drawing/2014/main" pred="{6A33D320-F27B-E0A8-4C99-8558FB7F64DB}"/>
            </a:ext>
          </a:extLst>
        </xdr:cNvPr>
        <xdr:cNvCxnSpPr>
          <a:cxnSpLocks/>
        </xdr:cNvCxnSpPr>
      </xdr:nvCxnSpPr>
      <xdr:spPr bwMode="auto">
        <a:xfrm>
          <a:off x="32997320" y="64960500"/>
          <a:ext cx="32248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40822</xdr:colOff>
      <xdr:row>220</xdr:row>
      <xdr:rowOff>190500</xdr:rowOff>
    </xdr:from>
    <xdr:to>
      <xdr:col>36</xdr:col>
      <xdr:colOff>40822</xdr:colOff>
      <xdr:row>222</xdr:row>
      <xdr:rowOff>179294</xdr:rowOff>
    </xdr:to>
    <xdr:cxnSp macro="">
      <xdr:nvCxnSpPr>
        <xdr:cNvPr id="75" name="Straight Arrow Connector 1822">
          <a:extLst>
            <a:ext uri="{FF2B5EF4-FFF2-40B4-BE49-F238E27FC236}">
              <a16:creationId xmlns:a16="http://schemas.microsoft.com/office/drawing/2014/main" id="{255A3EB9-3B2B-49FE-8E2D-F7804560C3FC}"/>
            </a:ext>
          </a:extLst>
        </xdr:cNvPr>
        <xdr:cNvCxnSpPr/>
      </xdr:nvCxnSpPr>
      <xdr:spPr>
        <a:xfrm>
          <a:off x="21331998" y="45406235"/>
          <a:ext cx="0" cy="459441"/>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530679</xdr:colOff>
      <xdr:row>222</xdr:row>
      <xdr:rowOff>163286</xdr:rowOff>
    </xdr:from>
    <xdr:to>
      <xdr:col>41</xdr:col>
      <xdr:colOff>530679</xdr:colOff>
      <xdr:row>223</xdr:row>
      <xdr:rowOff>204107</xdr:rowOff>
    </xdr:to>
    <xdr:cxnSp macro="">
      <xdr:nvCxnSpPr>
        <xdr:cNvPr id="85" name="Straight Arrow Connector 1822">
          <a:extLst>
            <a:ext uri="{FF2B5EF4-FFF2-40B4-BE49-F238E27FC236}">
              <a16:creationId xmlns:a16="http://schemas.microsoft.com/office/drawing/2014/main" id="{75D6CF86-6B3D-41FD-9A73-EE073A2F7714}"/>
            </a:ext>
          </a:extLst>
        </xdr:cNvPr>
        <xdr:cNvCxnSpPr/>
      </xdr:nvCxnSpPr>
      <xdr:spPr>
        <a:xfrm>
          <a:off x="25513393" y="59789786"/>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204107</xdr:colOff>
      <xdr:row>223</xdr:row>
      <xdr:rowOff>231321</xdr:rowOff>
    </xdr:from>
    <xdr:to>
      <xdr:col>51</xdr:col>
      <xdr:colOff>204107</xdr:colOff>
      <xdr:row>224</xdr:row>
      <xdr:rowOff>272143</xdr:rowOff>
    </xdr:to>
    <xdr:cxnSp macro="">
      <xdr:nvCxnSpPr>
        <xdr:cNvPr id="86" name="Straight Arrow Connector 1822">
          <a:extLst>
            <a:ext uri="{FF2B5EF4-FFF2-40B4-BE49-F238E27FC236}">
              <a16:creationId xmlns:a16="http://schemas.microsoft.com/office/drawing/2014/main" id="{8CC02DB7-3854-410D-9F1F-2B0A353EA9D5}"/>
            </a:ext>
          </a:extLst>
        </xdr:cNvPr>
        <xdr:cNvCxnSpPr/>
      </xdr:nvCxnSpPr>
      <xdr:spPr>
        <a:xfrm>
          <a:off x="31173964" y="60102750"/>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272143</xdr:colOff>
      <xdr:row>228</xdr:row>
      <xdr:rowOff>176892</xdr:rowOff>
    </xdr:from>
    <xdr:to>
      <xdr:col>15</xdr:col>
      <xdr:colOff>272143</xdr:colOff>
      <xdr:row>230</xdr:row>
      <xdr:rowOff>54428</xdr:rowOff>
    </xdr:to>
    <xdr:cxnSp macro="">
      <xdr:nvCxnSpPr>
        <xdr:cNvPr id="87" name="Straight Arrow Connector 1822">
          <a:extLst>
            <a:ext uri="{FF2B5EF4-FFF2-40B4-BE49-F238E27FC236}">
              <a16:creationId xmlns:a16="http://schemas.microsoft.com/office/drawing/2014/main" id="{F42553AE-B5D7-4A76-A5F1-49AA052DEC7C}"/>
            </a:ext>
          </a:extLst>
        </xdr:cNvPr>
        <xdr:cNvCxnSpPr/>
      </xdr:nvCxnSpPr>
      <xdr:spPr>
        <a:xfrm>
          <a:off x="10001250" y="61490678"/>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244928</xdr:colOff>
      <xdr:row>226</xdr:row>
      <xdr:rowOff>258537</xdr:rowOff>
    </xdr:from>
    <xdr:to>
      <xdr:col>30</xdr:col>
      <xdr:colOff>244928</xdr:colOff>
      <xdr:row>227</xdr:row>
      <xdr:rowOff>244929</xdr:rowOff>
    </xdr:to>
    <xdr:cxnSp macro="">
      <xdr:nvCxnSpPr>
        <xdr:cNvPr id="88" name="Straight Arrow Connector 1822">
          <a:extLst>
            <a:ext uri="{FF2B5EF4-FFF2-40B4-BE49-F238E27FC236}">
              <a16:creationId xmlns:a16="http://schemas.microsoft.com/office/drawing/2014/main" id="{A2C0CBB0-E07E-4C29-AB9E-DC3EEFA44659}"/>
            </a:ext>
          </a:extLst>
        </xdr:cNvPr>
        <xdr:cNvCxnSpPr/>
      </xdr:nvCxnSpPr>
      <xdr:spPr>
        <a:xfrm>
          <a:off x="18723428" y="60973608"/>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27215</xdr:colOff>
      <xdr:row>229</xdr:row>
      <xdr:rowOff>176893</xdr:rowOff>
    </xdr:from>
    <xdr:to>
      <xdr:col>36</xdr:col>
      <xdr:colOff>27215</xdr:colOff>
      <xdr:row>231</xdr:row>
      <xdr:rowOff>54429</xdr:rowOff>
    </xdr:to>
    <xdr:cxnSp macro="">
      <xdr:nvCxnSpPr>
        <xdr:cNvPr id="89" name="Straight Arrow Connector 1822">
          <a:extLst>
            <a:ext uri="{FF2B5EF4-FFF2-40B4-BE49-F238E27FC236}">
              <a16:creationId xmlns:a16="http://schemas.microsoft.com/office/drawing/2014/main" id="{826008B2-317F-4A95-B4F1-22AF6F3FAAFA}"/>
            </a:ext>
          </a:extLst>
        </xdr:cNvPr>
        <xdr:cNvCxnSpPr/>
      </xdr:nvCxnSpPr>
      <xdr:spPr>
        <a:xfrm>
          <a:off x="22057179" y="61694786"/>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381000</xdr:colOff>
      <xdr:row>230</xdr:row>
      <xdr:rowOff>163286</xdr:rowOff>
    </xdr:from>
    <xdr:to>
      <xdr:col>36</xdr:col>
      <xdr:colOff>381000</xdr:colOff>
      <xdr:row>232</xdr:row>
      <xdr:rowOff>40822</xdr:rowOff>
    </xdr:to>
    <xdr:cxnSp macro="">
      <xdr:nvCxnSpPr>
        <xdr:cNvPr id="90" name="Straight Arrow Connector 1822">
          <a:extLst>
            <a:ext uri="{FF2B5EF4-FFF2-40B4-BE49-F238E27FC236}">
              <a16:creationId xmlns:a16="http://schemas.microsoft.com/office/drawing/2014/main" id="{F04A503F-3418-4CEA-8633-1055E68AD346}"/>
            </a:ext>
          </a:extLst>
        </xdr:cNvPr>
        <xdr:cNvCxnSpPr/>
      </xdr:nvCxnSpPr>
      <xdr:spPr>
        <a:xfrm>
          <a:off x="22410964" y="61885286"/>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231322</xdr:colOff>
      <xdr:row>231</xdr:row>
      <xdr:rowOff>122464</xdr:rowOff>
    </xdr:from>
    <xdr:to>
      <xdr:col>44</xdr:col>
      <xdr:colOff>231322</xdr:colOff>
      <xdr:row>233</xdr:row>
      <xdr:rowOff>0</xdr:rowOff>
    </xdr:to>
    <xdr:cxnSp macro="">
      <xdr:nvCxnSpPr>
        <xdr:cNvPr id="91" name="Straight Arrow Connector 1822">
          <a:extLst>
            <a:ext uri="{FF2B5EF4-FFF2-40B4-BE49-F238E27FC236}">
              <a16:creationId xmlns:a16="http://schemas.microsoft.com/office/drawing/2014/main" id="{F0F6636C-B59B-4BBB-B6B7-C8148533A4C9}"/>
            </a:ext>
          </a:extLst>
        </xdr:cNvPr>
        <xdr:cNvCxnSpPr/>
      </xdr:nvCxnSpPr>
      <xdr:spPr>
        <a:xfrm>
          <a:off x="27037393" y="62048571"/>
          <a:ext cx="0" cy="2857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204106</xdr:colOff>
      <xdr:row>232</xdr:row>
      <xdr:rowOff>149679</xdr:rowOff>
    </xdr:from>
    <xdr:to>
      <xdr:col>54</xdr:col>
      <xdr:colOff>204106</xdr:colOff>
      <xdr:row>234</xdr:row>
      <xdr:rowOff>27214</xdr:rowOff>
    </xdr:to>
    <xdr:cxnSp macro="">
      <xdr:nvCxnSpPr>
        <xdr:cNvPr id="92" name="Straight Arrow Connector 1822">
          <a:extLst>
            <a:ext uri="{FF2B5EF4-FFF2-40B4-BE49-F238E27FC236}">
              <a16:creationId xmlns:a16="http://schemas.microsoft.com/office/drawing/2014/main" id="{07A04C73-6261-49B5-ABC0-4D36C6FC5A90}"/>
            </a:ext>
          </a:extLst>
        </xdr:cNvPr>
        <xdr:cNvCxnSpPr/>
      </xdr:nvCxnSpPr>
      <xdr:spPr>
        <a:xfrm>
          <a:off x="32507463" y="49094572"/>
          <a:ext cx="0" cy="285749"/>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435428</xdr:colOff>
      <xdr:row>237</xdr:row>
      <xdr:rowOff>163285</xdr:rowOff>
    </xdr:from>
    <xdr:to>
      <xdr:col>60</xdr:col>
      <xdr:colOff>435428</xdr:colOff>
      <xdr:row>240</xdr:row>
      <xdr:rowOff>13607</xdr:rowOff>
    </xdr:to>
    <xdr:cxnSp macro="">
      <xdr:nvCxnSpPr>
        <xdr:cNvPr id="93" name="Straight Arrow Connector 1822">
          <a:extLst>
            <a:ext uri="{FF2B5EF4-FFF2-40B4-BE49-F238E27FC236}">
              <a16:creationId xmlns:a16="http://schemas.microsoft.com/office/drawing/2014/main" id="{3498BE01-E265-4353-BE1D-2864809CF0BD}"/>
            </a:ext>
          </a:extLst>
        </xdr:cNvPr>
        <xdr:cNvCxnSpPr/>
      </xdr:nvCxnSpPr>
      <xdr:spPr>
        <a:xfrm flipV="1">
          <a:off x="36739285" y="64552285"/>
          <a:ext cx="0" cy="789215"/>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217714</xdr:colOff>
      <xdr:row>243</xdr:row>
      <xdr:rowOff>231321</xdr:rowOff>
    </xdr:from>
    <xdr:to>
      <xdr:col>18</xdr:col>
      <xdr:colOff>217714</xdr:colOff>
      <xdr:row>244</xdr:row>
      <xdr:rowOff>231322</xdr:rowOff>
    </xdr:to>
    <xdr:cxnSp macro="">
      <xdr:nvCxnSpPr>
        <xdr:cNvPr id="96" name="Straight Arrow Connector 1822">
          <a:extLst>
            <a:ext uri="{FF2B5EF4-FFF2-40B4-BE49-F238E27FC236}">
              <a16:creationId xmlns:a16="http://schemas.microsoft.com/office/drawing/2014/main" id="{7AF5E25C-E234-4B6F-9A3F-13067E330A35}"/>
            </a:ext>
          </a:extLst>
        </xdr:cNvPr>
        <xdr:cNvCxnSpPr/>
      </xdr:nvCxnSpPr>
      <xdr:spPr>
        <a:xfrm>
          <a:off x="11647714" y="65219035"/>
          <a:ext cx="0" cy="299358"/>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612322</xdr:colOff>
      <xdr:row>244</xdr:row>
      <xdr:rowOff>244930</xdr:rowOff>
    </xdr:from>
    <xdr:to>
      <xdr:col>26</xdr:col>
      <xdr:colOff>612322</xdr:colOff>
      <xdr:row>245</xdr:row>
      <xdr:rowOff>244930</xdr:rowOff>
    </xdr:to>
    <xdr:cxnSp macro="">
      <xdr:nvCxnSpPr>
        <xdr:cNvPr id="99" name="Straight Arrow Connector 1822">
          <a:extLst>
            <a:ext uri="{FF2B5EF4-FFF2-40B4-BE49-F238E27FC236}">
              <a16:creationId xmlns:a16="http://schemas.microsoft.com/office/drawing/2014/main" id="{5270B133-6502-4827-AC3D-7C6B9AA69C62}"/>
            </a:ext>
          </a:extLst>
        </xdr:cNvPr>
        <xdr:cNvCxnSpPr/>
      </xdr:nvCxnSpPr>
      <xdr:spPr>
        <a:xfrm>
          <a:off x="16736786" y="65532001"/>
          <a:ext cx="0" cy="299358"/>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74438</xdr:colOff>
      <xdr:row>246</xdr:row>
      <xdr:rowOff>240926</xdr:rowOff>
    </xdr:from>
    <xdr:to>
      <xdr:col>18</xdr:col>
      <xdr:colOff>74438</xdr:colOff>
      <xdr:row>247</xdr:row>
      <xdr:rowOff>240927</xdr:rowOff>
    </xdr:to>
    <xdr:cxnSp macro="">
      <xdr:nvCxnSpPr>
        <xdr:cNvPr id="100" name="Straight Arrow Connector 1822">
          <a:extLst>
            <a:ext uri="{FF2B5EF4-FFF2-40B4-BE49-F238E27FC236}">
              <a16:creationId xmlns:a16="http://schemas.microsoft.com/office/drawing/2014/main" id="{722E77A6-B221-4799-B5F4-FAAA5F988493}"/>
            </a:ext>
          </a:extLst>
        </xdr:cNvPr>
        <xdr:cNvCxnSpPr/>
      </xdr:nvCxnSpPr>
      <xdr:spPr>
        <a:xfrm>
          <a:off x="10742438" y="53099073"/>
          <a:ext cx="0" cy="30256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217715</xdr:colOff>
      <xdr:row>253</xdr:row>
      <xdr:rowOff>258536</xdr:rowOff>
    </xdr:from>
    <xdr:to>
      <xdr:col>36</xdr:col>
      <xdr:colOff>217715</xdr:colOff>
      <xdr:row>254</xdr:row>
      <xdr:rowOff>258537</xdr:rowOff>
    </xdr:to>
    <xdr:cxnSp macro="">
      <xdr:nvCxnSpPr>
        <xdr:cNvPr id="105" name="Straight Arrow Connector 1822">
          <a:extLst>
            <a:ext uri="{FF2B5EF4-FFF2-40B4-BE49-F238E27FC236}">
              <a16:creationId xmlns:a16="http://schemas.microsoft.com/office/drawing/2014/main" id="{42187CB3-6922-4BFB-B713-C1A6E5262936}"/>
            </a:ext>
          </a:extLst>
        </xdr:cNvPr>
        <xdr:cNvCxnSpPr/>
      </xdr:nvCxnSpPr>
      <xdr:spPr>
        <a:xfrm>
          <a:off x="22247679" y="67341750"/>
          <a:ext cx="0" cy="299358"/>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27215</xdr:colOff>
      <xdr:row>295</xdr:row>
      <xdr:rowOff>272143</xdr:rowOff>
    </xdr:from>
    <xdr:to>
      <xdr:col>36</xdr:col>
      <xdr:colOff>299357</xdr:colOff>
      <xdr:row>295</xdr:row>
      <xdr:rowOff>272143</xdr:rowOff>
    </xdr:to>
    <xdr:cxnSp macro="">
      <xdr:nvCxnSpPr>
        <xdr:cNvPr id="106" name="Straight Arrow Connector 105">
          <a:extLst>
            <a:ext uri="{FF2B5EF4-FFF2-40B4-BE49-F238E27FC236}">
              <a16:creationId xmlns:a16="http://schemas.microsoft.com/office/drawing/2014/main" id="{4D01F2D8-72C2-470A-97D7-E86A6AB4B125}"/>
            </a:ext>
            <a:ext uri="{147F2762-F138-4A5C-976F-8EAC2B608ADB}">
              <a16:predDERef xmlns:a16="http://schemas.microsoft.com/office/drawing/2014/main" pred="{6A33D320-F27B-E0A8-4C99-8558FB7F64DB}"/>
            </a:ext>
          </a:extLst>
        </xdr:cNvPr>
        <xdr:cNvCxnSpPr>
          <a:cxnSpLocks/>
        </xdr:cNvCxnSpPr>
      </xdr:nvCxnSpPr>
      <xdr:spPr bwMode="auto">
        <a:xfrm>
          <a:off x="8069036" y="79629000"/>
          <a:ext cx="1426028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231321</xdr:colOff>
      <xdr:row>296</xdr:row>
      <xdr:rowOff>244928</xdr:rowOff>
    </xdr:from>
    <xdr:to>
      <xdr:col>39</xdr:col>
      <xdr:colOff>108857</xdr:colOff>
      <xdr:row>296</xdr:row>
      <xdr:rowOff>244928</xdr:rowOff>
    </xdr:to>
    <xdr:cxnSp macro="">
      <xdr:nvCxnSpPr>
        <xdr:cNvPr id="108" name="Straight Arrow Connector 107">
          <a:extLst>
            <a:ext uri="{FF2B5EF4-FFF2-40B4-BE49-F238E27FC236}">
              <a16:creationId xmlns:a16="http://schemas.microsoft.com/office/drawing/2014/main" id="{CD82116D-301C-4558-881D-F30990E16FDE}"/>
            </a:ext>
            <a:ext uri="{147F2762-F138-4A5C-976F-8EAC2B608ADB}">
              <a16:predDERef xmlns:a16="http://schemas.microsoft.com/office/drawing/2014/main" pred="{6A33D320-F27B-E0A8-4C99-8558FB7F64DB}"/>
            </a:ext>
          </a:extLst>
        </xdr:cNvPr>
        <xdr:cNvCxnSpPr>
          <a:cxnSpLocks/>
        </xdr:cNvCxnSpPr>
      </xdr:nvCxnSpPr>
      <xdr:spPr bwMode="auto">
        <a:xfrm>
          <a:off x="22261285" y="79901142"/>
          <a:ext cx="168728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54429</xdr:colOff>
      <xdr:row>297</xdr:row>
      <xdr:rowOff>244929</xdr:rowOff>
    </xdr:from>
    <xdr:to>
      <xdr:col>42</xdr:col>
      <xdr:colOff>163286</xdr:colOff>
      <xdr:row>297</xdr:row>
      <xdr:rowOff>244929</xdr:rowOff>
    </xdr:to>
    <xdr:cxnSp macro="">
      <xdr:nvCxnSpPr>
        <xdr:cNvPr id="111" name="Straight Arrow Connector 110">
          <a:extLst>
            <a:ext uri="{FF2B5EF4-FFF2-40B4-BE49-F238E27FC236}">
              <a16:creationId xmlns:a16="http://schemas.microsoft.com/office/drawing/2014/main" id="{44D96265-03E3-4E5D-ADC1-904614359958}"/>
            </a:ext>
            <a:ext uri="{147F2762-F138-4A5C-976F-8EAC2B608ADB}">
              <a16:predDERef xmlns:a16="http://schemas.microsoft.com/office/drawing/2014/main" pred="{6A33D320-F27B-E0A8-4C99-8558FB7F64DB}"/>
            </a:ext>
          </a:extLst>
        </xdr:cNvPr>
        <xdr:cNvCxnSpPr>
          <a:cxnSpLocks/>
        </xdr:cNvCxnSpPr>
      </xdr:nvCxnSpPr>
      <xdr:spPr bwMode="auto">
        <a:xfrm>
          <a:off x="23894143" y="80200500"/>
          <a:ext cx="183696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163286</xdr:colOff>
      <xdr:row>298</xdr:row>
      <xdr:rowOff>272143</xdr:rowOff>
    </xdr:from>
    <xdr:to>
      <xdr:col>47</xdr:col>
      <xdr:colOff>585107</xdr:colOff>
      <xdr:row>298</xdr:row>
      <xdr:rowOff>272143</xdr:rowOff>
    </xdr:to>
    <xdr:cxnSp macro="">
      <xdr:nvCxnSpPr>
        <xdr:cNvPr id="113" name="Straight Arrow Connector 112">
          <a:extLst>
            <a:ext uri="{FF2B5EF4-FFF2-40B4-BE49-F238E27FC236}">
              <a16:creationId xmlns:a16="http://schemas.microsoft.com/office/drawing/2014/main" id="{9AB522FA-204B-4285-B86C-0EE04E62D577}"/>
            </a:ext>
            <a:ext uri="{147F2762-F138-4A5C-976F-8EAC2B608ADB}">
              <a16:predDERef xmlns:a16="http://schemas.microsoft.com/office/drawing/2014/main" pred="{6A33D320-F27B-E0A8-4C99-8558FB7F64DB}"/>
            </a:ext>
          </a:extLst>
        </xdr:cNvPr>
        <xdr:cNvCxnSpPr>
          <a:cxnSpLocks/>
        </xdr:cNvCxnSpPr>
      </xdr:nvCxnSpPr>
      <xdr:spPr bwMode="auto">
        <a:xfrm>
          <a:off x="25731107" y="80527072"/>
          <a:ext cx="35242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40821</xdr:colOff>
      <xdr:row>299</xdr:row>
      <xdr:rowOff>258536</xdr:rowOff>
    </xdr:from>
    <xdr:to>
      <xdr:col>59</xdr:col>
      <xdr:colOff>605117</xdr:colOff>
      <xdr:row>299</xdr:row>
      <xdr:rowOff>258536</xdr:rowOff>
    </xdr:to>
    <xdr:cxnSp macro="">
      <xdr:nvCxnSpPr>
        <xdr:cNvPr id="115" name="Straight Arrow Connector 114">
          <a:extLst>
            <a:ext uri="{FF2B5EF4-FFF2-40B4-BE49-F238E27FC236}">
              <a16:creationId xmlns:a16="http://schemas.microsoft.com/office/drawing/2014/main" id="{755F6B9B-7B3A-4504-87DB-02AA434F277C}"/>
            </a:ext>
            <a:ext uri="{147F2762-F138-4A5C-976F-8EAC2B608ADB}">
              <a16:predDERef xmlns:a16="http://schemas.microsoft.com/office/drawing/2014/main" pred="{6A33D320-F27B-E0A8-4C99-8558FB7F64DB}"/>
            </a:ext>
          </a:extLst>
        </xdr:cNvPr>
        <xdr:cNvCxnSpPr>
          <a:cxnSpLocks/>
        </xdr:cNvCxnSpPr>
      </xdr:nvCxnSpPr>
      <xdr:spPr bwMode="auto">
        <a:xfrm>
          <a:off x="28559792" y="60445330"/>
          <a:ext cx="695164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301</xdr:row>
      <xdr:rowOff>258535</xdr:rowOff>
    </xdr:from>
    <xdr:to>
      <xdr:col>27</xdr:col>
      <xdr:colOff>285750</xdr:colOff>
      <xdr:row>301</xdr:row>
      <xdr:rowOff>258535</xdr:rowOff>
    </xdr:to>
    <xdr:cxnSp macro="">
      <xdr:nvCxnSpPr>
        <xdr:cNvPr id="119" name="Straight Arrow Connector 118">
          <a:extLst>
            <a:ext uri="{FF2B5EF4-FFF2-40B4-BE49-F238E27FC236}">
              <a16:creationId xmlns:a16="http://schemas.microsoft.com/office/drawing/2014/main" id="{BC605461-D89F-4122-A334-C0C7AD6DE4AF}"/>
            </a:ext>
            <a:ext uri="{147F2762-F138-4A5C-976F-8EAC2B608ADB}">
              <a16:predDERef xmlns:a16="http://schemas.microsoft.com/office/drawing/2014/main" pred="{6A33D320-F27B-E0A8-4C99-8558FB7F64DB}"/>
            </a:ext>
          </a:extLst>
        </xdr:cNvPr>
        <xdr:cNvCxnSpPr>
          <a:cxnSpLocks/>
        </xdr:cNvCxnSpPr>
      </xdr:nvCxnSpPr>
      <xdr:spPr bwMode="auto">
        <a:xfrm>
          <a:off x="8041821" y="81411535"/>
          <a:ext cx="903514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272143</xdr:colOff>
      <xdr:row>302</xdr:row>
      <xdr:rowOff>244928</xdr:rowOff>
    </xdr:from>
    <xdr:to>
      <xdr:col>35</xdr:col>
      <xdr:colOff>585107</xdr:colOff>
      <xdr:row>302</xdr:row>
      <xdr:rowOff>244928</xdr:rowOff>
    </xdr:to>
    <xdr:cxnSp macro="">
      <xdr:nvCxnSpPr>
        <xdr:cNvPr id="121" name="Straight Arrow Connector 120">
          <a:extLst>
            <a:ext uri="{FF2B5EF4-FFF2-40B4-BE49-F238E27FC236}">
              <a16:creationId xmlns:a16="http://schemas.microsoft.com/office/drawing/2014/main" id="{52D20F36-2932-453B-BE67-64B74D25B60C}"/>
            </a:ext>
            <a:ext uri="{147F2762-F138-4A5C-976F-8EAC2B608ADB}">
              <a16:predDERef xmlns:a16="http://schemas.microsoft.com/office/drawing/2014/main" pred="{6A33D320-F27B-E0A8-4C99-8558FB7F64DB}"/>
            </a:ext>
          </a:extLst>
        </xdr:cNvPr>
        <xdr:cNvCxnSpPr>
          <a:cxnSpLocks/>
        </xdr:cNvCxnSpPr>
      </xdr:nvCxnSpPr>
      <xdr:spPr bwMode="auto">
        <a:xfrm>
          <a:off x="17063357" y="81697285"/>
          <a:ext cx="4953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0</xdr:colOff>
      <xdr:row>304</xdr:row>
      <xdr:rowOff>244928</xdr:rowOff>
    </xdr:from>
    <xdr:to>
      <xdr:col>36</xdr:col>
      <xdr:colOff>421822</xdr:colOff>
      <xdr:row>304</xdr:row>
      <xdr:rowOff>244928</xdr:rowOff>
    </xdr:to>
    <xdr:cxnSp macro="">
      <xdr:nvCxnSpPr>
        <xdr:cNvPr id="127" name="Straight Arrow Connector 126">
          <a:extLst>
            <a:ext uri="{FF2B5EF4-FFF2-40B4-BE49-F238E27FC236}">
              <a16:creationId xmlns:a16="http://schemas.microsoft.com/office/drawing/2014/main" id="{A71C7A0B-1834-41B5-8920-4D2E182B0922}"/>
            </a:ext>
            <a:ext uri="{147F2762-F138-4A5C-976F-8EAC2B608ADB}">
              <a16:predDERef xmlns:a16="http://schemas.microsoft.com/office/drawing/2014/main" pred="{6A33D320-F27B-E0A8-4C99-8558FB7F64DB}"/>
            </a:ext>
          </a:extLst>
        </xdr:cNvPr>
        <xdr:cNvCxnSpPr>
          <a:cxnSpLocks/>
        </xdr:cNvCxnSpPr>
      </xdr:nvCxnSpPr>
      <xdr:spPr bwMode="auto">
        <a:xfrm>
          <a:off x="22029964" y="82295999"/>
          <a:ext cx="42182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394607</xdr:colOff>
      <xdr:row>305</xdr:row>
      <xdr:rowOff>244929</xdr:rowOff>
    </xdr:from>
    <xdr:to>
      <xdr:col>42</xdr:col>
      <xdr:colOff>0</xdr:colOff>
      <xdr:row>305</xdr:row>
      <xdr:rowOff>244929</xdr:rowOff>
    </xdr:to>
    <xdr:cxnSp macro="">
      <xdr:nvCxnSpPr>
        <xdr:cNvPr id="129" name="Straight Arrow Connector 128">
          <a:extLst>
            <a:ext uri="{FF2B5EF4-FFF2-40B4-BE49-F238E27FC236}">
              <a16:creationId xmlns:a16="http://schemas.microsoft.com/office/drawing/2014/main" id="{BF09B863-BE2E-40FE-9365-EEF61153609E}"/>
            </a:ext>
            <a:ext uri="{147F2762-F138-4A5C-976F-8EAC2B608ADB}">
              <a16:predDERef xmlns:a16="http://schemas.microsoft.com/office/drawing/2014/main" pred="{6A33D320-F27B-E0A8-4C99-8558FB7F64DB}"/>
            </a:ext>
          </a:extLst>
        </xdr:cNvPr>
        <xdr:cNvCxnSpPr>
          <a:cxnSpLocks/>
        </xdr:cNvCxnSpPr>
      </xdr:nvCxnSpPr>
      <xdr:spPr bwMode="auto">
        <a:xfrm>
          <a:off x="22424571" y="82595358"/>
          <a:ext cx="31432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27215</xdr:colOff>
      <xdr:row>304</xdr:row>
      <xdr:rowOff>244930</xdr:rowOff>
    </xdr:from>
    <xdr:to>
      <xdr:col>54</xdr:col>
      <xdr:colOff>367393</xdr:colOff>
      <xdr:row>304</xdr:row>
      <xdr:rowOff>244930</xdr:rowOff>
    </xdr:to>
    <xdr:cxnSp macro="">
      <xdr:nvCxnSpPr>
        <xdr:cNvPr id="131" name="Straight Arrow Connector 130">
          <a:extLst>
            <a:ext uri="{FF2B5EF4-FFF2-40B4-BE49-F238E27FC236}">
              <a16:creationId xmlns:a16="http://schemas.microsoft.com/office/drawing/2014/main" id="{9D93B959-09EF-4273-9294-3D99AFB40A28}"/>
            </a:ext>
            <a:ext uri="{147F2762-F138-4A5C-976F-8EAC2B608ADB}">
              <a16:predDERef xmlns:a16="http://schemas.microsoft.com/office/drawing/2014/main" pred="{6A33D320-F27B-E0A8-4C99-8558FB7F64DB}"/>
            </a:ext>
          </a:extLst>
        </xdr:cNvPr>
        <xdr:cNvCxnSpPr>
          <a:cxnSpLocks/>
        </xdr:cNvCxnSpPr>
      </xdr:nvCxnSpPr>
      <xdr:spPr bwMode="auto">
        <a:xfrm>
          <a:off x="25595036" y="82296001"/>
          <a:ext cx="744310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299356</xdr:colOff>
      <xdr:row>306</xdr:row>
      <xdr:rowOff>258535</xdr:rowOff>
    </xdr:from>
    <xdr:to>
      <xdr:col>59</xdr:col>
      <xdr:colOff>639536</xdr:colOff>
      <xdr:row>306</xdr:row>
      <xdr:rowOff>258535</xdr:rowOff>
    </xdr:to>
    <xdr:cxnSp macro="">
      <xdr:nvCxnSpPr>
        <xdr:cNvPr id="133" name="Straight Arrow Connector 132">
          <a:extLst>
            <a:ext uri="{FF2B5EF4-FFF2-40B4-BE49-F238E27FC236}">
              <a16:creationId xmlns:a16="http://schemas.microsoft.com/office/drawing/2014/main" id="{506F94D8-744E-47F3-87F6-62D609A33C35}"/>
            </a:ext>
            <a:ext uri="{147F2762-F138-4A5C-976F-8EAC2B608ADB}">
              <a16:predDERef xmlns:a16="http://schemas.microsoft.com/office/drawing/2014/main" pred="{6A33D320-F27B-E0A8-4C99-8558FB7F64DB}"/>
            </a:ext>
          </a:extLst>
        </xdr:cNvPr>
        <xdr:cNvCxnSpPr>
          <a:cxnSpLocks/>
        </xdr:cNvCxnSpPr>
      </xdr:nvCxnSpPr>
      <xdr:spPr bwMode="auto">
        <a:xfrm>
          <a:off x="32970106" y="82908321"/>
          <a:ext cx="332014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13607</xdr:colOff>
      <xdr:row>308</xdr:row>
      <xdr:rowOff>272143</xdr:rowOff>
    </xdr:from>
    <xdr:to>
      <xdr:col>36</xdr:col>
      <xdr:colOff>312965</xdr:colOff>
      <xdr:row>308</xdr:row>
      <xdr:rowOff>272143</xdr:rowOff>
    </xdr:to>
    <xdr:cxnSp macro="">
      <xdr:nvCxnSpPr>
        <xdr:cNvPr id="137" name="Straight Arrow Connector 136">
          <a:extLst>
            <a:ext uri="{FF2B5EF4-FFF2-40B4-BE49-F238E27FC236}">
              <a16:creationId xmlns:a16="http://schemas.microsoft.com/office/drawing/2014/main" id="{2C0832B9-8235-42BB-9683-64532BE9C994}"/>
            </a:ext>
            <a:ext uri="{147F2762-F138-4A5C-976F-8EAC2B608ADB}">
              <a16:predDERef xmlns:a16="http://schemas.microsoft.com/office/drawing/2014/main" pred="{6A33D320-F27B-E0A8-4C99-8558FB7F64DB}"/>
            </a:ext>
          </a:extLst>
        </xdr:cNvPr>
        <xdr:cNvCxnSpPr>
          <a:cxnSpLocks/>
        </xdr:cNvCxnSpPr>
      </xdr:nvCxnSpPr>
      <xdr:spPr bwMode="auto">
        <a:xfrm>
          <a:off x="8055428" y="83520643"/>
          <a:ext cx="1428750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258535</xdr:colOff>
      <xdr:row>309</xdr:row>
      <xdr:rowOff>244929</xdr:rowOff>
    </xdr:from>
    <xdr:to>
      <xdr:col>42</xdr:col>
      <xdr:colOff>408215</xdr:colOff>
      <xdr:row>309</xdr:row>
      <xdr:rowOff>244929</xdr:rowOff>
    </xdr:to>
    <xdr:cxnSp macro="">
      <xdr:nvCxnSpPr>
        <xdr:cNvPr id="141" name="Straight Arrow Connector 140">
          <a:extLst>
            <a:ext uri="{FF2B5EF4-FFF2-40B4-BE49-F238E27FC236}">
              <a16:creationId xmlns:a16="http://schemas.microsoft.com/office/drawing/2014/main" id="{C7CA14FA-E9D7-4826-8E4A-71B6FFF7BE99}"/>
            </a:ext>
            <a:ext uri="{147F2762-F138-4A5C-976F-8EAC2B608ADB}">
              <a16:predDERef xmlns:a16="http://schemas.microsoft.com/office/drawing/2014/main" pred="{6A33D320-F27B-E0A8-4C99-8558FB7F64DB}"/>
            </a:ext>
          </a:extLst>
        </xdr:cNvPr>
        <xdr:cNvCxnSpPr>
          <a:cxnSpLocks/>
        </xdr:cNvCxnSpPr>
      </xdr:nvCxnSpPr>
      <xdr:spPr bwMode="auto">
        <a:xfrm>
          <a:off x="22288499" y="83792786"/>
          <a:ext cx="368753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340178</xdr:colOff>
      <xdr:row>310</xdr:row>
      <xdr:rowOff>258536</xdr:rowOff>
    </xdr:from>
    <xdr:to>
      <xdr:col>54</xdr:col>
      <xdr:colOff>244929</xdr:colOff>
      <xdr:row>310</xdr:row>
      <xdr:rowOff>258536</xdr:rowOff>
    </xdr:to>
    <xdr:cxnSp macro="">
      <xdr:nvCxnSpPr>
        <xdr:cNvPr id="149" name="Straight Arrow Connector 148">
          <a:extLst>
            <a:ext uri="{FF2B5EF4-FFF2-40B4-BE49-F238E27FC236}">
              <a16:creationId xmlns:a16="http://schemas.microsoft.com/office/drawing/2014/main" id="{619EBD7E-AF26-4820-9B62-7B23212EEA0D}"/>
            </a:ext>
            <a:ext uri="{147F2762-F138-4A5C-976F-8EAC2B608ADB}">
              <a16:predDERef xmlns:a16="http://schemas.microsoft.com/office/drawing/2014/main" pred="{6A33D320-F27B-E0A8-4C99-8558FB7F64DB}"/>
            </a:ext>
          </a:extLst>
        </xdr:cNvPr>
        <xdr:cNvCxnSpPr>
          <a:cxnSpLocks/>
        </xdr:cNvCxnSpPr>
      </xdr:nvCxnSpPr>
      <xdr:spPr bwMode="auto">
        <a:xfrm>
          <a:off x="25907999" y="84105750"/>
          <a:ext cx="700768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244928</xdr:colOff>
      <xdr:row>311</xdr:row>
      <xdr:rowOff>258536</xdr:rowOff>
    </xdr:from>
    <xdr:to>
      <xdr:col>59</xdr:col>
      <xdr:colOff>585108</xdr:colOff>
      <xdr:row>311</xdr:row>
      <xdr:rowOff>258536</xdr:rowOff>
    </xdr:to>
    <xdr:cxnSp macro="">
      <xdr:nvCxnSpPr>
        <xdr:cNvPr id="151" name="Straight Arrow Connector 150">
          <a:extLst>
            <a:ext uri="{FF2B5EF4-FFF2-40B4-BE49-F238E27FC236}">
              <a16:creationId xmlns:a16="http://schemas.microsoft.com/office/drawing/2014/main" id="{2F667432-42F1-43FB-AB74-4DE134742AB9}"/>
            </a:ext>
            <a:ext uri="{147F2762-F138-4A5C-976F-8EAC2B608ADB}">
              <a16:predDERef xmlns:a16="http://schemas.microsoft.com/office/drawing/2014/main" pred="{6A33D320-F27B-E0A8-4C99-8558FB7F64DB}"/>
            </a:ext>
          </a:extLst>
        </xdr:cNvPr>
        <xdr:cNvCxnSpPr>
          <a:cxnSpLocks/>
        </xdr:cNvCxnSpPr>
      </xdr:nvCxnSpPr>
      <xdr:spPr bwMode="auto">
        <a:xfrm>
          <a:off x="32915678" y="84405107"/>
          <a:ext cx="332014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27215</xdr:colOff>
      <xdr:row>317</xdr:row>
      <xdr:rowOff>0</xdr:rowOff>
    </xdr:from>
    <xdr:to>
      <xdr:col>60</xdr:col>
      <xdr:colOff>0</xdr:colOff>
      <xdr:row>317</xdr:row>
      <xdr:rowOff>0</xdr:rowOff>
    </xdr:to>
    <xdr:cxnSp macro="">
      <xdr:nvCxnSpPr>
        <xdr:cNvPr id="152" name="Straight Arrow Connector 151">
          <a:extLst>
            <a:ext uri="{FF2B5EF4-FFF2-40B4-BE49-F238E27FC236}">
              <a16:creationId xmlns:a16="http://schemas.microsoft.com/office/drawing/2014/main" id="{84DB3F58-9D50-4158-9953-CEC5FB8BC858}"/>
            </a:ext>
            <a:ext uri="{147F2762-F138-4A5C-976F-8EAC2B608ADB}">
              <a16:predDERef xmlns:a16="http://schemas.microsoft.com/office/drawing/2014/main" pred="{6A33D320-F27B-E0A8-4C99-8558FB7F64DB}"/>
            </a:ext>
          </a:extLst>
        </xdr:cNvPr>
        <xdr:cNvCxnSpPr>
          <a:cxnSpLocks/>
        </xdr:cNvCxnSpPr>
      </xdr:nvCxnSpPr>
      <xdr:spPr bwMode="auto">
        <a:xfrm>
          <a:off x="22057179" y="85969929"/>
          <a:ext cx="1424667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122465</xdr:colOff>
      <xdr:row>315</xdr:row>
      <xdr:rowOff>285750</xdr:rowOff>
    </xdr:from>
    <xdr:to>
      <xdr:col>36</xdr:col>
      <xdr:colOff>40821</xdr:colOff>
      <xdr:row>315</xdr:row>
      <xdr:rowOff>285750</xdr:rowOff>
    </xdr:to>
    <xdr:cxnSp macro="">
      <xdr:nvCxnSpPr>
        <xdr:cNvPr id="155" name="Straight Arrow Connector 154">
          <a:extLst>
            <a:ext uri="{FF2B5EF4-FFF2-40B4-BE49-F238E27FC236}">
              <a16:creationId xmlns:a16="http://schemas.microsoft.com/office/drawing/2014/main" id="{7351B62B-FB45-40C2-B6CC-94619AE3CDAC}"/>
            </a:ext>
            <a:ext uri="{147F2762-F138-4A5C-976F-8EAC2B608ADB}">
              <a16:predDERef xmlns:a16="http://schemas.microsoft.com/office/drawing/2014/main" pred="{6A33D320-F27B-E0A8-4C99-8558FB7F64DB}"/>
            </a:ext>
          </a:extLst>
        </xdr:cNvPr>
        <xdr:cNvCxnSpPr>
          <a:cxnSpLocks/>
        </xdr:cNvCxnSpPr>
      </xdr:nvCxnSpPr>
      <xdr:spPr bwMode="auto">
        <a:xfrm>
          <a:off x="8164286" y="85629750"/>
          <a:ext cx="1390649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27215</xdr:colOff>
      <xdr:row>269</xdr:row>
      <xdr:rowOff>272142</xdr:rowOff>
    </xdr:from>
    <xdr:to>
      <xdr:col>18</xdr:col>
      <xdr:colOff>394607</xdr:colOff>
      <xdr:row>269</xdr:row>
      <xdr:rowOff>272142</xdr:rowOff>
    </xdr:to>
    <xdr:cxnSp macro="">
      <xdr:nvCxnSpPr>
        <xdr:cNvPr id="157" name="Straight Arrow Connector 156">
          <a:extLst>
            <a:ext uri="{FF2B5EF4-FFF2-40B4-BE49-F238E27FC236}">
              <a16:creationId xmlns:a16="http://schemas.microsoft.com/office/drawing/2014/main" id="{2DCAA6E4-F158-4382-B6FC-0CE1DEFDD34A}"/>
            </a:ext>
            <a:ext uri="{147F2762-F138-4A5C-976F-8EAC2B608ADB}">
              <a16:predDERef xmlns:a16="http://schemas.microsoft.com/office/drawing/2014/main" pred="{6A33D320-F27B-E0A8-4C99-8558FB7F64DB}"/>
            </a:ext>
          </a:extLst>
        </xdr:cNvPr>
        <xdr:cNvCxnSpPr>
          <a:cxnSpLocks/>
        </xdr:cNvCxnSpPr>
      </xdr:nvCxnSpPr>
      <xdr:spPr bwMode="auto">
        <a:xfrm>
          <a:off x="7579179" y="57258856"/>
          <a:ext cx="379639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530679</xdr:colOff>
      <xdr:row>267</xdr:row>
      <xdr:rowOff>272142</xdr:rowOff>
    </xdr:from>
    <xdr:to>
      <xdr:col>27</xdr:col>
      <xdr:colOff>244929</xdr:colOff>
      <xdr:row>267</xdr:row>
      <xdr:rowOff>272142</xdr:rowOff>
    </xdr:to>
    <xdr:cxnSp macro="">
      <xdr:nvCxnSpPr>
        <xdr:cNvPr id="159" name="Straight Arrow Connector 158">
          <a:extLst>
            <a:ext uri="{FF2B5EF4-FFF2-40B4-BE49-F238E27FC236}">
              <a16:creationId xmlns:a16="http://schemas.microsoft.com/office/drawing/2014/main" id="{9A96B379-D09F-44B2-BA2C-B9706DE96489}"/>
            </a:ext>
            <a:ext uri="{147F2762-F138-4A5C-976F-8EAC2B608ADB}">
              <a16:predDERef xmlns:a16="http://schemas.microsoft.com/office/drawing/2014/main" pred="{6A33D320-F27B-E0A8-4C99-8558FB7F64DB}"/>
            </a:ext>
          </a:extLst>
        </xdr:cNvPr>
        <xdr:cNvCxnSpPr>
          <a:cxnSpLocks/>
        </xdr:cNvCxnSpPr>
      </xdr:nvCxnSpPr>
      <xdr:spPr bwMode="auto">
        <a:xfrm>
          <a:off x="11511643" y="56660142"/>
          <a:ext cx="515710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13607</xdr:colOff>
      <xdr:row>271</xdr:row>
      <xdr:rowOff>247157</xdr:rowOff>
    </xdr:from>
    <xdr:to>
      <xdr:col>54</xdr:col>
      <xdr:colOff>326572</xdr:colOff>
      <xdr:row>271</xdr:row>
      <xdr:rowOff>275324</xdr:rowOff>
    </xdr:to>
    <xdr:cxnSp macro="">
      <xdr:nvCxnSpPr>
        <xdr:cNvPr id="163" name="Straight Arrow Connector 162">
          <a:extLst>
            <a:ext uri="{FF2B5EF4-FFF2-40B4-BE49-F238E27FC236}">
              <a16:creationId xmlns:a16="http://schemas.microsoft.com/office/drawing/2014/main" id="{94286D7E-5DDC-48D3-927D-C463ECED431E}"/>
            </a:ext>
            <a:ext uri="{147F2762-F138-4A5C-976F-8EAC2B608ADB}">
              <a16:predDERef xmlns:a16="http://schemas.microsoft.com/office/drawing/2014/main" pred="{6A33D320-F27B-E0A8-4C99-8558FB7F64DB}"/>
            </a:ext>
          </a:extLst>
        </xdr:cNvPr>
        <xdr:cNvCxnSpPr>
          <a:cxnSpLocks/>
        </xdr:cNvCxnSpPr>
      </xdr:nvCxnSpPr>
      <xdr:spPr bwMode="auto">
        <a:xfrm flipV="1">
          <a:off x="7565571" y="57832586"/>
          <a:ext cx="25064358" cy="28167"/>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324970</xdr:colOff>
      <xdr:row>272</xdr:row>
      <xdr:rowOff>272142</xdr:rowOff>
    </xdr:from>
    <xdr:to>
      <xdr:col>60</xdr:col>
      <xdr:colOff>27214</xdr:colOff>
      <xdr:row>272</xdr:row>
      <xdr:rowOff>272142</xdr:rowOff>
    </xdr:to>
    <xdr:cxnSp macro="">
      <xdr:nvCxnSpPr>
        <xdr:cNvPr id="165" name="Straight Arrow Connector 164">
          <a:extLst>
            <a:ext uri="{FF2B5EF4-FFF2-40B4-BE49-F238E27FC236}">
              <a16:creationId xmlns:a16="http://schemas.microsoft.com/office/drawing/2014/main" id="{F098C1CC-965E-4EB9-ABA0-F8FD4503F484}"/>
            </a:ext>
            <a:ext uri="{147F2762-F138-4A5C-976F-8EAC2B608ADB}">
              <a16:predDERef xmlns:a16="http://schemas.microsoft.com/office/drawing/2014/main" pred="{6A33D320-F27B-E0A8-4C99-8558FB7F64DB}"/>
            </a:ext>
          </a:extLst>
        </xdr:cNvPr>
        <xdr:cNvCxnSpPr>
          <a:cxnSpLocks/>
        </xdr:cNvCxnSpPr>
      </xdr:nvCxnSpPr>
      <xdr:spPr bwMode="auto">
        <a:xfrm>
          <a:off x="32250529" y="55730054"/>
          <a:ext cx="33329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353786</xdr:colOff>
      <xdr:row>273</xdr:row>
      <xdr:rowOff>244929</xdr:rowOff>
    </xdr:from>
    <xdr:to>
      <xdr:col>51</xdr:col>
      <xdr:colOff>190500</xdr:colOff>
      <xdr:row>273</xdr:row>
      <xdr:rowOff>244929</xdr:rowOff>
    </xdr:to>
    <xdr:cxnSp macro="">
      <xdr:nvCxnSpPr>
        <xdr:cNvPr id="167" name="Straight Arrow Connector 166">
          <a:extLst>
            <a:ext uri="{FF2B5EF4-FFF2-40B4-BE49-F238E27FC236}">
              <a16:creationId xmlns:a16="http://schemas.microsoft.com/office/drawing/2014/main" id="{454575E1-886B-41E5-A387-5EC01504DD6D}"/>
            </a:ext>
            <a:ext uri="{147F2762-F138-4A5C-976F-8EAC2B608ADB}">
              <a16:predDERef xmlns:a16="http://schemas.microsoft.com/office/drawing/2014/main" pred="{6A33D320-F27B-E0A8-4C99-8558FB7F64DB}"/>
            </a:ext>
          </a:extLst>
        </xdr:cNvPr>
        <xdr:cNvCxnSpPr>
          <a:cxnSpLocks/>
        </xdr:cNvCxnSpPr>
      </xdr:nvCxnSpPr>
      <xdr:spPr bwMode="auto">
        <a:xfrm>
          <a:off x="14940643" y="58429072"/>
          <a:ext cx="1585232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149678</xdr:colOff>
      <xdr:row>274</xdr:row>
      <xdr:rowOff>258536</xdr:rowOff>
    </xdr:from>
    <xdr:to>
      <xdr:col>59</xdr:col>
      <xdr:colOff>639536</xdr:colOff>
      <xdr:row>274</xdr:row>
      <xdr:rowOff>258536</xdr:rowOff>
    </xdr:to>
    <xdr:cxnSp macro="">
      <xdr:nvCxnSpPr>
        <xdr:cNvPr id="169" name="Straight Arrow Connector 168">
          <a:extLst>
            <a:ext uri="{FF2B5EF4-FFF2-40B4-BE49-F238E27FC236}">
              <a16:creationId xmlns:a16="http://schemas.microsoft.com/office/drawing/2014/main" id="{CB77E110-4805-434F-A05E-CE174564A521}"/>
            </a:ext>
            <a:ext uri="{147F2762-F138-4A5C-976F-8EAC2B608ADB}">
              <a16:predDERef xmlns:a16="http://schemas.microsoft.com/office/drawing/2014/main" pred="{6A33D320-F27B-E0A8-4C99-8558FB7F64DB}"/>
            </a:ext>
          </a:extLst>
        </xdr:cNvPr>
        <xdr:cNvCxnSpPr>
          <a:cxnSpLocks/>
        </xdr:cNvCxnSpPr>
      </xdr:nvCxnSpPr>
      <xdr:spPr bwMode="auto">
        <a:xfrm>
          <a:off x="30752142" y="58742036"/>
          <a:ext cx="517071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278</xdr:row>
      <xdr:rowOff>244928</xdr:rowOff>
    </xdr:from>
    <xdr:to>
      <xdr:col>35</xdr:col>
      <xdr:colOff>557892</xdr:colOff>
      <xdr:row>278</xdr:row>
      <xdr:rowOff>244928</xdr:rowOff>
    </xdr:to>
    <xdr:cxnSp macro="">
      <xdr:nvCxnSpPr>
        <xdr:cNvPr id="6" name="Straight Arrow Connector 5">
          <a:extLst>
            <a:ext uri="{FF2B5EF4-FFF2-40B4-BE49-F238E27FC236}">
              <a16:creationId xmlns:a16="http://schemas.microsoft.com/office/drawing/2014/main" id="{58C6A129-EA00-4DCB-968F-1B6DA5B632CF}"/>
            </a:ext>
            <a:ext uri="{147F2762-F138-4A5C-976F-8EAC2B608ADB}">
              <a16:predDERef xmlns:a16="http://schemas.microsoft.com/office/drawing/2014/main" pred="{6A33D320-F27B-E0A8-4C99-8558FB7F64DB}"/>
            </a:ext>
          </a:extLst>
        </xdr:cNvPr>
        <xdr:cNvCxnSpPr>
          <a:cxnSpLocks/>
        </xdr:cNvCxnSpPr>
      </xdr:nvCxnSpPr>
      <xdr:spPr bwMode="auto">
        <a:xfrm>
          <a:off x="7551964" y="54605464"/>
          <a:ext cx="363310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13607</xdr:colOff>
      <xdr:row>31</xdr:row>
      <xdr:rowOff>244929</xdr:rowOff>
    </xdr:from>
    <xdr:to>
      <xdr:col>12</xdr:col>
      <xdr:colOff>493059</xdr:colOff>
      <xdr:row>31</xdr:row>
      <xdr:rowOff>244929</xdr:rowOff>
    </xdr:to>
    <xdr:cxnSp macro="">
      <xdr:nvCxnSpPr>
        <xdr:cNvPr id="43" name="Straight Arrow Connector 42">
          <a:extLst>
            <a:ext uri="{FF2B5EF4-FFF2-40B4-BE49-F238E27FC236}">
              <a16:creationId xmlns:a16="http://schemas.microsoft.com/office/drawing/2014/main" id="{ADB8799C-32F2-460C-B0DD-016006D07AA1}"/>
            </a:ext>
            <a:ext uri="{147F2762-F138-4A5C-976F-8EAC2B608ADB}">
              <a16:predDERef xmlns:a16="http://schemas.microsoft.com/office/drawing/2014/main" pred="{6A33D320-F27B-E0A8-4C99-8558FB7F64DB}"/>
            </a:ext>
          </a:extLst>
        </xdr:cNvPr>
        <xdr:cNvCxnSpPr>
          <a:cxnSpLocks/>
        </xdr:cNvCxnSpPr>
      </xdr:nvCxnSpPr>
      <xdr:spPr bwMode="auto">
        <a:xfrm>
          <a:off x="7252607" y="5231547"/>
          <a:ext cx="47945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579504</xdr:colOff>
      <xdr:row>32</xdr:row>
      <xdr:rowOff>231321</xdr:rowOff>
    </xdr:from>
    <xdr:to>
      <xdr:col>15</xdr:col>
      <xdr:colOff>241727</xdr:colOff>
      <xdr:row>32</xdr:row>
      <xdr:rowOff>231321</xdr:rowOff>
    </xdr:to>
    <xdr:cxnSp macro="">
      <xdr:nvCxnSpPr>
        <xdr:cNvPr id="49" name="Straight Arrow Connector 48">
          <a:extLst>
            <a:ext uri="{FF2B5EF4-FFF2-40B4-BE49-F238E27FC236}">
              <a16:creationId xmlns:a16="http://schemas.microsoft.com/office/drawing/2014/main" id="{4FE9AFF8-F6E7-464F-9CDC-F8AD8513F314}"/>
            </a:ext>
            <a:ext uri="{147F2762-F138-4A5C-976F-8EAC2B608ADB}">
              <a16:predDERef xmlns:a16="http://schemas.microsoft.com/office/drawing/2014/main" pred="{6A33D320-F27B-E0A8-4C99-8558FB7F64DB}"/>
            </a:ext>
          </a:extLst>
        </xdr:cNvPr>
        <xdr:cNvCxnSpPr>
          <a:cxnSpLocks/>
        </xdr:cNvCxnSpPr>
      </xdr:nvCxnSpPr>
      <xdr:spPr bwMode="auto">
        <a:xfrm>
          <a:off x="8961504" y="5498086"/>
          <a:ext cx="24492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264134</xdr:colOff>
      <xdr:row>35</xdr:row>
      <xdr:rowOff>258537</xdr:rowOff>
    </xdr:from>
    <xdr:to>
      <xdr:col>18</xdr:col>
      <xdr:colOff>19209</xdr:colOff>
      <xdr:row>35</xdr:row>
      <xdr:rowOff>258537</xdr:rowOff>
    </xdr:to>
    <xdr:cxnSp macro="">
      <xdr:nvCxnSpPr>
        <xdr:cNvPr id="54" name="Straight Arrow Connector 53">
          <a:extLst>
            <a:ext uri="{FF2B5EF4-FFF2-40B4-BE49-F238E27FC236}">
              <a16:creationId xmlns:a16="http://schemas.microsoft.com/office/drawing/2014/main" id="{15A51C58-8F36-4D7B-A0C2-27A5CD0FD822}"/>
            </a:ext>
            <a:ext uri="{147F2762-F138-4A5C-976F-8EAC2B608ADB}">
              <a16:predDERef xmlns:a16="http://schemas.microsoft.com/office/drawing/2014/main" pred="{6A33D320-F27B-E0A8-4C99-8558FB7F64DB}"/>
            </a:ext>
          </a:extLst>
        </xdr:cNvPr>
        <xdr:cNvCxnSpPr>
          <a:cxnSpLocks/>
        </xdr:cNvCxnSpPr>
      </xdr:nvCxnSpPr>
      <xdr:spPr bwMode="auto">
        <a:xfrm>
          <a:off x="9228840" y="6130419"/>
          <a:ext cx="145836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176893</xdr:colOff>
      <xdr:row>34</xdr:row>
      <xdr:rowOff>272142</xdr:rowOff>
    </xdr:from>
    <xdr:to>
      <xdr:col>26</xdr:col>
      <xdr:colOff>653143</xdr:colOff>
      <xdr:row>34</xdr:row>
      <xdr:rowOff>272142</xdr:rowOff>
    </xdr:to>
    <xdr:cxnSp macro="">
      <xdr:nvCxnSpPr>
        <xdr:cNvPr id="62" name="Straight Arrow Connector 61">
          <a:extLst>
            <a:ext uri="{FF2B5EF4-FFF2-40B4-BE49-F238E27FC236}">
              <a16:creationId xmlns:a16="http://schemas.microsoft.com/office/drawing/2014/main" id="{6F10520B-F885-4132-A9B3-0E9E6285CD4E}"/>
            </a:ext>
            <a:ext uri="{147F2762-F138-4A5C-976F-8EAC2B608ADB}">
              <a16:predDERef xmlns:a16="http://schemas.microsoft.com/office/drawing/2014/main" pred="{6A33D320-F27B-E0A8-4C99-8558FB7F64DB}"/>
            </a:ext>
          </a:extLst>
        </xdr:cNvPr>
        <xdr:cNvCxnSpPr>
          <a:cxnSpLocks/>
        </xdr:cNvCxnSpPr>
      </xdr:nvCxnSpPr>
      <xdr:spPr bwMode="auto">
        <a:xfrm>
          <a:off x="14763750" y="5783035"/>
          <a:ext cx="164646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13607</xdr:colOff>
      <xdr:row>41</xdr:row>
      <xdr:rowOff>1</xdr:rowOff>
    </xdr:from>
    <xdr:to>
      <xdr:col>38</xdr:col>
      <xdr:colOff>585107</xdr:colOff>
      <xdr:row>41</xdr:row>
      <xdr:rowOff>1</xdr:rowOff>
    </xdr:to>
    <xdr:cxnSp macro="">
      <xdr:nvCxnSpPr>
        <xdr:cNvPr id="70" name="Straight Arrow Connector 69">
          <a:extLst>
            <a:ext uri="{FF2B5EF4-FFF2-40B4-BE49-F238E27FC236}">
              <a16:creationId xmlns:a16="http://schemas.microsoft.com/office/drawing/2014/main" id="{EE0B3F22-4918-425B-9976-9772BC4406E9}"/>
            </a:ext>
            <a:ext uri="{147F2762-F138-4A5C-976F-8EAC2B608ADB}">
              <a16:predDERef xmlns:a16="http://schemas.microsoft.com/office/drawing/2014/main" pred="{6A33D320-F27B-E0A8-4C99-8558FB7F64DB}"/>
            </a:ext>
          </a:extLst>
        </xdr:cNvPr>
        <xdr:cNvCxnSpPr>
          <a:cxnSpLocks/>
        </xdr:cNvCxnSpPr>
      </xdr:nvCxnSpPr>
      <xdr:spPr bwMode="auto">
        <a:xfrm>
          <a:off x="14967857" y="8994322"/>
          <a:ext cx="883103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13608</xdr:colOff>
      <xdr:row>41</xdr:row>
      <xdr:rowOff>299357</xdr:rowOff>
    </xdr:from>
    <xdr:to>
      <xdr:col>59</xdr:col>
      <xdr:colOff>612322</xdr:colOff>
      <xdr:row>41</xdr:row>
      <xdr:rowOff>299357</xdr:rowOff>
    </xdr:to>
    <xdr:cxnSp macro="">
      <xdr:nvCxnSpPr>
        <xdr:cNvPr id="81" name="Straight Arrow Connector 80">
          <a:extLst>
            <a:ext uri="{FF2B5EF4-FFF2-40B4-BE49-F238E27FC236}">
              <a16:creationId xmlns:a16="http://schemas.microsoft.com/office/drawing/2014/main" id="{EB6198FF-CC7A-4228-B9CE-CC5AB678C3E2}"/>
            </a:ext>
            <a:ext uri="{147F2762-F138-4A5C-976F-8EAC2B608ADB}">
              <a16:predDERef xmlns:a16="http://schemas.microsoft.com/office/drawing/2014/main" pred="{6A33D320-F27B-E0A8-4C99-8558FB7F64DB}"/>
            </a:ext>
          </a:extLst>
        </xdr:cNvPr>
        <xdr:cNvCxnSpPr>
          <a:cxnSpLocks/>
        </xdr:cNvCxnSpPr>
      </xdr:nvCxnSpPr>
      <xdr:spPr bwMode="auto">
        <a:xfrm>
          <a:off x="23853322" y="9293678"/>
          <a:ext cx="1240971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19</xdr:row>
      <xdr:rowOff>231322</xdr:rowOff>
    </xdr:from>
    <xdr:to>
      <xdr:col>45</xdr:col>
      <xdr:colOff>272143</xdr:colOff>
      <xdr:row>19</xdr:row>
      <xdr:rowOff>231322</xdr:rowOff>
    </xdr:to>
    <xdr:cxnSp macro="">
      <xdr:nvCxnSpPr>
        <xdr:cNvPr id="83" name="Straight Arrow Connector 82">
          <a:extLst>
            <a:ext uri="{FF2B5EF4-FFF2-40B4-BE49-F238E27FC236}">
              <a16:creationId xmlns:a16="http://schemas.microsoft.com/office/drawing/2014/main" id="{60AED4C8-998F-4F1C-9E34-A2EB92AAD7FA}"/>
            </a:ext>
            <a:ext uri="{147F2762-F138-4A5C-976F-8EAC2B608ADB}">
              <a16:predDERef xmlns:a16="http://schemas.microsoft.com/office/drawing/2014/main" pred="{6A33D320-F27B-E0A8-4C99-8558FB7F64DB}"/>
            </a:ext>
          </a:extLst>
        </xdr:cNvPr>
        <xdr:cNvCxnSpPr>
          <a:cxnSpLocks/>
        </xdr:cNvCxnSpPr>
      </xdr:nvCxnSpPr>
      <xdr:spPr bwMode="auto">
        <a:xfrm>
          <a:off x="7551964" y="3034393"/>
          <a:ext cx="394607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54428</xdr:colOff>
      <xdr:row>23</xdr:row>
      <xdr:rowOff>258536</xdr:rowOff>
    </xdr:from>
    <xdr:to>
      <xdr:col>42</xdr:col>
      <xdr:colOff>108858</xdr:colOff>
      <xdr:row>23</xdr:row>
      <xdr:rowOff>258536</xdr:rowOff>
    </xdr:to>
    <xdr:cxnSp macro="">
      <xdr:nvCxnSpPr>
        <xdr:cNvPr id="98" name="Straight Arrow Connector 97">
          <a:extLst>
            <a:ext uri="{FF2B5EF4-FFF2-40B4-BE49-F238E27FC236}">
              <a16:creationId xmlns:a16="http://schemas.microsoft.com/office/drawing/2014/main" id="{24E601C4-2897-431A-B74F-2529F147A5BD}"/>
            </a:ext>
            <a:ext uri="{147F2762-F138-4A5C-976F-8EAC2B608ADB}">
              <a16:predDERef xmlns:a16="http://schemas.microsoft.com/office/drawing/2014/main" pred="{6A33D320-F27B-E0A8-4C99-8558FB7F64DB}"/>
            </a:ext>
          </a:extLst>
        </xdr:cNvPr>
        <xdr:cNvCxnSpPr>
          <a:cxnSpLocks/>
        </xdr:cNvCxnSpPr>
      </xdr:nvCxnSpPr>
      <xdr:spPr bwMode="auto">
        <a:xfrm>
          <a:off x="23894142" y="4231822"/>
          <a:ext cx="178253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40822</xdr:colOff>
      <xdr:row>18</xdr:row>
      <xdr:rowOff>231321</xdr:rowOff>
    </xdr:from>
    <xdr:to>
      <xdr:col>57</xdr:col>
      <xdr:colOff>231321</xdr:colOff>
      <xdr:row>18</xdr:row>
      <xdr:rowOff>231321</xdr:rowOff>
    </xdr:to>
    <xdr:cxnSp macro="">
      <xdr:nvCxnSpPr>
        <xdr:cNvPr id="107" name="Straight Arrow Connector 106">
          <a:extLst>
            <a:ext uri="{FF2B5EF4-FFF2-40B4-BE49-F238E27FC236}">
              <a16:creationId xmlns:a16="http://schemas.microsoft.com/office/drawing/2014/main" id="{6856E3A9-6A3B-403C-A86C-7110B66A1C57}"/>
            </a:ext>
            <a:ext uri="{147F2762-F138-4A5C-976F-8EAC2B608ADB}">
              <a16:predDERef xmlns:a16="http://schemas.microsoft.com/office/drawing/2014/main" pred="{6A33D320-F27B-E0A8-4C99-8558FB7F64DB}"/>
            </a:ext>
          </a:extLst>
        </xdr:cNvPr>
        <xdr:cNvCxnSpPr>
          <a:cxnSpLocks/>
        </xdr:cNvCxnSpPr>
      </xdr:nvCxnSpPr>
      <xdr:spPr bwMode="auto">
        <a:xfrm>
          <a:off x="7592786" y="2762250"/>
          <a:ext cx="575582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57</xdr:col>
      <xdr:colOff>176893</xdr:colOff>
      <xdr:row>20</xdr:row>
      <xdr:rowOff>244928</xdr:rowOff>
    </xdr:from>
    <xdr:to>
      <xdr:col>59</xdr:col>
      <xdr:colOff>639536</xdr:colOff>
      <xdr:row>20</xdr:row>
      <xdr:rowOff>244928</xdr:rowOff>
    </xdr:to>
    <xdr:cxnSp macro="">
      <xdr:nvCxnSpPr>
        <xdr:cNvPr id="112" name="Straight Arrow Connector 111">
          <a:extLst>
            <a:ext uri="{FF2B5EF4-FFF2-40B4-BE49-F238E27FC236}">
              <a16:creationId xmlns:a16="http://schemas.microsoft.com/office/drawing/2014/main" id="{D2C0F912-8038-4496-9879-4426C5C3006A}"/>
            </a:ext>
            <a:ext uri="{147F2762-F138-4A5C-976F-8EAC2B608ADB}">
              <a16:predDERef xmlns:a16="http://schemas.microsoft.com/office/drawing/2014/main" pred="{6A33D320-F27B-E0A8-4C99-8558FB7F64DB}"/>
            </a:ext>
          </a:extLst>
        </xdr:cNvPr>
        <xdr:cNvCxnSpPr>
          <a:cxnSpLocks/>
        </xdr:cNvCxnSpPr>
      </xdr:nvCxnSpPr>
      <xdr:spPr bwMode="auto">
        <a:xfrm>
          <a:off x="13294179" y="3320142"/>
          <a:ext cx="17145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0</xdr:colOff>
      <xdr:row>194</xdr:row>
      <xdr:rowOff>435427</xdr:rowOff>
    </xdr:from>
    <xdr:to>
      <xdr:col>36</xdr:col>
      <xdr:colOff>44824</xdr:colOff>
      <xdr:row>194</xdr:row>
      <xdr:rowOff>435427</xdr:rowOff>
    </xdr:to>
    <xdr:cxnSp macro="">
      <xdr:nvCxnSpPr>
        <xdr:cNvPr id="122" name="Straight Arrow Connector 121">
          <a:extLst>
            <a:ext uri="{FF2B5EF4-FFF2-40B4-BE49-F238E27FC236}">
              <a16:creationId xmlns:a16="http://schemas.microsoft.com/office/drawing/2014/main" id="{692D62C2-2101-412E-AF7C-C04E9674A133}"/>
            </a:ext>
            <a:ext uri="{147F2762-F138-4A5C-976F-8EAC2B608ADB}">
              <a16:predDERef xmlns:a16="http://schemas.microsoft.com/office/drawing/2014/main" pred="{6A33D320-F27B-E0A8-4C99-8558FB7F64DB}"/>
            </a:ext>
          </a:extLst>
        </xdr:cNvPr>
        <xdr:cNvCxnSpPr>
          <a:cxnSpLocks/>
        </xdr:cNvCxnSpPr>
      </xdr:nvCxnSpPr>
      <xdr:spPr bwMode="auto">
        <a:xfrm>
          <a:off x="8964706" y="42446280"/>
          <a:ext cx="123712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27215</xdr:colOff>
      <xdr:row>196</xdr:row>
      <xdr:rowOff>244928</xdr:rowOff>
    </xdr:from>
    <xdr:to>
      <xdr:col>15</xdr:col>
      <xdr:colOff>40821</xdr:colOff>
      <xdr:row>196</xdr:row>
      <xdr:rowOff>244928</xdr:rowOff>
    </xdr:to>
    <xdr:cxnSp macro="">
      <xdr:nvCxnSpPr>
        <xdr:cNvPr id="124" name="Straight Arrow Connector 123">
          <a:extLst>
            <a:ext uri="{FF2B5EF4-FFF2-40B4-BE49-F238E27FC236}">
              <a16:creationId xmlns:a16="http://schemas.microsoft.com/office/drawing/2014/main" id="{040DCDB1-3234-40C7-9BA3-F72890CBE4DB}"/>
            </a:ext>
            <a:ext uri="{147F2762-F138-4A5C-976F-8EAC2B608ADB}">
              <a16:predDERef xmlns:a16="http://schemas.microsoft.com/office/drawing/2014/main" pred="{6A33D320-F27B-E0A8-4C99-8558FB7F64DB}"/>
            </a:ext>
          </a:extLst>
        </xdr:cNvPr>
        <xdr:cNvCxnSpPr>
          <a:cxnSpLocks/>
        </xdr:cNvCxnSpPr>
      </xdr:nvCxnSpPr>
      <xdr:spPr bwMode="auto">
        <a:xfrm>
          <a:off x="8069036" y="53857071"/>
          <a:ext cx="170089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27215</xdr:colOff>
      <xdr:row>197</xdr:row>
      <xdr:rowOff>258536</xdr:rowOff>
    </xdr:from>
    <xdr:to>
      <xdr:col>36</xdr:col>
      <xdr:colOff>285750</xdr:colOff>
      <xdr:row>197</xdr:row>
      <xdr:rowOff>258536</xdr:rowOff>
    </xdr:to>
    <xdr:cxnSp macro="">
      <xdr:nvCxnSpPr>
        <xdr:cNvPr id="126" name="Straight Arrow Connector 125">
          <a:extLst>
            <a:ext uri="{FF2B5EF4-FFF2-40B4-BE49-F238E27FC236}">
              <a16:creationId xmlns:a16="http://schemas.microsoft.com/office/drawing/2014/main" id="{CA28A2D2-81B1-4972-B24A-01E53F1E6C0B}"/>
            </a:ext>
            <a:ext uri="{147F2762-F138-4A5C-976F-8EAC2B608ADB}">
              <a16:predDERef xmlns:a16="http://schemas.microsoft.com/office/drawing/2014/main" pred="{6A33D320-F27B-E0A8-4C99-8558FB7F64DB}"/>
            </a:ext>
          </a:extLst>
        </xdr:cNvPr>
        <xdr:cNvCxnSpPr>
          <a:cxnSpLocks/>
        </xdr:cNvCxnSpPr>
      </xdr:nvCxnSpPr>
      <xdr:spPr bwMode="auto">
        <a:xfrm>
          <a:off x="22057179" y="54156429"/>
          <a:ext cx="25853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27215</xdr:colOff>
      <xdr:row>320</xdr:row>
      <xdr:rowOff>231321</xdr:rowOff>
    </xdr:from>
    <xdr:to>
      <xdr:col>18</xdr:col>
      <xdr:colOff>231322</xdr:colOff>
      <xdr:row>320</xdr:row>
      <xdr:rowOff>231321</xdr:rowOff>
    </xdr:to>
    <xdr:cxnSp macro="">
      <xdr:nvCxnSpPr>
        <xdr:cNvPr id="136" name="Straight Arrow Connector 135">
          <a:extLst>
            <a:ext uri="{FF2B5EF4-FFF2-40B4-BE49-F238E27FC236}">
              <a16:creationId xmlns:a16="http://schemas.microsoft.com/office/drawing/2014/main" id="{03439F18-E9FE-4944-B194-5C0C555D65FC}"/>
            </a:ext>
            <a:ext uri="{147F2762-F138-4A5C-976F-8EAC2B608ADB}">
              <a16:predDERef xmlns:a16="http://schemas.microsoft.com/office/drawing/2014/main" pred="{6A33D320-F27B-E0A8-4C99-8558FB7F64DB}"/>
            </a:ext>
          </a:extLst>
        </xdr:cNvPr>
        <xdr:cNvCxnSpPr>
          <a:cxnSpLocks/>
        </xdr:cNvCxnSpPr>
      </xdr:nvCxnSpPr>
      <xdr:spPr bwMode="auto">
        <a:xfrm>
          <a:off x="8069036" y="58361035"/>
          <a:ext cx="359228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258535</xdr:colOff>
      <xdr:row>321</xdr:row>
      <xdr:rowOff>380999</xdr:rowOff>
    </xdr:from>
    <xdr:to>
      <xdr:col>36</xdr:col>
      <xdr:colOff>312964</xdr:colOff>
      <xdr:row>321</xdr:row>
      <xdr:rowOff>380999</xdr:rowOff>
    </xdr:to>
    <xdr:cxnSp macro="">
      <xdr:nvCxnSpPr>
        <xdr:cNvPr id="138" name="Straight Arrow Connector 137">
          <a:extLst>
            <a:ext uri="{FF2B5EF4-FFF2-40B4-BE49-F238E27FC236}">
              <a16:creationId xmlns:a16="http://schemas.microsoft.com/office/drawing/2014/main" id="{85461CE4-1277-43AE-9C07-23598F303ABF}"/>
            </a:ext>
            <a:ext uri="{147F2762-F138-4A5C-976F-8EAC2B608ADB}">
              <a16:predDERef xmlns:a16="http://schemas.microsoft.com/office/drawing/2014/main" pred="{6A33D320-F27B-E0A8-4C99-8558FB7F64DB}"/>
            </a:ext>
          </a:extLst>
        </xdr:cNvPr>
        <xdr:cNvCxnSpPr>
          <a:cxnSpLocks/>
        </xdr:cNvCxnSpPr>
      </xdr:nvCxnSpPr>
      <xdr:spPr bwMode="auto">
        <a:xfrm>
          <a:off x="11688535" y="59490428"/>
          <a:ext cx="1065439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217714</xdr:colOff>
      <xdr:row>322</xdr:row>
      <xdr:rowOff>272143</xdr:rowOff>
    </xdr:from>
    <xdr:to>
      <xdr:col>39</xdr:col>
      <xdr:colOff>190500</xdr:colOff>
      <xdr:row>322</xdr:row>
      <xdr:rowOff>272143</xdr:rowOff>
    </xdr:to>
    <xdr:cxnSp macro="">
      <xdr:nvCxnSpPr>
        <xdr:cNvPr id="140" name="Straight Arrow Connector 139">
          <a:extLst>
            <a:ext uri="{FF2B5EF4-FFF2-40B4-BE49-F238E27FC236}">
              <a16:creationId xmlns:a16="http://schemas.microsoft.com/office/drawing/2014/main" id="{3793169F-D99D-4167-8F49-620FF6952403}"/>
            </a:ext>
            <a:ext uri="{147F2762-F138-4A5C-976F-8EAC2B608ADB}">
              <a16:predDERef xmlns:a16="http://schemas.microsoft.com/office/drawing/2014/main" pred="{6A33D320-F27B-E0A8-4C99-8558FB7F64DB}"/>
            </a:ext>
          </a:extLst>
        </xdr:cNvPr>
        <xdr:cNvCxnSpPr>
          <a:cxnSpLocks/>
        </xdr:cNvCxnSpPr>
      </xdr:nvCxnSpPr>
      <xdr:spPr bwMode="auto">
        <a:xfrm>
          <a:off x="22247678" y="59871429"/>
          <a:ext cx="178253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149678</xdr:colOff>
      <xdr:row>338</xdr:row>
      <xdr:rowOff>244929</xdr:rowOff>
    </xdr:from>
    <xdr:to>
      <xdr:col>46</xdr:col>
      <xdr:colOff>571500</xdr:colOff>
      <xdr:row>338</xdr:row>
      <xdr:rowOff>244929</xdr:rowOff>
    </xdr:to>
    <xdr:cxnSp macro="">
      <xdr:nvCxnSpPr>
        <xdr:cNvPr id="150" name="Straight Arrow Connector 149">
          <a:extLst>
            <a:ext uri="{FF2B5EF4-FFF2-40B4-BE49-F238E27FC236}">
              <a16:creationId xmlns:a16="http://schemas.microsoft.com/office/drawing/2014/main" id="{5FDF8D4D-2803-44F5-B78B-7A132FC30EBD}"/>
            </a:ext>
            <a:ext uri="{147F2762-F138-4A5C-976F-8EAC2B608ADB}">
              <a16:predDERef xmlns:a16="http://schemas.microsoft.com/office/drawing/2014/main" pred="{6A33D320-F27B-E0A8-4C99-8558FB7F64DB}"/>
            </a:ext>
          </a:extLst>
        </xdr:cNvPr>
        <xdr:cNvCxnSpPr>
          <a:cxnSpLocks/>
        </xdr:cNvCxnSpPr>
      </xdr:nvCxnSpPr>
      <xdr:spPr bwMode="auto">
        <a:xfrm>
          <a:off x="23989392" y="65205429"/>
          <a:ext cx="462642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13607</xdr:colOff>
      <xdr:row>326</xdr:row>
      <xdr:rowOff>244929</xdr:rowOff>
    </xdr:from>
    <xdr:to>
      <xdr:col>27</xdr:col>
      <xdr:colOff>95250</xdr:colOff>
      <xdr:row>326</xdr:row>
      <xdr:rowOff>244929</xdr:rowOff>
    </xdr:to>
    <xdr:cxnSp macro="">
      <xdr:nvCxnSpPr>
        <xdr:cNvPr id="173" name="Straight Arrow Connector 172">
          <a:extLst>
            <a:ext uri="{FF2B5EF4-FFF2-40B4-BE49-F238E27FC236}">
              <a16:creationId xmlns:a16="http://schemas.microsoft.com/office/drawing/2014/main" id="{0BE7DFE5-DA7B-41A5-9F3E-CFC7786782AB}"/>
            </a:ext>
            <a:ext uri="{147F2762-F138-4A5C-976F-8EAC2B608ADB}">
              <a16:predDERef xmlns:a16="http://schemas.microsoft.com/office/drawing/2014/main" pred="{6A33D320-F27B-E0A8-4C99-8558FB7F64DB}"/>
            </a:ext>
          </a:extLst>
        </xdr:cNvPr>
        <xdr:cNvCxnSpPr>
          <a:cxnSpLocks/>
        </xdr:cNvCxnSpPr>
      </xdr:nvCxnSpPr>
      <xdr:spPr bwMode="auto">
        <a:xfrm>
          <a:off x="8055428" y="60361286"/>
          <a:ext cx="883103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81642</xdr:colOff>
      <xdr:row>327</xdr:row>
      <xdr:rowOff>258535</xdr:rowOff>
    </xdr:from>
    <xdr:to>
      <xdr:col>39</xdr:col>
      <xdr:colOff>0</xdr:colOff>
      <xdr:row>327</xdr:row>
      <xdr:rowOff>258535</xdr:rowOff>
    </xdr:to>
    <xdr:cxnSp macro="">
      <xdr:nvCxnSpPr>
        <xdr:cNvPr id="174" name="Straight Arrow Connector 173">
          <a:extLst>
            <a:ext uri="{FF2B5EF4-FFF2-40B4-BE49-F238E27FC236}">
              <a16:creationId xmlns:a16="http://schemas.microsoft.com/office/drawing/2014/main" id="{AE0F0267-AD56-489F-9DBF-4D06EA31E1A7}"/>
            </a:ext>
            <a:ext uri="{147F2762-F138-4A5C-976F-8EAC2B608ADB}">
              <a16:predDERef xmlns:a16="http://schemas.microsoft.com/office/drawing/2014/main" pred="{6A33D320-F27B-E0A8-4C99-8558FB7F64DB}"/>
            </a:ext>
          </a:extLst>
        </xdr:cNvPr>
        <xdr:cNvCxnSpPr>
          <a:cxnSpLocks/>
        </xdr:cNvCxnSpPr>
      </xdr:nvCxnSpPr>
      <xdr:spPr bwMode="auto">
        <a:xfrm>
          <a:off x="16872856" y="60674249"/>
          <a:ext cx="696685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38</xdr:col>
      <xdr:colOff>612321</xdr:colOff>
      <xdr:row>328</xdr:row>
      <xdr:rowOff>272143</xdr:rowOff>
    </xdr:from>
    <xdr:to>
      <xdr:col>48</xdr:col>
      <xdr:colOff>13608</xdr:colOff>
      <xdr:row>328</xdr:row>
      <xdr:rowOff>272143</xdr:rowOff>
    </xdr:to>
    <xdr:cxnSp macro="">
      <xdr:nvCxnSpPr>
        <xdr:cNvPr id="176" name="Straight Arrow Connector 175">
          <a:extLst>
            <a:ext uri="{FF2B5EF4-FFF2-40B4-BE49-F238E27FC236}">
              <a16:creationId xmlns:a16="http://schemas.microsoft.com/office/drawing/2014/main" id="{EFF9793F-6566-4D32-983A-C1383B1895A0}"/>
            </a:ext>
            <a:ext uri="{147F2762-F138-4A5C-976F-8EAC2B608ADB}">
              <a16:predDERef xmlns:a16="http://schemas.microsoft.com/office/drawing/2014/main" pred="{6A33D320-F27B-E0A8-4C99-8558FB7F64DB}"/>
            </a:ext>
          </a:extLst>
        </xdr:cNvPr>
        <xdr:cNvCxnSpPr>
          <a:cxnSpLocks/>
        </xdr:cNvCxnSpPr>
      </xdr:nvCxnSpPr>
      <xdr:spPr bwMode="auto">
        <a:xfrm>
          <a:off x="23826107" y="60987214"/>
          <a:ext cx="547007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13608</xdr:colOff>
      <xdr:row>330</xdr:row>
      <xdr:rowOff>285750</xdr:rowOff>
    </xdr:from>
    <xdr:to>
      <xdr:col>24</xdr:col>
      <xdr:colOff>95250</xdr:colOff>
      <xdr:row>330</xdr:row>
      <xdr:rowOff>285750</xdr:rowOff>
    </xdr:to>
    <xdr:cxnSp macro="">
      <xdr:nvCxnSpPr>
        <xdr:cNvPr id="179" name="Straight Arrow Connector 178">
          <a:extLst>
            <a:ext uri="{FF2B5EF4-FFF2-40B4-BE49-F238E27FC236}">
              <a16:creationId xmlns:a16="http://schemas.microsoft.com/office/drawing/2014/main" id="{263E5A16-6826-477F-B26B-BD5C71F297F4}"/>
            </a:ext>
            <a:ext uri="{147F2762-F138-4A5C-976F-8EAC2B608ADB}">
              <a16:predDERef xmlns:a16="http://schemas.microsoft.com/office/drawing/2014/main" pred="{6A33D320-F27B-E0A8-4C99-8558FB7F64DB}"/>
            </a:ext>
          </a:extLst>
        </xdr:cNvPr>
        <xdr:cNvCxnSpPr>
          <a:cxnSpLocks/>
        </xdr:cNvCxnSpPr>
      </xdr:nvCxnSpPr>
      <xdr:spPr bwMode="auto">
        <a:xfrm>
          <a:off x="8055429" y="61599536"/>
          <a:ext cx="699407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612321</xdr:colOff>
      <xdr:row>331</xdr:row>
      <xdr:rowOff>272144</xdr:rowOff>
    </xdr:from>
    <xdr:to>
      <xdr:col>27</xdr:col>
      <xdr:colOff>13607</xdr:colOff>
      <xdr:row>331</xdr:row>
      <xdr:rowOff>272144</xdr:rowOff>
    </xdr:to>
    <xdr:cxnSp macro="">
      <xdr:nvCxnSpPr>
        <xdr:cNvPr id="181" name="Straight Arrow Connector 180">
          <a:extLst>
            <a:ext uri="{FF2B5EF4-FFF2-40B4-BE49-F238E27FC236}">
              <a16:creationId xmlns:a16="http://schemas.microsoft.com/office/drawing/2014/main" id="{E6D312CF-CFBD-42B7-852C-B8A20640E4AE}"/>
            </a:ext>
            <a:ext uri="{147F2762-F138-4A5C-976F-8EAC2B608ADB}">
              <a16:predDERef xmlns:a16="http://schemas.microsoft.com/office/drawing/2014/main" pred="{6A33D320-F27B-E0A8-4C99-8558FB7F64DB}"/>
            </a:ext>
          </a:extLst>
        </xdr:cNvPr>
        <xdr:cNvCxnSpPr>
          <a:cxnSpLocks/>
        </xdr:cNvCxnSpPr>
      </xdr:nvCxnSpPr>
      <xdr:spPr bwMode="auto">
        <a:xfrm>
          <a:off x="14940642" y="61885287"/>
          <a:ext cx="186417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13607</xdr:colOff>
      <xdr:row>332</xdr:row>
      <xdr:rowOff>258536</xdr:rowOff>
    </xdr:from>
    <xdr:to>
      <xdr:col>30</xdr:col>
      <xdr:colOff>122464</xdr:colOff>
      <xdr:row>332</xdr:row>
      <xdr:rowOff>258536</xdr:rowOff>
    </xdr:to>
    <xdr:cxnSp macro="">
      <xdr:nvCxnSpPr>
        <xdr:cNvPr id="183" name="Straight Arrow Connector 182">
          <a:extLst>
            <a:ext uri="{FF2B5EF4-FFF2-40B4-BE49-F238E27FC236}">
              <a16:creationId xmlns:a16="http://schemas.microsoft.com/office/drawing/2014/main" id="{FDF834CF-EC34-430C-819F-60EF316CE767}"/>
            </a:ext>
            <a:ext uri="{147F2762-F138-4A5C-976F-8EAC2B608ADB}">
              <a16:predDERef xmlns:a16="http://schemas.microsoft.com/office/drawing/2014/main" pred="{6A33D320-F27B-E0A8-4C99-8558FB7F64DB}"/>
            </a:ext>
          </a:extLst>
        </xdr:cNvPr>
        <xdr:cNvCxnSpPr>
          <a:cxnSpLocks/>
        </xdr:cNvCxnSpPr>
      </xdr:nvCxnSpPr>
      <xdr:spPr bwMode="auto">
        <a:xfrm>
          <a:off x="16804821" y="62171036"/>
          <a:ext cx="179614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0</xdr:colOff>
      <xdr:row>333</xdr:row>
      <xdr:rowOff>258535</xdr:rowOff>
    </xdr:from>
    <xdr:to>
      <xdr:col>57</xdr:col>
      <xdr:colOff>136071</xdr:colOff>
      <xdr:row>333</xdr:row>
      <xdr:rowOff>258535</xdr:rowOff>
    </xdr:to>
    <xdr:cxnSp macro="">
      <xdr:nvCxnSpPr>
        <xdr:cNvPr id="185" name="Straight Arrow Connector 184">
          <a:extLst>
            <a:ext uri="{FF2B5EF4-FFF2-40B4-BE49-F238E27FC236}">
              <a16:creationId xmlns:a16="http://schemas.microsoft.com/office/drawing/2014/main" id="{CA716701-2A2C-430B-925D-4D770BC525E0}"/>
            </a:ext>
            <a:ext uri="{147F2762-F138-4A5C-976F-8EAC2B608ADB}">
              <a16:predDERef xmlns:a16="http://schemas.microsoft.com/office/drawing/2014/main" pred="{6A33D320-F27B-E0A8-4C99-8558FB7F64DB}"/>
            </a:ext>
          </a:extLst>
        </xdr:cNvPr>
        <xdr:cNvCxnSpPr>
          <a:cxnSpLocks/>
        </xdr:cNvCxnSpPr>
      </xdr:nvCxnSpPr>
      <xdr:spPr bwMode="auto">
        <a:xfrm>
          <a:off x="9416143" y="65327892"/>
          <a:ext cx="383721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50</xdr:col>
      <xdr:colOff>530679</xdr:colOff>
      <xdr:row>335</xdr:row>
      <xdr:rowOff>0</xdr:rowOff>
    </xdr:from>
    <xdr:to>
      <xdr:col>60</xdr:col>
      <xdr:colOff>81643</xdr:colOff>
      <xdr:row>335</xdr:row>
      <xdr:rowOff>0</xdr:rowOff>
    </xdr:to>
    <xdr:cxnSp macro="">
      <xdr:nvCxnSpPr>
        <xdr:cNvPr id="187" name="Straight Arrow Connector 186">
          <a:extLst>
            <a:ext uri="{FF2B5EF4-FFF2-40B4-BE49-F238E27FC236}">
              <a16:creationId xmlns:a16="http://schemas.microsoft.com/office/drawing/2014/main" id="{CF56EF30-5ACF-477E-8494-7E1545A8C21C}"/>
            </a:ext>
            <a:ext uri="{147F2762-F138-4A5C-976F-8EAC2B608ADB}">
              <a16:predDERef xmlns:a16="http://schemas.microsoft.com/office/drawing/2014/main" pred="{6A33D320-F27B-E0A8-4C99-8558FB7F64DB}"/>
            </a:ext>
          </a:extLst>
        </xdr:cNvPr>
        <xdr:cNvCxnSpPr>
          <a:cxnSpLocks/>
        </xdr:cNvCxnSpPr>
      </xdr:nvCxnSpPr>
      <xdr:spPr bwMode="auto">
        <a:xfrm>
          <a:off x="30915429" y="62810571"/>
          <a:ext cx="547007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340179</xdr:colOff>
      <xdr:row>340</xdr:row>
      <xdr:rowOff>244929</xdr:rowOff>
    </xdr:from>
    <xdr:to>
      <xdr:col>60</xdr:col>
      <xdr:colOff>13607</xdr:colOff>
      <xdr:row>340</xdr:row>
      <xdr:rowOff>244929</xdr:rowOff>
    </xdr:to>
    <xdr:cxnSp macro="">
      <xdr:nvCxnSpPr>
        <xdr:cNvPr id="189" name="Straight Arrow Connector 188">
          <a:extLst>
            <a:ext uri="{FF2B5EF4-FFF2-40B4-BE49-F238E27FC236}">
              <a16:creationId xmlns:a16="http://schemas.microsoft.com/office/drawing/2014/main" id="{180C5282-7BEF-4B8D-B674-85FD34C098C0}"/>
            </a:ext>
            <a:ext uri="{147F2762-F138-4A5C-976F-8EAC2B608ADB}">
              <a16:predDERef xmlns:a16="http://schemas.microsoft.com/office/drawing/2014/main" pred="{6A33D320-F27B-E0A8-4C99-8558FB7F64DB}"/>
            </a:ext>
          </a:extLst>
        </xdr:cNvPr>
        <xdr:cNvCxnSpPr>
          <a:cxnSpLocks/>
        </xdr:cNvCxnSpPr>
      </xdr:nvCxnSpPr>
      <xdr:spPr bwMode="auto">
        <a:xfrm>
          <a:off x="22370143" y="65804143"/>
          <a:ext cx="1394732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341</xdr:row>
      <xdr:rowOff>272140</xdr:rowOff>
    </xdr:from>
    <xdr:to>
      <xdr:col>24</xdr:col>
      <xdr:colOff>68036</xdr:colOff>
      <xdr:row>341</xdr:row>
      <xdr:rowOff>272140</xdr:rowOff>
    </xdr:to>
    <xdr:cxnSp macro="">
      <xdr:nvCxnSpPr>
        <xdr:cNvPr id="193" name="Straight Arrow Connector 192">
          <a:extLst>
            <a:ext uri="{FF2B5EF4-FFF2-40B4-BE49-F238E27FC236}">
              <a16:creationId xmlns:a16="http://schemas.microsoft.com/office/drawing/2014/main" id="{1202A667-FC82-4C22-9AE2-499AF0FEAC32}"/>
            </a:ext>
            <a:ext uri="{147F2762-F138-4A5C-976F-8EAC2B608ADB}">
              <a16:predDERef xmlns:a16="http://schemas.microsoft.com/office/drawing/2014/main" pred="{6A33D320-F27B-E0A8-4C99-8558FB7F64DB}"/>
            </a:ext>
          </a:extLst>
        </xdr:cNvPr>
        <xdr:cNvCxnSpPr>
          <a:cxnSpLocks/>
        </xdr:cNvCxnSpPr>
      </xdr:nvCxnSpPr>
      <xdr:spPr bwMode="auto">
        <a:xfrm>
          <a:off x="8041821" y="65069354"/>
          <a:ext cx="698046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27215</xdr:colOff>
      <xdr:row>342</xdr:row>
      <xdr:rowOff>244930</xdr:rowOff>
    </xdr:from>
    <xdr:to>
      <xdr:col>59</xdr:col>
      <xdr:colOff>612322</xdr:colOff>
      <xdr:row>342</xdr:row>
      <xdr:rowOff>244930</xdr:rowOff>
    </xdr:to>
    <xdr:cxnSp macro="">
      <xdr:nvCxnSpPr>
        <xdr:cNvPr id="195" name="Straight Arrow Connector 194">
          <a:extLst>
            <a:ext uri="{FF2B5EF4-FFF2-40B4-BE49-F238E27FC236}">
              <a16:creationId xmlns:a16="http://schemas.microsoft.com/office/drawing/2014/main" id="{AAFA3E8B-C2C3-4CC8-9837-F49F5CAA810E}"/>
            </a:ext>
            <a:ext uri="{147F2762-F138-4A5C-976F-8EAC2B608ADB}">
              <a16:predDERef xmlns:a16="http://schemas.microsoft.com/office/drawing/2014/main" pred="{6A33D320-F27B-E0A8-4C99-8558FB7F64DB}"/>
            </a:ext>
          </a:extLst>
        </xdr:cNvPr>
        <xdr:cNvCxnSpPr>
          <a:cxnSpLocks/>
        </xdr:cNvCxnSpPr>
      </xdr:nvCxnSpPr>
      <xdr:spPr bwMode="auto">
        <a:xfrm>
          <a:off x="14981465" y="66402859"/>
          <a:ext cx="2128157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343</xdr:row>
      <xdr:rowOff>258533</xdr:rowOff>
    </xdr:from>
    <xdr:to>
      <xdr:col>59</xdr:col>
      <xdr:colOff>585107</xdr:colOff>
      <xdr:row>343</xdr:row>
      <xdr:rowOff>258533</xdr:rowOff>
    </xdr:to>
    <xdr:cxnSp macro="">
      <xdr:nvCxnSpPr>
        <xdr:cNvPr id="198" name="Straight Arrow Connector 197">
          <a:extLst>
            <a:ext uri="{FF2B5EF4-FFF2-40B4-BE49-F238E27FC236}">
              <a16:creationId xmlns:a16="http://schemas.microsoft.com/office/drawing/2014/main" id="{683B3B32-FD84-47EE-BE8E-423126EA2E10}"/>
            </a:ext>
            <a:ext uri="{147F2762-F138-4A5C-976F-8EAC2B608ADB}">
              <a16:predDERef xmlns:a16="http://schemas.microsoft.com/office/drawing/2014/main" pred="{6A33D320-F27B-E0A8-4C99-8558FB7F64DB}"/>
            </a:ext>
          </a:extLst>
        </xdr:cNvPr>
        <xdr:cNvCxnSpPr>
          <a:cxnSpLocks/>
        </xdr:cNvCxnSpPr>
      </xdr:nvCxnSpPr>
      <xdr:spPr bwMode="auto">
        <a:xfrm>
          <a:off x="8041821" y="66715819"/>
          <a:ext cx="28194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13608</xdr:colOff>
      <xdr:row>344</xdr:row>
      <xdr:rowOff>244929</xdr:rowOff>
    </xdr:from>
    <xdr:to>
      <xdr:col>18</xdr:col>
      <xdr:colOff>40821</xdr:colOff>
      <xdr:row>344</xdr:row>
      <xdr:rowOff>244929</xdr:rowOff>
    </xdr:to>
    <xdr:cxnSp macro="">
      <xdr:nvCxnSpPr>
        <xdr:cNvPr id="199" name="Straight Arrow Connector 198">
          <a:extLst>
            <a:ext uri="{FF2B5EF4-FFF2-40B4-BE49-F238E27FC236}">
              <a16:creationId xmlns:a16="http://schemas.microsoft.com/office/drawing/2014/main" id="{5A359E9F-033D-420F-B98D-6BE6E7F666B1}"/>
            </a:ext>
            <a:ext uri="{147F2762-F138-4A5C-976F-8EAC2B608ADB}">
              <a16:predDERef xmlns:a16="http://schemas.microsoft.com/office/drawing/2014/main" pred="{6A33D320-F27B-E0A8-4C99-8558FB7F64DB}"/>
            </a:ext>
          </a:extLst>
        </xdr:cNvPr>
        <xdr:cNvCxnSpPr>
          <a:cxnSpLocks/>
        </xdr:cNvCxnSpPr>
      </xdr:nvCxnSpPr>
      <xdr:spPr bwMode="auto">
        <a:xfrm>
          <a:off x="8055429" y="65940215"/>
          <a:ext cx="341539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0</xdr:colOff>
      <xdr:row>345</xdr:row>
      <xdr:rowOff>258535</xdr:rowOff>
    </xdr:from>
    <xdr:to>
      <xdr:col>24</xdr:col>
      <xdr:colOff>285750</xdr:colOff>
      <xdr:row>345</xdr:row>
      <xdr:rowOff>258535</xdr:rowOff>
    </xdr:to>
    <xdr:cxnSp macro="">
      <xdr:nvCxnSpPr>
        <xdr:cNvPr id="201" name="Straight Arrow Connector 200">
          <a:extLst>
            <a:ext uri="{FF2B5EF4-FFF2-40B4-BE49-F238E27FC236}">
              <a16:creationId xmlns:a16="http://schemas.microsoft.com/office/drawing/2014/main" id="{79B0D6C0-A780-42E3-AF27-B5C71372769A}"/>
            </a:ext>
            <a:ext uri="{147F2762-F138-4A5C-976F-8EAC2B608ADB}">
              <a16:predDERef xmlns:a16="http://schemas.microsoft.com/office/drawing/2014/main" pred="{6A33D320-F27B-E0A8-4C99-8558FB7F64DB}"/>
            </a:ext>
          </a:extLst>
        </xdr:cNvPr>
        <xdr:cNvCxnSpPr>
          <a:cxnSpLocks/>
        </xdr:cNvCxnSpPr>
      </xdr:nvCxnSpPr>
      <xdr:spPr bwMode="auto">
        <a:xfrm>
          <a:off x="11430000" y="66253178"/>
          <a:ext cx="3810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244929</xdr:colOff>
      <xdr:row>346</xdr:row>
      <xdr:rowOff>272142</xdr:rowOff>
    </xdr:from>
    <xdr:to>
      <xdr:col>36</xdr:col>
      <xdr:colOff>54429</xdr:colOff>
      <xdr:row>346</xdr:row>
      <xdr:rowOff>272142</xdr:rowOff>
    </xdr:to>
    <xdr:cxnSp macro="">
      <xdr:nvCxnSpPr>
        <xdr:cNvPr id="203" name="Straight Arrow Connector 202">
          <a:extLst>
            <a:ext uri="{FF2B5EF4-FFF2-40B4-BE49-F238E27FC236}">
              <a16:creationId xmlns:a16="http://schemas.microsoft.com/office/drawing/2014/main" id="{9F94B696-CB9C-4B02-B41F-3B5F18FAF7AA}"/>
            </a:ext>
            <a:ext uri="{147F2762-F138-4A5C-976F-8EAC2B608ADB}">
              <a16:predDERef xmlns:a16="http://schemas.microsoft.com/office/drawing/2014/main" pred="{6A33D320-F27B-E0A8-4C99-8558FB7F64DB}"/>
            </a:ext>
          </a:extLst>
        </xdr:cNvPr>
        <xdr:cNvCxnSpPr>
          <a:cxnSpLocks/>
        </xdr:cNvCxnSpPr>
      </xdr:nvCxnSpPr>
      <xdr:spPr bwMode="auto">
        <a:xfrm>
          <a:off x="15199179" y="66566142"/>
          <a:ext cx="688521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13607</xdr:colOff>
      <xdr:row>347</xdr:row>
      <xdr:rowOff>244928</xdr:rowOff>
    </xdr:from>
    <xdr:to>
      <xdr:col>36</xdr:col>
      <xdr:colOff>421822</xdr:colOff>
      <xdr:row>347</xdr:row>
      <xdr:rowOff>244928</xdr:rowOff>
    </xdr:to>
    <xdr:cxnSp macro="">
      <xdr:nvCxnSpPr>
        <xdr:cNvPr id="205" name="Straight Arrow Connector 204">
          <a:extLst>
            <a:ext uri="{FF2B5EF4-FFF2-40B4-BE49-F238E27FC236}">
              <a16:creationId xmlns:a16="http://schemas.microsoft.com/office/drawing/2014/main" id="{1DAB0156-EA62-4DED-832C-5A6F793E9F5A}"/>
            </a:ext>
            <a:ext uri="{147F2762-F138-4A5C-976F-8EAC2B608ADB}">
              <a16:predDERef xmlns:a16="http://schemas.microsoft.com/office/drawing/2014/main" pred="{6A33D320-F27B-E0A8-4C99-8558FB7F64DB}"/>
            </a:ext>
          </a:extLst>
        </xdr:cNvPr>
        <xdr:cNvCxnSpPr>
          <a:cxnSpLocks/>
        </xdr:cNvCxnSpPr>
      </xdr:nvCxnSpPr>
      <xdr:spPr bwMode="auto">
        <a:xfrm>
          <a:off x="22043571" y="67899642"/>
          <a:ext cx="40821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204107</xdr:colOff>
      <xdr:row>195</xdr:row>
      <xdr:rowOff>299358</xdr:rowOff>
    </xdr:from>
    <xdr:to>
      <xdr:col>32</xdr:col>
      <xdr:colOff>571500</xdr:colOff>
      <xdr:row>195</xdr:row>
      <xdr:rowOff>299358</xdr:rowOff>
    </xdr:to>
    <xdr:cxnSp macro="">
      <xdr:nvCxnSpPr>
        <xdr:cNvPr id="213" name="Straight Arrow Connector 212">
          <a:extLst>
            <a:ext uri="{FF2B5EF4-FFF2-40B4-BE49-F238E27FC236}">
              <a16:creationId xmlns:a16="http://schemas.microsoft.com/office/drawing/2014/main" id="{AD818C7E-6405-4CC7-8757-B1E2B694786F}"/>
            </a:ext>
            <a:ext uri="{147F2762-F138-4A5C-976F-8EAC2B608ADB}">
              <a16:predDERef xmlns:a16="http://schemas.microsoft.com/office/drawing/2014/main" pred="{6A33D320-F27B-E0A8-4C99-8558FB7F64DB}"/>
            </a:ext>
          </a:extLst>
        </xdr:cNvPr>
        <xdr:cNvCxnSpPr>
          <a:cxnSpLocks/>
        </xdr:cNvCxnSpPr>
      </xdr:nvCxnSpPr>
      <xdr:spPr bwMode="auto">
        <a:xfrm>
          <a:off x="18682607" y="53435251"/>
          <a:ext cx="151039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775607</xdr:colOff>
      <xdr:row>191</xdr:row>
      <xdr:rowOff>231322</xdr:rowOff>
    </xdr:from>
    <xdr:to>
      <xdr:col>27</xdr:col>
      <xdr:colOff>299357</xdr:colOff>
      <xdr:row>191</xdr:row>
      <xdr:rowOff>231322</xdr:rowOff>
    </xdr:to>
    <xdr:cxnSp macro="">
      <xdr:nvCxnSpPr>
        <xdr:cNvPr id="216" name="Straight Arrow Connector 215">
          <a:extLst>
            <a:ext uri="{FF2B5EF4-FFF2-40B4-BE49-F238E27FC236}">
              <a16:creationId xmlns:a16="http://schemas.microsoft.com/office/drawing/2014/main" id="{4498C6BB-268A-443A-B1C7-2E92BF5D34B6}"/>
            </a:ext>
            <a:ext uri="{147F2762-F138-4A5C-976F-8EAC2B608ADB}">
              <a16:predDERef xmlns:a16="http://schemas.microsoft.com/office/drawing/2014/main" pred="{6A33D320-F27B-E0A8-4C99-8558FB7F64DB}"/>
            </a:ext>
          </a:extLst>
        </xdr:cNvPr>
        <xdr:cNvCxnSpPr>
          <a:cxnSpLocks/>
        </xdr:cNvCxnSpPr>
      </xdr:nvCxnSpPr>
      <xdr:spPr bwMode="auto">
        <a:xfrm>
          <a:off x="8028214" y="52047322"/>
          <a:ext cx="906235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421821</xdr:colOff>
      <xdr:row>192</xdr:row>
      <xdr:rowOff>231321</xdr:rowOff>
    </xdr:from>
    <xdr:to>
      <xdr:col>59</xdr:col>
      <xdr:colOff>598715</xdr:colOff>
      <xdr:row>192</xdr:row>
      <xdr:rowOff>231321</xdr:rowOff>
    </xdr:to>
    <xdr:cxnSp macro="">
      <xdr:nvCxnSpPr>
        <xdr:cNvPr id="22" name="Straight Arrow Connector 21">
          <a:extLst>
            <a:ext uri="{FF2B5EF4-FFF2-40B4-BE49-F238E27FC236}">
              <a16:creationId xmlns:a16="http://schemas.microsoft.com/office/drawing/2014/main" id="{FE66B990-3CD5-4EC6-9C44-4B1213B998D0}"/>
            </a:ext>
            <a:ext uri="{147F2762-F138-4A5C-976F-8EAC2B608ADB}">
              <a16:predDERef xmlns:a16="http://schemas.microsoft.com/office/drawing/2014/main" pred="{6A33D320-F27B-E0A8-4C99-8558FB7F64DB}"/>
            </a:ext>
          </a:extLst>
        </xdr:cNvPr>
        <xdr:cNvCxnSpPr>
          <a:cxnSpLocks/>
        </xdr:cNvCxnSpPr>
      </xdr:nvCxnSpPr>
      <xdr:spPr bwMode="auto">
        <a:xfrm>
          <a:off x="17213035" y="52305857"/>
          <a:ext cx="190363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299358</xdr:colOff>
      <xdr:row>198</xdr:row>
      <xdr:rowOff>272142</xdr:rowOff>
    </xdr:from>
    <xdr:to>
      <xdr:col>39</xdr:col>
      <xdr:colOff>217715</xdr:colOff>
      <xdr:row>198</xdr:row>
      <xdr:rowOff>272142</xdr:rowOff>
    </xdr:to>
    <xdr:cxnSp macro="">
      <xdr:nvCxnSpPr>
        <xdr:cNvPr id="40" name="Straight Arrow Connector 39">
          <a:extLst>
            <a:ext uri="{FF2B5EF4-FFF2-40B4-BE49-F238E27FC236}">
              <a16:creationId xmlns:a16="http://schemas.microsoft.com/office/drawing/2014/main" id="{E74ACC2A-0F78-4392-AF0E-37F76C748693}"/>
            </a:ext>
            <a:ext uri="{147F2762-F138-4A5C-976F-8EAC2B608ADB}">
              <a16:predDERef xmlns:a16="http://schemas.microsoft.com/office/drawing/2014/main" pred="{6A33D320-F27B-E0A8-4C99-8558FB7F64DB}"/>
            </a:ext>
          </a:extLst>
        </xdr:cNvPr>
        <xdr:cNvCxnSpPr>
          <a:cxnSpLocks/>
        </xdr:cNvCxnSpPr>
      </xdr:nvCxnSpPr>
      <xdr:spPr bwMode="auto">
        <a:xfrm>
          <a:off x="22329322" y="54469392"/>
          <a:ext cx="172810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231321</xdr:colOff>
      <xdr:row>199</xdr:row>
      <xdr:rowOff>272143</xdr:rowOff>
    </xdr:from>
    <xdr:to>
      <xdr:col>59</xdr:col>
      <xdr:colOff>625929</xdr:colOff>
      <xdr:row>199</xdr:row>
      <xdr:rowOff>272143</xdr:rowOff>
    </xdr:to>
    <xdr:cxnSp macro="">
      <xdr:nvCxnSpPr>
        <xdr:cNvPr id="45" name="Straight Arrow Connector 44">
          <a:extLst>
            <a:ext uri="{FF2B5EF4-FFF2-40B4-BE49-F238E27FC236}">
              <a16:creationId xmlns:a16="http://schemas.microsoft.com/office/drawing/2014/main" id="{1A03366D-7551-4424-96A6-B3047C202B9D}"/>
            </a:ext>
            <a:ext uri="{147F2762-F138-4A5C-976F-8EAC2B608ADB}">
              <a16:predDERef xmlns:a16="http://schemas.microsoft.com/office/drawing/2014/main" pred="{6A33D320-F27B-E0A8-4C99-8558FB7F64DB}"/>
            </a:ext>
          </a:extLst>
        </xdr:cNvPr>
        <xdr:cNvCxnSpPr>
          <a:cxnSpLocks/>
        </xdr:cNvCxnSpPr>
      </xdr:nvCxnSpPr>
      <xdr:spPr bwMode="auto">
        <a:xfrm>
          <a:off x="24071035" y="54768750"/>
          <a:ext cx="1220560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200</xdr:row>
      <xdr:rowOff>244928</xdr:rowOff>
    </xdr:from>
    <xdr:to>
      <xdr:col>42</xdr:col>
      <xdr:colOff>0</xdr:colOff>
      <xdr:row>200</xdr:row>
      <xdr:rowOff>244928</xdr:rowOff>
    </xdr:to>
    <xdr:cxnSp macro="">
      <xdr:nvCxnSpPr>
        <xdr:cNvPr id="82" name="Straight Arrow Connector 81">
          <a:extLst>
            <a:ext uri="{FF2B5EF4-FFF2-40B4-BE49-F238E27FC236}">
              <a16:creationId xmlns:a16="http://schemas.microsoft.com/office/drawing/2014/main" id="{CC37C2C3-FF5B-4E35-BA4C-FA39A429246E}"/>
            </a:ext>
            <a:ext uri="{147F2762-F138-4A5C-976F-8EAC2B608ADB}">
              <a16:predDERef xmlns:a16="http://schemas.microsoft.com/office/drawing/2014/main" pred="{6A33D320-F27B-E0A8-4C99-8558FB7F64DB}"/>
            </a:ext>
          </a:extLst>
        </xdr:cNvPr>
        <xdr:cNvCxnSpPr>
          <a:cxnSpLocks/>
        </xdr:cNvCxnSpPr>
      </xdr:nvCxnSpPr>
      <xdr:spPr bwMode="auto">
        <a:xfrm>
          <a:off x="8041821" y="55040892"/>
          <a:ext cx="17526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13607</xdr:colOff>
      <xdr:row>201</xdr:row>
      <xdr:rowOff>231322</xdr:rowOff>
    </xdr:from>
    <xdr:to>
      <xdr:col>60</xdr:col>
      <xdr:colOff>0</xdr:colOff>
      <xdr:row>201</xdr:row>
      <xdr:rowOff>231322</xdr:rowOff>
    </xdr:to>
    <xdr:cxnSp macro="">
      <xdr:nvCxnSpPr>
        <xdr:cNvPr id="97" name="Straight Arrow Connector 96">
          <a:extLst>
            <a:ext uri="{FF2B5EF4-FFF2-40B4-BE49-F238E27FC236}">
              <a16:creationId xmlns:a16="http://schemas.microsoft.com/office/drawing/2014/main" id="{3084C725-3FBE-45D6-85FD-877ED79576EE}"/>
            </a:ext>
            <a:ext uri="{147F2762-F138-4A5C-976F-8EAC2B608ADB}">
              <a16:predDERef xmlns:a16="http://schemas.microsoft.com/office/drawing/2014/main" pred="{6A33D320-F27B-E0A8-4C99-8558FB7F64DB}"/>
            </a:ext>
          </a:extLst>
        </xdr:cNvPr>
        <xdr:cNvCxnSpPr>
          <a:cxnSpLocks/>
        </xdr:cNvCxnSpPr>
      </xdr:nvCxnSpPr>
      <xdr:spPr bwMode="auto">
        <a:xfrm>
          <a:off x="25581428" y="55326643"/>
          <a:ext cx="1072242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39</xdr:col>
      <xdr:colOff>163284</xdr:colOff>
      <xdr:row>323</xdr:row>
      <xdr:rowOff>0</xdr:rowOff>
    </xdr:from>
    <xdr:to>
      <xdr:col>39</xdr:col>
      <xdr:colOff>163284</xdr:colOff>
      <xdr:row>338</xdr:row>
      <xdr:rowOff>204107</xdr:rowOff>
    </xdr:to>
    <xdr:cxnSp macro="">
      <xdr:nvCxnSpPr>
        <xdr:cNvPr id="110" name="Straight Arrow Connector 1822">
          <a:extLst>
            <a:ext uri="{FF2B5EF4-FFF2-40B4-BE49-F238E27FC236}">
              <a16:creationId xmlns:a16="http://schemas.microsoft.com/office/drawing/2014/main" id="{02F73062-42EC-424E-9762-072DE2A3F45F}"/>
            </a:ext>
          </a:extLst>
        </xdr:cNvPr>
        <xdr:cNvCxnSpPr/>
      </xdr:nvCxnSpPr>
      <xdr:spPr>
        <a:xfrm>
          <a:off x="24002998" y="59898643"/>
          <a:ext cx="0" cy="5265964"/>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381000</xdr:colOff>
      <xdr:row>340</xdr:row>
      <xdr:rowOff>231322</xdr:rowOff>
    </xdr:from>
    <xdr:to>
      <xdr:col>36</xdr:col>
      <xdr:colOff>381000</xdr:colOff>
      <xdr:row>347</xdr:row>
      <xdr:rowOff>272143</xdr:rowOff>
    </xdr:to>
    <xdr:cxnSp macro="">
      <xdr:nvCxnSpPr>
        <xdr:cNvPr id="144" name="Straight Arrow Connector 1822">
          <a:extLst>
            <a:ext uri="{FF2B5EF4-FFF2-40B4-BE49-F238E27FC236}">
              <a16:creationId xmlns:a16="http://schemas.microsoft.com/office/drawing/2014/main" id="{B66675BD-7F3B-4B7D-B59D-4D63C48C3782}"/>
            </a:ext>
          </a:extLst>
        </xdr:cNvPr>
        <xdr:cNvCxnSpPr/>
      </xdr:nvCxnSpPr>
      <xdr:spPr>
        <a:xfrm flipV="1">
          <a:off x="22410964" y="65790536"/>
          <a:ext cx="0" cy="2136321"/>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369</xdr:row>
      <xdr:rowOff>258535</xdr:rowOff>
    </xdr:from>
    <xdr:to>
      <xdr:col>24</xdr:col>
      <xdr:colOff>326571</xdr:colOff>
      <xdr:row>369</xdr:row>
      <xdr:rowOff>258535</xdr:rowOff>
    </xdr:to>
    <xdr:cxnSp macro="">
      <xdr:nvCxnSpPr>
        <xdr:cNvPr id="156" name="Straight Arrow Connector 155">
          <a:extLst>
            <a:ext uri="{FF2B5EF4-FFF2-40B4-BE49-F238E27FC236}">
              <a16:creationId xmlns:a16="http://schemas.microsoft.com/office/drawing/2014/main" id="{903C4BBD-50D8-4DF1-AA3A-E161E89EDF89}"/>
            </a:ext>
            <a:ext uri="{147F2762-F138-4A5C-976F-8EAC2B608ADB}">
              <a16:predDERef xmlns:a16="http://schemas.microsoft.com/office/drawing/2014/main" pred="{6A33D320-F27B-E0A8-4C99-8558FB7F64DB}"/>
            </a:ext>
          </a:extLst>
        </xdr:cNvPr>
        <xdr:cNvCxnSpPr>
          <a:cxnSpLocks/>
        </xdr:cNvCxnSpPr>
      </xdr:nvCxnSpPr>
      <xdr:spPr bwMode="auto">
        <a:xfrm>
          <a:off x="8041821" y="74471892"/>
          <a:ext cx="7239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340178</xdr:colOff>
      <xdr:row>349</xdr:row>
      <xdr:rowOff>272142</xdr:rowOff>
    </xdr:from>
    <xdr:to>
      <xdr:col>24</xdr:col>
      <xdr:colOff>340178</xdr:colOff>
      <xdr:row>369</xdr:row>
      <xdr:rowOff>272142</xdr:rowOff>
    </xdr:to>
    <xdr:cxnSp macro="">
      <xdr:nvCxnSpPr>
        <xdr:cNvPr id="161" name="Straight Arrow Connector 1822">
          <a:extLst>
            <a:ext uri="{FF2B5EF4-FFF2-40B4-BE49-F238E27FC236}">
              <a16:creationId xmlns:a16="http://schemas.microsoft.com/office/drawing/2014/main" id="{4B757B15-6481-4442-A8DF-A11133249685}"/>
            </a:ext>
          </a:extLst>
        </xdr:cNvPr>
        <xdr:cNvCxnSpPr/>
      </xdr:nvCxnSpPr>
      <xdr:spPr>
        <a:xfrm flipV="1">
          <a:off x="15294428" y="68525571"/>
          <a:ext cx="0" cy="5959928"/>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340179</xdr:colOff>
      <xdr:row>349</xdr:row>
      <xdr:rowOff>244929</xdr:rowOff>
    </xdr:from>
    <xdr:to>
      <xdr:col>36</xdr:col>
      <xdr:colOff>149679</xdr:colOff>
      <xdr:row>349</xdr:row>
      <xdr:rowOff>244929</xdr:rowOff>
    </xdr:to>
    <xdr:cxnSp macro="">
      <xdr:nvCxnSpPr>
        <xdr:cNvPr id="168" name="Straight Arrow Connector 167">
          <a:extLst>
            <a:ext uri="{FF2B5EF4-FFF2-40B4-BE49-F238E27FC236}">
              <a16:creationId xmlns:a16="http://schemas.microsoft.com/office/drawing/2014/main" id="{681F60A9-7DC2-459A-AEFF-14CE9663A1CF}"/>
            </a:ext>
            <a:ext uri="{147F2762-F138-4A5C-976F-8EAC2B608ADB}">
              <a16:predDERef xmlns:a16="http://schemas.microsoft.com/office/drawing/2014/main" pred="{6A33D320-F27B-E0A8-4C99-8558FB7F64DB}"/>
            </a:ext>
          </a:extLst>
        </xdr:cNvPr>
        <xdr:cNvCxnSpPr>
          <a:cxnSpLocks/>
        </xdr:cNvCxnSpPr>
      </xdr:nvCxnSpPr>
      <xdr:spPr bwMode="auto">
        <a:xfrm>
          <a:off x="15294429" y="68498358"/>
          <a:ext cx="688521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136071</xdr:colOff>
      <xdr:row>350</xdr:row>
      <xdr:rowOff>244928</xdr:rowOff>
    </xdr:from>
    <xdr:to>
      <xdr:col>54</xdr:col>
      <xdr:colOff>163286</xdr:colOff>
      <xdr:row>350</xdr:row>
      <xdr:rowOff>244928</xdr:rowOff>
    </xdr:to>
    <xdr:cxnSp macro="">
      <xdr:nvCxnSpPr>
        <xdr:cNvPr id="172" name="Straight Arrow Connector 171">
          <a:extLst>
            <a:ext uri="{FF2B5EF4-FFF2-40B4-BE49-F238E27FC236}">
              <a16:creationId xmlns:a16="http://schemas.microsoft.com/office/drawing/2014/main" id="{E1297D26-711E-4607-9ED0-B6B0D4351B66}"/>
            </a:ext>
            <a:ext uri="{147F2762-F138-4A5C-976F-8EAC2B608ADB}">
              <a16:predDERef xmlns:a16="http://schemas.microsoft.com/office/drawing/2014/main" pred="{6A33D320-F27B-E0A8-4C99-8558FB7F64DB}"/>
            </a:ext>
          </a:extLst>
        </xdr:cNvPr>
        <xdr:cNvCxnSpPr>
          <a:cxnSpLocks/>
        </xdr:cNvCxnSpPr>
      </xdr:nvCxnSpPr>
      <xdr:spPr bwMode="auto">
        <a:xfrm>
          <a:off x="22166035" y="68797714"/>
          <a:ext cx="1066800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54</xdr:col>
      <xdr:colOff>122465</xdr:colOff>
      <xdr:row>351</xdr:row>
      <xdr:rowOff>258535</xdr:rowOff>
    </xdr:from>
    <xdr:to>
      <xdr:col>59</xdr:col>
      <xdr:colOff>639536</xdr:colOff>
      <xdr:row>351</xdr:row>
      <xdr:rowOff>258535</xdr:rowOff>
    </xdr:to>
    <xdr:cxnSp macro="">
      <xdr:nvCxnSpPr>
        <xdr:cNvPr id="178" name="Straight Arrow Connector 177">
          <a:extLst>
            <a:ext uri="{FF2B5EF4-FFF2-40B4-BE49-F238E27FC236}">
              <a16:creationId xmlns:a16="http://schemas.microsoft.com/office/drawing/2014/main" id="{DCC35D5E-A045-4DF7-BE50-584F38D5D1A7}"/>
            </a:ext>
            <a:ext uri="{147F2762-F138-4A5C-976F-8EAC2B608ADB}">
              <a16:predDERef xmlns:a16="http://schemas.microsoft.com/office/drawing/2014/main" pred="{6A33D320-F27B-E0A8-4C99-8558FB7F64DB}"/>
            </a:ext>
          </a:extLst>
        </xdr:cNvPr>
        <xdr:cNvCxnSpPr>
          <a:cxnSpLocks/>
        </xdr:cNvCxnSpPr>
      </xdr:nvCxnSpPr>
      <xdr:spPr bwMode="auto">
        <a:xfrm>
          <a:off x="32793215" y="69110678"/>
          <a:ext cx="349703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27214</xdr:colOff>
      <xdr:row>322</xdr:row>
      <xdr:rowOff>244930</xdr:rowOff>
    </xdr:from>
    <xdr:to>
      <xdr:col>47</xdr:col>
      <xdr:colOff>489857</xdr:colOff>
      <xdr:row>322</xdr:row>
      <xdr:rowOff>244930</xdr:rowOff>
    </xdr:to>
    <xdr:cxnSp macro="">
      <xdr:nvCxnSpPr>
        <xdr:cNvPr id="182" name="Straight Arrow Connector 181">
          <a:extLst>
            <a:ext uri="{FF2B5EF4-FFF2-40B4-BE49-F238E27FC236}">
              <a16:creationId xmlns:a16="http://schemas.microsoft.com/office/drawing/2014/main" id="{F4C9FE19-EC1A-4157-9C37-22CC2FBAD2BE}"/>
            </a:ext>
            <a:ext uri="{147F2762-F138-4A5C-976F-8EAC2B608ADB}">
              <a16:predDERef xmlns:a16="http://schemas.microsoft.com/office/drawing/2014/main" pred="{6A33D320-F27B-E0A8-4C99-8558FB7F64DB}"/>
            </a:ext>
          </a:extLst>
        </xdr:cNvPr>
        <xdr:cNvCxnSpPr>
          <a:cxnSpLocks/>
        </xdr:cNvCxnSpPr>
      </xdr:nvCxnSpPr>
      <xdr:spPr bwMode="auto">
        <a:xfrm>
          <a:off x="11253107" y="62919430"/>
          <a:ext cx="174171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285750</xdr:colOff>
      <xdr:row>321</xdr:row>
      <xdr:rowOff>353785</xdr:rowOff>
    </xdr:from>
    <xdr:to>
      <xdr:col>36</xdr:col>
      <xdr:colOff>285750</xdr:colOff>
      <xdr:row>322</xdr:row>
      <xdr:rowOff>244928</xdr:rowOff>
    </xdr:to>
    <xdr:cxnSp macro="">
      <xdr:nvCxnSpPr>
        <xdr:cNvPr id="186" name="Straight Arrow Connector 1822">
          <a:extLst>
            <a:ext uri="{FF2B5EF4-FFF2-40B4-BE49-F238E27FC236}">
              <a16:creationId xmlns:a16="http://schemas.microsoft.com/office/drawing/2014/main" id="{AF37DE14-6293-494C-8226-D6AC72CF8CA9}"/>
            </a:ext>
          </a:extLst>
        </xdr:cNvPr>
        <xdr:cNvCxnSpPr/>
      </xdr:nvCxnSpPr>
      <xdr:spPr>
        <a:xfrm>
          <a:off x="22315714" y="59463214"/>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231322</xdr:colOff>
      <xdr:row>320</xdr:row>
      <xdr:rowOff>272144</xdr:rowOff>
    </xdr:from>
    <xdr:to>
      <xdr:col>18</xdr:col>
      <xdr:colOff>231322</xdr:colOff>
      <xdr:row>321</xdr:row>
      <xdr:rowOff>353786</xdr:rowOff>
    </xdr:to>
    <xdr:cxnSp macro="">
      <xdr:nvCxnSpPr>
        <xdr:cNvPr id="192" name="Straight Arrow Connector 1822">
          <a:extLst>
            <a:ext uri="{FF2B5EF4-FFF2-40B4-BE49-F238E27FC236}">
              <a16:creationId xmlns:a16="http://schemas.microsoft.com/office/drawing/2014/main" id="{25C3C646-2BE9-4C47-9F23-5B65ADEA78AF}"/>
            </a:ext>
          </a:extLst>
        </xdr:cNvPr>
        <xdr:cNvCxnSpPr/>
      </xdr:nvCxnSpPr>
      <xdr:spPr>
        <a:xfrm>
          <a:off x="11661322" y="59082215"/>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108857</xdr:colOff>
      <xdr:row>326</xdr:row>
      <xdr:rowOff>231321</xdr:rowOff>
    </xdr:from>
    <xdr:to>
      <xdr:col>27</xdr:col>
      <xdr:colOff>108857</xdr:colOff>
      <xdr:row>328</xdr:row>
      <xdr:rowOff>13606</xdr:rowOff>
    </xdr:to>
    <xdr:cxnSp macro="">
      <xdr:nvCxnSpPr>
        <xdr:cNvPr id="194" name="Straight Arrow Connector 1822">
          <a:extLst>
            <a:ext uri="{FF2B5EF4-FFF2-40B4-BE49-F238E27FC236}">
              <a16:creationId xmlns:a16="http://schemas.microsoft.com/office/drawing/2014/main" id="{F1CCB0EC-71A8-4B94-8C7E-DFAEF8787020}"/>
            </a:ext>
          </a:extLst>
        </xdr:cNvPr>
        <xdr:cNvCxnSpPr/>
      </xdr:nvCxnSpPr>
      <xdr:spPr>
        <a:xfrm>
          <a:off x="16900071" y="61218535"/>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571500</xdr:colOff>
      <xdr:row>327</xdr:row>
      <xdr:rowOff>244929</xdr:rowOff>
    </xdr:from>
    <xdr:to>
      <xdr:col>38</xdr:col>
      <xdr:colOff>571500</xdr:colOff>
      <xdr:row>329</xdr:row>
      <xdr:rowOff>27214</xdr:rowOff>
    </xdr:to>
    <xdr:cxnSp macro="">
      <xdr:nvCxnSpPr>
        <xdr:cNvPr id="196" name="Straight Arrow Connector 1822">
          <a:extLst>
            <a:ext uri="{FF2B5EF4-FFF2-40B4-BE49-F238E27FC236}">
              <a16:creationId xmlns:a16="http://schemas.microsoft.com/office/drawing/2014/main" id="{1773524B-BE70-4C0E-9683-FAE19AB5AF0E}"/>
            </a:ext>
          </a:extLst>
        </xdr:cNvPr>
        <xdr:cNvCxnSpPr/>
      </xdr:nvCxnSpPr>
      <xdr:spPr>
        <a:xfrm>
          <a:off x="23785286" y="61531500"/>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136071</xdr:colOff>
      <xdr:row>332</xdr:row>
      <xdr:rowOff>204107</xdr:rowOff>
    </xdr:from>
    <xdr:to>
      <xdr:col>30</xdr:col>
      <xdr:colOff>136071</xdr:colOff>
      <xdr:row>333</xdr:row>
      <xdr:rowOff>285750</xdr:rowOff>
    </xdr:to>
    <xdr:cxnSp macro="">
      <xdr:nvCxnSpPr>
        <xdr:cNvPr id="197" name="Straight Arrow Connector 1822">
          <a:extLst>
            <a:ext uri="{FF2B5EF4-FFF2-40B4-BE49-F238E27FC236}">
              <a16:creationId xmlns:a16="http://schemas.microsoft.com/office/drawing/2014/main" id="{8D885C30-13DF-452E-9960-0D4AA8338B54}"/>
            </a:ext>
          </a:extLst>
        </xdr:cNvPr>
        <xdr:cNvCxnSpPr/>
      </xdr:nvCxnSpPr>
      <xdr:spPr>
        <a:xfrm>
          <a:off x="18614571" y="62987464"/>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136071</xdr:colOff>
      <xdr:row>330</xdr:row>
      <xdr:rowOff>231321</xdr:rowOff>
    </xdr:from>
    <xdr:to>
      <xdr:col>24</xdr:col>
      <xdr:colOff>136071</xdr:colOff>
      <xdr:row>332</xdr:row>
      <xdr:rowOff>13607</xdr:rowOff>
    </xdr:to>
    <xdr:cxnSp macro="">
      <xdr:nvCxnSpPr>
        <xdr:cNvPr id="200" name="Straight Arrow Connector 1822">
          <a:extLst>
            <a:ext uri="{FF2B5EF4-FFF2-40B4-BE49-F238E27FC236}">
              <a16:creationId xmlns:a16="http://schemas.microsoft.com/office/drawing/2014/main" id="{637FF944-19DB-48F3-A44A-86799E1209A1}"/>
            </a:ext>
          </a:extLst>
        </xdr:cNvPr>
        <xdr:cNvCxnSpPr/>
      </xdr:nvCxnSpPr>
      <xdr:spPr>
        <a:xfrm>
          <a:off x="15090321" y="62415964"/>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84364</xdr:colOff>
      <xdr:row>331</xdr:row>
      <xdr:rowOff>220436</xdr:rowOff>
    </xdr:from>
    <xdr:to>
      <xdr:col>27</xdr:col>
      <xdr:colOff>84364</xdr:colOff>
      <xdr:row>333</xdr:row>
      <xdr:rowOff>2722</xdr:rowOff>
    </xdr:to>
    <xdr:cxnSp macro="">
      <xdr:nvCxnSpPr>
        <xdr:cNvPr id="202" name="Straight Arrow Connector 1822">
          <a:extLst>
            <a:ext uri="{FF2B5EF4-FFF2-40B4-BE49-F238E27FC236}">
              <a16:creationId xmlns:a16="http://schemas.microsoft.com/office/drawing/2014/main" id="{A0CB8D08-46AC-4B2A-95A8-D8A3A893F214}"/>
            </a:ext>
          </a:extLst>
        </xdr:cNvPr>
        <xdr:cNvCxnSpPr/>
      </xdr:nvCxnSpPr>
      <xdr:spPr>
        <a:xfrm>
          <a:off x="16875578" y="62704436"/>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517071</xdr:colOff>
      <xdr:row>333</xdr:row>
      <xdr:rowOff>244929</xdr:rowOff>
    </xdr:from>
    <xdr:to>
      <xdr:col>50</xdr:col>
      <xdr:colOff>517071</xdr:colOff>
      <xdr:row>335</xdr:row>
      <xdr:rowOff>27214</xdr:rowOff>
    </xdr:to>
    <xdr:cxnSp macro="">
      <xdr:nvCxnSpPr>
        <xdr:cNvPr id="204" name="Straight Arrow Connector 1822">
          <a:extLst>
            <a:ext uri="{FF2B5EF4-FFF2-40B4-BE49-F238E27FC236}">
              <a16:creationId xmlns:a16="http://schemas.microsoft.com/office/drawing/2014/main" id="{EC9B04F7-A3BB-4FCC-869A-2439636F1EDB}"/>
            </a:ext>
          </a:extLst>
        </xdr:cNvPr>
        <xdr:cNvCxnSpPr/>
      </xdr:nvCxnSpPr>
      <xdr:spPr>
        <a:xfrm>
          <a:off x="30901821" y="63327643"/>
          <a:ext cx="0" cy="38100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190500</xdr:colOff>
      <xdr:row>380</xdr:row>
      <xdr:rowOff>258536</xdr:rowOff>
    </xdr:from>
    <xdr:to>
      <xdr:col>41</xdr:col>
      <xdr:colOff>549088</xdr:colOff>
      <xdr:row>380</xdr:row>
      <xdr:rowOff>258536</xdr:rowOff>
    </xdr:to>
    <xdr:cxnSp macro="">
      <xdr:nvCxnSpPr>
        <xdr:cNvPr id="214" name="Straight Arrow Connector 213">
          <a:extLst>
            <a:ext uri="{FF2B5EF4-FFF2-40B4-BE49-F238E27FC236}">
              <a16:creationId xmlns:a16="http://schemas.microsoft.com/office/drawing/2014/main" id="{3DD58D61-BA25-4482-A822-0E2111E116F1}"/>
            </a:ext>
            <a:ext uri="{147F2762-F138-4A5C-976F-8EAC2B608ADB}">
              <a16:predDERef xmlns:a16="http://schemas.microsoft.com/office/drawing/2014/main" pred="{6A33D320-F27B-E0A8-4C99-8558FB7F64DB}"/>
            </a:ext>
          </a:extLst>
        </xdr:cNvPr>
        <xdr:cNvCxnSpPr>
          <a:cxnSpLocks/>
        </xdr:cNvCxnSpPr>
      </xdr:nvCxnSpPr>
      <xdr:spPr bwMode="auto">
        <a:xfrm>
          <a:off x="11171464" y="76499357"/>
          <a:ext cx="1399294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26413</xdr:colOff>
      <xdr:row>382</xdr:row>
      <xdr:rowOff>247329</xdr:rowOff>
    </xdr:from>
    <xdr:to>
      <xdr:col>20</xdr:col>
      <xdr:colOff>560294</xdr:colOff>
      <xdr:row>382</xdr:row>
      <xdr:rowOff>247329</xdr:rowOff>
    </xdr:to>
    <xdr:cxnSp macro="">
      <xdr:nvCxnSpPr>
        <xdr:cNvPr id="217" name="Straight Arrow Connector 216">
          <a:extLst>
            <a:ext uri="{FF2B5EF4-FFF2-40B4-BE49-F238E27FC236}">
              <a16:creationId xmlns:a16="http://schemas.microsoft.com/office/drawing/2014/main" id="{914CAD47-18A9-4021-B3B4-EC8CCCE5BFD2}"/>
            </a:ext>
            <a:ext uri="{147F2762-F138-4A5C-976F-8EAC2B608ADB}">
              <a16:predDERef xmlns:a16="http://schemas.microsoft.com/office/drawing/2014/main" pred="{6A33D320-F27B-E0A8-4C99-8558FB7F64DB}"/>
            </a:ext>
          </a:extLst>
        </xdr:cNvPr>
        <xdr:cNvCxnSpPr>
          <a:cxnSpLocks/>
        </xdr:cNvCxnSpPr>
      </xdr:nvCxnSpPr>
      <xdr:spPr bwMode="auto">
        <a:xfrm>
          <a:off x="7265413" y="74856094"/>
          <a:ext cx="504985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40822</xdr:colOff>
      <xdr:row>383</xdr:row>
      <xdr:rowOff>231321</xdr:rowOff>
    </xdr:from>
    <xdr:to>
      <xdr:col>59</xdr:col>
      <xdr:colOff>598715</xdr:colOff>
      <xdr:row>383</xdr:row>
      <xdr:rowOff>231321</xdr:rowOff>
    </xdr:to>
    <xdr:cxnSp macro="">
      <xdr:nvCxnSpPr>
        <xdr:cNvPr id="220" name="Straight Arrow Connector 219">
          <a:extLst>
            <a:ext uri="{FF2B5EF4-FFF2-40B4-BE49-F238E27FC236}">
              <a16:creationId xmlns:a16="http://schemas.microsoft.com/office/drawing/2014/main" id="{97496914-B162-4E90-8AD6-90D1F67CA357}"/>
            </a:ext>
            <a:ext uri="{147F2762-F138-4A5C-976F-8EAC2B608ADB}">
              <a16:predDERef xmlns:a16="http://schemas.microsoft.com/office/drawing/2014/main" pred="{6A33D320-F27B-E0A8-4C99-8558FB7F64DB}"/>
            </a:ext>
          </a:extLst>
        </xdr:cNvPr>
        <xdr:cNvCxnSpPr>
          <a:cxnSpLocks/>
        </xdr:cNvCxnSpPr>
      </xdr:nvCxnSpPr>
      <xdr:spPr bwMode="auto">
        <a:xfrm>
          <a:off x="8626929" y="72036214"/>
          <a:ext cx="737507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13607</xdr:colOff>
      <xdr:row>384</xdr:row>
      <xdr:rowOff>163286</xdr:rowOff>
    </xdr:from>
    <xdr:to>
      <xdr:col>51</xdr:col>
      <xdr:colOff>136072</xdr:colOff>
      <xdr:row>384</xdr:row>
      <xdr:rowOff>163286</xdr:rowOff>
    </xdr:to>
    <xdr:cxnSp macro="">
      <xdr:nvCxnSpPr>
        <xdr:cNvPr id="223" name="Straight Arrow Connector 222">
          <a:extLst>
            <a:ext uri="{FF2B5EF4-FFF2-40B4-BE49-F238E27FC236}">
              <a16:creationId xmlns:a16="http://schemas.microsoft.com/office/drawing/2014/main" id="{63B4B9B8-B6D4-4BFC-9227-6E85FB21F194}"/>
            </a:ext>
            <a:ext uri="{147F2762-F138-4A5C-976F-8EAC2B608ADB}">
              <a16:predDERef xmlns:a16="http://schemas.microsoft.com/office/drawing/2014/main" pred="{6A33D320-F27B-E0A8-4C99-8558FB7F64DB}"/>
            </a:ext>
          </a:extLst>
        </xdr:cNvPr>
        <xdr:cNvCxnSpPr>
          <a:cxnSpLocks/>
        </xdr:cNvCxnSpPr>
      </xdr:nvCxnSpPr>
      <xdr:spPr bwMode="auto">
        <a:xfrm>
          <a:off x="14600464" y="77601536"/>
          <a:ext cx="1613807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108857</xdr:colOff>
      <xdr:row>385</xdr:row>
      <xdr:rowOff>217714</xdr:rowOff>
    </xdr:from>
    <xdr:to>
      <xdr:col>60</xdr:col>
      <xdr:colOff>13607</xdr:colOff>
      <xdr:row>385</xdr:row>
      <xdr:rowOff>217714</xdr:rowOff>
    </xdr:to>
    <xdr:cxnSp macro="">
      <xdr:nvCxnSpPr>
        <xdr:cNvPr id="226" name="Straight Arrow Connector 225">
          <a:extLst>
            <a:ext uri="{FF2B5EF4-FFF2-40B4-BE49-F238E27FC236}">
              <a16:creationId xmlns:a16="http://schemas.microsoft.com/office/drawing/2014/main" id="{DAC4CE9F-885A-469F-B78B-C9DB97F3137F}"/>
            </a:ext>
            <a:ext uri="{147F2762-F138-4A5C-976F-8EAC2B608ADB}">
              <a16:predDERef xmlns:a16="http://schemas.microsoft.com/office/drawing/2014/main" pred="{6A33D320-F27B-E0A8-4C99-8558FB7F64DB}"/>
            </a:ext>
          </a:extLst>
        </xdr:cNvPr>
        <xdr:cNvCxnSpPr>
          <a:cxnSpLocks/>
        </xdr:cNvCxnSpPr>
      </xdr:nvCxnSpPr>
      <xdr:spPr bwMode="auto">
        <a:xfrm>
          <a:off x="31078714" y="78758143"/>
          <a:ext cx="52387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54429</xdr:colOff>
      <xdr:row>386</xdr:row>
      <xdr:rowOff>176892</xdr:rowOff>
    </xdr:from>
    <xdr:to>
      <xdr:col>59</xdr:col>
      <xdr:colOff>557893</xdr:colOff>
      <xdr:row>386</xdr:row>
      <xdr:rowOff>176892</xdr:rowOff>
    </xdr:to>
    <xdr:cxnSp macro="">
      <xdr:nvCxnSpPr>
        <xdr:cNvPr id="228" name="Straight Arrow Connector 227">
          <a:extLst>
            <a:ext uri="{FF2B5EF4-FFF2-40B4-BE49-F238E27FC236}">
              <a16:creationId xmlns:a16="http://schemas.microsoft.com/office/drawing/2014/main" id="{E28E8FC6-BCC2-4D3F-B83D-F25A54512B64}"/>
            </a:ext>
            <a:ext uri="{147F2762-F138-4A5C-976F-8EAC2B608ADB}">
              <a16:predDERef xmlns:a16="http://schemas.microsoft.com/office/drawing/2014/main" pred="{6A33D320-F27B-E0A8-4C99-8558FB7F64DB}"/>
            </a:ext>
          </a:extLst>
        </xdr:cNvPr>
        <xdr:cNvCxnSpPr>
          <a:cxnSpLocks/>
        </xdr:cNvCxnSpPr>
      </xdr:nvCxnSpPr>
      <xdr:spPr bwMode="auto">
        <a:xfrm>
          <a:off x="18165536" y="78064178"/>
          <a:ext cx="1767567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0</xdr:colOff>
      <xdr:row>390</xdr:row>
      <xdr:rowOff>176893</xdr:rowOff>
    </xdr:from>
    <xdr:to>
      <xdr:col>60</xdr:col>
      <xdr:colOff>0</xdr:colOff>
      <xdr:row>390</xdr:row>
      <xdr:rowOff>176893</xdr:rowOff>
    </xdr:to>
    <xdr:cxnSp macro="">
      <xdr:nvCxnSpPr>
        <xdr:cNvPr id="232" name="Straight Arrow Connector 231">
          <a:extLst>
            <a:ext uri="{FF2B5EF4-FFF2-40B4-BE49-F238E27FC236}">
              <a16:creationId xmlns:a16="http://schemas.microsoft.com/office/drawing/2014/main" id="{85905DB3-94F3-4674-94D5-1800B41CA9AC}"/>
            </a:ext>
            <a:ext uri="{147F2762-F138-4A5C-976F-8EAC2B608ADB}">
              <a16:predDERef xmlns:a16="http://schemas.microsoft.com/office/drawing/2014/main" pred="{6A33D320-F27B-E0A8-4C99-8558FB7F64DB}"/>
            </a:ext>
          </a:extLst>
        </xdr:cNvPr>
        <xdr:cNvCxnSpPr>
          <a:cxnSpLocks/>
        </xdr:cNvCxnSpPr>
      </xdr:nvCxnSpPr>
      <xdr:spPr bwMode="auto">
        <a:xfrm>
          <a:off x="30211059" y="76825128"/>
          <a:ext cx="534520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272143</xdr:colOff>
      <xdr:row>387</xdr:row>
      <xdr:rowOff>249252</xdr:rowOff>
    </xdr:from>
    <xdr:to>
      <xdr:col>48</xdr:col>
      <xdr:colOff>336176</xdr:colOff>
      <xdr:row>387</xdr:row>
      <xdr:rowOff>249252</xdr:rowOff>
    </xdr:to>
    <xdr:cxnSp macro="">
      <xdr:nvCxnSpPr>
        <xdr:cNvPr id="233" name="Straight Arrow Connector 232">
          <a:extLst>
            <a:ext uri="{FF2B5EF4-FFF2-40B4-BE49-F238E27FC236}">
              <a16:creationId xmlns:a16="http://schemas.microsoft.com/office/drawing/2014/main" id="{2B36F64B-384B-4FB7-B658-1625ED5A2847}"/>
            </a:ext>
            <a:ext uri="{147F2762-F138-4A5C-976F-8EAC2B608ADB}">
              <a16:predDERef xmlns:a16="http://schemas.microsoft.com/office/drawing/2014/main" pred="{6A33D320-F27B-E0A8-4C99-8558FB7F64DB}"/>
            </a:ext>
          </a:extLst>
        </xdr:cNvPr>
        <xdr:cNvCxnSpPr>
          <a:cxnSpLocks/>
        </xdr:cNvCxnSpPr>
      </xdr:nvCxnSpPr>
      <xdr:spPr bwMode="auto">
        <a:xfrm>
          <a:off x="14859000" y="78340645"/>
          <a:ext cx="1439235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136071</xdr:colOff>
      <xdr:row>393</xdr:row>
      <xdr:rowOff>190500</xdr:rowOff>
    </xdr:from>
    <xdr:to>
      <xdr:col>43</xdr:col>
      <xdr:colOff>582706</xdr:colOff>
      <xdr:row>393</xdr:row>
      <xdr:rowOff>190500</xdr:rowOff>
    </xdr:to>
    <xdr:cxnSp macro="">
      <xdr:nvCxnSpPr>
        <xdr:cNvPr id="241" name="Straight Arrow Connector 240">
          <a:extLst>
            <a:ext uri="{FF2B5EF4-FFF2-40B4-BE49-F238E27FC236}">
              <a16:creationId xmlns:a16="http://schemas.microsoft.com/office/drawing/2014/main" id="{DB029EB0-2153-41A8-95DD-0785C5E7F687}"/>
            </a:ext>
            <a:ext uri="{147F2762-F138-4A5C-976F-8EAC2B608ADB}">
              <a16:predDERef xmlns:a16="http://schemas.microsoft.com/office/drawing/2014/main" pred="{6A33D320-F27B-E0A8-4C99-8558FB7F64DB}"/>
            </a:ext>
          </a:extLst>
        </xdr:cNvPr>
        <xdr:cNvCxnSpPr>
          <a:cxnSpLocks/>
        </xdr:cNvCxnSpPr>
      </xdr:nvCxnSpPr>
      <xdr:spPr bwMode="auto">
        <a:xfrm>
          <a:off x="14722928" y="79833107"/>
          <a:ext cx="1169974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22412</xdr:colOff>
      <xdr:row>394</xdr:row>
      <xdr:rowOff>204107</xdr:rowOff>
    </xdr:from>
    <xdr:to>
      <xdr:col>18</xdr:col>
      <xdr:colOff>212912</xdr:colOff>
      <xdr:row>394</xdr:row>
      <xdr:rowOff>204107</xdr:rowOff>
    </xdr:to>
    <xdr:cxnSp macro="">
      <xdr:nvCxnSpPr>
        <xdr:cNvPr id="245" name="Straight Arrow Connector 244">
          <a:extLst>
            <a:ext uri="{FF2B5EF4-FFF2-40B4-BE49-F238E27FC236}">
              <a16:creationId xmlns:a16="http://schemas.microsoft.com/office/drawing/2014/main" id="{52F10C70-7C19-46A8-B7EF-5C124110AE94}"/>
            </a:ext>
            <a:ext uri="{147F2762-F138-4A5C-976F-8EAC2B608ADB}">
              <a16:predDERef xmlns:a16="http://schemas.microsoft.com/office/drawing/2014/main" pred="{6A33D320-F27B-E0A8-4C99-8558FB7F64DB}"/>
            </a:ext>
          </a:extLst>
        </xdr:cNvPr>
        <xdr:cNvCxnSpPr>
          <a:cxnSpLocks/>
        </xdr:cNvCxnSpPr>
      </xdr:nvCxnSpPr>
      <xdr:spPr bwMode="auto">
        <a:xfrm>
          <a:off x="7563971" y="74812872"/>
          <a:ext cx="36195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280147</xdr:colOff>
      <xdr:row>395</xdr:row>
      <xdr:rowOff>185698</xdr:rowOff>
    </xdr:from>
    <xdr:to>
      <xdr:col>36</xdr:col>
      <xdr:colOff>0</xdr:colOff>
      <xdr:row>395</xdr:row>
      <xdr:rowOff>185698</xdr:rowOff>
    </xdr:to>
    <xdr:cxnSp macro="">
      <xdr:nvCxnSpPr>
        <xdr:cNvPr id="247" name="Straight Arrow Connector 246">
          <a:extLst>
            <a:ext uri="{FF2B5EF4-FFF2-40B4-BE49-F238E27FC236}">
              <a16:creationId xmlns:a16="http://schemas.microsoft.com/office/drawing/2014/main" id="{E581D433-A0C7-49A9-8AD9-0E9A4F77CC55}"/>
            </a:ext>
            <a:ext uri="{147F2762-F138-4A5C-976F-8EAC2B608ADB}">
              <a16:predDERef xmlns:a16="http://schemas.microsoft.com/office/drawing/2014/main" pred="{6A33D320-F27B-E0A8-4C99-8558FB7F64DB}"/>
            </a:ext>
          </a:extLst>
        </xdr:cNvPr>
        <xdr:cNvCxnSpPr>
          <a:cxnSpLocks/>
        </xdr:cNvCxnSpPr>
      </xdr:nvCxnSpPr>
      <xdr:spPr bwMode="auto">
        <a:xfrm>
          <a:off x="11250706" y="75040992"/>
          <a:ext cx="51322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40821</xdr:colOff>
      <xdr:row>185</xdr:row>
      <xdr:rowOff>258535</xdr:rowOff>
    </xdr:from>
    <xdr:to>
      <xdr:col>35</xdr:col>
      <xdr:colOff>571500</xdr:colOff>
      <xdr:row>185</xdr:row>
      <xdr:rowOff>258535</xdr:rowOff>
    </xdr:to>
    <xdr:cxnSp macro="">
      <xdr:nvCxnSpPr>
        <xdr:cNvPr id="249" name="Straight Arrow Connector 248">
          <a:extLst>
            <a:ext uri="{FF2B5EF4-FFF2-40B4-BE49-F238E27FC236}">
              <a16:creationId xmlns:a16="http://schemas.microsoft.com/office/drawing/2014/main" id="{076FFA41-5DFA-410A-82C8-A96E0FF33031}"/>
            </a:ext>
            <a:ext uri="{147F2762-F138-4A5C-976F-8EAC2B608ADB}">
              <a16:predDERef xmlns:a16="http://schemas.microsoft.com/office/drawing/2014/main" pred="{6A33D320-F27B-E0A8-4C99-8558FB7F64DB}"/>
            </a:ext>
          </a:extLst>
        </xdr:cNvPr>
        <xdr:cNvCxnSpPr>
          <a:cxnSpLocks/>
        </xdr:cNvCxnSpPr>
      </xdr:nvCxnSpPr>
      <xdr:spPr bwMode="auto">
        <a:xfrm>
          <a:off x="14995071" y="50360035"/>
          <a:ext cx="700767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13608</xdr:colOff>
      <xdr:row>186</xdr:row>
      <xdr:rowOff>244930</xdr:rowOff>
    </xdr:from>
    <xdr:to>
      <xdr:col>47</xdr:col>
      <xdr:colOff>598714</xdr:colOff>
      <xdr:row>186</xdr:row>
      <xdr:rowOff>244930</xdr:rowOff>
    </xdr:to>
    <xdr:cxnSp macro="">
      <xdr:nvCxnSpPr>
        <xdr:cNvPr id="252" name="Straight Arrow Connector 251">
          <a:extLst>
            <a:ext uri="{FF2B5EF4-FFF2-40B4-BE49-F238E27FC236}">
              <a16:creationId xmlns:a16="http://schemas.microsoft.com/office/drawing/2014/main" id="{5B6E5B0A-DEC2-43EE-9161-512F93E4082D}"/>
            </a:ext>
            <a:ext uri="{147F2762-F138-4A5C-976F-8EAC2B608ADB}">
              <a16:predDERef xmlns:a16="http://schemas.microsoft.com/office/drawing/2014/main" pred="{6A33D320-F27B-E0A8-4C99-8558FB7F64DB}"/>
            </a:ext>
          </a:extLst>
        </xdr:cNvPr>
        <xdr:cNvCxnSpPr>
          <a:cxnSpLocks/>
        </xdr:cNvCxnSpPr>
      </xdr:nvCxnSpPr>
      <xdr:spPr bwMode="auto">
        <a:xfrm>
          <a:off x="22043572" y="50659394"/>
          <a:ext cx="722539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13607</xdr:colOff>
      <xdr:row>187</xdr:row>
      <xdr:rowOff>272143</xdr:rowOff>
    </xdr:from>
    <xdr:to>
      <xdr:col>60</xdr:col>
      <xdr:colOff>27214</xdr:colOff>
      <xdr:row>187</xdr:row>
      <xdr:rowOff>272143</xdr:rowOff>
    </xdr:to>
    <xdr:cxnSp macro="">
      <xdr:nvCxnSpPr>
        <xdr:cNvPr id="254" name="Straight Arrow Connector 253">
          <a:extLst>
            <a:ext uri="{FF2B5EF4-FFF2-40B4-BE49-F238E27FC236}">
              <a16:creationId xmlns:a16="http://schemas.microsoft.com/office/drawing/2014/main" id="{A65A08A1-D084-45E8-AAA3-28636A4D8723}"/>
            </a:ext>
            <a:ext uri="{147F2762-F138-4A5C-976F-8EAC2B608ADB}">
              <a16:predDERef xmlns:a16="http://schemas.microsoft.com/office/drawing/2014/main" pred="{6A33D320-F27B-E0A8-4C99-8558FB7F64DB}"/>
            </a:ext>
          </a:extLst>
        </xdr:cNvPr>
        <xdr:cNvCxnSpPr>
          <a:cxnSpLocks/>
        </xdr:cNvCxnSpPr>
      </xdr:nvCxnSpPr>
      <xdr:spPr bwMode="auto">
        <a:xfrm>
          <a:off x="29296178" y="50999572"/>
          <a:ext cx="703489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381000</xdr:colOff>
      <xdr:row>273</xdr:row>
      <xdr:rowOff>244928</xdr:rowOff>
    </xdr:from>
    <xdr:to>
      <xdr:col>24</xdr:col>
      <xdr:colOff>381000</xdr:colOff>
      <xdr:row>278</xdr:row>
      <xdr:rowOff>217714</xdr:rowOff>
    </xdr:to>
    <xdr:cxnSp macro="">
      <xdr:nvCxnSpPr>
        <xdr:cNvPr id="258" name="Straight Arrow Connector 1822">
          <a:extLst>
            <a:ext uri="{FF2B5EF4-FFF2-40B4-BE49-F238E27FC236}">
              <a16:creationId xmlns:a16="http://schemas.microsoft.com/office/drawing/2014/main" id="{E43FF80E-1B01-460E-988B-D30899B9B5C4}"/>
            </a:ext>
          </a:extLst>
        </xdr:cNvPr>
        <xdr:cNvCxnSpPr/>
      </xdr:nvCxnSpPr>
      <xdr:spPr>
        <a:xfrm flipV="1">
          <a:off x="14967857" y="58429071"/>
          <a:ext cx="0" cy="870857"/>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435429</xdr:colOff>
      <xdr:row>287</xdr:row>
      <xdr:rowOff>217714</xdr:rowOff>
    </xdr:from>
    <xdr:to>
      <xdr:col>48</xdr:col>
      <xdr:colOff>0</xdr:colOff>
      <xdr:row>287</xdr:row>
      <xdr:rowOff>217714</xdr:rowOff>
    </xdr:to>
    <xdr:cxnSp macro="">
      <xdr:nvCxnSpPr>
        <xdr:cNvPr id="261" name="Straight Arrow Connector 260">
          <a:extLst>
            <a:ext uri="{FF2B5EF4-FFF2-40B4-BE49-F238E27FC236}">
              <a16:creationId xmlns:a16="http://schemas.microsoft.com/office/drawing/2014/main" id="{F89CAEF2-298F-438D-95A4-35B6A5E5C22A}"/>
            </a:ext>
            <a:ext uri="{147F2762-F138-4A5C-976F-8EAC2B608ADB}">
              <a16:predDERef xmlns:a16="http://schemas.microsoft.com/office/drawing/2014/main" pred="{6A33D320-F27B-E0A8-4C99-8558FB7F64DB}"/>
            </a:ext>
          </a:extLst>
        </xdr:cNvPr>
        <xdr:cNvCxnSpPr>
          <a:cxnSpLocks/>
        </xdr:cNvCxnSpPr>
      </xdr:nvCxnSpPr>
      <xdr:spPr bwMode="auto">
        <a:xfrm>
          <a:off x="22098000" y="59871428"/>
          <a:ext cx="681717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489858</xdr:colOff>
      <xdr:row>288</xdr:row>
      <xdr:rowOff>272143</xdr:rowOff>
    </xdr:from>
    <xdr:to>
      <xdr:col>60</xdr:col>
      <xdr:colOff>13607</xdr:colOff>
      <xdr:row>288</xdr:row>
      <xdr:rowOff>272143</xdr:rowOff>
    </xdr:to>
    <xdr:cxnSp macro="">
      <xdr:nvCxnSpPr>
        <xdr:cNvPr id="263" name="Straight Arrow Connector 262">
          <a:extLst>
            <a:ext uri="{FF2B5EF4-FFF2-40B4-BE49-F238E27FC236}">
              <a16:creationId xmlns:a16="http://schemas.microsoft.com/office/drawing/2014/main" id="{C485DC94-C5C3-401E-8D59-41E8DF923D00}"/>
            </a:ext>
            <a:ext uri="{147F2762-F138-4A5C-976F-8EAC2B608ADB}">
              <a16:predDERef xmlns:a16="http://schemas.microsoft.com/office/drawing/2014/main" pred="{6A33D320-F27B-E0A8-4C99-8558FB7F64DB}"/>
            </a:ext>
          </a:extLst>
        </xdr:cNvPr>
        <xdr:cNvCxnSpPr>
          <a:cxnSpLocks/>
        </xdr:cNvCxnSpPr>
      </xdr:nvCxnSpPr>
      <xdr:spPr bwMode="auto">
        <a:xfrm>
          <a:off x="22152429" y="60238822"/>
          <a:ext cx="1379764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14728</xdr:colOff>
      <xdr:row>287</xdr:row>
      <xdr:rowOff>244929</xdr:rowOff>
    </xdr:from>
    <xdr:to>
      <xdr:col>48</xdr:col>
      <xdr:colOff>14728</xdr:colOff>
      <xdr:row>289</xdr:row>
      <xdr:rowOff>201706</xdr:rowOff>
    </xdr:to>
    <xdr:cxnSp macro="">
      <xdr:nvCxnSpPr>
        <xdr:cNvPr id="265" name="Straight Arrow Connector 1822">
          <a:extLst>
            <a:ext uri="{FF2B5EF4-FFF2-40B4-BE49-F238E27FC236}">
              <a16:creationId xmlns:a16="http://schemas.microsoft.com/office/drawing/2014/main" id="{2FBE28D4-B7A9-4F4D-B8EC-63A34778AF3D}"/>
            </a:ext>
          </a:extLst>
        </xdr:cNvPr>
        <xdr:cNvCxnSpPr/>
      </xdr:nvCxnSpPr>
      <xdr:spPr>
        <a:xfrm>
          <a:off x="28929907" y="59898643"/>
          <a:ext cx="0" cy="582706"/>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48</xdr:col>
      <xdr:colOff>44823</xdr:colOff>
      <xdr:row>289</xdr:row>
      <xdr:rowOff>258535</xdr:rowOff>
    </xdr:from>
    <xdr:to>
      <xdr:col>59</xdr:col>
      <xdr:colOff>639536</xdr:colOff>
      <xdr:row>289</xdr:row>
      <xdr:rowOff>258535</xdr:rowOff>
    </xdr:to>
    <xdr:cxnSp macro="">
      <xdr:nvCxnSpPr>
        <xdr:cNvPr id="268" name="Straight Arrow Connector 267">
          <a:extLst>
            <a:ext uri="{FF2B5EF4-FFF2-40B4-BE49-F238E27FC236}">
              <a16:creationId xmlns:a16="http://schemas.microsoft.com/office/drawing/2014/main" id="{9381ABF3-929E-4C3E-8611-1D2512D3BC71}"/>
            </a:ext>
            <a:ext uri="{147F2762-F138-4A5C-976F-8EAC2B608ADB}">
              <a16:predDERef xmlns:a16="http://schemas.microsoft.com/office/drawing/2014/main" pred="{6A33D320-F27B-E0A8-4C99-8558FB7F64DB}"/>
            </a:ext>
          </a:extLst>
        </xdr:cNvPr>
        <xdr:cNvCxnSpPr>
          <a:cxnSpLocks/>
        </xdr:cNvCxnSpPr>
      </xdr:nvCxnSpPr>
      <xdr:spPr bwMode="auto">
        <a:xfrm>
          <a:off x="28563794" y="58136917"/>
          <a:ext cx="698206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0</xdr:colOff>
      <xdr:row>392</xdr:row>
      <xdr:rowOff>273745</xdr:rowOff>
    </xdr:from>
    <xdr:to>
      <xdr:col>47</xdr:col>
      <xdr:colOff>598714</xdr:colOff>
      <xdr:row>392</xdr:row>
      <xdr:rowOff>273745</xdr:rowOff>
    </xdr:to>
    <xdr:cxnSp macro="">
      <xdr:nvCxnSpPr>
        <xdr:cNvPr id="224" name="Straight Arrow Connector 223">
          <a:extLst>
            <a:ext uri="{FF2B5EF4-FFF2-40B4-BE49-F238E27FC236}">
              <a16:creationId xmlns:a16="http://schemas.microsoft.com/office/drawing/2014/main" id="{F28DA8F1-8193-4128-B1CC-7E187E8FE588}"/>
            </a:ext>
            <a:ext uri="{147F2762-F138-4A5C-976F-8EAC2B608ADB}">
              <a16:predDERef xmlns:a16="http://schemas.microsoft.com/office/drawing/2014/main" pred="{6A33D320-F27B-E0A8-4C99-8558FB7F64DB}"/>
            </a:ext>
          </a:extLst>
        </xdr:cNvPr>
        <xdr:cNvCxnSpPr>
          <a:cxnSpLocks/>
        </xdr:cNvCxnSpPr>
      </xdr:nvCxnSpPr>
      <xdr:spPr bwMode="auto">
        <a:xfrm>
          <a:off x="21662571" y="79616995"/>
          <a:ext cx="7239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381000</xdr:colOff>
      <xdr:row>388</xdr:row>
      <xdr:rowOff>190500</xdr:rowOff>
    </xdr:from>
    <xdr:to>
      <xdr:col>60</xdr:col>
      <xdr:colOff>22411</xdr:colOff>
      <xdr:row>388</xdr:row>
      <xdr:rowOff>190500</xdr:rowOff>
    </xdr:to>
    <xdr:cxnSp macro="">
      <xdr:nvCxnSpPr>
        <xdr:cNvPr id="238" name="Straight Arrow Connector 237">
          <a:extLst>
            <a:ext uri="{FF2B5EF4-FFF2-40B4-BE49-F238E27FC236}">
              <a16:creationId xmlns:a16="http://schemas.microsoft.com/office/drawing/2014/main" id="{D07594B8-1E8E-4081-874F-CBF13501B189}"/>
            </a:ext>
            <a:ext uri="{147F2762-F138-4A5C-976F-8EAC2B608ADB}">
              <a16:predDERef xmlns:a16="http://schemas.microsoft.com/office/drawing/2014/main" pred="{6A33D320-F27B-E0A8-4C99-8558FB7F64DB}"/>
            </a:ext>
          </a:extLst>
        </xdr:cNvPr>
        <xdr:cNvCxnSpPr>
          <a:cxnSpLocks/>
        </xdr:cNvCxnSpPr>
      </xdr:nvCxnSpPr>
      <xdr:spPr bwMode="auto">
        <a:xfrm>
          <a:off x="28899971" y="76379294"/>
          <a:ext cx="667870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190501</xdr:colOff>
      <xdr:row>389</xdr:row>
      <xdr:rowOff>89647</xdr:rowOff>
    </xdr:from>
    <xdr:to>
      <xdr:col>30</xdr:col>
      <xdr:colOff>190501</xdr:colOff>
      <xdr:row>399</xdr:row>
      <xdr:rowOff>242526</xdr:rowOff>
    </xdr:to>
    <xdr:cxnSp macro="">
      <xdr:nvCxnSpPr>
        <xdr:cNvPr id="253" name="Straight Arrow Connector 1822">
          <a:extLst>
            <a:ext uri="{FF2B5EF4-FFF2-40B4-BE49-F238E27FC236}">
              <a16:creationId xmlns:a16="http://schemas.microsoft.com/office/drawing/2014/main" id="{BED2BEDA-93B6-43E5-A3F3-DBADAA12BD2D}"/>
            </a:ext>
          </a:extLst>
        </xdr:cNvPr>
        <xdr:cNvCxnSpPr/>
      </xdr:nvCxnSpPr>
      <xdr:spPr>
        <a:xfrm flipV="1">
          <a:off x="17929413" y="76491353"/>
          <a:ext cx="0" cy="2741438"/>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224117</xdr:colOff>
      <xdr:row>389</xdr:row>
      <xdr:rowOff>201705</xdr:rowOff>
    </xdr:from>
    <xdr:to>
      <xdr:col>48</xdr:col>
      <xdr:colOff>0</xdr:colOff>
      <xdr:row>389</xdr:row>
      <xdr:rowOff>201705</xdr:rowOff>
    </xdr:to>
    <xdr:cxnSp macro="">
      <xdr:nvCxnSpPr>
        <xdr:cNvPr id="32" name="Straight Arrow Connector 31">
          <a:extLst>
            <a:ext uri="{FF2B5EF4-FFF2-40B4-BE49-F238E27FC236}">
              <a16:creationId xmlns:a16="http://schemas.microsoft.com/office/drawing/2014/main" id="{DDF2DC66-E927-414E-B3CE-60BE4780099F}"/>
            </a:ext>
            <a:ext uri="{147F2762-F138-4A5C-976F-8EAC2B608ADB}">
              <a16:predDERef xmlns:a16="http://schemas.microsoft.com/office/drawing/2014/main" pred="{6A33D320-F27B-E0A8-4C99-8558FB7F64DB}"/>
            </a:ext>
          </a:extLst>
        </xdr:cNvPr>
        <xdr:cNvCxnSpPr>
          <a:cxnSpLocks/>
        </xdr:cNvCxnSpPr>
      </xdr:nvCxnSpPr>
      <xdr:spPr bwMode="auto">
        <a:xfrm>
          <a:off x="17963029" y="76603411"/>
          <a:ext cx="1055594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11206</xdr:colOff>
      <xdr:row>381</xdr:row>
      <xdr:rowOff>246529</xdr:rowOff>
    </xdr:from>
    <xdr:to>
      <xdr:col>51</xdr:col>
      <xdr:colOff>22412</xdr:colOff>
      <xdr:row>381</xdr:row>
      <xdr:rowOff>246529</xdr:rowOff>
    </xdr:to>
    <xdr:cxnSp macro="">
      <xdr:nvCxnSpPr>
        <xdr:cNvPr id="257" name="Straight Arrow Connector 256">
          <a:extLst>
            <a:ext uri="{FF2B5EF4-FFF2-40B4-BE49-F238E27FC236}">
              <a16:creationId xmlns:a16="http://schemas.microsoft.com/office/drawing/2014/main" id="{54B5D616-A6BE-402F-B957-992F99461E64}"/>
            </a:ext>
            <a:ext uri="{147F2762-F138-4A5C-976F-8EAC2B608ADB}">
              <a16:predDERef xmlns:a16="http://schemas.microsoft.com/office/drawing/2014/main" pred="{6A33D320-F27B-E0A8-4C99-8558FB7F64DB}"/>
            </a:ext>
          </a:extLst>
        </xdr:cNvPr>
        <xdr:cNvCxnSpPr>
          <a:cxnSpLocks/>
        </xdr:cNvCxnSpPr>
      </xdr:nvCxnSpPr>
      <xdr:spPr bwMode="auto">
        <a:xfrm>
          <a:off x="24832235" y="74552735"/>
          <a:ext cx="540123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33618</xdr:colOff>
      <xdr:row>382</xdr:row>
      <xdr:rowOff>0</xdr:rowOff>
    </xdr:from>
    <xdr:to>
      <xdr:col>51</xdr:col>
      <xdr:colOff>33618</xdr:colOff>
      <xdr:row>390</xdr:row>
      <xdr:rowOff>156883</xdr:rowOff>
    </xdr:to>
    <xdr:cxnSp macro="">
      <xdr:nvCxnSpPr>
        <xdr:cNvPr id="267" name="Straight Arrow Connector 1822">
          <a:extLst>
            <a:ext uri="{FF2B5EF4-FFF2-40B4-BE49-F238E27FC236}">
              <a16:creationId xmlns:a16="http://schemas.microsoft.com/office/drawing/2014/main" id="{4DF9FCC1-33EA-4786-ABEA-A9A4531D363C}"/>
            </a:ext>
          </a:extLst>
        </xdr:cNvPr>
        <xdr:cNvCxnSpPr/>
      </xdr:nvCxnSpPr>
      <xdr:spPr>
        <a:xfrm>
          <a:off x="30244677" y="74608765"/>
          <a:ext cx="0" cy="2196353"/>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0</xdr:colOff>
      <xdr:row>21</xdr:row>
      <xdr:rowOff>0</xdr:rowOff>
    </xdr:from>
    <xdr:to>
      <xdr:col>56</xdr:col>
      <xdr:colOff>404213</xdr:colOff>
      <xdr:row>21</xdr:row>
      <xdr:rowOff>0</xdr:rowOff>
    </xdr:to>
    <xdr:cxnSp macro="">
      <xdr:nvCxnSpPr>
        <xdr:cNvPr id="274" name="Straight Arrow Connector 273">
          <a:extLst>
            <a:ext uri="{FF2B5EF4-FFF2-40B4-BE49-F238E27FC236}">
              <a16:creationId xmlns:a16="http://schemas.microsoft.com/office/drawing/2014/main" id="{8CB90AF8-F560-49DE-8C91-CD76BABB4A3B}"/>
            </a:ext>
            <a:ext uri="{147F2762-F138-4A5C-976F-8EAC2B608ADB}">
              <a16:predDERef xmlns:a16="http://schemas.microsoft.com/office/drawing/2014/main" pred="{6A33D320-F27B-E0A8-4C99-8558FB7F64DB}"/>
            </a:ext>
          </a:extLst>
        </xdr:cNvPr>
        <xdr:cNvCxnSpPr>
          <a:cxnSpLocks/>
        </xdr:cNvCxnSpPr>
      </xdr:nvCxnSpPr>
      <xdr:spPr bwMode="auto">
        <a:xfrm>
          <a:off x="30211059" y="3384176"/>
          <a:ext cx="3250507"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11206</xdr:colOff>
      <xdr:row>24</xdr:row>
      <xdr:rowOff>224117</xdr:rowOff>
    </xdr:from>
    <xdr:to>
      <xdr:col>54</xdr:col>
      <xdr:colOff>280147</xdr:colOff>
      <xdr:row>24</xdr:row>
      <xdr:rowOff>224117</xdr:rowOff>
    </xdr:to>
    <xdr:cxnSp macro="">
      <xdr:nvCxnSpPr>
        <xdr:cNvPr id="276" name="Straight Arrow Connector 275">
          <a:extLst>
            <a:ext uri="{FF2B5EF4-FFF2-40B4-BE49-F238E27FC236}">
              <a16:creationId xmlns:a16="http://schemas.microsoft.com/office/drawing/2014/main" id="{073FDE18-AD01-47F7-8A74-9197EB523DB5}"/>
            </a:ext>
            <a:ext uri="{147F2762-F138-4A5C-976F-8EAC2B608ADB}">
              <a16:predDERef xmlns:a16="http://schemas.microsoft.com/office/drawing/2014/main" pred="{6A33D320-F27B-E0A8-4C99-8558FB7F64DB}"/>
            </a:ext>
          </a:extLst>
        </xdr:cNvPr>
        <xdr:cNvCxnSpPr>
          <a:cxnSpLocks/>
        </xdr:cNvCxnSpPr>
      </xdr:nvCxnSpPr>
      <xdr:spPr bwMode="auto">
        <a:xfrm>
          <a:off x="30222265" y="3888441"/>
          <a:ext cx="198344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381000</xdr:colOff>
      <xdr:row>36</xdr:row>
      <xdr:rowOff>280147</xdr:rowOff>
    </xdr:from>
    <xdr:to>
      <xdr:col>15</xdr:col>
      <xdr:colOff>22412</xdr:colOff>
      <xdr:row>36</xdr:row>
      <xdr:rowOff>280147</xdr:rowOff>
    </xdr:to>
    <xdr:cxnSp macro="">
      <xdr:nvCxnSpPr>
        <xdr:cNvPr id="279" name="Straight Arrow Connector 278">
          <a:extLst>
            <a:ext uri="{FF2B5EF4-FFF2-40B4-BE49-F238E27FC236}">
              <a16:creationId xmlns:a16="http://schemas.microsoft.com/office/drawing/2014/main" id="{A9C75677-FB66-418D-BCF8-1A1FB6AF1852}"/>
            </a:ext>
            <a:ext uri="{147F2762-F138-4A5C-976F-8EAC2B608ADB}">
              <a16:predDERef xmlns:a16="http://schemas.microsoft.com/office/drawing/2014/main" pred="{6A33D320-F27B-E0A8-4C99-8558FB7F64DB}"/>
            </a:ext>
          </a:extLst>
        </xdr:cNvPr>
        <xdr:cNvCxnSpPr>
          <a:cxnSpLocks/>
        </xdr:cNvCxnSpPr>
      </xdr:nvCxnSpPr>
      <xdr:spPr bwMode="auto">
        <a:xfrm>
          <a:off x="7620000" y="6454588"/>
          <a:ext cx="1367118"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201705</xdr:colOff>
      <xdr:row>216</xdr:row>
      <xdr:rowOff>257735</xdr:rowOff>
    </xdr:from>
    <xdr:to>
      <xdr:col>30</xdr:col>
      <xdr:colOff>56029</xdr:colOff>
      <xdr:row>216</xdr:row>
      <xdr:rowOff>257735</xdr:rowOff>
    </xdr:to>
    <xdr:cxnSp macro="">
      <xdr:nvCxnSpPr>
        <xdr:cNvPr id="284" name="Straight Arrow Connector 283">
          <a:extLst>
            <a:ext uri="{FF2B5EF4-FFF2-40B4-BE49-F238E27FC236}">
              <a16:creationId xmlns:a16="http://schemas.microsoft.com/office/drawing/2014/main" id="{F14134B1-340C-4EAC-81F1-8170C149241C}"/>
            </a:ext>
            <a:ext uri="{147F2762-F138-4A5C-976F-8EAC2B608ADB}">
              <a16:predDERef xmlns:a16="http://schemas.microsoft.com/office/drawing/2014/main" pred="{6A33D320-F27B-E0A8-4C99-8558FB7F64DB}"/>
            </a:ext>
          </a:extLst>
        </xdr:cNvPr>
        <xdr:cNvCxnSpPr>
          <a:cxnSpLocks/>
        </xdr:cNvCxnSpPr>
      </xdr:nvCxnSpPr>
      <xdr:spPr bwMode="auto">
        <a:xfrm>
          <a:off x="16248529" y="46101000"/>
          <a:ext cx="154641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11206</xdr:colOff>
      <xdr:row>218</xdr:row>
      <xdr:rowOff>224117</xdr:rowOff>
    </xdr:from>
    <xdr:to>
      <xdr:col>50</xdr:col>
      <xdr:colOff>549088</xdr:colOff>
      <xdr:row>218</xdr:row>
      <xdr:rowOff>224117</xdr:rowOff>
    </xdr:to>
    <xdr:cxnSp macro="">
      <xdr:nvCxnSpPr>
        <xdr:cNvPr id="287" name="Straight Arrow Connector 286">
          <a:extLst>
            <a:ext uri="{FF2B5EF4-FFF2-40B4-BE49-F238E27FC236}">
              <a16:creationId xmlns:a16="http://schemas.microsoft.com/office/drawing/2014/main" id="{FBB77BB1-8D6C-4A55-BB17-6D5B1AEC34EE}"/>
            </a:ext>
            <a:ext uri="{147F2762-F138-4A5C-976F-8EAC2B608ADB}">
              <a16:predDERef xmlns:a16="http://schemas.microsoft.com/office/drawing/2014/main" pred="{6A33D320-F27B-E0A8-4C99-8558FB7F64DB}"/>
            </a:ext>
          </a:extLst>
        </xdr:cNvPr>
        <xdr:cNvCxnSpPr>
          <a:cxnSpLocks/>
        </xdr:cNvCxnSpPr>
      </xdr:nvCxnSpPr>
      <xdr:spPr bwMode="auto">
        <a:xfrm>
          <a:off x="17750118" y="46369941"/>
          <a:ext cx="1242732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0</xdr:colOff>
      <xdr:row>219</xdr:row>
      <xdr:rowOff>257735</xdr:rowOff>
    </xdr:from>
    <xdr:to>
      <xdr:col>60</xdr:col>
      <xdr:colOff>0</xdr:colOff>
      <xdr:row>219</xdr:row>
      <xdr:rowOff>257735</xdr:rowOff>
    </xdr:to>
    <xdr:cxnSp macro="">
      <xdr:nvCxnSpPr>
        <xdr:cNvPr id="95" name="Straight Arrow Connector 94">
          <a:extLst>
            <a:ext uri="{FF2B5EF4-FFF2-40B4-BE49-F238E27FC236}">
              <a16:creationId xmlns:a16="http://schemas.microsoft.com/office/drawing/2014/main" id="{FB3F1216-C1BD-4B03-98C5-66E8F18E9DD4}"/>
            </a:ext>
            <a:ext uri="{147F2762-F138-4A5C-976F-8EAC2B608ADB}">
              <a16:predDERef xmlns:a16="http://schemas.microsoft.com/office/drawing/2014/main" pred="{6A33D320-F27B-E0A8-4C99-8558FB7F64DB}"/>
            </a:ext>
          </a:extLst>
        </xdr:cNvPr>
        <xdr:cNvCxnSpPr>
          <a:cxnSpLocks/>
        </xdr:cNvCxnSpPr>
      </xdr:nvCxnSpPr>
      <xdr:spPr bwMode="auto">
        <a:xfrm>
          <a:off x="30211059" y="46650088"/>
          <a:ext cx="534520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22411</xdr:colOff>
      <xdr:row>248</xdr:row>
      <xdr:rowOff>257736</xdr:rowOff>
    </xdr:from>
    <xdr:to>
      <xdr:col>42</xdr:col>
      <xdr:colOff>358589</xdr:colOff>
      <xdr:row>248</xdr:row>
      <xdr:rowOff>257736</xdr:rowOff>
    </xdr:to>
    <xdr:cxnSp macro="">
      <xdr:nvCxnSpPr>
        <xdr:cNvPr id="225" name="Straight Arrow Connector 224">
          <a:extLst>
            <a:ext uri="{FF2B5EF4-FFF2-40B4-BE49-F238E27FC236}">
              <a16:creationId xmlns:a16="http://schemas.microsoft.com/office/drawing/2014/main" id="{02752B49-B37D-4349-8C59-245A933D3966}"/>
            </a:ext>
            <a:ext uri="{147F2762-F138-4A5C-976F-8EAC2B608ADB}">
              <a16:predDERef xmlns:a16="http://schemas.microsoft.com/office/drawing/2014/main" pred="{6A33D320-F27B-E0A8-4C99-8558FB7F64DB}"/>
            </a:ext>
          </a:extLst>
        </xdr:cNvPr>
        <xdr:cNvCxnSpPr>
          <a:cxnSpLocks/>
        </xdr:cNvCxnSpPr>
      </xdr:nvCxnSpPr>
      <xdr:spPr bwMode="auto">
        <a:xfrm>
          <a:off x="17761323" y="53721001"/>
          <a:ext cx="741829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42</xdr:col>
      <xdr:colOff>324972</xdr:colOff>
      <xdr:row>249</xdr:row>
      <xdr:rowOff>246529</xdr:rowOff>
    </xdr:from>
    <xdr:to>
      <xdr:col>51</xdr:col>
      <xdr:colOff>313765</xdr:colOff>
      <xdr:row>249</xdr:row>
      <xdr:rowOff>246529</xdr:rowOff>
    </xdr:to>
    <xdr:cxnSp macro="">
      <xdr:nvCxnSpPr>
        <xdr:cNvPr id="229" name="Straight Arrow Connector 228">
          <a:extLst>
            <a:ext uri="{FF2B5EF4-FFF2-40B4-BE49-F238E27FC236}">
              <a16:creationId xmlns:a16="http://schemas.microsoft.com/office/drawing/2014/main" id="{137B73B4-D5D6-428C-B3D9-27FC1A590FEC}"/>
            </a:ext>
            <a:ext uri="{147F2762-F138-4A5C-976F-8EAC2B608ADB}">
              <a16:predDERef xmlns:a16="http://schemas.microsoft.com/office/drawing/2014/main" pred="{6A33D320-F27B-E0A8-4C99-8558FB7F64DB}"/>
            </a:ext>
          </a:extLst>
        </xdr:cNvPr>
        <xdr:cNvCxnSpPr>
          <a:cxnSpLocks/>
        </xdr:cNvCxnSpPr>
      </xdr:nvCxnSpPr>
      <xdr:spPr bwMode="auto">
        <a:xfrm>
          <a:off x="25146001" y="54012353"/>
          <a:ext cx="537882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313765</xdr:colOff>
      <xdr:row>250</xdr:row>
      <xdr:rowOff>257736</xdr:rowOff>
    </xdr:from>
    <xdr:to>
      <xdr:col>60</xdr:col>
      <xdr:colOff>22411</xdr:colOff>
      <xdr:row>250</xdr:row>
      <xdr:rowOff>257736</xdr:rowOff>
    </xdr:to>
    <xdr:cxnSp macro="">
      <xdr:nvCxnSpPr>
        <xdr:cNvPr id="234" name="Straight Arrow Connector 233">
          <a:extLst>
            <a:ext uri="{FF2B5EF4-FFF2-40B4-BE49-F238E27FC236}">
              <a16:creationId xmlns:a16="http://schemas.microsoft.com/office/drawing/2014/main" id="{4724BB05-73B2-45C6-910D-A3D7589CB045}"/>
            </a:ext>
            <a:ext uri="{147F2762-F138-4A5C-976F-8EAC2B608ADB}">
              <a16:predDERef xmlns:a16="http://schemas.microsoft.com/office/drawing/2014/main" pred="{6A33D320-F27B-E0A8-4C99-8558FB7F64DB}"/>
            </a:ext>
          </a:extLst>
        </xdr:cNvPr>
        <xdr:cNvCxnSpPr>
          <a:cxnSpLocks/>
        </xdr:cNvCxnSpPr>
      </xdr:nvCxnSpPr>
      <xdr:spPr bwMode="auto">
        <a:xfrm>
          <a:off x="30524824" y="54326118"/>
          <a:ext cx="505385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0</xdr:colOff>
      <xdr:row>268</xdr:row>
      <xdr:rowOff>258536</xdr:rowOff>
    </xdr:from>
    <xdr:to>
      <xdr:col>47</xdr:col>
      <xdr:colOff>462643</xdr:colOff>
      <xdr:row>268</xdr:row>
      <xdr:rowOff>258536</xdr:rowOff>
    </xdr:to>
    <xdr:cxnSp macro="">
      <xdr:nvCxnSpPr>
        <xdr:cNvPr id="236" name="Straight Arrow Connector 235">
          <a:extLst>
            <a:ext uri="{FF2B5EF4-FFF2-40B4-BE49-F238E27FC236}">
              <a16:creationId xmlns:a16="http://schemas.microsoft.com/office/drawing/2014/main" id="{398555CC-B1FB-4AF6-9923-20738B8B4AAF}"/>
            </a:ext>
            <a:ext uri="{147F2762-F138-4A5C-976F-8EAC2B608ADB}">
              <a16:predDERef xmlns:a16="http://schemas.microsoft.com/office/drawing/2014/main" pred="{6A33D320-F27B-E0A8-4C99-8558FB7F64DB}"/>
            </a:ext>
          </a:extLst>
        </xdr:cNvPr>
        <xdr:cNvCxnSpPr>
          <a:cxnSpLocks/>
        </xdr:cNvCxnSpPr>
      </xdr:nvCxnSpPr>
      <xdr:spPr bwMode="auto">
        <a:xfrm>
          <a:off x="9416143" y="52523572"/>
          <a:ext cx="355146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270</xdr:row>
      <xdr:rowOff>244930</xdr:rowOff>
    </xdr:from>
    <xdr:to>
      <xdr:col>47</xdr:col>
      <xdr:colOff>449036</xdr:colOff>
      <xdr:row>270</xdr:row>
      <xdr:rowOff>244930</xdr:rowOff>
    </xdr:to>
    <xdr:cxnSp macro="">
      <xdr:nvCxnSpPr>
        <xdr:cNvPr id="239" name="Straight Arrow Connector 238">
          <a:extLst>
            <a:ext uri="{FF2B5EF4-FFF2-40B4-BE49-F238E27FC236}">
              <a16:creationId xmlns:a16="http://schemas.microsoft.com/office/drawing/2014/main" id="{C67E9901-C7B6-44EF-94E9-E929782D54F7}"/>
            </a:ext>
            <a:ext uri="{147F2762-F138-4A5C-976F-8EAC2B608ADB}">
              <a16:predDERef xmlns:a16="http://schemas.microsoft.com/office/drawing/2014/main" pred="{6A33D320-F27B-E0A8-4C99-8558FB7F64DB}"/>
            </a:ext>
          </a:extLst>
        </xdr:cNvPr>
        <xdr:cNvCxnSpPr>
          <a:cxnSpLocks/>
        </xdr:cNvCxnSpPr>
      </xdr:nvCxnSpPr>
      <xdr:spPr bwMode="auto">
        <a:xfrm>
          <a:off x="7551964" y="53108680"/>
          <a:ext cx="540203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449036</xdr:colOff>
      <xdr:row>270</xdr:row>
      <xdr:rowOff>272143</xdr:rowOff>
    </xdr:from>
    <xdr:to>
      <xdr:col>36</xdr:col>
      <xdr:colOff>449036</xdr:colOff>
      <xdr:row>287</xdr:row>
      <xdr:rowOff>285750</xdr:rowOff>
    </xdr:to>
    <xdr:cxnSp macro="">
      <xdr:nvCxnSpPr>
        <xdr:cNvPr id="262" name="Straight Arrow Connector 1822">
          <a:extLst>
            <a:ext uri="{FF2B5EF4-FFF2-40B4-BE49-F238E27FC236}">
              <a16:creationId xmlns:a16="http://schemas.microsoft.com/office/drawing/2014/main" id="{FCCBA93E-43A9-4FC8-B74E-CBB33A2C750A}"/>
            </a:ext>
          </a:extLst>
        </xdr:cNvPr>
        <xdr:cNvCxnSpPr/>
      </xdr:nvCxnSpPr>
      <xdr:spPr>
        <a:xfrm>
          <a:off x="22111607" y="57558214"/>
          <a:ext cx="0" cy="2381250"/>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204107</xdr:colOff>
      <xdr:row>268</xdr:row>
      <xdr:rowOff>244929</xdr:rowOff>
    </xdr:from>
    <xdr:to>
      <xdr:col>37</xdr:col>
      <xdr:colOff>204107</xdr:colOff>
      <xdr:row>288</xdr:row>
      <xdr:rowOff>258536</xdr:rowOff>
    </xdr:to>
    <xdr:cxnSp macro="">
      <xdr:nvCxnSpPr>
        <xdr:cNvPr id="266" name="Straight Arrow Connector 1822">
          <a:extLst>
            <a:ext uri="{FF2B5EF4-FFF2-40B4-BE49-F238E27FC236}">
              <a16:creationId xmlns:a16="http://schemas.microsoft.com/office/drawing/2014/main" id="{44CBB5FA-A41D-4812-AC18-3852D15C645D}"/>
            </a:ext>
          </a:extLst>
        </xdr:cNvPr>
        <xdr:cNvCxnSpPr/>
      </xdr:nvCxnSpPr>
      <xdr:spPr>
        <a:xfrm>
          <a:off x="22533428" y="56932286"/>
          <a:ext cx="0" cy="3292929"/>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122464</xdr:colOff>
      <xdr:row>334</xdr:row>
      <xdr:rowOff>258536</xdr:rowOff>
    </xdr:from>
    <xdr:to>
      <xdr:col>59</xdr:col>
      <xdr:colOff>593911</xdr:colOff>
      <xdr:row>334</xdr:row>
      <xdr:rowOff>258536</xdr:rowOff>
    </xdr:to>
    <xdr:cxnSp macro="">
      <xdr:nvCxnSpPr>
        <xdr:cNvPr id="109" name="Straight Arrow Connector 108">
          <a:extLst>
            <a:ext uri="{FF2B5EF4-FFF2-40B4-BE49-F238E27FC236}">
              <a16:creationId xmlns:a16="http://schemas.microsoft.com/office/drawing/2014/main" id="{4A8B67B9-53E2-4DA0-BB45-A17206DD6D2E}"/>
            </a:ext>
            <a:ext uri="{147F2762-F138-4A5C-976F-8EAC2B608ADB}">
              <a16:predDERef xmlns:a16="http://schemas.microsoft.com/office/drawing/2014/main" pred="{6A33D320-F27B-E0A8-4C99-8558FB7F64DB}"/>
            </a:ext>
          </a:extLst>
        </xdr:cNvPr>
        <xdr:cNvCxnSpPr>
          <a:cxnSpLocks/>
        </xdr:cNvCxnSpPr>
      </xdr:nvCxnSpPr>
      <xdr:spPr bwMode="auto">
        <a:xfrm>
          <a:off x="13199729" y="65891389"/>
          <a:ext cx="17153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48</xdr:col>
      <xdr:colOff>212912</xdr:colOff>
      <xdr:row>173</xdr:row>
      <xdr:rowOff>271344</xdr:rowOff>
    </xdr:from>
    <xdr:to>
      <xdr:col>60</xdr:col>
      <xdr:colOff>54429</xdr:colOff>
      <xdr:row>173</xdr:row>
      <xdr:rowOff>271344</xdr:rowOff>
    </xdr:to>
    <xdr:cxnSp macro="">
      <xdr:nvCxnSpPr>
        <xdr:cNvPr id="16" name="Straight Arrow Connector 15">
          <a:extLst>
            <a:ext uri="{FF2B5EF4-FFF2-40B4-BE49-F238E27FC236}">
              <a16:creationId xmlns:a16="http://schemas.microsoft.com/office/drawing/2014/main" id="{338BF16B-650E-4FC5-8220-52F91732390F}"/>
            </a:ext>
            <a:ext uri="{147F2762-F138-4A5C-976F-8EAC2B608ADB}">
              <a16:predDERef xmlns:a16="http://schemas.microsoft.com/office/drawing/2014/main" pred="{6A33D320-F27B-E0A8-4C99-8558FB7F64DB}"/>
            </a:ext>
          </a:extLst>
        </xdr:cNvPr>
        <xdr:cNvCxnSpPr>
          <a:cxnSpLocks/>
        </xdr:cNvCxnSpPr>
      </xdr:nvCxnSpPr>
      <xdr:spPr bwMode="auto">
        <a:xfrm>
          <a:off x="29645162" y="47107130"/>
          <a:ext cx="686280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340178</xdr:colOff>
      <xdr:row>23</xdr:row>
      <xdr:rowOff>217715</xdr:rowOff>
    </xdr:from>
    <xdr:to>
      <xdr:col>57</xdr:col>
      <xdr:colOff>122465</xdr:colOff>
      <xdr:row>23</xdr:row>
      <xdr:rowOff>217715</xdr:rowOff>
    </xdr:to>
    <xdr:cxnSp macro="">
      <xdr:nvCxnSpPr>
        <xdr:cNvPr id="237" name="Straight Arrow Connector 236">
          <a:extLst>
            <a:ext uri="{FF2B5EF4-FFF2-40B4-BE49-F238E27FC236}">
              <a16:creationId xmlns:a16="http://schemas.microsoft.com/office/drawing/2014/main" id="{ABFA64B9-25C1-40B1-B106-C2EA901DDCDB}"/>
            </a:ext>
            <a:ext uri="{147F2762-F138-4A5C-976F-8EAC2B608ADB}">
              <a16:predDERef xmlns:a16="http://schemas.microsoft.com/office/drawing/2014/main" pred="{6A33D320-F27B-E0A8-4C99-8558FB7F64DB}"/>
            </a:ext>
          </a:extLst>
        </xdr:cNvPr>
        <xdr:cNvCxnSpPr>
          <a:cxnSpLocks/>
        </xdr:cNvCxnSpPr>
      </xdr:nvCxnSpPr>
      <xdr:spPr bwMode="auto">
        <a:xfrm>
          <a:off x="11566071" y="4191001"/>
          <a:ext cx="167368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57</xdr:col>
      <xdr:colOff>163286</xdr:colOff>
      <xdr:row>24</xdr:row>
      <xdr:rowOff>258535</xdr:rowOff>
    </xdr:from>
    <xdr:to>
      <xdr:col>59</xdr:col>
      <xdr:colOff>585109</xdr:colOff>
      <xdr:row>24</xdr:row>
      <xdr:rowOff>258535</xdr:rowOff>
    </xdr:to>
    <xdr:cxnSp macro="">
      <xdr:nvCxnSpPr>
        <xdr:cNvPr id="244" name="Straight Arrow Connector 243">
          <a:extLst>
            <a:ext uri="{FF2B5EF4-FFF2-40B4-BE49-F238E27FC236}">
              <a16:creationId xmlns:a16="http://schemas.microsoft.com/office/drawing/2014/main" id="{8A207CD9-C0B6-4DAE-893E-2DB41FC9427E}"/>
            </a:ext>
            <a:ext uri="{147F2762-F138-4A5C-976F-8EAC2B608ADB}">
              <a16:predDERef xmlns:a16="http://schemas.microsoft.com/office/drawing/2014/main" pred="{6A33D320-F27B-E0A8-4C99-8558FB7F64DB}"/>
            </a:ext>
          </a:extLst>
        </xdr:cNvPr>
        <xdr:cNvCxnSpPr>
          <a:cxnSpLocks/>
        </xdr:cNvCxnSpPr>
      </xdr:nvCxnSpPr>
      <xdr:spPr bwMode="auto">
        <a:xfrm>
          <a:off x="13280572" y="4503964"/>
          <a:ext cx="167368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54428</xdr:colOff>
      <xdr:row>41</xdr:row>
      <xdr:rowOff>326572</xdr:rowOff>
    </xdr:from>
    <xdr:to>
      <xdr:col>23</xdr:col>
      <xdr:colOff>625928</xdr:colOff>
      <xdr:row>41</xdr:row>
      <xdr:rowOff>326572</xdr:rowOff>
    </xdr:to>
    <xdr:cxnSp macro="">
      <xdr:nvCxnSpPr>
        <xdr:cNvPr id="246" name="Straight Arrow Connector 245">
          <a:extLst>
            <a:ext uri="{FF2B5EF4-FFF2-40B4-BE49-F238E27FC236}">
              <a16:creationId xmlns:a16="http://schemas.microsoft.com/office/drawing/2014/main" id="{00915E2F-3C64-4EC6-9136-7C884C3EC7CE}"/>
            </a:ext>
            <a:ext uri="{147F2762-F138-4A5C-976F-8EAC2B608ADB}">
              <a16:predDERef xmlns:a16="http://schemas.microsoft.com/office/drawing/2014/main" pred="{6A33D320-F27B-E0A8-4C99-8558FB7F64DB}"/>
            </a:ext>
          </a:extLst>
        </xdr:cNvPr>
        <xdr:cNvCxnSpPr>
          <a:cxnSpLocks/>
        </xdr:cNvCxnSpPr>
      </xdr:nvCxnSpPr>
      <xdr:spPr bwMode="auto">
        <a:xfrm>
          <a:off x="7606392" y="9320893"/>
          <a:ext cx="18097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0</xdr:colOff>
      <xdr:row>47</xdr:row>
      <xdr:rowOff>258535</xdr:rowOff>
    </xdr:from>
    <xdr:to>
      <xdr:col>35</xdr:col>
      <xdr:colOff>571500</xdr:colOff>
      <xdr:row>47</xdr:row>
      <xdr:rowOff>258535</xdr:rowOff>
    </xdr:to>
    <xdr:cxnSp macro="">
      <xdr:nvCxnSpPr>
        <xdr:cNvPr id="248" name="Straight Arrow Connector 247">
          <a:extLst>
            <a:ext uri="{FF2B5EF4-FFF2-40B4-BE49-F238E27FC236}">
              <a16:creationId xmlns:a16="http://schemas.microsoft.com/office/drawing/2014/main" id="{F9838297-B380-438F-92D0-A71679190FAB}"/>
            </a:ext>
            <a:ext uri="{147F2762-F138-4A5C-976F-8EAC2B608ADB}">
              <a16:predDERef xmlns:a16="http://schemas.microsoft.com/office/drawing/2014/main" pred="{6A33D320-F27B-E0A8-4C99-8558FB7F64DB}"/>
            </a:ext>
          </a:extLst>
        </xdr:cNvPr>
        <xdr:cNvCxnSpPr>
          <a:cxnSpLocks/>
        </xdr:cNvCxnSpPr>
      </xdr:nvCxnSpPr>
      <xdr:spPr bwMode="auto">
        <a:xfrm>
          <a:off x="7551964" y="10967356"/>
          <a:ext cx="3646715"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27214</xdr:colOff>
      <xdr:row>261</xdr:row>
      <xdr:rowOff>244928</xdr:rowOff>
    </xdr:from>
    <xdr:to>
      <xdr:col>34</xdr:col>
      <xdr:colOff>13608</xdr:colOff>
      <xdr:row>261</xdr:row>
      <xdr:rowOff>244928</xdr:rowOff>
    </xdr:to>
    <xdr:cxnSp macro="">
      <xdr:nvCxnSpPr>
        <xdr:cNvPr id="260" name="Straight Arrow Connector 259">
          <a:extLst>
            <a:ext uri="{FF2B5EF4-FFF2-40B4-BE49-F238E27FC236}">
              <a16:creationId xmlns:a16="http://schemas.microsoft.com/office/drawing/2014/main" id="{DE0A35CE-D037-4677-AD40-D007D0B36962}"/>
            </a:ext>
            <a:ext uri="{147F2762-F138-4A5C-976F-8EAC2B608ADB}">
              <a16:predDERef xmlns:a16="http://schemas.microsoft.com/office/drawing/2014/main" pred="{6A33D320-F27B-E0A8-4C99-8558FB7F64DB}"/>
            </a:ext>
          </a:extLst>
        </xdr:cNvPr>
        <xdr:cNvCxnSpPr>
          <a:cxnSpLocks/>
        </xdr:cNvCxnSpPr>
      </xdr:nvCxnSpPr>
      <xdr:spPr bwMode="auto">
        <a:xfrm>
          <a:off x="7579178" y="50809071"/>
          <a:ext cx="247650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612322</xdr:colOff>
      <xdr:row>262</xdr:row>
      <xdr:rowOff>258536</xdr:rowOff>
    </xdr:from>
    <xdr:to>
      <xdr:col>46</xdr:col>
      <xdr:colOff>40821</xdr:colOff>
      <xdr:row>262</xdr:row>
      <xdr:rowOff>258536</xdr:rowOff>
    </xdr:to>
    <xdr:cxnSp macro="">
      <xdr:nvCxnSpPr>
        <xdr:cNvPr id="269" name="Straight Arrow Connector 268">
          <a:extLst>
            <a:ext uri="{FF2B5EF4-FFF2-40B4-BE49-F238E27FC236}">
              <a16:creationId xmlns:a16="http://schemas.microsoft.com/office/drawing/2014/main" id="{A6BF626A-A583-416D-9213-7CA33BB0BE64}"/>
            </a:ext>
            <a:ext uri="{147F2762-F138-4A5C-976F-8EAC2B608ADB}">
              <a16:predDERef xmlns:a16="http://schemas.microsoft.com/office/drawing/2014/main" pred="{6A33D320-F27B-E0A8-4C99-8558FB7F64DB}"/>
            </a:ext>
          </a:extLst>
        </xdr:cNvPr>
        <xdr:cNvCxnSpPr>
          <a:cxnSpLocks/>
        </xdr:cNvCxnSpPr>
      </xdr:nvCxnSpPr>
      <xdr:spPr bwMode="auto">
        <a:xfrm>
          <a:off x="10028465" y="51135643"/>
          <a:ext cx="1891392"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-1</xdr:colOff>
      <xdr:row>263</xdr:row>
      <xdr:rowOff>272143</xdr:rowOff>
    </xdr:from>
    <xdr:to>
      <xdr:col>59</xdr:col>
      <xdr:colOff>625928</xdr:colOff>
      <xdr:row>263</xdr:row>
      <xdr:rowOff>272143</xdr:rowOff>
    </xdr:to>
    <xdr:cxnSp macro="">
      <xdr:nvCxnSpPr>
        <xdr:cNvPr id="271" name="Straight Arrow Connector 270">
          <a:extLst>
            <a:ext uri="{FF2B5EF4-FFF2-40B4-BE49-F238E27FC236}">
              <a16:creationId xmlns:a16="http://schemas.microsoft.com/office/drawing/2014/main" id="{6DAF23F4-A47A-424D-9609-2703FF96942E}"/>
            </a:ext>
            <a:ext uri="{147F2762-F138-4A5C-976F-8EAC2B608ADB}">
              <a16:predDERef xmlns:a16="http://schemas.microsoft.com/office/drawing/2014/main" pred="{6A33D320-F27B-E0A8-4C99-8558FB7F64DB}"/>
            </a:ext>
          </a:extLst>
        </xdr:cNvPr>
        <xdr:cNvCxnSpPr>
          <a:cxnSpLocks/>
        </xdr:cNvCxnSpPr>
      </xdr:nvCxnSpPr>
      <xdr:spPr bwMode="auto">
        <a:xfrm>
          <a:off x="11879035" y="51462214"/>
          <a:ext cx="3116036"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13607</xdr:colOff>
      <xdr:row>32</xdr:row>
      <xdr:rowOff>122464</xdr:rowOff>
    </xdr:from>
    <xdr:to>
      <xdr:col>23</xdr:col>
      <xdr:colOff>585107</xdr:colOff>
      <xdr:row>32</xdr:row>
      <xdr:rowOff>122464</xdr:rowOff>
    </xdr:to>
    <xdr:cxnSp macro="">
      <xdr:nvCxnSpPr>
        <xdr:cNvPr id="278" name="Straight Arrow Connector 277">
          <a:extLst>
            <a:ext uri="{FF2B5EF4-FFF2-40B4-BE49-F238E27FC236}">
              <a16:creationId xmlns:a16="http://schemas.microsoft.com/office/drawing/2014/main" id="{8EFA94EA-3048-497B-8FB6-3B903B0BF534}"/>
            </a:ext>
            <a:ext uri="{147F2762-F138-4A5C-976F-8EAC2B608ADB}">
              <a16:predDERef xmlns:a16="http://schemas.microsoft.com/office/drawing/2014/main" pred="{6A33D320-F27B-E0A8-4C99-8558FB7F64DB}"/>
            </a:ext>
          </a:extLst>
        </xdr:cNvPr>
        <xdr:cNvCxnSpPr>
          <a:cxnSpLocks/>
        </xdr:cNvCxnSpPr>
      </xdr:nvCxnSpPr>
      <xdr:spPr bwMode="auto">
        <a:xfrm>
          <a:off x="7565571" y="5334000"/>
          <a:ext cx="18097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0</xdr:colOff>
      <xdr:row>33</xdr:row>
      <xdr:rowOff>0</xdr:rowOff>
    </xdr:from>
    <xdr:to>
      <xdr:col>36</xdr:col>
      <xdr:colOff>0</xdr:colOff>
      <xdr:row>33</xdr:row>
      <xdr:rowOff>0</xdr:rowOff>
    </xdr:to>
    <xdr:cxnSp macro="">
      <xdr:nvCxnSpPr>
        <xdr:cNvPr id="280" name="Straight Arrow Connector 279">
          <a:extLst>
            <a:ext uri="{FF2B5EF4-FFF2-40B4-BE49-F238E27FC236}">
              <a16:creationId xmlns:a16="http://schemas.microsoft.com/office/drawing/2014/main" id="{A92C5E77-C97A-4B51-A07A-86A34FCE8254}"/>
            </a:ext>
            <a:ext uri="{147F2762-F138-4A5C-976F-8EAC2B608ADB}">
              <a16:predDERef xmlns:a16="http://schemas.microsoft.com/office/drawing/2014/main" pred="{6A33D320-F27B-E0A8-4C99-8558FB7F64DB}"/>
            </a:ext>
          </a:extLst>
        </xdr:cNvPr>
        <xdr:cNvCxnSpPr>
          <a:cxnSpLocks/>
        </xdr:cNvCxnSpPr>
      </xdr:nvCxnSpPr>
      <xdr:spPr bwMode="auto">
        <a:xfrm>
          <a:off x="9416143" y="5510893"/>
          <a:ext cx="18097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57150</xdr:colOff>
      <xdr:row>34</xdr:row>
      <xdr:rowOff>261257</xdr:rowOff>
    </xdr:from>
    <xdr:to>
      <xdr:col>45</xdr:col>
      <xdr:colOff>57150</xdr:colOff>
      <xdr:row>34</xdr:row>
      <xdr:rowOff>261257</xdr:rowOff>
    </xdr:to>
    <xdr:cxnSp macro="">
      <xdr:nvCxnSpPr>
        <xdr:cNvPr id="281" name="Straight Arrow Connector 280">
          <a:extLst>
            <a:ext uri="{FF2B5EF4-FFF2-40B4-BE49-F238E27FC236}">
              <a16:creationId xmlns:a16="http://schemas.microsoft.com/office/drawing/2014/main" id="{F3693486-3C09-4245-9898-BFB97AA8C099}"/>
            </a:ext>
            <a:ext uri="{147F2762-F138-4A5C-976F-8EAC2B608ADB}">
              <a16:predDERef xmlns:a16="http://schemas.microsoft.com/office/drawing/2014/main" pred="{6A33D320-F27B-E0A8-4C99-8558FB7F64DB}"/>
            </a:ext>
          </a:extLst>
        </xdr:cNvPr>
        <xdr:cNvCxnSpPr>
          <a:cxnSpLocks/>
        </xdr:cNvCxnSpPr>
      </xdr:nvCxnSpPr>
      <xdr:spPr bwMode="auto">
        <a:xfrm>
          <a:off x="9473293" y="5772150"/>
          <a:ext cx="180975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13608</xdr:colOff>
      <xdr:row>52</xdr:row>
      <xdr:rowOff>244928</xdr:rowOff>
    </xdr:from>
    <xdr:to>
      <xdr:col>46</xdr:col>
      <xdr:colOff>299357</xdr:colOff>
      <xdr:row>52</xdr:row>
      <xdr:rowOff>244928</xdr:rowOff>
    </xdr:to>
    <xdr:cxnSp macro="">
      <xdr:nvCxnSpPr>
        <xdr:cNvPr id="282" name="Straight Arrow Connector 281">
          <a:extLst>
            <a:ext uri="{FF2B5EF4-FFF2-40B4-BE49-F238E27FC236}">
              <a16:creationId xmlns:a16="http://schemas.microsoft.com/office/drawing/2014/main" id="{8BBD37F9-D7DD-44C6-BFCE-8673DE226A05}"/>
            </a:ext>
            <a:ext uri="{147F2762-F138-4A5C-976F-8EAC2B608ADB}">
              <a16:predDERef xmlns:a16="http://schemas.microsoft.com/office/drawing/2014/main" pred="{6A33D320-F27B-E0A8-4C99-8558FB7F64DB}"/>
            </a:ext>
          </a:extLst>
        </xdr:cNvPr>
        <xdr:cNvCxnSpPr>
          <a:cxnSpLocks/>
        </xdr:cNvCxnSpPr>
      </xdr:nvCxnSpPr>
      <xdr:spPr bwMode="auto">
        <a:xfrm>
          <a:off x="7565572" y="10137321"/>
          <a:ext cx="461282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46</xdr:col>
      <xdr:colOff>299357</xdr:colOff>
      <xdr:row>54</xdr:row>
      <xdr:rowOff>272142</xdr:rowOff>
    </xdr:from>
    <xdr:to>
      <xdr:col>59</xdr:col>
      <xdr:colOff>612321</xdr:colOff>
      <xdr:row>54</xdr:row>
      <xdr:rowOff>272142</xdr:rowOff>
    </xdr:to>
    <xdr:cxnSp macro="">
      <xdr:nvCxnSpPr>
        <xdr:cNvPr id="285" name="Straight Arrow Connector 284">
          <a:extLst>
            <a:ext uri="{FF2B5EF4-FFF2-40B4-BE49-F238E27FC236}">
              <a16:creationId xmlns:a16="http://schemas.microsoft.com/office/drawing/2014/main" id="{51B82446-212F-4C06-B1EA-7231AA1D4C69}"/>
            </a:ext>
            <a:ext uri="{147F2762-F138-4A5C-976F-8EAC2B608ADB}">
              <a16:predDERef xmlns:a16="http://schemas.microsoft.com/office/drawing/2014/main" pred="{6A33D320-F27B-E0A8-4C99-8558FB7F64DB}"/>
            </a:ext>
          </a:extLst>
        </xdr:cNvPr>
        <xdr:cNvCxnSpPr>
          <a:cxnSpLocks/>
        </xdr:cNvCxnSpPr>
      </xdr:nvCxnSpPr>
      <xdr:spPr bwMode="auto">
        <a:xfrm>
          <a:off x="12178393" y="10763249"/>
          <a:ext cx="280307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21</xdr:col>
      <xdr:colOff>13607</xdr:colOff>
      <xdr:row>58</xdr:row>
      <xdr:rowOff>244928</xdr:rowOff>
    </xdr:from>
    <xdr:to>
      <xdr:col>33</xdr:col>
      <xdr:colOff>40821</xdr:colOff>
      <xdr:row>58</xdr:row>
      <xdr:rowOff>244928</xdr:rowOff>
    </xdr:to>
    <xdr:cxnSp macro="">
      <xdr:nvCxnSpPr>
        <xdr:cNvPr id="65" name="Straight Arrow Connector 64">
          <a:extLst>
            <a:ext uri="{FF2B5EF4-FFF2-40B4-BE49-F238E27FC236}">
              <a16:creationId xmlns:a16="http://schemas.microsoft.com/office/drawing/2014/main" id="{2EE7A24E-819D-4C15-BC1E-AFA1224AF1EB}"/>
            </a:ext>
            <a:ext uri="{147F2762-F138-4A5C-976F-8EAC2B608ADB}">
              <a16:predDERef xmlns:a16="http://schemas.microsoft.com/office/drawing/2014/main" pred="{6A33D320-F27B-E0A8-4C99-8558FB7F64DB}"/>
            </a:ext>
          </a:extLst>
        </xdr:cNvPr>
        <xdr:cNvCxnSpPr>
          <a:cxnSpLocks/>
        </xdr:cNvCxnSpPr>
      </xdr:nvCxnSpPr>
      <xdr:spPr bwMode="auto">
        <a:xfrm>
          <a:off x="7565571" y="11307535"/>
          <a:ext cx="189139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0</xdr:colOff>
      <xdr:row>56</xdr:row>
      <xdr:rowOff>0</xdr:rowOff>
    </xdr:from>
    <xdr:to>
      <xdr:col>48</xdr:col>
      <xdr:colOff>0</xdr:colOff>
      <xdr:row>56</xdr:row>
      <xdr:rowOff>0</xdr:rowOff>
    </xdr:to>
    <xdr:cxnSp macro="">
      <xdr:nvCxnSpPr>
        <xdr:cNvPr id="72" name="Straight Arrow Connector 71">
          <a:extLst>
            <a:ext uri="{FF2B5EF4-FFF2-40B4-BE49-F238E27FC236}">
              <a16:creationId xmlns:a16="http://schemas.microsoft.com/office/drawing/2014/main" id="{B754DD2A-C27A-4170-A5B2-A0E28C92CFFA}"/>
            </a:ext>
            <a:ext uri="{147F2762-F138-4A5C-976F-8EAC2B608ADB}">
              <a16:predDERef xmlns:a16="http://schemas.microsoft.com/office/drawing/2014/main" pred="{6A33D320-F27B-E0A8-4C99-8558FB7F64DB}"/>
            </a:ext>
          </a:extLst>
        </xdr:cNvPr>
        <xdr:cNvCxnSpPr>
          <a:cxnSpLocks/>
        </xdr:cNvCxnSpPr>
      </xdr:nvCxnSpPr>
      <xdr:spPr bwMode="auto">
        <a:xfrm>
          <a:off x="11225893" y="11062607"/>
          <a:ext cx="1891393"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13607</xdr:colOff>
      <xdr:row>59</xdr:row>
      <xdr:rowOff>258535</xdr:rowOff>
    </xdr:from>
    <xdr:to>
      <xdr:col>59</xdr:col>
      <xdr:colOff>625928</xdr:colOff>
      <xdr:row>59</xdr:row>
      <xdr:rowOff>258535</xdr:rowOff>
    </xdr:to>
    <xdr:cxnSp macro="">
      <xdr:nvCxnSpPr>
        <xdr:cNvPr id="73" name="Straight Arrow Connector 72">
          <a:extLst>
            <a:ext uri="{FF2B5EF4-FFF2-40B4-BE49-F238E27FC236}">
              <a16:creationId xmlns:a16="http://schemas.microsoft.com/office/drawing/2014/main" id="{AC2E4778-2DB3-4D53-AF0B-B7EF781E9BF6}"/>
            </a:ext>
            <a:ext uri="{147F2762-F138-4A5C-976F-8EAC2B608ADB}">
              <a16:predDERef xmlns:a16="http://schemas.microsoft.com/office/drawing/2014/main" pred="{6A33D320-F27B-E0A8-4C99-8558FB7F64DB}"/>
            </a:ext>
          </a:extLst>
        </xdr:cNvPr>
        <xdr:cNvCxnSpPr>
          <a:cxnSpLocks/>
        </xdr:cNvCxnSpPr>
      </xdr:nvCxnSpPr>
      <xdr:spPr bwMode="auto">
        <a:xfrm>
          <a:off x="9429750" y="11620499"/>
          <a:ext cx="5565321"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47</xdr:col>
      <xdr:colOff>1</xdr:colOff>
      <xdr:row>339</xdr:row>
      <xdr:rowOff>179294</xdr:rowOff>
    </xdr:from>
    <xdr:to>
      <xdr:col>59</xdr:col>
      <xdr:colOff>627529</xdr:colOff>
      <xdr:row>339</xdr:row>
      <xdr:rowOff>179294</xdr:rowOff>
    </xdr:to>
    <xdr:cxnSp macro="">
      <xdr:nvCxnSpPr>
        <xdr:cNvPr id="7" name="Straight Arrow Connector 6">
          <a:extLst>
            <a:ext uri="{FF2B5EF4-FFF2-40B4-BE49-F238E27FC236}">
              <a16:creationId xmlns:a16="http://schemas.microsoft.com/office/drawing/2014/main" id="{A2C4D59D-1891-4487-92A2-E4E4A363C4A9}"/>
            </a:ext>
            <a:ext uri="{147F2762-F138-4A5C-976F-8EAC2B608ADB}">
              <a16:predDERef xmlns:a16="http://schemas.microsoft.com/office/drawing/2014/main" pred="{6A33D320-F27B-E0A8-4C99-8558FB7F64DB}"/>
            </a:ext>
          </a:extLst>
        </xdr:cNvPr>
        <xdr:cNvCxnSpPr>
          <a:cxnSpLocks/>
        </xdr:cNvCxnSpPr>
      </xdr:nvCxnSpPr>
      <xdr:spPr bwMode="auto">
        <a:xfrm>
          <a:off x="12472148" y="66417265"/>
          <a:ext cx="247649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58</xdr:col>
      <xdr:colOff>302559</xdr:colOff>
      <xdr:row>175</xdr:row>
      <xdr:rowOff>268941</xdr:rowOff>
    </xdr:from>
    <xdr:to>
      <xdr:col>59</xdr:col>
      <xdr:colOff>605117</xdr:colOff>
      <xdr:row>175</xdr:row>
      <xdr:rowOff>268941</xdr:rowOff>
    </xdr:to>
    <xdr:cxnSp macro="">
      <xdr:nvCxnSpPr>
        <xdr:cNvPr id="13" name="Straight Arrow Connector 12">
          <a:extLst>
            <a:ext uri="{FF2B5EF4-FFF2-40B4-BE49-F238E27FC236}">
              <a16:creationId xmlns:a16="http://schemas.microsoft.com/office/drawing/2014/main" id="{EDCC15A4-F52C-49EC-B3EB-68751F64ECE6}"/>
            </a:ext>
            <a:ext uri="{147F2762-F138-4A5C-976F-8EAC2B608ADB}">
              <a16:predDERef xmlns:a16="http://schemas.microsoft.com/office/drawing/2014/main" pred="{6A33D320-F27B-E0A8-4C99-8558FB7F64DB}"/>
            </a:ext>
          </a:extLst>
        </xdr:cNvPr>
        <xdr:cNvCxnSpPr>
          <a:cxnSpLocks/>
        </xdr:cNvCxnSpPr>
      </xdr:nvCxnSpPr>
      <xdr:spPr bwMode="auto">
        <a:xfrm>
          <a:off x="13984941" y="34032265"/>
          <a:ext cx="94129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12</xdr:col>
      <xdr:colOff>11206</xdr:colOff>
      <xdr:row>207</xdr:row>
      <xdr:rowOff>212912</xdr:rowOff>
    </xdr:from>
    <xdr:to>
      <xdr:col>26</xdr:col>
      <xdr:colOff>44823</xdr:colOff>
      <xdr:row>207</xdr:row>
      <xdr:rowOff>212912</xdr:rowOff>
    </xdr:to>
    <xdr:cxnSp macro="">
      <xdr:nvCxnSpPr>
        <xdr:cNvPr id="12" name="Straight Arrow Connector 11">
          <a:extLst>
            <a:ext uri="{FF2B5EF4-FFF2-40B4-BE49-F238E27FC236}">
              <a16:creationId xmlns:a16="http://schemas.microsoft.com/office/drawing/2014/main" id="{D990D9CA-C9C1-4F1F-8A5B-260856A883A0}"/>
            </a:ext>
            <a:ext uri="{147F2762-F138-4A5C-976F-8EAC2B608ADB}">
              <a16:predDERef xmlns:a16="http://schemas.microsoft.com/office/drawing/2014/main" pred="{6A33D320-F27B-E0A8-4C99-8558FB7F64DB}"/>
            </a:ext>
          </a:extLst>
        </xdr:cNvPr>
        <xdr:cNvCxnSpPr>
          <a:cxnSpLocks/>
        </xdr:cNvCxnSpPr>
      </xdr:nvCxnSpPr>
      <xdr:spPr bwMode="auto">
        <a:xfrm>
          <a:off x="7552765" y="40811824"/>
          <a:ext cx="824752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0</xdr:colOff>
      <xdr:row>208</xdr:row>
      <xdr:rowOff>246530</xdr:rowOff>
    </xdr:from>
    <xdr:to>
      <xdr:col>41</xdr:col>
      <xdr:colOff>571500</xdr:colOff>
      <xdr:row>208</xdr:row>
      <xdr:rowOff>246530</xdr:rowOff>
    </xdr:to>
    <xdr:cxnSp macro="">
      <xdr:nvCxnSpPr>
        <xdr:cNvPr id="18" name="Straight Arrow Connector 17">
          <a:extLst>
            <a:ext uri="{FF2B5EF4-FFF2-40B4-BE49-F238E27FC236}">
              <a16:creationId xmlns:a16="http://schemas.microsoft.com/office/drawing/2014/main" id="{FD6F771D-841B-4BE8-BBE8-EF44C8F4AF42}"/>
            </a:ext>
            <a:ext uri="{147F2762-F138-4A5C-976F-8EAC2B608ADB}">
              <a16:predDERef xmlns:a16="http://schemas.microsoft.com/office/drawing/2014/main" pred="{6A33D320-F27B-E0A8-4C99-8558FB7F64DB}"/>
            </a:ext>
          </a:extLst>
        </xdr:cNvPr>
        <xdr:cNvCxnSpPr>
          <a:cxnSpLocks/>
        </xdr:cNvCxnSpPr>
      </xdr:nvCxnSpPr>
      <xdr:spPr bwMode="auto">
        <a:xfrm>
          <a:off x="16427824" y="41114383"/>
          <a:ext cx="8763000"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171</xdr:row>
      <xdr:rowOff>268941</xdr:rowOff>
    </xdr:from>
    <xdr:to>
      <xdr:col>39</xdr:col>
      <xdr:colOff>291352</xdr:colOff>
      <xdr:row>171</xdr:row>
      <xdr:rowOff>268941</xdr:rowOff>
    </xdr:to>
    <xdr:cxnSp macro="">
      <xdr:nvCxnSpPr>
        <xdr:cNvPr id="230" name="Straight Arrow Connector 229">
          <a:extLst>
            <a:ext uri="{FF2B5EF4-FFF2-40B4-BE49-F238E27FC236}">
              <a16:creationId xmlns:a16="http://schemas.microsoft.com/office/drawing/2014/main" id="{DDAD2F29-4EDF-4007-AD08-F8940ADE5020}"/>
            </a:ext>
            <a:ext uri="{147F2762-F138-4A5C-976F-8EAC2B608ADB}">
              <a16:predDERef xmlns:a16="http://schemas.microsoft.com/office/drawing/2014/main" pred="{6A33D320-F27B-E0A8-4C99-8558FB7F64DB}"/>
            </a:ext>
          </a:extLst>
        </xdr:cNvPr>
        <xdr:cNvCxnSpPr>
          <a:cxnSpLocks/>
        </xdr:cNvCxnSpPr>
      </xdr:nvCxnSpPr>
      <xdr:spPr bwMode="auto">
        <a:xfrm>
          <a:off x="18119912" y="33427147"/>
          <a:ext cx="5647764"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626534</xdr:colOff>
      <xdr:row>1</xdr:row>
      <xdr:rowOff>209326</xdr:rowOff>
    </xdr:from>
    <xdr:to>
      <xdr:col>3</xdr:col>
      <xdr:colOff>470647</xdr:colOff>
      <xdr:row>1</xdr:row>
      <xdr:rowOff>209326</xdr:rowOff>
    </xdr:to>
    <xdr:cxnSp macro="">
      <xdr:nvCxnSpPr>
        <xdr:cNvPr id="2" name="Straight Connector 1">
          <a:extLst>
            <a:ext uri="{FF2B5EF4-FFF2-40B4-BE49-F238E27FC236}">
              <a16:creationId xmlns:a16="http://schemas.microsoft.com/office/drawing/2014/main" id="{30B25697-49C8-4965-BE64-204FA3D9C873}"/>
            </a:ext>
          </a:extLst>
        </xdr:cNvPr>
        <xdr:cNvCxnSpPr/>
      </xdr:nvCxnSpPr>
      <xdr:spPr>
        <a:xfrm>
          <a:off x="1083734" y="418876"/>
          <a:ext cx="1310963" cy="0"/>
        </a:xfrm>
        <a:prstGeom prst="line">
          <a:avLst/>
        </a:prstGeom>
        <a:ln>
          <a:solidFill>
            <a:sysClr val="windowText" lastClr="000000"/>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531916</xdr:colOff>
      <xdr:row>1</xdr:row>
      <xdr:rowOff>209326</xdr:rowOff>
    </xdr:from>
    <xdr:to>
      <xdr:col>35</xdr:col>
      <xdr:colOff>98961</xdr:colOff>
      <xdr:row>1</xdr:row>
      <xdr:rowOff>209326</xdr:rowOff>
    </xdr:to>
    <xdr:cxnSp macro="">
      <xdr:nvCxnSpPr>
        <xdr:cNvPr id="3" name="Straight Connector 2">
          <a:extLst>
            <a:ext uri="{FF2B5EF4-FFF2-40B4-BE49-F238E27FC236}">
              <a16:creationId xmlns:a16="http://schemas.microsoft.com/office/drawing/2014/main" id="{62566E83-2C21-4905-BFE6-81F792618F20}"/>
            </a:ext>
          </a:extLst>
        </xdr:cNvPr>
        <xdr:cNvCxnSpPr/>
      </xdr:nvCxnSpPr>
      <xdr:spPr>
        <a:xfrm>
          <a:off x="11133241" y="418876"/>
          <a:ext cx="1872095" cy="0"/>
        </a:xfrm>
        <a:prstGeom prst="line">
          <a:avLst/>
        </a:prstGeom>
        <a:ln>
          <a:solidFill>
            <a:sysClr val="windowText" lastClr="000000"/>
          </a:solidFill>
          <a:prstDash val="solid"/>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40</xdr:col>
      <xdr:colOff>735107</xdr:colOff>
      <xdr:row>193</xdr:row>
      <xdr:rowOff>179294</xdr:rowOff>
    </xdr:from>
    <xdr:to>
      <xdr:col>42</xdr:col>
      <xdr:colOff>466685</xdr:colOff>
      <xdr:row>197</xdr:row>
      <xdr:rowOff>90737</xdr:rowOff>
    </xdr:to>
    <xdr:pic>
      <xdr:nvPicPr>
        <xdr:cNvPr id="4" name="Picture 1481478">
          <a:extLst>
            <a:ext uri="{FF2B5EF4-FFF2-40B4-BE49-F238E27FC236}">
              <a16:creationId xmlns:a16="http://schemas.microsoft.com/office/drawing/2014/main" id="{0BDB9752-2F13-44A9-B545-DD6534EA12FB}"/>
            </a:ext>
            <a:ext uri="{147F2762-F138-4A5C-976F-8EAC2B608ADB}">
              <a16:predDERef xmlns:a16="http://schemas.microsoft.com/office/drawing/2014/main" pred="{1BC3EE30-BBDB-99D8-7799-39F98390AB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667195" y="32866853"/>
          <a:ext cx="1423667" cy="718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41</xdr:col>
      <xdr:colOff>188258</xdr:colOff>
      <xdr:row>0</xdr:row>
      <xdr:rowOff>132231</xdr:rowOff>
    </xdr:from>
    <xdr:to>
      <xdr:col>41</xdr:col>
      <xdr:colOff>188258</xdr:colOff>
      <xdr:row>1</xdr:row>
      <xdr:rowOff>179294</xdr:rowOff>
    </xdr:to>
    <xdr:cxnSp macro="">
      <xdr:nvCxnSpPr>
        <xdr:cNvPr id="66" name="Straight Arrow Connector 1822">
          <a:extLst>
            <a:ext uri="{FF2B5EF4-FFF2-40B4-BE49-F238E27FC236}">
              <a16:creationId xmlns:a16="http://schemas.microsoft.com/office/drawing/2014/main" id="{C238EED6-2376-46D9-8233-994B0F1FFE93}"/>
            </a:ext>
          </a:extLst>
        </xdr:cNvPr>
        <xdr:cNvCxnSpPr/>
      </xdr:nvCxnSpPr>
      <xdr:spPr>
        <a:xfrm>
          <a:off x="17893552" y="132231"/>
          <a:ext cx="0" cy="259975"/>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499335</xdr:colOff>
      <xdr:row>5</xdr:row>
      <xdr:rowOff>158227</xdr:rowOff>
    </xdr:from>
    <xdr:to>
      <xdr:col>42</xdr:col>
      <xdr:colOff>448236</xdr:colOff>
      <xdr:row>5</xdr:row>
      <xdr:rowOff>158227</xdr:rowOff>
    </xdr:to>
    <xdr:cxnSp macro="">
      <xdr:nvCxnSpPr>
        <xdr:cNvPr id="111" name="Straight Arrow Connector 110">
          <a:extLst>
            <a:ext uri="{FF2B5EF4-FFF2-40B4-BE49-F238E27FC236}">
              <a16:creationId xmlns:a16="http://schemas.microsoft.com/office/drawing/2014/main" id="{582CCB97-736D-49A6-B782-750CD44873BB}"/>
            </a:ext>
            <a:ext uri="{147F2762-F138-4A5C-976F-8EAC2B608ADB}">
              <a16:predDERef xmlns:a16="http://schemas.microsoft.com/office/drawing/2014/main" pred="{6A33D320-F27B-E0A8-4C99-8558FB7F64DB}"/>
            </a:ext>
          </a:extLst>
        </xdr:cNvPr>
        <xdr:cNvCxnSpPr>
          <a:cxnSpLocks/>
        </xdr:cNvCxnSpPr>
      </xdr:nvCxnSpPr>
      <xdr:spPr bwMode="auto">
        <a:xfrm>
          <a:off x="17521070" y="841786"/>
          <a:ext cx="1316019" cy="0"/>
        </a:xfrm>
        <a:prstGeom prst="straightConnector1">
          <a:avLst/>
        </a:prstGeom>
        <a:ln>
          <a:headEnd type="none" w="med" len="med"/>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11206</xdr:colOff>
      <xdr:row>46</xdr:row>
      <xdr:rowOff>178397</xdr:rowOff>
    </xdr:from>
    <xdr:to>
      <xdr:col>24</xdr:col>
      <xdr:colOff>561975</xdr:colOff>
      <xdr:row>46</xdr:row>
      <xdr:rowOff>178397</xdr:rowOff>
    </xdr:to>
    <xdr:cxnSp macro="">
      <xdr:nvCxnSpPr>
        <xdr:cNvPr id="113" name="Straight Arrow Connector 112">
          <a:extLst>
            <a:ext uri="{FF2B5EF4-FFF2-40B4-BE49-F238E27FC236}">
              <a16:creationId xmlns:a16="http://schemas.microsoft.com/office/drawing/2014/main" id="{9F215832-2914-4709-BC95-9278A4D58234}"/>
            </a:ext>
            <a:ext uri="{147F2762-F138-4A5C-976F-8EAC2B608ADB}">
              <a16:predDERef xmlns:a16="http://schemas.microsoft.com/office/drawing/2014/main" pred="{6A33D320-F27B-E0A8-4C99-8558FB7F64DB}"/>
            </a:ext>
          </a:extLst>
        </xdr:cNvPr>
        <xdr:cNvCxnSpPr>
          <a:cxnSpLocks/>
        </xdr:cNvCxnSpPr>
      </xdr:nvCxnSpPr>
      <xdr:spPr bwMode="auto">
        <a:xfrm>
          <a:off x="3899647" y="5209838"/>
          <a:ext cx="1122269" cy="0"/>
        </a:xfrm>
        <a:prstGeom prst="straightConnector1">
          <a:avLst/>
        </a:prstGeom>
        <a:noFill/>
        <a:ln w="25400" cap="flat" cmpd="sng" algn="ctr">
          <a:solidFill>
            <a:srgbClr val="548235"/>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0</xdr:colOff>
      <xdr:row>63</xdr:row>
      <xdr:rowOff>185121</xdr:rowOff>
    </xdr:from>
    <xdr:to>
      <xdr:col>25</xdr:col>
      <xdr:colOff>246530</xdr:colOff>
      <xdr:row>63</xdr:row>
      <xdr:rowOff>185121</xdr:rowOff>
    </xdr:to>
    <xdr:cxnSp macro="">
      <xdr:nvCxnSpPr>
        <xdr:cNvPr id="114" name="Straight Arrow Connector 113">
          <a:extLst>
            <a:ext uri="{FF2B5EF4-FFF2-40B4-BE49-F238E27FC236}">
              <a16:creationId xmlns:a16="http://schemas.microsoft.com/office/drawing/2014/main" id="{8DF13A3A-AF70-475B-8788-EE99B98D6E57}"/>
            </a:ext>
            <a:ext uri="{147F2762-F138-4A5C-976F-8EAC2B608ADB}">
              <a16:predDERef xmlns:a16="http://schemas.microsoft.com/office/drawing/2014/main" pred="{6A33D320-F27B-E0A8-4C99-8558FB7F64DB}"/>
            </a:ext>
          </a:extLst>
        </xdr:cNvPr>
        <xdr:cNvCxnSpPr>
          <a:cxnSpLocks/>
        </xdr:cNvCxnSpPr>
      </xdr:nvCxnSpPr>
      <xdr:spPr bwMode="auto">
        <a:xfrm>
          <a:off x="3888441" y="7379297"/>
          <a:ext cx="1389530"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495300</xdr:colOff>
      <xdr:row>74</xdr:row>
      <xdr:rowOff>198566</xdr:rowOff>
    </xdr:from>
    <xdr:to>
      <xdr:col>24</xdr:col>
      <xdr:colOff>495300</xdr:colOff>
      <xdr:row>75</xdr:row>
      <xdr:rowOff>205289</xdr:rowOff>
    </xdr:to>
    <xdr:cxnSp macro="">
      <xdr:nvCxnSpPr>
        <xdr:cNvPr id="116" name="Straight Arrow Connector 1822">
          <a:extLst>
            <a:ext uri="{FF2B5EF4-FFF2-40B4-BE49-F238E27FC236}">
              <a16:creationId xmlns:a16="http://schemas.microsoft.com/office/drawing/2014/main" id="{7151F767-6C5B-4ACF-BDBB-96105D2598CE}"/>
            </a:ext>
          </a:extLst>
        </xdr:cNvPr>
        <xdr:cNvCxnSpPr/>
      </xdr:nvCxnSpPr>
      <xdr:spPr>
        <a:xfrm>
          <a:off x="4955241" y="9454625"/>
          <a:ext cx="0" cy="242046"/>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37</xdr:row>
      <xdr:rowOff>189603</xdr:rowOff>
    </xdr:from>
    <xdr:to>
      <xdr:col>26</xdr:col>
      <xdr:colOff>19050</xdr:colOff>
      <xdr:row>37</xdr:row>
      <xdr:rowOff>189603</xdr:rowOff>
    </xdr:to>
    <xdr:cxnSp macro="">
      <xdr:nvCxnSpPr>
        <xdr:cNvPr id="9" name="Straight Arrow Connector 8">
          <a:extLst>
            <a:ext uri="{FF2B5EF4-FFF2-40B4-BE49-F238E27FC236}">
              <a16:creationId xmlns:a16="http://schemas.microsoft.com/office/drawing/2014/main" id="{D0137743-A923-4475-91B0-7357891CED07}"/>
            </a:ext>
            <a:ext uri="{147F2762-F138-4A5C-976F-8EAC2B608ADB}">
              <a16:predDERef xmlns:a16="http://schemas.microsoft.com/office/drawing/2014/main" pred="{6A33D320-F27B-E0A8-4C99-8558FB7F64DB}"/>
            </a:ext>
          </a:extLst>
        </xdr:cNvPr>
        <xdr:cNvCxnSpPr>
          <a:cxnSpLocks/>
        </xdr:cNvCxnSpPr>
      </xdr:nvCxnSpPr>
      <xdr:spPr bwMode="auto">
        <a:xfrm>
          <a:off x="3897966" y="3999603"/>
          <a:ext cx="1757643" cy="0"/>
        </a:xfrm>
        <a:prstGeom prst="straightConnector1">
          <a:avLst/>
        </a:prstGeom>
        <a:noFill/>
        <a:ln w="25400" cap="flat" cmpd="sng" algn="ctr">
          <a:solidFill>
            <a:srgbClr val="C55A11"/>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6276</xdr:colOff>
      <xdr:row>99</xdr:row>
      <xdr:rowOff>203050</xdr:rowOff>
    </xdr:from>
    <xdr:to>
      <xdr:col>28</xdr:col>
      <xdr:colOff>56030</xdr:colOff>
      <xdr:row>99</xdr:row>
      <xdr:rowOff>203050</xdr:rowOff>
    </xdr:to>
    <xdr:cxnSp macro="">
      <xdr:nvCxnSpPr>
        <xdr:cNvPr id="8" name="Straight Arrow Connector 7">
          <a:extLst>
            <a:ext uri="{FF2B5EF4-FFF2-40B4-BE49-F238E27FC236}">
              <a16:creationId xmlns:a16="http://schemas.microsoft.com/office/drawing/2014/main" id="{58D862A8-7135-4071-AE27-DD99E50E5A2B}"/>
            </a:ext>
            <a:ext uri="{147F2762-F138-4A5C-976F-8EAC2B608ADB}">
              <a16:predDERef xmlns:a16="http://schemas.microsoft.com/office/drawing/2014/main" pred="{6A33D320-F27B-E0A8-4C99-8558FB7F64DB}"/>
            </a:ext>
          </a:extLst>
        </xdr:cNvPr>
        <xdr:cNvCxnSpPr>
          <a:cxnSpLocks/>
        </xdr:cNvCxnSpPr>
      </xdr:nvCxnSpPr>
      <xdr:spPr bwMode="auto">
        <a:xfrm>
          <a:off x="3894717" y="15443050"/>
          <a:ext cx="2974489" cy="0"/>
        </a:xfrm>
        <a:prstGeom prst="straightConnector1">
          <a:avLst/>
        </a:prstGeom>
        <a:noFill/>
        <a:ln w="25400" cap="flat" cmpd="sng" algn="ctr">
          <a:solidFill>
            <a:srgbClr val="00807F"/>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56030</xdr:colOff>
      <xdr:row>101</xdr:row>
      <xdr:rowOff>205290</xdr:rowOff>
    </xdr:from>
    <xdr:to>
      <xdr:col>36</xdr:col>
      <xdr:colOff>56028</xdr:colOff>
      <xdr:row>101</xdr:row>
      <xdr:rowOff>205290</xdr:rowOff>
    </xdr:to>
    <xdr:cxnSp macro="">
      <xdr:nvCxnSpPr>
        <xdr:cNvPr id="14" name="Straight Arrow Connector 13">
          <a:extLst>
            <a:ext uri="{FF2B5EF4-FFF2-40B4-BE49-F238E27FC236}">
              <a16:creationId xmlns:a16="http://schemas.microsoft.com/office/drawing/2014/main" id="{F2E41E41-8B89-4124-9366-0E6F015502CF}"/>
            </a:ext>
            <a:ext uri="{147F2762-F138-4A5C-976F-8EAC2B608ADB}">
              <a16:predDERef xmlns:a16="http://schemas.microsoft.com/office/drawing/2014/main" pred="{6A33D320-F27B-E0A8-4C99-8558FB7F64DB}"/>
            </a:ext>
          </a:extLst>
        </xdr:cNvPr>
        <xdr:cNvCxnSpPr>
          <a:cxnSpLocks/>
        </xdr:cNvCxnSpPr>
      </xdr:nvCxnSpPr>
      <xdr:spPr bwMode="auto">
        <a:xfrm>
          <a:off x="6869206" y="16005584"/>
          <a:ext cx="4527175" cy="0"/>
        </a:xfrm>
        <a:prstGeom prst="straightConnector1">
          <a:avLst/>
        </a:prstGeom>
        <a:noFill/>
        <a:ln w="25400" cap="flat" cmpd="sng" algn="ctr">
          <a:solidFill>
            <a:srgbClr val="00807F"/>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56030</xdr:colOff>
      <xdr:row>99</xdr:row>
      <xdr:rowOff>203050</xdr:rowOff>
    </xdr:from>
    <xdr:to>
      <xdr:col>28</xdr:col>
      <xdr:colOff>56030</xdr:colOff>
      <xdr:row>101</xdr:row>
      <xdr:rowOff>205289</xdr:rowOff>
    </xdr:to>
    <xdr:cxnSp macro="">
      <xdr:nvCxnSpPr>
        <xdr:cNvPr id="18" name="Straight Arrow Connector 1822">
          <a:extLst>
            <a:ext uri="{FF2B5EF4-FFF2-40B4-BE49-F238E27FC236}">
              <a16:creationId xmlns:a16="http://schemas.microsoft.com/office/drawing/2014/main" id="{B35F899E-E061-4BE1-89F1-26868CEB33F5}"/>
            </a:ext>
          </a:extLst>
        </xdr:cNvPr>
        <xdr:cNvCxnSpPr/>
      </xdr:nvCxnSpPr>
      <xdr:spPr>
        <a:xfrm>
          <a:off x="6869206" y="15443050"/>
          <a:ext cx="0" cy="562533"/>
        </a:xfrm>
        <a:prstGeom prst="straightConnector1">
          <a:avLst/>
        </a:prstGeom>
        <a:noFill/>
        <a:ln w="9525" cap="flat" cmpd="sng" algn="ctr">
          <a:solidFill>
            <a:srgbClr val="00807F"/>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3474</xdr:colOff>
      <xdr:row>74</xdr:row>
      <xdr:rowOff>198567</xdr:rowOff>
    </xdr:from>
    <xdr:to>
      <xdr:col>24</xdr:col>
      <xdr:colOff>495300</xdr:colOff>
      <xdr:row>74</xdr:row>
      <xdr:rowOff>198567</xdr:rowOff>
    </xdr:to>
    <xdr:cxnSp macro="">
      <xdr:nvCxnSpPr>
        <xdr:cNvPr id="20" name="Straight Arrow Connector 19">
          <a:extLst>
            <a:ext uri="{FF2B5EF4-FFF2-40B4-BE49-F238E27FC236}">
              <a16:creationId xmlns:a16="http://schemas.microsoft.com/office/drawing/2014/main" id="{A839BDEF-A759-4151-8371-EA8E8BBAC0DA}"/>
            </a:ext>
            <a:ext uri="{147F2762-F138-4A5C-976F-8EAC2B608ADB}">
              <a16:predDERef xmlns:a16="http://schemas.microsoft.com/office/drawing/2014/main" pred="{6A33D320-F27B-E0A8-4C99-8558FB7F64DB}"/>
            </a:ext>
          </a:extLst>
        </xdr:cNvPr>
        <xdr:cNvCxnSpPr>
          <a:cxnSpLocks/>
        </xdr:cNvCxnSpPr>
      </xdr:nvCxnSpPr>
      <xdr:spPr bwMode="auto">
        <a:xfrm>
          <a:off x="3891915" y="9454626"/>
          <a:ext cx="1063326" cy="0"/>
        </a:xfrm>
        <a:prstGeom prst="straightConnector1">
          <a:avLst/>
        </a:prstGeom>
        <a:noFill/>
        <a:ln w="25400" cap="flat" cmpd="sng" algn="ctr">
          <a:solidFill>
            <a:srgbClr val="2E75B6"/>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9525</xdr:colOff>
      <xdr:row>109</xdr:row>
      <xdr:rowOff>186197</xdr:rowOff>
    </xdr:from>
    <xdr:to>
      <xdr:col>25</xdr:col>
      <xdr:colOff>542925</xdr:colOff>
      <xdr:row>109</xdr:row>
      <xdr:rowOff>186197</xdr:rowOff>
    </xdr:to>
    <xdr:cxnSp macro="">
      <xdr:nvCxnSpPr>
        <xdr:cNvPr id="28" name="Straight Arrow Connector 27">
          <a:extLst>
            <a:ext uri="{FF2B5EF4-FFF2-40B4-BE49-F238E27FC236}">
              <a16:creationId xmlns:a16="http://schemas.microsoft.com/office/drawing/2014/main" id="{8465D071-4AC2-4AF2-B943-E143C05D98BD}"/>
            </a:ext>
            <a:ext uri="{147F2762-F138-4A5C-976F-8EAC2B608ADB}">
              <a16:predDERef xmlns:a16="http://schemas.microsoft.com/office/drawing/2014/main" pred="{6A33D320-F27B-E0A8-4C99-8558FB7F64DB}"/>
            </a:ext>
          </a:extLst>
        </xdr:cNvPr>
        <xdr:cNvCxnSpPr>
          <a:cxnSpLocks/>
        </xdr:cNvCxnSpPr>
      </xdr:nvCxnSpPr>
      <xdr:spPr bwMode="auto">
        <a:xfrm>
          <a:off x="3897966" y="17207932"/>
          <a:ext cx="1676400" cy="0"/>
        </a:xfrm>
        <a:prstGeom prst="straightConnector1">
          <a:avLst/>
        </a:prstGeom>
        <a:noFill/>
        <a:ln w="25400" cap="flat" cmpd="sng" algn="ctr">
          <a:solidFill>
            <a:srgbClr val="843C0C"/>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542924</xdr:colOff>
      <xdr:row>110</xdr:row>
      <xdr:rowOff>187361</xdr:rowOff>
    </xdr:from>
    <xdr:to>
      <xdr:col>31</xdr:col>
      <xdr:colOff>485773</xdr:colOff>
      <xdr:row>110</xdr:row>
      <xdr:rowOff>187361</xdr:rowOff>
    </xdr:to>
    <xdr:cxnSp macro="">
      <xdr:nvCxnSpPr>
        <xdr:cNvPr id="32" name="Straight Arrow Connector 31">
          <a:extLst>
            <a:ext uri="{FF2B5EF4-FFF2-40B4-BE49-F238E27FC236}">
              <a16:creationId xmlns:a16="http://schemas.microsoft.com/office/drawing/2014/main" id="{B99E3986-9593-4D3D-BEA7-B6F0D68D3F42}"/>
            </a:ext>
            <a:ext uri="{147F2762-F138-4A5C-976F-8EAC2B608ADB}">
              <a16:predDERef xmlns:a16="http://schemas.microsoft.com/office/drawing/2014/main" pred="{6A33D320-F27B-E0A8-4C99-8558FB7F64DB}"/>
            </a:ext>
          </a:extLst>
        </xdr:cNvPr>
        <xdr:cNvCxnSpPr>
          <a:cxnSpLocks/>
        </xdr:cNvCxnSpPr>
      </xdr:nvCxnSpPr>
      <xdr:spPr bwMode="auto">
        <a:xfrm>
          <a:off x="5574365" y="17444420"/>
          <a:ext cx="3383055" cy="0"/>
        </a:xfrm>
        <a:prstGeom prst="straightConnector1">
          <a:avLst/>
        </a:prstGeom>
        <a:noFill/>
        <a:ln w="25400" cap="flat" cmpd="sng" algn="ctr">
          <a:solidFill>
            <a:srgbClr val="843C0C"/>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8517</xdr:colOff>
      <xdr:row>133</xdr:row>
      <xdr:rowOff>195765</xdr:rowOff>
    </xdr:from>
    <xdr:to>
      <xdr:col>27</xdr:col>
      <xdr:colOff>247650</xdr:colOff>
      <xdr:row>133</xdr:row>
      <xdr:rowOff>195765</xdr:rowOff>
    </xdr:to>
    <xdr:cxnSp macro="">
      <xdr:nvCxnSpPr>
        <xdr:cNvPr id="45" name="Straight Arrow Connector 44">
          <a:extLst>
            <a:ext uri="{FF2B5EF4-FFF2-40B4-BE49-F238E27FC236}">
              <a16:creationId xmlns:a16="http://schemas.microsoft.com/office/drawing/2014/main" id="{4F2A5122-5DF9-4F6B-830E-50C85B829F1C}"/>
            </a:ext>
            <a:ext uri="{147F2762-F138-4A5C-976F-8EAC2B608ADB}">
              <a16:predDERef xmlns:a16="http://schemas.microsoft.com/office/drawing/2014/main" pred="{6A33D320-F27B-E0A8-4C99-8558FB7F64DB}"/>
            </a:ext>
          </a:extLst>
        </xdr:cNvPr>
        <xdr:cNvCxnSpPr>
          <a:cxnSpLocks/>
        </xdr:cNvCxnSpPr>
      </xdr:nvCxnSpPr>
      <xdr:spPr bwMode="auto">
        <a:xfrm>
          <a:off x="3896958" y="20030177"/>
          <a:ext cx="2558751" cy="0"/>
        </a:xfrm>
        <a:prstGeom prst="straightConnector1">
          <a:avLst/>
        </a:prstGeom>
        <a:noFill/>
        <a:ln w="25400" cap="flat" cmpd="sng" algn="ctr">
          <a:solidFill>
            <a:srgbClr val="203864"/>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247649</xdr:colOff>
      <xdr:row>134</xdr:row>
      <xdr:rowOff>178396</xdr:rowOff>
    </xdr:from>
    <xdr:to>
      <xdr:col>37</xdr:col>
      <xdr:colOff>549087</xdr:colOff>
      <xdr:row>134</xdr:row>
      <xdr:rowOff>178396</xdr:rowOff>
    </xdr:to>
    <xdr:cxnSp macro="">
      <xdr:nvCxnSpPr>
        <xdr:cNvPr id="47" name="Straight Arrow Connector 46">
          <a:extLst>
            <a:ext uri="{FF2B5EF4-FFF2-40B4-BE49-F238E27FC236}">
              <a16:creationId xmlns:a16="http://schemas.microsoft.com/office/drawing/2014/main" id="{C5C8BE18-5A38-47DB-A970-0099B272E928}"/>
            </a:ext>
            <a:ext uri="{147F2762-F138-4A5C-976F-8EAC2B608ADB}">
              <a16:predDERef xmlns:a16="http://schemas.microsoft.com/office/drawing/2014/main" pred="{6A33D320-F27B-E0A8-4C99-8558FB7F64DB}"/>
            </a:ext>
          </a:extLst>
        </xdr:cNvPr>
        <xdr:cNvCxnSpPr>
          <a:cxnSpLocks/>
        </xdr:cNvCxnSpPr>
      </xdr:nvCxnSpPr>
      <xdr:spPr bwMode="auto">
        <a:xfrm>
          <a:off x="6455708" y="20248131"/>
          <a:ext cx="6005232" cy="0"/>
        </a:xfrm>
        <a:prstGeom prst="straightConnector1">
          <a:avLst/>
        </a:prstGeom>
        <a:noFill/>
        <a:ln w="25400" cap="flat" cmpd="sng" algn="ctr">
          <a:solidFill>
            <a:srgbClr val="203864"/>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571499</xdr:colOff>
      <xdr:row>50</xdr:row>
      <xdr:rowOff>190500</xdr:rowOff>
    </xdr:from>
    <xdr:to>
      <xdr:col>32</xdr:col>
      <xdr:colOff>571499</xdr:colOff>
      <xdr:row>51</xdr:row>
      <xdr:rowOff>192180</xdr:rowOff>
    </xdr:to>
    <xdr:cxnSp macro="">
      <xdr:nvCxnSpPr>
        <xdr:cNvPr id="50" name="Straight Arrow Connector 1822">
          <a:extLst>
            <a:ext uri="{FF2B5EF4-FFF2-40B4-BE49-F238E27FC236}">
              <a16:creationId xmlns:a16="http://schemas.microsoft.com/office/drawing/2014/main" id="{331BC395-26E8-4420-BB9D-C3F5421684D3}"/>
            </a:ext>
          </a:extLst>
        </xdr:cNvPr>
        <xdr:cNvCxnSpPr/>
      </xdr:nvCxnSpPr>
      <xdr:spPr>
        <a:xfrm>
          <a:off x="9581028" y="5927912"/>
          <a:ext cx="0" cy="237003"/>
        </a:xfrm>
        <a:prstGeom prst="straightConnector1">
          <a:avLst/>
        </a:prstGeom>
        <a:noFill/>
        <a:ln w="9525" cap="flat" cmpd="sng" algn="ctr">
          <a:solidFill>
            <a:srgbClr val="548235"/>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495300</xdr:colOff>
      <xdr:row>144</xdr:row>
      <xdr:rowOff>189601</xdr:rowOff>
    </xdr:from>
    <xdr:to>
      <xdr:col>28</xdr:col>
      <xdr:colOff>523875</xdr:colOff>
      <xdr:row>144</xdr:row>
      <xdr:rowOff>189601</xdr:rowOff>
    </xdr:to>
    <xdr:cxnSp macro="">
      <xdr:nvCxnSpPr>
        <xdr:cNvPr id="63" name="Straight Arrow Connector 62">
          <a:extLst>
            <a:ext uri="{FF2B5EF4-FFF2-40B4-BE49-F238E27FC236}">
              <a16:creationId xmlns:a16="http://schemas.microsoft.com/office/drawing/2014/main" id="{7FEFC170-01BF-481F-B037-413599F9E1B6}"/>
            </a:ext>
            <a:ext uri="{147F2762-F138-4A5C-976F-8EAC2B608ADB}">
              <a16:predDERef xmlns:a16="http://schemas.microsoft.com/office/drawing/2014/main" pred="{6A33D320-F27B-E0A8-4C99-8558FB7F64DB}"/>
            </a:ext>
          </a:extLst>
        </xdr:cNvPr>
        <xdr:cNvCxnSpPr>
          <a:cxnSpLocks/>
        </xdr:cNvCxnSpPr>
      </xdr:nvCxnSpPr>
      <xdr:spPr bwMode="auto">
        <a:xfrm>
          <a:off x="4383741" y="21435954"/>
          <a:ext cx="2953310" cy="0"/>
        </a:xfrm>
        <a:prstGeom prst="straightConnector1">
          <a:avLst/>
        </a:prstGeom>
        <a:noFill/>
        <a:ln w="25400" cap="flat" cmpd="sng" algn="ctr">
          <a:solidFill>
            <a:srgbClr val="A5225C"/>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523874</xdr:colOff>
      <xdr:row>145</xdr:row>
      <xdr:rowOff>164948</xdr:rowOff>
    </xdr:from>
    <xdr:to>
      <xdr:col>38</xdr:col>
      <xdr:colOff>605117</xdr:colOff>
      <xdr:row>145</xdr:row>
      <xdr:rowOff>164948</xdr:rowOff>
    </xdr:to>
    <xdr:cxnSp macro="">
      <xdr:nvCxnSpPr>
        <xdr:cNvPr id="71" name="Straight Arrow Connector 70">
          <a:extLst>
            <a:ext uri="{FF2B5EF4-FFF2-40B4-BE49-F238E27FC236}">
              <a16:creationId xmlns:a16="http://schemas.microsoft.com/office/drawing/2014/main" id="{96A9686D-206A-426B-830E-BA6855F48BFA}"/>
            </a:ext>
            <a:ext uri="{147F2762-F138-4A5C-976F-8EAC2B608ADB}">
              <a16:predDERef xmlns:a16="http://schemas.microsoft.com/office/drawing/2014/main" pred="{6A33D320-F27B-E0A8-4C99-8558FB7F64DB}"/>
            </a:ext>
          </a:extLst>
        </xdr:cNvPr>
        <xdr:cNvCxnSpPr>
          <a:cxnSpLocks/>
        </xdr:cNvCxnSpPr>
      </xdr:nvCxnSpPr>
      <xdr:spPr bwMode="auto">
        <a:xfrm>
          <a:off x="7337050" y="21646624"/>
          <a:ext cx="5729008" cy="0"/>
        </a:xfrm>
        <a:prstGeom prst="straightConnector1">
          <a:avLst/>
        </a:prstGeom>
        <a:noFill/>
        <a:ln w="25400" cap="flat" cmpd="sng" algn="ctr">
          <a:solidFill>
            <a:srgbClr val="A5225C"/>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11205</xdr:colOff>
      <xdr:row>36</xdr:row>
      <xdr:rowOff>188819</xdr:rowOff>
    </xdr:from>
    <xdr:to>
      <xdr:col>29</xdr:col>
      <xdr:colOff>85725</xdr:colOff>
      <xdr:row>36</xdr:row>
      <xdr:rowOff>188819</xdr:rowOff>
    </xdr:to>
    <xdr:cxnSp macro="">
      <xdr:nvCxnSpPr>
        <xdr:cNvPr id="80" name="Straight Connector 79">
          <a:extLst>
            <a:ext uri="{FF2B5EF4-FFF2-40B4-BE49-F238E27FC236}">
              <a16:creationId xmlns:a16="http://schemas.microsoft.com/office/drawing/2014/main" id="{079D6D3D-E9EE-936B-6358-A3D7E1EE1334}"/>
            </a:ext>
          </a:extLst>
        </xdr:cNvPr>
        <xdr:cNvCxnSpPr/>
      </xdr:nvCxnSpPr>
      <xdr:spPr>
        <a:xfrm>
          <a:off x="3899646" y="3763495"/>
          <a:ext cx="3548344" cy="0"/>
        </a:xfrm>
        <a:prstGeom prst="line">
          <a:avLst/>
        </a:prstGeom>
        <a:noFill/>
        <a:ln w="25400" cap="flat" cmpd="sng" algn="ctr">
          <a:solidFill>
            <a:srgbClr val="C55A11"/>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495300</xdr:colOff>
      <xdr:row>75</xdr:row>
      <xdr:rowOff>205290</xdr:rowOff>
    </xdr:from>
    <xdr:to>
      <xdr:col>28</xdr:col>
      <xdr:colOff>161924</xdr:colOff>
      <xdr:row>75</xdr:row>
      <xdr:rowOff>205290</xdr:rowOff>
    </xdr:to>
    <xdr:cxnSp macro="">
      <xdr:nvCxnSpPr>
        <xdr:cNvPr id="83" name="Straight Arrow Connector 82">
          <a:extLst>
            <a:ext uri="{FF2B5EF4-FFF2-40B4-BE49-F238E27FC236}">
              <a16:creationId xmlns:a16="http://schemas.microsoft.com/office/drawing/2014/main" id="{F67E30F8-9E11-4FB8-B207-921B5E3E67EC}"/>
            </a:ext>
            <a:ext uri="{147F2762-F138-4A5C-976F-8EAC2B608ADB}">
              <a16:predDERef xmlns:a16="http://schemas.microsoft.com/office/drawing/2014/main" pred="{6A33D320-F27B-E0A8-4C99-8558FB7F64DB}"/>
            </a:ext>
          </a:extLst>
        </xdr:cNvPr>
        <xdr:cNvCxnSpPr>
          <a:cxnSpLocks/>
        </xdr:cNvCxnSpPr>
      </xdr:nvCxnSpPr>
      <xdr:spPr bwMode="auto">
        <a:xfrm>
          <a:off x="4955241" y="9696672"/>
          <a:ext cx="2019859" cy="0"/>
        </a:xfrm>
        <a:prstGeom prst="straightConnector1">
          <a:avLst/>
        </a:prstGeom>
        <a:noFill/>
        <a:ln w="25400" cap="flat" cmpd="sng" algn="ctr">
          <a:solidFill>
            <a:srgbClr val="2E75B6"/>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481852</xdr:colOff>
      <xdr:row>78</xdr:row>
      <xdr:rowOff>182922</xdr:rowOff>
    </xdr:from>
    <xdr:to>
      <xdr:col>32</xdr:col>
      <xdr:colOff>123824</xdr:colOff>
      <xdr:row>78</xdr:row>
      <xdr:rowOff>182922</xdr:rowOff>
    </xdr:to>
    <xdr:cxnSp macro="">
      <xdr:nvCxnSpPr>
        <xdr:cNvPr id="85" name="Straight Arrow Connector 84">
          <a:extLst>
            <a:ext uri="{FF2B5EF4-FFF2-40B4-BE49-F238E27FC236}">
              <a16:creationId xmlns:a16="http://schemas.microsoft.com/office/drawing/2014/main" id="{CEE5BA94-5A30-4B82-BE56-B16CFC0E3ED0}"/>
            </a:ext>
            <a:ext uri="{147F2762-F138-4A5C-976F-8EAC2B608ADB}">
              <a16:predDERef xmlns:a16="http://schemas.microsoft.com/office/drawing/2014/main" pred="{6A33D320-F27B-E0A8-4C99-8558FB7F64DB}"/>
            </a:ext>
          </a:extLst>
        </xdr:cNvPr>
        <xdr:cNvCxnSpPr>
          <a:cxnSpLocks/>
        </xdr:cNvCxnSpPr>
      </xdr:nvCxnSpPr>
      <xdr:spPr bwMode="auto">
        <a:xfrm>
          <a:off x="7844117" y="10391481"/>
          <a:ext cx="1289236" cy="0"/>
        </a:xfrm>
        <a:prstGeom prst="straightConnector1">
          <a:avLst/>
        </a:prstGeom>
        <a:noFill/>
        <a:ln w="25400" cap="flat" cmpd="sng" algn="ctr">
          <a:solidFill>
            <a:srgbClr val="2E75B6"/>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161924</xdr:colOff>
      <xdr:row>75</xdr:row>
      <xdr:rowOff>205290</xdr:rowOff>
    </xdr:from>
    <xdr:to>
      <xdr:col>28</xdr:col>
      <xdr:colOff>161924</xdr:colOff>
      <xdr:row>76</xdr:row>
      <xdr:rowOff>200024</xdr:rowOff>
    </xdr:to>
    <xdr:cxnSp macro="">
      <xdr:nvCxnSpPr>
        <xdr:cNvPr id="87" name="Straight Arrow Connector 1822">
          <a:extLst>
            <a:ext uri="{FF2B5EF4-FFF2-40B4-BE49-F238E27FC236}">
              <a16:creationId xmlns:a16="http://schemas.microsoft.com/office/drawing/2014/main" id="{1596B0C7-701A-4CD1-9407-B2BD8D89949D}"/>
            </a:ext>
          </a:extLst>
        </xdr:cNvPr>
        <xdr:cNvCxnSpPr/>
      </xdr:nvCxnSpPr>
      <xdr:spPr>
        <a:xfrm>
          <a:off x="6975100" y="9696672"/>
          <a:ext cx="0" cy="230058"/>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571499</xdr:colOff>
      <xdr:row>51</xdr:row>
      <xdr:rowOff>192181</xdr:rowOff>
    </xdr:from>
    <xdr:to>
      <xdr:col>36</xdr:col>
      <xdr:colOff>504824</xdr:colOff>
      <xdr:row>51</xdr:row>
      <xdr:rowOff>192181</xdr:rowOff>
    </xdr:to>
    <xdr:cxnSp macro="">
      <xdr:nvCxnSpPr>
        <xdr:cNvPr id="108" name="Straight Arrow Connector 107">
          <a:extLst>
            <a:ext uri="{FF2B5EF4-FFF2-40B4-BE49-F238E27FC236}">
              <a16:creationId xmlns:a16="http://schemas.microsoft.com/office/drawing/2014/main" id="{77C644B8-954A-4F96-8C4C-9A2E0BC841B5}"/>
            </a:ext>
            <a:ext uri="{147F2762-F138-4A5C-976F-8EAC2B608ADB}">
              <a16:predDERef xmlns:a16="http://schemas.microsoft.com/office/drawing/2014/main" pred="{6A33D320-F27B-E0A8-4C99-8558FB7F64DB}"/>
            </a:ext>
          </a:extLst>
        </xdr:cNvPr>
        <xdr:cNvCxnSpPr>
          <a:cxnSpLocks/>
        </xdr:cNvCxnSpPr>
      </xdr:nvCxnSpPr>
      <xdr:spPr bwMode="auto">
        <a:xfrm>
          <a:off x="9581028" y="6164916"/>
          <a:ext cx="2264149" cy="0"/>
        </a:xfrm>
        <a:prstGeom prst="straightConnector1">
          <a:avLst/>
        </a:prstGeom>
        <a:noFill/>
        <a:ln w="25400" cap="flat" cmpd="sng" algn="ctr">
          <a:solidFill>
            <a:srgbClr val="548235"/>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9525</xdr:colOff>
      <xdr:row>49</xdr:row>
      <xdr:rowOff>194646</xdr:rowOff>
    </xdr:from>
    <xdr:to>
      <xdr:col>27</xdr:col>
      <xdr:colOff>47625</xdr:colOff>
      <xdr:row>49</xdr:row>
      <xdr:rowOff>194646</xdr:rowOff>
    </xdr:to>
    <xdr:cxnSp macro="">
      <xdr:nvCxnSpPr>
        <xdr:cNvPr id="110" name="Straight Arrow Connector 109">
          <a:extLst>
            <a:ext uri="{FF2B5EF4-FFF2-40B4-BE49-F238E27FC236}">
              <a16:creationId xmlns:a16="http://schemas.microsoft.com/office/drawing/2014/main" id="{B4B5DD53-0588-46BC-81C1-27BA8CCFFD51}"/>
            </a:ext>
            <a:ext uri="{147F2762-F138-4A5C-976F-8EAC2B608ADB}">
              <a16:predDERef xmlns:a16="http://schemas.microsoft.com/office/drawing/2014/main" pred="{6A33D320-F27B-E0A8-4C99-8558FB7F64DB}"/>
            </a:ext>
          </a:extLst>
        </xdr:cNvPr>
        <xdr:cNvCxnSpPr>
          <a:cxnSpLocks/>
        </xdr:cNvCxnSpPr>
      </xdr:nvCxnSpPr>
      <xdr:spPr bwMode="auto">
        <a:xfrm>
          <a:off x="4469466" y="5696734"/>
          <a:ext cx="1786218" cy="0"/>
        </a:xfrm>
        <a:prstGeom prst="straightConnector1">
          <a:avLst/>
        </a:prstGeom>
        <a:noFill/>
        <a:ln w="25400" cap="flat" cmpd="sng" algn="ctr">
          <a:solidFill>
            <a:srgbClr val="548235"/>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57149</xdr:colOff>
      <xdr:row>120</xdr:row>
      <xdr:rowOff>169992</xdr:rowOff>
    </xdr:from>
    <xdr:to>
      <xdr:col>38</xdr:col>
      <xdr:colOff>9524</xdr:colOff>
      <xdr:row>120</xdr:row>
      <xdr:rowOff>169992</xdr:rowOff>
    </xdr:to>
    <xdr:cxnSp macro="">
      <xdr:nvCxnSpPr>
        <xdr:cNvPr id="130" name="Straight Arrow Connector 129">
          <a:extLst>
            <a:ext uri="{FF2B5EF4-FFF2-40B4-BE49-F238E27FC236}">
              <a16:creationId xmlns:a16="http://schemas.microsoft.com/office/drawing/2014/main" id="{AF9C47C9-FAAC-4D04-94B6-FD2B7EADFAF3}"/>
            </a:ext>
            <a:ext uri="{147F2762-F138-4A5C-976F-8EAC2B608ADB}">
              <a16:predDERef xmlns:a16="http://schemas.microsoft.com/office/drawing/2014/main" pred="{6A33D320-F27B-E0A8-4C99-8558FB7F64DB}"/>
            </a:ext>
          </a:extLst>
        </xdr:cNvPr>
        <xdr:cNvCxnSpPr>
          <a:cxnSpLocks/>
        </xdr:cNvCxnSpPr>
      </xdr:nvCxnSpPr>
      <xdr:spPr bwMode="auto">
        <a:xfrm>
          <a:off x="8528796" y="19063110"/>
          <a:ext cx="3941669" cy="0"/>
        </a:xfrm>
        <a:prstGeom prst="straightConnector1">
          <a:avLst/>
        </a:prstGeom>
        <a:noFill/>
        <a:ln w="25400" cap="flat" cmpd="sng" algn="ctr">
          <a:solidFill>
            <a:srgbClr val="375623"/>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8964</xdr:colOff>
      <xdr:row>0</xdr:row>
      <xdr:rowOff>210672</xdr:rowOff>
    </xdr:from>
    <xdr:to>
      <xdr:col>41</xdr:col>
      <xdr:colOff>8964</xdr:colOff>
      <xdr:row>2</xdr:row>
      <xdr:rowOff>22412</xdr:rowOff>
    </xdr:to>
    <xdr:cxnSp macro="">
      <xdr:nvCxnSpPr>
        <xdr:cNvPr id="133" name="Straight Arrow Connector 1822">
          <a:extLst>
            <a:ext uri="{FF2B5EF4-FFF2-40B4-BE49-F238E27FC236}">
              <a16:creationId xmlns:a16="http://schemas.microsoft.com/office/drawing/2014/main" id="{C24D7DAC-EB3A-430D-85B8-E99AB558A7E4}"/>
            </a:ext>
          </a:extLst>
        </xdr:cNvPr>
        <xdr:cNvCxnSpPr/>
      </xdr:nvCxnSpPr>
      <xdr:spPr>
        <a:xfrm>
          <a:off x="17714258" y="210672"/>
          <a:ext cx="0" cy="259975"/>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57149</xdr:colOff>
      <xdr:row>119</xdr:row>
      <xdr:rowOff>172232</xdr:rowOff>
    </xdr:from>
    <xdr:to>
      <xdr:col>31</xdr:col>
      <xdr:colOff>57149</xdr:colOff>
      <xdr:row>120</xdr:row>
      <xdr:rowOff>169991</xdr:rowOff>
    </xdr:to>
    <xdr:cxnSp macro="">
      <xdr:nvCxnSpPr>
        <xdr:cNvPr id="134" name="Straight Arrow Connector 1822">
          <a:extLst>
            <a:ext uri="{FF2B5EF4-FFF2-40B4-BE49-F238E27FC236}">
              <a16:creationId xmlns:a16="http://schemas.microsoft.com/office/drawing/2014/main" id="{0593BCD1-F33D-4D47-92B4-0B6091D81863}"/>
            </a:ext>
          </a:extLst>
        </xdr:cNvPr>
        <xdr:cNvCxnSpPr/>
      </xdr:nvCxnSpPr>
      <xdr:spPr>
        <a:xfrm>
          <a:off x="8528796" y="18830026"/>
          <a:ext cx="0" cy="233083"/>
        </a:xfrm>
        <a:prstGeom prst="straightConnector1">
          <a:avLst/>
        </a:prstGeom>
        <a:noFill/>
        <a:ln w="9525" cap="flat" cmpd="sng" algn="ctr">
          <a:solidFill>
            <a:srgbClr val="375623"/>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9525</xdr:colOff>
      <xdr:row>25</xdr:row>
      <xdr:rowOff>216230</xdr:rowOff>
    </xdr:from>
    <xdr:to>
      <xdr:col>38</xdr:col>
      <xdr:colOff>581025</xdr:colOff>
      <xdr:row>25</xdr:row>
      <xdr:rowOff>216230</xdr:rowOff>
    </xdr:to>
    <xdr:cxnSp macro="">
      <xdr:nvCxnSpPr>
        <xdr:cNvPr id="6" name="Straight Arrow Connector 5">
          <a:extLst>
            <a:ext uri="{FF2B5EF4-FFF2-40B4-BE49-F238E27FC236}">
              <a16:creationId xmlns:a16="http://schemas.microsoft.com/office/drawing/2014/main" id="{10580EEC-5D6F-43DC-B865-2B1D3F679B6D}"/>
            </a:ext>
            <a:ext uri="{147F2762-F138-4A5C-976F-8EAC2B608ADB}">
              <a16:predDERef xmlns:a16="http://schemas.microsoft.com/office/drawing/2014/main" pred="{6A33D320-F27B-E0A8-4C99-8558FB7F64DB}"/>
            </a:ext>
          </a:extLst>
        </xdr:cNvPr>
        <xdr:cNvCxnSpPr>
          <a:cxnSpLocks/>
        </xdr:cNvCxnSpPr>
      </xdr:nvCxnSpPr>
      <xdr:spPr bwMode="auto">
        <a:xfrm>
          <a:off x="3897966" y="2815995"/>
          <a:ext cx="9144000" cy="0"/>
        </a:xfrm>
        <a:prstGeom prst="straightConnector1">
          <a:avLst/>
        </a:prstGeom>
        <a:noFill/>
        <a:ln w="25400" cap="flat" cmpd="sng" algn="ctr">
          <a:solidFill>
            <a:srgbClr val="1F4E79"/>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219075</xdr:colOff>
      <xdr:row>64</xdr:row>
      <xdr:rowOff>190760</xdr:rowOff>
    </xdr:from>
    <xdr:to>
      <xdr:col>27</xdr:col>
      <xdr:colOff>104775</xdr:colOff>
      <xdr:row>64</xdr:row>
      <xdr:rowOff>190760</xdr:rowOff>
    </xdr:to>
    <xdr:cxnSp macro="">
      <xdr:nvCxnSpPr>
        <xdr:cNvPr id="11" name="Straight Arrow Connector 10">
          <a:extLst>
            <a:ext uri="{FF2B5EF4-FFF2-40B4-BE49-F238E27FC236}">
              <a16:creationId xmlns:a16="http://schemas.microsoft.com/office/drawing/2014/main" id="{9F3D457C-D6F9-490C-B512-A3E194EE368F}"/>
            </a:ext>
            <a:ext uri="{147F2762-F138-4A5C-976F-8EAC2B608ADB}">
              <a16:predDERef xmlns:a16="http://schemas.microsoft.com/office/drawing/2014/main" pred="{6A33D320-F27B-E0A8-4C99-8558FB7F64DB}"/>
            </a:ext>
          </a:extLst>
        </xdr:cNvPr>
        <xdr:cNvCxnSpPr>
          <a:cxnSpLocks/>
        </xdr:cNvCxnSpPr>
      </xdr:nvCxnSpPr>
      <xdr:spPr bwMode="auto">
        <a:xfrm>
          <a:off x="5250516" y="7665084"/>
          <a:ext cx="1062318"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25</xdr:col>
      <xdr:colOff>219074</xdr:colOff>
      <xdr:row>63</xdr:row>
      <xdr:rowOff>185121</xdr:rowOff>
    </xdr:from>
    <xdr:to>
      <xdr:col>25</xdr:col>
      <xdr:colOff>219074</xdr:colOff>
      <xdr:row>64</xdr:row>
      <xdr:rowOff>190760</xdr:rowOff>
    </xdr:to>
    <xdr:cxnSp macro="">
      <xdr:nvCxnSpPr>
        <xdr:cNvPr id="31" name="Straight Arrow Connector 1822">
          <a:extLst>
            <a:ext uri="{FF2B5EF4-FFF2-40B4-BE49-F238E27FC236}">
              <a16:creationId xmlns:a16="http://schemas.microsoft.com/office/drawing/2014/main" id="{0DEFE134-1F4E-4236-8139-954FD60DA9FB}"/>
            </a:ext>
          </a:extLst>
        </xdr:cNvPr>
        <xdr:cNvCxnSpPr/>
      </xdr:nvCxnSpPr>
      <xdr:spPr>
        <a:xfrm>
          <a:off x="5250515" y="7379297"/>
          <a:ext cx="0" cy="285787"/>
        </a:xfrm>
        <a:prstGeom prst="straightConnector1">
          <a:avLst/>
        </a:prstGeom>
        <a:noFill/>
        <a:ln w="9525" cap="flat" cmpd="sng" algn="ctr">
          <a:solidFill>
            <a:srgbClr val="7030A0"/>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485774</xdr:colOff>
      <xdr:row>111</xdr:row>
      <xdr:rowOff>176279</xdr:rowOff>
    </xdr:from>
    <xdr:to>
      <xdr:col>37</xdr:col>
      <xdr:colOff>549087</xdr:colOff>
      <xdr:row>111</xdr:row>
      <xdr:rowOff>176279</xdr:rowOff>
    </xdr:to>
    <xdr:cxnSp macro="">
      <xdr:nvCxnSpPr>
        <xdr:cNvPr id="57" name="Straight Arrow Connector 56">
          <a:extLst>
            <a:ext uri="{FF2B5EF4-FFF2-40B4-BE49-F238E27FC236}">
              <a16:creationId xmlns:a16="http://schemas.microsoft.com/office/drawing/2014/main" id="{F3E44CD1-997B-4BD4-815A-A2CE97F57A27}"/>
            </a:ext>
            <a:ext uri="{147F2762-F138-4A5C-976F-8EAC2B608ADB}">
              <a16:predDERef xmlns:a16="http://schemas.microsoft.com/office/drawing/2014/main" pred="{6A33D320-F27B-E0A8-4C99-8558FB7F64DB}"/>
            </a:ext>
          </a:extLst>
        </xdr:cNvPr>
        <xdr:cNvCxnSpPr>
          <a:cxnSpLocks/>
        </xdr:cNvCxnSpPr>
      </xdr:nvCxnSpPr>
      <xdr:spPr bwMode="auto">
        <a:xfrm>
          <a:off x="8957421" y="17668661"/>
          <a:ext cx="3503519" cy="0"/>
        </a:xfrm>
        <a:prstGeom prst="straightConnector1">
          <a:avLst/>
        </a:prstGeom>
        <a:noFill/>
        <a:ln w="25400" cap="flat" cmpd="sng" algn="ctr">
          <a:solidFill>
            <a:srgbClr val="843C0C"/>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9525</xdr:colOff>
      <xdr:row>119</xdr:row>
      <xdr:rowOff>172233</xdr:rowOff>
    </xdr:from>
    <xdr:to>
      <xdr:col>31</xdr:col>
      <xdr:colOff>57150</xdr:colOff>
      <xdr:row>119</xdr:row>
      <xdr:rowOff>172233</xdr:rowOff>
    </xdr:to>
    <xdr:cxnSp macro="">
      <xdr:nvCxnSpPr>
        <xdr:cNvPr id="69" name="Straight Arrow Connector 68">
          <a:extLst>
            <a:ext uri="{FF2B5EF4-FFF2-40B4-BE49-F238E27FC236}">
              <a16:creationId xmlns:a16="http://schemas.microsoft.com/office/drawing/2014/main" id="{450F4754-7562-454C-8931-C25513E44AB4}"/>
            </a:ext>
            <a:ext uri="{147F2762-F138-4A5C-976F-8EAC2B608ADB}">
              <a16:predDERef xmlns:a16="http://schemas.microsoft.com/office/drawing/2014/main" pred="{6A33D320-F27B-E0A8-4C99-8558FB7F64DB}"/>
            </a:ext>
          </a:extLst>
        </xdr:cNvPr>
        <xdr:cNvCxnSpPr>
          <a:cxnSpLocks/>
        </xdr:cNvCxnSpPr>
      </xdr:nvCxnSpPr>
      <xdr:spPr bwMode="auto">
        <a:xfrm>
          <a:off x="3897966" y="18830027"/>
          <a:ext cx="4630831" cy="0"/>
        </a:xfrm>
        <a:prstGeom prst="straightConnector1">
          <a:avLst/>
        </a:prstGeom>
        <a:noFill/>
        <a:ln w="25400" cap="flat" cmpd="sng" algn="ctr">
          <a:solidFill>
            <a:srgbClr val="375623"/>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41</xdr:col>
      <xdr:colOff>489799</xdr:colOff>
      <xdr:row>5</xdr:row>
      <xdr:rowOff>61502</xdr:rowOff>
    </xdr:from>
    <xdr:to>
      <xdr:col>41</xdr:col>
      <xdr:colOff>489799</xdr:colOff>
      <xdr:row>11</xdr:row>
      <xdr:rowOff>76113</xdr:rowOff>
    </xdr:to>
    <xdr:cxnSp macro="">
      <xdr:nvCxnSpPr>
        <xdr:cNvPr id="70" name="Straight Arrow Connector 1822">
          <a:extLst>
            <a:ext uri="{FF2B5EF4-FFF2-40B4-BE49-F238E27FC236}">
              <a16:creationId xmlns:a16="http://schemas.microsoft.com/office/drawing/2014/main" id="{3458E1CB-8D95-406F-842D-E978B1D69575}"/>
            </a:ext>
          </a:extLst>
        </xdr:cNvPr>
        <xdr:cNvCxnSpPr/>
      </xdr:nvCxnSpPr>
      <xdr:spPr>
        <a:xfrm>
          <a:off x="18191455" y="741859"/>
          <a:ext cx="0" cy="472306"/>
        </a:xfrm>
        <a:prstGeom prst="straightConnector1">
          <a:avLst/>
        </a:prstGeom>
        <a:ln>
          <a:solidFill>
            <a:sysClr val="windowText" lastClr="0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247649</xdr:colOff>
      <xdr:row>133</xdr:row>
      <xdr:rowOff>195764</xdr:rowOff>
    </xdr:from>
    <xdr:to>
      <xdr:col>27</xdr:col>
      <xdr:colOff>247649</xdr:colOff>
      <xdr:row>134</xdr:row>
      <xdr:rowOff>178395</xdr:rowOff>
    </xdr:to>
    <xdr:cxnSp macro="">
      <xdr:nvCxnSpPr>
        <xdr:cNvPr id="72" name="Straight Arrow Connector 1822">
          <a:extLst>
            <a:ext uri="{FF2B5EF4-FFF2-40B4-BE49-F238E27FC236}">
              <a16:creationId xmlns:a16="http://schemas.microsoft.com/office/drawing/2014/main" id="{64DF8E05-9976-4D84-97CC-447905224024}"/>
            </a:ext>
          </a:extLst>
        </xdr:cNvPr>
        <xdr:cNvCxnSpPr/>
      </xdr:nvCxnSpPr>
      <xdr:spPr>
        <a:xfrm>
          <a:off x="6455708" y="20030176"/>
          <a:ext cx="0" cy="217954"/>
        </a:xfrm>
        <a:prstGeom prst="straightConnector1">
          <a:avLst/>
        </a:prstGeom>
        <a:noFill/>
        <a:ln w="9525" cap="flat" cmpd="sng" algn="ctr">
          <a:solidFill>
            <a:srgbClr val="203864"/>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85724</xdr:colOff>
      <xdr:row>36</xdr:row>
      <xdr:rowOff>188819</xdr:rowOff>
    </xdr:from>
    <xdr:to>
      <xdr:col>29</xdr:col>
      <xdr:colOff>85724</xdr:colOff>
      <xdr:row>38</xdr:row>
      <xdr:rowOff>200025</xdr:rowOff>
    </xdr:to>
    <xdr:cxnSp macro="">
      <xdr:nvCxnSpPr>
        <xdr:cNvPr id="23" name="Straight Arrow Connector 1822">
          <a:extLst>
            <a:ext uri="{FF2B5EF4-FFF2-40B4-BE49-F238E27FC236}">
              <a16:creationId xmlns:a16="http://schemas.microsoft.com/office/drawing/2014/main" id="{F8A2A2D7-EEFC-4EB4-BF7F-E739D35B6E73}"/>
            </a:ext>
          </a:extLst>
        </xdr:cNvPr>
        <xdr:cNvCxnSpPr/>
      </xdr:nvCxnSpPr>
      <xdr:spPr>
        <a:xfrm>
          <a:off x="7447989" y="3763495"/>
          <a:ext cx="0" cy="481854"/>
        </a:xfrm>
        <a:prstGeom prst="straightConnector1">
          <a:avLst/>
        </a:prstGeom>
        <a:noFill/>
        <a:ln w="9525" cap="flat" cmpd="sng" algn="ctr">
          <a:solidFill>
            <a:srgbClr val="C55A11"/>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85724</xdr:colOff>
      <xdr:row>38</xdr:row>
      <xdr:rowOff>200025</xdr:rowOff>
    </xdr:from>
    <xdr:to>
      <xdr:col>38</xdr:col>
      <xdr:colOff>600073</xdr:colOff>
      <xdr:row>38</xdr:row>
      <xdr:rowOff>200025</xdr:rowOff>
    </xdr:to>
    <xdr:cxnSp macro="">
      <xdr:nvCxnSpPr>
        <xdr:cNvPr id="25" name="Straight Arrow Connector 24">
          <a:extLst>
            <a:ext uri="{FF2B5EF4-FFF2-40B4-BE49-F238E27FC236}">
              <a16:creationId xmlns:a16="http://schemas.microsoft.com/office/drawing/2014/main" id="{75A3FB45-5869-4097-84DF-3061562D4F31}"/>
            </a:ext>
            <a:ext uri="{147F2762-F138-4A5C-976F-8EAC2B608ADB}">
              <a16:predDERef xmlns:a16="http://schemas.microsoft.com/office/drawing/2014/main" pred="{6A33D320-F27B-E0A8-4C99-8558FB7F64DB}"/>
            </a:ext>
          </a:extLst>
        </xdr:cNvPr>
        <xdr:cNvCxnSpPr>
          <a:cxnSpLocks/>
        </xdr:cNvCxnSpPr>
      </xdr:nvCxnSpPr>
      <xdr:spPr bwMode="auto">
        <a:xfrm>
          <a:off x="7447989" y="4245349"/>
          <a:ext cx="5613025" cy="0"/>
        </a:xfrm>
        <a:prstGeom prst="straightConnector1">
          <a:avLst/>
        </a:prstGeom>
        <a:noFill/>
        <a:ln w="25400" cap="flat" cmpd="sng" algn="ctr">
          <a:solidFill>
            <a:srgbClr val="C55A11"/>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19050</xdr:colOff>
      <xdr:row>88</xdr:row>
      <xdr:rowOff>188819</xdr:rowOff>
    </xdr:from>
    <xdr:to>
      <xdr:col>32</xdr:col>
      <xdr:colOff>190500</xdr:colOff>
      <xdr:row>88</xdr:row>
      <xdr:rowOff>188819</xdr:rowOff>
    </xdr:to>
    <xdr:cxnSp macro="">
      <xdr:nvCxnSpPr>
        <xdr:cNvPr id="30" name="Straight Arrow Connector 29">
          <a:extLst>
            <a:ext uri="{FF2B5EF4-FFF2-40B4-BE49-F238E27FC236}">
              <a16:creationId xmlns:a16="http://schemas.microsoft.com/office/drawing/2014/main" id="{FC3A807C-3998-4EFA-80A5-9209F80478E7}"/>
            </a:ext>
            <a:ext uri="{147F2762-F138-4A5C-976F-8EAC2B608ADB}">
              <a16:predDERef xmlns:a16="http://schemas.microsoft.com/office/drawing/2014/main" pred="{6A33D320-F27B-E0A8-4C99-8558FB7F64DB}"/>
            </a:ext>
          </a:extLst>
        </xdr:cNvPr>
        <xdr:cNvCxnSpPr>
          <a:cxnSpLocks/>
        </xdr:cNvCxnSpPr>
      </xdr:nvCxnSpPr>
      <xdr:spPr bwMode="auto">
        <a:xfrm>
          <a:off x="3907491" y="12750613"/>
          <a:ext cx="5292538" cy="0"/>
        </a:xfrm>
        <a:prstGeom prst="straightConnector1">
          <a:avLst/>
        </a:prstGeom>
        <a:noFill/>
        <a:ln w="25400" cap="flat" cmpd="sng" algn="ctr">
          <a:solidFill>
            <a:srgbClr val="BF8F0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32</xdr:col>
      <xdr:colOff>190499</xdr:colOff>
      <xdr:row>88</xdr:row>
      <xdr:rowOff>200025</xdr:rowOff>
    </xdr:from>
    <xdr:to>
      <xdr:col>32</xdr:col>
      <xdr:colOff>190499</xdr:colOff>
      <xdr:row>89</xdr:row>
      <xdr:rowOff>180974</xdr:rowOff>
    </xdr:to>
    <xdr:cxnSp macro="">
      <xdr:nvCxnSpPr>
        <xdr:cNvPr id="38" name="Straight Arrow Connector 1822">
          <a:extLst>
            <a:ext uri="{FF2B5EF4-FFF2-40B4-BE49-F238E27FC236}">
              <a16:creationId xmlns:a16="http://schemas.microsoft.com/office/drawing/2014/main" id="{39819DF3-DE38-49AA-9DFA-47ABE673DCF8}"/>
            </a:ext>
          </a:extLst>
        </xdr:cNvPr>
        <xdr:cNvCxnSpPr/>
      </xdr:nvCxnSpPr>
      <xdr:spPr>
        <a:xfrm>
          <a:off x="9200028" y="12761819"/>
          <a:ext cx="0" cy="216273"/>
        </a:xfrm>
        <a:prstGeom prst="straightConnector1">
          <a:avLst/>
        </a:prstGeom>
        <a:noFill/>
        <a:ln w="9525" cap="flat" cmpd="sng" algn="ctr">
          <a:solidFill>
            <a:srgbClr val="BF8F00"/>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190499</xdr:colOff>
      <xdr:row>89</xdr:row>
      <xdr:rowOff>180975</xdr:rowOff>
    </xdr:from>
    <xdr:to>
      <xdr:col>37</xdr:col>
      <xdr:colOff>190499</xdr:colOff>
      <xdr:row>89</xdr:row>
      <xdr:rowOff>180975</xdr:rowOff>
    </xdr:to>
    <xdr:cxnSp macro="">
      <xdr:nvCxnSpPr>
        <xdr:cNvPr id="41" name="Straight Arrow Connector 40">
          <a:extLst>
            <a:ext uri="{FF2B5EF4-FFF2-40B4-BE49-F238E27FC236}">
              <a16:creationId xmlns:a16="http://schemas.microsoft.com/office/drawing/2014/main" id="{3FA1AD75-19D6-4726-AA5A-BF047FB9BD9A}"/>
            </a:ext>
            <a:ext uri="{147F2762-F138-4A5C-976F-8EAC2B608ADB}">
              <a16:predDERef xmlns:a16="http://schemas.microsoft.com/office/drawing/2014/main" pred="{6A33D320-F27B-E0A8-4C99-8558FB7F64DB}"/>
            </a:ext>
          </a:extLst>
        </xdr:cNvPr>
        <xdr:cNvCxnSpPr>
          <a:cxnSpLocks/>
        </xdr:cNvCxnSpPr>
      </xdr:nvCxnSpPr>
      <xdr:spPr bwMode="auto">
        <a:xfrm>
          <a:off x="9200028" y="12978093"/>
          <a:ext cx="2902324" cy="0"/>
        </a:xfrm>
        <a:prstGeom prst="straightConnector1">
          <a:avLst/>
        </a:prstGeom>
        <a:noFill/>
        <a:ln w="25400" cap="flat" cmpd="sng" algn="ctr">
          <a:solidFill>
            <a:srgbClr val="BF8F0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523874</xdr:colOff>
      <xdr:row>144</xdr:row>
      <xdr:rowOff>189601</xdr:rowOff>
    </xdr:from>
    <xdr:to>
      <xdr:col>28</xdr:col>
      <xdr:colOff>523874</xdr:colOff>
      <xdr:row>145</xdr:row>
      <xdr:rowOff>164948</xdr:rowOff>
    </xdr:to>
    <xdr:cxnSp macro="">
      <xdr:nvCxnSpPr>
        <xdr:cNvPr id="33" name="Straight Arrow Connector 1822">
          <a:extLst>
            <a:ext uri="{FF2B5EF4-FFF2-40B4-BE49-F238E27FC236}">
              <a16:creationId xmlns:a16="http://schemas.microsoft.com/office/drawing/2014/main" id="{CB72A431-E0DA-4595-B951-8E207FD1FC71}"/>
            </a:ext>
          </a:extLst>
        </xdr:cNvPr>
        <xdr:cNvCxnSpPr/>
      </xdr:nvCxnSpPr>
      <xdr:spPr>
        <a:xfrm>
          <a:off x="7337050" y="21435954"/>
          <a:ext cx="0" cy="210670"/>
        </a:xfrm>
        <a:prstGeom prst="straightConnector1">
          <a:avLst/>
        </a:prstGeom>
        <a:noFill/>
        <a:ln w="9525" cap="flat" cmpd="sng" algn="ctr">
          <a:solidFill>
            <a:srgbClr val="A5225C"/>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104774</xdr:colOff>
      <xdr:row>64</xdr:row>
      <xdr:rowOff>190760</xdr:rowOff>
    </xdr:from>
    <xdr:to>
      <xdr:col>27</xdr:col>
      <xdr:colOff>104774</xdr:colOff>
      <xdr:row>65</xdr:row>
      <xdr:rowOff>190499</xdr:rowOff>
    </xdr:to>
    <xdr:cxnSp macro="">
      <xdr:nvCxnSpPr>
        <xdr:cNvPr id="44" name="Straight Arrow Connector 1822">
          <a:extLst>
            <a:ext uri="{FF2B5EF4-FFF2-40B4-BE49-F238E27FC236}">
              <a16:creationId xmlns:a16="http://schemas.microsoft.com/office/drawing/2014/main" id="{E7442A28-7F15-4921-8D39-259C4653D786}"/>
            </a:ext>
          </a:extLst>
        </xdr:cNvPr>
        <xdr:cNvCxnSpPr/>
      </xdr:nvCxnSpPr>
      <xdr:spPr>
        <a:xfrm>
          <a:off x="6312833" y="7665084"/>
          <a:ext cx="0" cy="279886"/>
        </a:xfrm>
        <a:prstGeom prst="straightConnector1">
          <a:avLst/>
        </a:prstGeom>
        <a:noFill/>
        <a:ln w="9525" cap="flat" cmpd="sng" algn="ctr">
          <a:solidFill>
            <a:srgbClr val="7030A0"/>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66</xdr:row>
      <xdr:rowOff>0</xdr:rowOff>
    </xdr:from>
    <xdr:to>
      <xdr:col>31</xdr:col>
      <xdr:colOff>204107</xdr:colOff>
      <xdr:row>66</xdr:row>
      <xdr:rowOff>0</xdr:rowOff>
    </xdr:to>
    <xdr:cxnSp macro="">
      <xdr:nvCxnSpPr>
        <xdr:cNvPr id="46" name="Straight Arrow Connector 45">
          <a:extLst>
            <a:ext uri="{FF2B5EF4-FFF2-40B4-BE49-F238E27FC236}">
              <a16:creationId xmlns:a16="http://schemas.microsoft.com/office/drawing/2014/main" id="{467FCECE-389D-44CB-9DCD-20AADC277B19}"/>
            </a:ext>
            <a:ext uri="{147F2762-F138-4A5C-976F-8EAC2B608ADB}">
              <a16:predDERef xmlns:a16="http://schemas.microsoft.com/office/drawing/2014/main" pred="{6A33D320-F27B-E0A8-4C99-8558FB7F64DB}"/>
            </a:ext>
          </a:extLst>
        </xdr:cNvPr>
        <xdr:cNvCxnSpPr>
          <a:cxnSpLocks/>
        </xdr:cNvCxnSpPr>
      </xdr:nvCxnSpPr>
      <xdr:spPr bwMode="auto">
        <a:xfrm>
          <a:off x="7362265" y="8034618"/>
          <a:ext cx="1313489"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27</xdr:col>
      <xdr:colOff>104774</xdr:colOff>
      <xdr:row>65</xdr:row>
      <xdr:rowOff>190500</xdr:rowOff>
    </xdr:from>
    <xdr:to>
      <xdr:col>28</xdr:col>
      <xdr:colOff>33617</xdr:colOff>
      <xdr:row>65</xdr:row>
      <xdr:rowOff>190500</xdr:rowOff>
    </xdr:to>
    <xdr:cxnSp macro="">
      <xdr:nvCxnSpPr>
        <xdr:cNvPr id="51" name="Straight Arrow Connector 50">
          <a:extLst>
            <a:ext uri="{FF2B5EF4-FFF2-40B4-BE49-F238E27FC236}">
              <a16:creationId xmlns:a16="http://schemas.microsoft.com/office/drawing/2014/main" id="{E32D88E4-0718-4755-A366-D26ADFBA4A78}"/>
            </a:ext>
            <a:ext uri="{147F2762-F138-4A5C-976F-8EAC2B608ADB}">
              <a16:predDERef xmlns:a16="http://schemas.microsoft.com/office/drawing/2014/main" pred="{6A33D320-F27B-E0A8-4C99-8558FB7F64DB}"/>
            </a:ext>
          </a:extLst>
        </xdr:cNvPr>
        <xdr:cNvCxnSpPr>
          <a:cxnSpLocks/>
        </xdr:cNvCxnSpPr>
      </xdr:nvCxnSpPr>
      <xdr:spPr bwMode="auto">
        <a:xfrm>
          <a:off x="6312833" y="7944971"/>
          <a:ext cx="533960"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33618</xdr:colOff>
      <xdr:row>65</xdr:row>
      <xdr:rowOff>190499</xdr:rowOff>
    </xdr:from>
    <xdr:to>
      <xdr:col>28</xdr:col>
      <xdr:colOff>33618</xdr:colOff>
      <xdr:row>69</xdr:row>
      <xdr:rowOff>180974</xdr:rowOff>
    </xdr:to>
    <xdr:cxnSp macro="">
      <xdr:nvCxnSpPr>
        <xdr:cNvPr id="53" name="Straight Arrow Connector 1822">
          <a:extLst>
            <a:ext uri="{FF2B5EF4-FFF2-40B4-BE49-F238E27FC236}">
              <a16:creationId xmlns:a16="http://schemas.microsoft.com/office/drawing/2014/main" id="{6E279746-2694-4AE8-89E1-2F56A981BC23}"/>
            </a:ext>
          </a:extLst>
        </xdr:cNvPr>
        <xdr:cNvCxnSpPr/>
      </xdr:nvCxnSpPr>
      <xdr:spPr>
        <a:xfrm>
          <a:off x="6846794" y="7944970"/>
          <a:ext cx="0" cy="270622"/>
        </a:xfrm>
        <a:prstGeom prst="straightConnector1">
          <a:avLst/>
        </a:prstGeom>
        <a:noFill/>
        <a:ln w="9525" cap="flat" cmpd="sng" algn="ctr">
          <a:solidFill>
            <a:srgbClr val="7030A0"/>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66</xdr:row>
      <xdr:rowOff>0</xdr:rowOff>
    </xdr:from>
    <xdr:to>
      <xdr:col>30</xdr:col>
      <xdr:colOff>66675</xdr:colOff>
      <xdr:row>66</xdr:row>
      <xdr:rowOff>0</xdr:rowOff>
    </xdr:to>
    <xdr:cxnSp macro="">
      <xdr:nvCxnSpPr>
        <xdr:cNvPr id="54" name="Straight Arrow Connector 53">
          <a:extLst>
            <a:ext uri="{FF2B5EF4-FFF2-40B4-BE49-F238E27FC236}">
              <a16:creationId xmlns:a16="http://schemas.microsoft.com/office/drawing/2014/main" id="{7E675A54-64B2-49C9-9DF7-6A1C2BDC2753}"/>
            </a:ext>
            <a:ext uri="{147F2762-F138-4A5C-976F-8EAC2B608ADB}">
              <a16:predDERef xmlns:a16="http://schemas.microsoft.com/office/drawing/2014/main" pred="{6A33D320-F27B-E0A8-4C99-8558FB7F64DB}"/>
            </a:ext>
          </a:extLst>
        </xdr:cNvPr>
        <xdr:cNvCxnSpPr>
          <a:cxnSpLocks/>
        </xdr:cNvCxnSpPr>
      </xdr:nvCxnSpPr>
      <xdr:spPr bwMode="auto">
        <a:xfrm>
          <a:off x="7362265" y="8034618"/>
          <a:ext cx="604557"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33618</xdr:colOff>
      <xdr:row>69</xdr:row>
      <xdr:rowOff>180975</xdr:rowOff>
    </xdr:from>
    <xdr:to>
      <xdr:col>31</xdr:col>
      <xdr:colOff>89647</xdr:colOff>
      <xdr:row>69</xdr:row>
      <xdr:rowOff>180975</xdr:rowOff>
    </xdr:to>
    <xdr:cxnSp macro="">
      <xdr:nvCxnSpPr>
        <xdr:cNvPr id="55" name="Straight Arrow Connector 54">
          <a:extLst>
            <a:ext uri="{FF2B5EF4-FFF2-40B4-BE49-F238E27FC236}">
              <a16:creationId xmlns:a16="http://schemas.microsoft.com/office/drawing/2014/main" id="{281302E8-0392-4C1A-AD36-C0EF7411A446}"/>
            </a:ext>
            <a:ext uri="{147F2762-F138-4A5C-976F-8EAC2B608ADB}">
              <a16:predDERef xmlns:a16="http://schemas.microsoft.com/office/drawing/2014/main" pred="{6A33D320-F27B-E0A8-4C99-8558FB7F64DB}"/>
            </a:ext>
          </a:extLst>
        </xdr:cNvPr>
        <xdr:cNvCxnSpPr>
          <a:cxnSpLocks/>
        </xdr:cNvCxnSpPr>
      </xdr:nvCxnSpPr>
      <xdr:spPr bwMode="auto">
        <a:xfrm>
          <a:off x="6846794" y="8215593"/>
          <a:ext cx="1714500"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76199</xdr:colOff>
      <xdr:row>69</xdr:row>
      <xdr:rowOff>180974</xdr:rowOff>
    </xdr:from>
    <xdr:to>
      <xdr:col>31</xdr:col>
      <xdr:colOff>76199</xdr:colOff>
      <xdr:row>70</xdr:row>
      <xdr:rowOff>190498</xdr:rowOff>
    </xdr:to>
    <xdr:cxnSp macro="">
      <xdr:nvCxnSpPr>
        <xdr:cNvPr id="58" name="Straight Arrow Connector 1822">
          <a:extLst>
            <a:ext uri="{FF2B5EF4-FFF2-40B4-BE49-F238E27FC236}">
              <a16:creationId xmlns:a16="http://schemas.microsoft.com/office/drawing/2014/main" id="{C7ED0743-9915-4E26-BA5B-DB04F070AB3A}"/>
            </a:ext>
          </a:extLst>
        </xdr:cNvPr>
        <xdr:cNvCxnSpPr/>
      </xdr:nvCxnSpPr>
      <xdr:spPr>
        <a:xfrm>
          <a:off x="8547846" y="8215592"/>
          <a:ext cx="0" cy="244847"/>
        </a:xfrm>
        <a:prstGeom prst="straightConnector1">
          <a:avLst/>
        </a:prstGeom>
        <a:noFill/>
        <a:ln w="9525" cap="flat" cmpd="sng" algn="ctr">
          <a:solidFill>
            <a:srgbClr val="7030A0"/>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66</xdr:row>
      <xdr:rowOff>0</xdr:rowOff>
    </xdr:from>
    <xdr:to>
      <xdr:col>38</xdr:col>
      <xdr:colOff>38100</xdr:colOff>
      <xdr:row>66</xdr:row>
      <xdr:rowOff>0</xdr:rowOff>
    </xdr:to>
    <xdr:cxnSp macro="">
      <xdr:nvCxnSpPr>
        <xdr:cNvPr id="60" name="Straight Arrow Connector 59">
          <a:extLst>
            <a:ext uri="{FF2B5EF4-FFF2-40B4-BE49-F238E27FC236}">
              <a16:creationId xmlns:a16="http://schemas.microsoft.com/office/drawing/2014/main" id="{3676466A-2274-4495-8453-5FFA10257F52}"/>
            </a:ext>
            <a:ext uri="{147F2762-F138-4A5C-976F-8EAC2B608ADB}">
              <a16:predDERef xmlns:a16="http://schemas.microsoft.com/office/drawing/2014/main" pred="{6A33D320-F27B-E0A8-4C99-8558FB7F64DB}"/>
            </a:ext>
          </a:extLst>
        </xdr:cNvPr>
        <xdr:cNvCxnSpPr>
          <a:cxnSpLocks/>
        </xdr:cNvCxnSpPr>
      </xdr:nvCxnSpPr>
      <xdr:spPr bwMode="auto">
        <a:xfrm>
          <a:off x="10768853" y="8034618"/>
          <a:ext cx="1730188"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76199</xdr:colOff>
      <xdr:row>70</xdr:row>
      <xdr:rowOff>190500</xdr:rowOff>
    </xdr:from>
    <xdr:to>
      <xdr:col>38</xdr:col>
      <xdr:colOff>590549</xdr:colOff>
      <xdr:row>70</xdr:row>
      <xdr:rowOff>190500</xdr:rowOff>
    </xdr:to>
    <xdr:cxnSp macro="">
      <xdr:nvCxnSpPr>
        <xdr:cNvPr id="61" name="Straight Arrow Connector 60">
          <a:extLst>
            <a:ext uri="{FF2B5EF4-FFF2-40B4-BE49-F238E27FC236}">
              <a16:creationId xmlns:a16="http://schemas.microsoft.com/office/drawing/2014/main" id="{C468A37A-ACAB-40CE-91C2-57590E1E2F42}"/>
            </a:ext>
            <a:ext uri="{147F2762-F138-4A5C-976F-8EAC2B608ADB}">
              <a16:predDERef xmlns:a16="http://schemas.microsoft.com/office/drawing/2014/main" pred="{6A33D320-F27B-E0A8-4C99-8558FB7F64DB}"/>
            </a:ext>
          </a:extLst>
        </xdr:cNvPr>
        <xdr:cNvCxnSpPr>
          <a:cxnSpLocks/>
        </xdr:cNvCxnSpPr>
      </xdr:nvCxnSpPr>
      <xdr:spPr bwMode="auto">
        <a:xfrm>
          <a:off x="8547846" y="8460441"/>
          <a:ext cx="4503644" cy="0"/>
        </a:xfrm>
        <a:prstGeom prst="straightConnector1">
          <a:avLst/>
        </a:prstGeom>
        <a:noFill/>
        <a:ln w="25400" cap="flat" cmpd="sng" algn="ctr">
          <a:solidFill>
            <a:srgbClr val="7030A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161924</xdr:colOff>
      <xdr:row>76</xdr:row>
      <xdr:rowOff>200025</xdr:rowOff>
    </xdr:from>
    <xdr:to>
      <xdr:col>29</xdr:col>
      <xdr:colOff>481851</xdr:colOff>
      <xdr:row>76</xdr:row>
      <xdr:rowOff>200025</xdr:rowOff>
    </xdr:to>
    <xdr:cxnSp macro="">
      <xdr:nvCxnSpPr>
        <xdr:cNvPr id="15" name="Straight Arrow Connector 14">
          <a:extLst>
            <a:ext uri="{FF2B5EF4-FFF2-40B4-BE49-F238E27FC236}">
              <a16:creationId xmlns:a16="http://schemas.microsoft.com/office/drawing/2014/main" id="{34F2BEFE-CE0C-460E-AE8C-B55C0613E118}"/>
            </a:ext>
            <a:ext uri="{147F2762-F138-4A5C-976F-8EAC2B608ADB}">
              <a16:predDERef xmlns:a16="http://schemas.microsoft.com/office/drawing/2014/main" pred="{6A33D320-F27B-E0A8-4C99-8558FB7F64DB}"/>
            </a:ext>
          </a:extLst>
        </xdr:cNvPr>
        <xdr:cNvCxnSpPr>
          <a:cxnSpLocks/>
        </xdr:cNvCxnSpPr>
      </xdr:nvCxnSpPr>
      <xdr:spPr bwMode="auto">
        <a:xfrm>
          <a:off x="6975100" y="9926731"/>
          <a:ext cx="869016" cy="0"/>
        </a:xfrm>
        <a:prstGeom prst="straightConnector1">
          <a:avLst/>
        </a:prstGeom>
        <a:noFill/>
        <a:ln w="25400" cap="flat" cmpd="sng" algn="ctr">
          <a:solidFill>
            <a:srgbClr val="2E75B6"/>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481852</xdr:colOff>
      <xdr:row>76</xdr:row>
      <xdr:rowOff>200024</xdr:rowOff>
    </xdr:from>
    <xdr:to>
      <xdr:col>29</xdr:col>
      <xdr:colOff>481852</xdr:colOff>
      <xdr:row>78</xdr:row>
      <xdr:rowOff>182921</xdr:rowOff>
    </xdr:to>
    <xdr:cxnSp macro="">
      <xdr:nvCxnSpPr>
        <xdr:cNvPr id="22" name="Straight Arrow Connector 1822">
          <a:extLst>
            <a:ext uri="{FF2B5EF4-FFF2-40B4-BE49-F238E27FC236}">
              <a16:creationId xmlns:a16="http://schemas.microsoft.com/office/drawing/2014/main" id="{AFA619A9-8915-4F27-9BC0-948C84FE16E6}"/>
            </a:ext>
          </a:extLst>
        </xdr:cNvPr>
        <xdr:cNvCxnSpPr/>
      </xdr:nvCxnSpPr>
      <xdr:spPr>
        <a:xfrm>
          <a:off x="7844117" y="9926730"/>
          <a:ext cx="0" cy="464750"/>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75079</xdr:colOff>
      <xdr:row>47</xdr:row>
      <xdr:rowOff>200810</xdr:rowOff>
    </xdr:from>
    <xdr:to>
      <xdr:col>31</xdr:col>
      <xdr:colOff>513229</xdr:colOff>
      <xdr:row>47</xdr:row>
      <xdr:rowOff>200810</xdr:rowOff>
    </xdr:to>
    <xdr:cxnSp macro="">
      <xdr:nvCxnSpPr>
        <xdr:cNvPr id="16" name="Straight Arrow Connector 15">
          <a:extLst>
            <a:ext uri="{FF2B5EF4-FFF2-40B4-BE49-F238E27FC236}">
              <a16:creationId xmlns:a16="http://schemas.microsoft.com/office/drawing/2014/main" id="{4E19D3F5-330B-441B-9141-1A5E0876A658}"/>
            </a:ext>
            <a:ext uri="{147F2762-F138-4A5C-976F-8EAC2B608ADB}">
              <a16:predDERef xmlns:a16="http://schemas.microsoft.com/office/drawing/2014/main" pred="{6A33D320-F27B-E0A8-4C99-8558FB7F64DB}"/>
            </a:ext>
          </a:extLst>
        </xdr:cNvPr>
        <xdr:cNvCxnSpPr>
          <a:cxnSpLocks/>
        </xdr:cNvCxnSpPr>
      </xdr:nvCxnSpPr>
      <xdr:spPr bwMode="auto">
        <a:xfrm>
          <a:off x="6283138" y="5467575"/>
          <a:ext cx="2701738" cy="0"/>
        </a:xfrm>
        <a:prstGeom prst="straightConnector1">
          <a:avLst/>
        </a:prstGeom>
        <a:noFill/>
        <a:ln w="25400" cap="flat" cmpd="sng" algn="ctr">
          <a:solidFill>
            <a:srgbClr val="548235"/>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561975</xdr:colOff>
      <xdr:row>46</xdr:row>
      <xdr:rowOff>178396</xdr:rowOff>
    </xdr:from>
    <xdr:to>
      <xdr:col>27</xdr:col>
      <xdr:colOff>19050</xdr:colOff>
      <xdr:row>47</xdr:row>
      <xdr:rowOff>178396</xdr:rowOff>
    </xdr:to>
    <xdr:cxnSp macro="">
      <xdr:nvCxnSpPr>
        <xdr:cNvPr id="35" name="Straight Arrow Connector 1822">
          <a:extLst>
            <a:ext uri="{FF2B5EF4-FFF2-40B4-BE49-F238E27FC236}">
              <a16:creationId xmlns:a16="http://schemas.microsoft.com/office/drawing/2014/main" id="{9E22EA0D-C435-4132-B616-FBD3D12D7D5A}"/>
            </a:ext>
          </a:extLst>
        </xdr:cNvPr>
        <xdr:cNvCxnSpPr/>
      </xdr:nvCxnSpPr>
      <xdr:spPr>
        <a:xfrm>
          <a:off x="5021916" y="5209837"/>
          <a:ext cx="1205193" cy="235324"/>
        </a:xfrm>
        <a:prstGeom prst="straightConnector1">
          <a:avLst/>
        </a:prstGeom>
        <a:noFill/>
        <a:ln w="9525" cap="flat" cmpd="sng" algn="ctr">
          <a:solidFill>
            <a:srgbClr val="548235"/>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47624</xdr:colOff>
      <xdr:row>49</xdr:row>
      <xdr:rowOff>194646</xdr:rowOff>
    </xdr:from>
    <xdr:to>
      <xdr:col>29</xdr:col>
      <xdr:colOff>78440</xdr:colOff>
      <xdr:row>50</xdr:row>
      <xdr:rowOff>190499</xdr:rowOff>
    </xdr:to>
    <xdr:cxnSp macro="">
      <xdr:nvCxnSpPr>
        <xdr:cNvPr id="43" name="Straight Arrow Connector 1822">
          <a:extLst>
            <a:ext uri="{FF2B5EF4-FFF2-40B4-BE49-F238E27FC236}">
              <a16:creationId xmlns:a16="http://schemas.microsoft.com/office/drawing/2014/main" id="{561B33D5-B071-4A66-9703-512E9CE7D767}"/>
            </a:ext>
          </a:extLst>
        </xdr:cNvPr>
        <xdr:cNvCxnSpPr/>
      </xdr:nvCxnSpPr>
      <xdr:spPr>
        <a:xfrm>
          <a:off x="6255683" y="5696734"/>
          <a:ext cx="1185022" cy="231177"/>
        </a:xfrm>
        <a:prstGeom prst="straightConnector1">
          <a:avLst/>
        </a:prstGeom>
        <a:noFill/>
        <a:ln w="9525" cap="flat" cmpd="sng" algn="ctr">
          <a:solidFill>
            <a:srgbClr val="548235"/>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78441</xdr:colOff>
      <xdr:row>50</xdr:row>
      <xdr:rowOff>190500</xdr:rowOff>
    </xdr:from>
    <xdr:to>
      <xdr:col>32</xdr:col>
      <xdr:colOff>571500</xdr:colOff>
      <xdr:row>50</xdr:row>
      <xdr:rowOff>190500</xdr:rowOff>
    </xdr:to>
    <xdr:cxnSp macro="">
      <xdr:nvCxnSpPr>
        <xdr:cNvPr id="56" name="Straight Arrow Connector 55">
          <a:extLst>
            <a:ext uri="{FF2B5EF4-FFF2-40B4-BE49-F238E27FC236}">
              <a16:creationId xmlns:a16="http://schemas.microsoft.com/office/drawing/2014/main" id="{A0751EDD-75F4-46AE-9B84-54EF69099773}"/>
            </a:ext>
            <a:ext uri="{147F2762-F138-4A5C-976F-8EAC2B608ADB}">
              <a16:predDERef xmlns:a16="http://schemas.microsoft.com/office/drawing/2014/main" pred="{6A33D320-F27B-E0A8-4C99-8558FB7F64DB}"/>
            </a:ext>
          </a:extLst>
        </xdr:cNvPr>
        <xdr:cNvCxnSpPr>
          <a:cxnSpLocks/>
        </xdr:cNvCxnSpPr>
      </xdr:nvCxnSpPr>
      <xdr:spPr bwMode="auto">
        <a:xfrm>
          <a:off x="7440706" y="5927912"/>
          <a:ext cx="2140323" cy="0"/>
        </a:xfrm>
        <a:prstGeom prst="straightConnector1">
          <a:avLst/>
        </a:prstGeom>
        <a:noFill/>
        <a:ln w="25400" cap="flat" cmpd="sng" algn="ctr">
          <a:solidFill>
            <a:srgbClr val="548235"/>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504825</xdr:colOff>
      <xdr:row>59</xdr:row>
      <xdr:rowOff>238125</xdr:rowOff>
    </xdr:from>
    <xdr:to>
      <xdr:col>38</xdr:col>
      <xdr:colOff>22412</xdr:colOff>
      <xdr:row>59</xdr:row>
      <xdr:rowOff>238125</xdr:rowOff>
    </xdr:to>
    <xdr:cxnSp macro="">
      <xdr:nvCxnSpPr>
        <xdr:cNvPr id="75" name="Straight Arrow Connector 74">
          <a:extLst>
            <a:ext uri="{FF2B5EF4-FFF2-40B4-BE49-F238E27FC236}">
              <a16:creationId xmlns:a16="http://schemas.microsoft.com/office/drawing/2014/main" id="{359C58B3-2B24-4309-9E13-7B38A83D4090}"/>
            </a:ext>
            <a:ext uri="{147F2762-F138-4A5C-976F-8EAC2B608ADB}">
              <a16:predDERef xmlns:a16="http://schemas.microsoft.com/office/drawing/2014/main" pred="{6A33D320-F27B-E0A8-4C99-8558FB7F64DB}"/>
            </a:ext>
          </a:extLst>
        </xdr:cNvPr>
        <xdr:cNvCxnSpPr>
          <a:cxnSpLocks/>
        </xdr:cNvCxnSpPr>
      </xdr:nvCxnSpPr>
      <xdr:spPr bwMode="auto">
        <a:xfrm>
          <a:off x="11845178" y="6446184"/>
          <a:ext cx="638175" cy="0"/>
        </a:xfrm>
        <a:prstGeom prst="straightConnector1">
          <a:avLst/>
        </a:prstGeom>
        <a:noFill/>
        <a:ln w="25400" cap="flat" cmpd="sng" algn="ctr">
          <a:solidFill>
            <a:srgbClr val="548235"/>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56028</xdr:colOff>
      <xdr:row>102</xdr:row>
      <xdr:rowOff>179294</xdr:rowOff>
    </xdr:from>
    <xdr:to>
      <xdr:col>37</xdr:col>
      <xdr:colOff>549087</xdr:colOff>
      <xdr:row>102</xdr:row>
      <xdr:rowOff>179294</xdr:rowOff>
    </xdr:to>
    <xdr:cxnSp macro="">
      <xdr:nvCxnSpPr>
        <xdr:cNvPr id="78" name="Straight Arrow Connector 77">
          <a:extLst>
            <a:ext uri="{FF2B5EF4-FFF2-40B4-BE49-F238E27FC236}">
              <a16:creationId xmlns:a16="http://schemas.microsoft.com/office/drawing/2014/main" id="{8A2CFFF9-B918-4708-B422-FCB80574ED0B}"/>
            </a:ext>
            <a:ext uri="{147F2762-F138-4A5C-976F-8EAC2B608ADB}">
              <a16:predDERef xmlns:a16="http://schemas.microsoft.com/office/drawing/2014/main" pred="{6A33D320-F27B-E0A8-4C99-8558FB7F64DB}"/>
            </a:ext>
          </a:extLst>
        </xdr:cNvPr>
        <xdr:cNvCxnSpPr>
          <a:cxnSpLocks/>
        </xdr:cNvCxnSpPr>
      </xdr:nvCxnSpPr>
      <xdr:spPr bwMode="auto">
        <a:xfrm>
          <a:off x="11396381" y="16259735"/>
          <a:ext cx="1064559" cy="0"/>
        </a:xfrm>
        <a:prstGeom prst="straightConnector1">
          <a:avLst/>
        </a:prstGeom>
        <a:noFill/>
        <a:ln w="25400" cap="flat" cmpd="sng" algn="ctr">
          <a:solidFill>
            <a:srgbClr val="00807F"/>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56028</xdr:colOff>
      <xdr:row>101</xdr:row>
      <xdr:rowOff>205290</xdr:rowOff>
    </xdr:from>
    <xdr:to>
      <xdr:col>36</xdr:col>
      <xdr:colOff>56028</xdr:colOff>
      <xdr:row>102</xdr:row>
      <xdr:rowOff>179294</xdr:rowOff>
    </xdr:to>
    <xdr:cxnSp macro="">
      <xdr:nvCxnSpPr>
        <xdr:cNvPr id="81" name="Straight Arrow Connector 1822">
          <a:extLst>
            <a:ext uri="{FF2B5EF4-FFF2-40B4-BE49-F238E27FC236}">
              <a16:creationId xmlns:a16="http://schemas.microsoft.com/office/drawing/2014/main" id="{82F1A2CC-3B59-424B-A034-12C8D154EA79}"/>
            </a:ext>
          </a:extLst>
        </xdr:cNvPr>
        <xdr:cNvCxnSpPr/>
      </xdr:nvCxnSpPr>
      <xdr:spPr>
        <a:xfrm>
          <a:off x="11396381" y="16005584"/>
          <a:ext cx="0" cy="254151"/>
        </a:xfrm>
        <a:prstGeom prst="straightConnector1">
          <a:avLst/>
        </a:prstGeom>
        <a:noFill/>
        <a:ln w="9525" cap="flat" cmpd="sng" algn="ctr">
          <a:solidFill>
            <a:srgbClr val="00807F"/>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542924</xdr:colOff>
      <xdr:row>109</xdr:row>
      <xdr:rowOff>186196</xdr:rowOff>
    </xdr:from>
    <xdr:to>
      <xdr:col>25</xdr:col>
      <xdr:colOff>542924</xdr:colOff>
      <xdr:row>110</xdr:row>
      <xdr:rowOff>187360</xdr:rowOff>
    </xdr:to>
    <xdr:cxnSp macro="">
      <xdr:nvCxnSpPr>
        <xdr:cNvPr id="7" name="Straight Arrow Connector 1822">
          <a:extLst>
            <a:ext uri="{FF2B5EF4-FFF2-40B4-BE49-F238E27FC236}">
              <a16:creationId xmlns:a16="http://schemas.microsoft.com/office/drawing/2014/main" id="{7B0E3250-A795-46BE-99B8-5B197E8FFEB0}"/>
            </a:ext>
          </a:extLst>
        </xdr:cNvPr>
        <xdr:cNvCxnSpPr/>
      </xdr:nvCxnSpPr>
      <xdr:spPr>
        <a:xfrm>
          <a:off x="5574365" y="17207931"/>
          <a:ext cx="0" cy="236488"/>
        </a:xfrm>
        <a:prstGeom prst="straightConnector1">
          <a:avLst/>
        </a:prstGeom>
        <a:noFill/>
        <a:ln w="9525" cap="flat" cmpd="sng" algn="ctr">
          <a:solidFill>
            <a:srgbClr val="843C0C"/>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485774</xdr:colOff>
      <xdr:row>110</xdr:row>
      <xdr:rowOff>187361</xdr:rowOff>
    </xdr:from>
    <xdr:to>
      <xdr:col>31</xdr:col>
      <xdr:colOff>485774</xdr:colOff>
      <xdr:row>111</xdr:row>
      <xdr:rowOff>176278</xdr:rowOff>
    </xdr:to>
    <xdr:cxnSp macro="">
      <xdr:nvCxnSpPr>
        <xdr:cNvPr id="29" name="Straight Arrow Connector 1822">
          <a:extLst>
            <a:ext uri="{FF2B5EF4-FFF2-40B4-BE49-F238E27FC236}">
              <a16:creationId xmlns:a16="http://schemas.microsoft.com/office/drawing/2014/main" id="{3B2BA805-1B5C-458C-9489-230765053B2E}"/>
            </a:ext>
          </a:extLst>
        </xdr:cNvPr>
        <xdr:cNvCxnSpPr/>
      </xdr:nvCxnSpPr>
      <xdr:spPr>
        <a:xfrm>
          <a:off x="8957421" y="17444420"/>
          <a:ext cx="0" cy="224240"/>
        </a:xfrm>
        <a:prstGeom prst="straightConnector1">
          <a:avLst/>
        </a:prstGeom>
        <a:noFill/>
        <a:ln w="9525" cap="flat" cmpd="sng" algn="ctr">
          <a:solidFill>
            <a:srgbClr val="843C0C"/>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78</xdr:row>
      <xdr:rowOff>182922</xdr:rowOff>
    </xdr:from>
    <xdr:to>
      <xdr:col>32</xdr:col>
      <xdr:colOff>123825</xdr:colOff>
      <xdr:row>79</xdr:row>
      <xdr:rowOff>190499</xdr:rowOff>
    </xdr:to>
    <xdr:cxnSp macro="">
      <xdr:nvCxnSpPr>
        <xdr:cNvPr id="13" name="Straight Arrow Connector 1822">
          <a:extLst>
            <a:ext uri="{FF2B5EF4-FFF2-40B4-BE49-F238E27FC236}">
              <a16:creationId xmlns:a16="http://schemas.microsoft.com/office/drawing/2014/main" id="{2CF6C3E2-C06D-4EC4-9987-6A83224B0432}"/>
            </a:ext>
          </a:extLst>
        </xdr:cNvPr>
        <xdr:cNvCxnSpPr/>
      </xdr:nvCxnSpPr>
      <xdr:spPr>
        <a:xfrm>
          <a:off x="9133354" y="10391481"/>
          <a:ext cx="0" cy="242900"/>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200025</xdr:colOff>
      <xdr:row>79</xdr:row>
      <xdr:rowOff>190500</xdr:rowOff>
    </xdr:from>
    <xdr:to>
      <xdr:col>35</xdr:col>
      <xdr:colOff>200025</xdr:colOff>
      <xdr:row>80</xdr:row>
      <xdr:rowOff>209549</xdr:rowOff>
    </xdr:to>
    <xdr:cxnSp macro="">
      <xdr:nvCxnSpPr>
        <xdr:cNvPr id="19" name="Straight Arrow Connector 1822">
          <a:extLst>
            <a:ext uri="{FF2B5EF4-FFF2-40B4-BE49-F238E27FC236}">
              <a16:creationId xmlns:a16="http://schemas.microsoft.com/office/drawing/2014/main" id="{6AEBBB7F-9575-4C89-83C2-5AE0B2C82E5F}"/>
            </a:ext>
          </a:extLst>
        </xdr:cNvPr>
        <xdr:cNvCxnSpPr/>
      </xdr:nvCxnSpPr>
      <xdr:spPr>
        <a:xfrm>
          <a:off x="10968878" y="10634382"/>
          <a:ext cx="0" cy="254373"/>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123825</xdr:colOff>
      <xdr:row>79</xdr:row>
      <xdr:rowOff>190500</xdr:rowOff>
    </xdr:from>
    <xdr:to>
      <xdr:col>35</xdr:col>
      <xdr:colOff>212912</xdr:colOff>
      <xdr:row>79</xdr:row>
      <xdr:rowOff>190500</xdr:rowOff>
    </xdr:to>
    <xdr:cxnSp macro="">
      <xdr:nvCxnSpPr>
        <xdr:cNvPr id="21" name="Straight Arrow Connector 20">
          <a:extLst>
            <a:ext uri="{FF2B5EF4-FFF2-40B4-BE49-F238E27FC236}">
              <a16:creationId xmlns:a16="http://schemas.microsoft.com/office/drawing/2014/main" id="{A38E82AD-1EB2-4639-8656-7E5FC004816B}"/>
            </a:ext>
            <a:ext uri="{147F2762-F138-4A5C-976F-8EAC2B608ADB}">
              <a16:predDERef xmlns:a16="http://schemas.microsoft.com/office/drawing/2014/main" pred="{6A33D320-F27B-E0A8-4C99-8558FB7F64DB}"/>
            </a:ext>
          </a:extLst>
        </xdr:cNvPr>
        <xdr:cNvCxnSpPr>
          <a:cxnSpLocks/>
        </xdr:cNvCxnSpPr>
      </xdr:nvCxnSpPr>
      <xdr:spPr bwMode="auto">
        <a:xfrm>
          <a:off x="9133354" y="10634382"/>
          <a:ext cx="1848411" cy="0"/>
        </a:xfrm>
        <a:prstGeom prst="straightConnector1">
          <a:avLst/>
        </a:prstGeom>
        <a:noFill/>
        <a:ln w="25400" cap="flat" cmpd="sng" algn="ctr">
          <a:solidFill>
            <a:srgbClr val="2E75B6"/>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35</xdr:col>
      <xdr:colOff>200025</xdr:colOff>
      <xdr:row>80</xdr:row>
      <xdr:rowOff>209550</xdr:rowOff>
    </xdr:from>
    <xdr:to>
      <xdr:col>38</xdr:col>
      <xdr:colOff>44823</xdr:colOff>
      <xdr:row>80</xdr:row>
      <xdr:rowOff>209550</xdr:rowOff>
    </xdr:to>
    <xdr:cxnSp macro="">
      <xdr:nvCxnSpPr>
        <xdr:cNvPr id="36" name="Straight Arrow Connector 35">
          <a:extLst>
            <a:ext uri="{FF2B5EF4-FFF2-40B4-BE49-F238E27FC236}">
              <a16:creationId xmlns:a16="http://schemas.microsoft.com/office/drawing/2014/main" id="{79697017-35CA-468A-880E-9A13065D8FF6}"/>
            </a:ext>
            <a:ext uri="{147F2762-F138-4A5C-976F-8EAC2B608ADB}">
              <a16:predDERef xmlns:a16="http://schemas.microsoft.com/office/drawing/2014/main" pred="{6A33D320-F27B-E0A8-4C99-8558FB7F64DB}"/>
            </a:ext>
          </a:extLst>
        </xdr:cNvPr>
        <xdr:cNvCxnSpPr>
          <a:cxnSpLocks/>
        </xdr:cNvCxnSpPr>
      </xdr:nvCxnSpPr>
      <xdr:spPr bwMode="auto">
        <a:xfrm>
          <a:off x="10968878" y="10888756"/>
          <a:ext cx="1536886" cy="0"/>
        </a:xfrm>
        <a:prstGeom prst="straightConnector1">
          <a:avLst/>
        </a:prstGeom>
        <a:noFill/>
        <a:ln w="25400" cap="flat" cmpd="sng" algn="ctr">
          <a:solidFill>
            <a:srgbClr val="2E75B6"/>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9525</xdr:colOff>
      <xdr:row>143</xdr:row>
      <xdr:rowOff>209550</xdr:rowOff>
    </xdr:from>
    <xdr:to>
      <xdr:col>23</xdr:col>
      <xdr:colOff>495300</xdr:colOff>
      <xdr:row>143</xdr:row>
      <xdr:rowOff>209550</xdr:rowOff>
    </xdr:to>
    <xdr:cxnSp macro="">
      <xdr:nvCxnSpPr>
        <xdr:cNvPr id="59" name="Straight Arrow Connector 58">
          <a:extLst>
            <a:ext uri="{FF2B5EF4-FFF2-40B4-BE49-F238E27FC236}">
              <a16:creationId xmlns:a16="http://schemas.microsoft.com/office/drawing/2014/main" id="{C33ABDC0-1B4B-41C4-8286-8E229BC8F26A}"/>
            </a:ext>
            <a:ext uri="{147F2762-F138-4A5C-976F-8EAC2B608ADB}">
              <a16:predDERef xmlns:a16="http://schemas.microsoft.com/office/drawing/2014/main" pred="{6A33D320-F27B-E0A8-4C99-8558FB7F64DB}"/>
            </a:ext>
          </a:extLst>
        </xdr:cNvPr>
        <xdr:cNvCxnSpPr>
          <a:cxnSpLocks/>
        </xdr:cNvCxnSpPr>
      </xdr:nvCxnSpPr>
      <xdr:spPr bwMode="auto">
        <a:xfrm>
          <a:off x="3897966" y="21220579"/>
          <a:ext cx="485775" cy="0"/>
        </a:xfrm>
        <a:prstGeom prst="straightConnector1">
          <a:avLst/>
        </a:prstGeom>
        <a:noFill/>
        <a:ln w="25400" cap="flat" cmpd="sng" algn="ctr">
          <a:solidFill>
            <a:srgbClr val="A5225C"/>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495299</xdr:colOff>
      <xdr:row>143</xdr:row>
      <xdr:rowOff>209549</xdr:rowOff>
    </xdr:from>
    <xdr:to>
      <xdr:col>23</xdr:col>
      <xdr:colOff>495299</xdr:colOff>
      <xdr:row>144</xdr:row>
      <xdr:rowOff>189600</xdr:rowOff>
    </xdr:to>
    <xdr:cxnSp macro="">
      <xdr:nvCxnSpPr>
        <xdr:cNvPr id="64" name="Straight Arrow Connector 1822">
          <a:extLst>
            <a:ext uri="{FF2B5EF4-FFF2-40B4-BE49-F238E27FC236}">
              <a16:creationId xmlns:a16="http://schemas.microsoft.com/office/drawing/2014/main" id="{534DDFD9-4CFB-49F2-A626-B6B8D6E73288}"/>
            </a:ext>
          </a:extLst>
        </xdr:cNvPr>
        <xdr:cNvCxnSpPr/>
      </xdr:nvCxnSpPr>
      <xdr:spPr>
        <a:xfrm>
          <a:off x="4383740" y="21220578"/>
          <a:ext cx="0" cy="215375"/>
        </a:xfrm>
        <a:prstGeom prst="straightConnector1">
          <a:avLst/>
        </a:prstGeom>
        <a:noFill/>
        <a:ln w="9525" cap="flat" cmpd="sng" algn="ctr">
          <a:solidFill>
            <a:srgbClr val="A5225C"/>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190500</xdr:colOff>
      <xdr:row>90</xdr:row>
      <xdr:rowOff>171450</xdr:rowOff>
    </xdr:from>
    <xdr:to>
      <xdr:col>38</xdr:col>
      <xdr:colOff>600074</xdr:colOff>
      <xdr:row>90</xdr:row>
      <xdr:rowOff>171450</xdr:rowOff>
    </xdr:to>
    <xdr:cxnSp macro="">
      <xdr:nvCxnSpPr>
        <xdr:cNvPr id="86" name="Straight Arrow Connector 85">
          <a:extLst>
            <a:ext uri="{FF2B5EF4-FFF2-40B4-BE49-F238E27FC236}">
              <a16:creationId xmlns:a16="http://schemas.microsoft.com/office/drawing/2014/main" id="{FA38CF5D-9CA7-49C1-9747-FA02808CF46C}"/>
            </a:ext>
            <a:ext uri="{147F2762-F138-4A5C-976F-8EAC2B608ADB}">
              <a16:predDERef xmlns:a16="http://schemas.microsoft.com/office/drawing/2014/main" pred="{6A33D320-F27B-E0A8-4C99-8558FB7F64DB}"/>
            </a:ext>
          </a:extLst>
        </xdr:cNvPr>
        <xdr:cNvCxnSpPr>
          <a:cxnSpLocks/>
        </xdr:cNvCxnSpPr>
      </xdr:nvCxnSpPr>
      <xdr:spPr bwMode="auto">
        <a:xfrm>
          <a:off x="12102353" y="13203891"/>
          <a:ext cx="958662" cy="0"/>
        </a:xfrm>
        <a:prstGeom prst="straightConnector1">
          <a:avLst/>
        </a:prstGeom>
        <a:noFill/>
        <a:ln w="25400" cap="flat" cmpd="sng" algn="ctr">
          <a:solidFill>
            <a:srgbClr val="BF8F00"/>
          </a:solidFill>
          <a:prstDash val="solid"/>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37</xdr:col>
      <xdr:colOff>190500</xdr:colOff>
      <xdr:row>89</xdr:row>
      <xdr:rowOff>180974</xdr:rowOff>
    </xdr:from>
    <xdr:to>
      <xdr:col>37</xdr:col>
      <xdr:colOff>190500</xdr:colOff>
      <xdr:row>90</xdr:row>
      <xdr:rowOff>171448</xdr:rowOff>
    </xdr:to>
    <xdr:cxnSp macro="">
      <xdr:nvCxnSpPr>
        <xdr:cNvPr id="89" name="Straight Arrow Connector 1822">
          <a:extLst>
            <a:ext uri="{FF2B5EF4-FFF2-40B4-BE49-F238E27FC236}">
              <a16:creationId xmlns:a16="http://schemas.microsoft.com/office/drawing/2014/main" id="{DBFC67EF-839E-4BA8-8471-2CC86589F3B8}"/>
            </a:ext>
          </a:extLst>
        </xdr:cNvPr>
        <xdr:cNvCxnSpPr/>
      </xdr:nvCxnSpPr>
      <xdr:spPr>
        <a:xfrm>
          <a:off x="12102353" y="12978092"/>
          <a:ext cx="0" cy="225797"/>
        </a:xfrm>
        <a:prstGeom prst="straightConnector1">
          <a:avLst/>
        </a:prstGeom>
        <a:noFill/>
        <a:ln w="9525" cap="flat" cmpd="sng" algn="ctr">
          <a:solidFill>
            <a:srgbClr val="BF8F00"/>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504825</xdr:colOff>
      <xdr:row>51</xdr:row>
      <xdr:rowOff>192180</xdr:rowOff>
    </xdr:from>
    <xdr:to>
      <xdr:col>36</xdr:col>
      <xdr:colOff>504825</xdr:colOff>
      <xdr:row>59</xdr:row>
      <xdr:rowOff>238124</xdr:rowOff>
    </xdr:to>
    <xdr:cxnSp macro="">
      <xdr:nvCxnSpPr>
        <xdr:cNvPr id="10" name="Straight Arrow Connector 1822">
          <a:extLst>
            <a:ext uri="{FF2B5EF4-FFF2-40B4-BE49-F238E27FC236}">
              <a16:creationId xmlns:a16="http://schemas.microsoft.com/office/drawing/2014/main" id="{7ECE2373-4594-455E-8E55-7E223EFB02B6}"/>
            </a:ext>
          </a:extLst>
        </xdr:cNvPr>
        <xdr:cNvCxnSpPr/>
      </xdr:nvCxnSpPr>
      <xdr:spPr>
        <a:xfrm>
          <a:off x="11845178" y="6164915"/>
          <a:ext cx="0" cy="281268"/>
        </a:xfrm>
        <a:prstGeom prst="straightConnector1">
          <a:avLst/>
        </a:prstGeom>
        <a:noFill/>
        <a:ln w="9525" cap="flat" cmpd="sng" algn="ctr">
          <a:solidFill>
            <a:srgbClr val="548235"/>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544606</xdr:colOff>
      <xdr:row>81</xdr:row>
      <xdr:rowOff>189646</xdr:rowOff>
    </xdr:from>
    <xdr:to>
      <xdr:col>33</xdr:col>
      <xdr:colOff>22412</xdr:colOff>
      <xdr:row>81</xdr:row>
      <xdr:rowOff>189646</xdr:rowOff>
    </xdr:to>
    <xdr:cxnSp macro="">
      <xdr:nvCxnSpPr>
        <xdr:cNvPr id="190" name="Straight Arrow Connector 189">
          <a:extLst>
            <a:ext uri="{FF2B5EF4-FFF2-40B4-BE49-F238E27FC236}">
              <a16:creationId xmlns:a16="http://schemas.microsoft.com/office/drawing/2014/main" id="{AB2D4223-E2C3-42BD-99DF-9208C4571814}"/>
            </a:ext>
            <a:ext uri="{147F2762-F138-4A5C-976F-8EAC2B608ADB}">
              <a16:predDERef xmlns:a16="http://schemas.microsoft.com/office/drawing/2014/main" pred="{6A33D320-F27B-E0A8-4C99-8558FB7F64DB}"/>
            </a:ext>
          </a:extLst>
        </xdr:cNvPr>
        <xdr:cNvCxnSpPr>
          <a:cxnSpLocks/>
        </xdr:cNvCxnSpPr>
      </xdr:nvCxnSpPr>
      <xdr:spPr bwMode="auto">
        <a:xfrm>
          <a:off x="7357782" y="11104175"/>
          <a:ext cx="2256865" cy="0"/>
        </a:xfrm>
        <a:prstGeom prst="straightConnector1">
          <a:avLst/>
        </a:prstGeom>
        <a:noFill/>
        <a:ln w="25400" cap="flat" cmpd="sng" algn="ctr">
          <a:solidFill>
            <a:srgbClr val="2E75B6"/>
          </a:solidFill>
          <a:prstDash val="dash"/>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13447</xdr:colOff>
      <xdr:row>82</xdr:row>
      <xdr:rowOff>185163</xdr:rowOff>
    </xdr:from>
    <xdr:to>
      <xdr:col>36</xdr:col>
      <xdr:colOff>22412</xdr:colOff>
      <xdr:row>82</xdr:row>
      <xdr:rowOff>185163</xdr:rowOff>
    </xdr:to>
    <xdr:cxnSp macro="">
      <xdr:nvCxnSpPr>
        <xdr:cNvPr id="192" name="Straight Arrow Connector 191">
          <a:extLst>
            <a:ext uri="{FF2B5EF4-FFF2-40B4-BE49-F238E27FC236}">
              <a16:creationId xmlns:a16="http://schemas.microsoft.com/office/drawing/2014/main" id="{A712184C-15F2-4A33-A151-98B64F5156CE}"/>
            </a:ext>
            <a:ext uri="{147F2762-F138-4A5C-976F-8EAC2B608ADB}">
              <a16:predDERef xmlns:a16="http://schemas.microsoft.com/office/drawing/2014/main" pred="{6A33D320-F27B-E0A8-4C99-8558FB7F64DB}"/>
            </a:ext>
          </a:extLst>
        </xdr:cNvPr>
        <xdr:cNvCxnSpPr>
          <a:cxnSpLocks/>
        </xdr:cNvCxnSpPr>
      </xdr:nvCxnSpPr>
      <xdr:spPr bwMode="auto">
        <a:xfrm>
          <a:off x="9605682" y="11335016"/>
          <a:ext cx="1757083" cy="0"/>
        </a:xfrm>
        <a:prstGeom prst="straightConnector1">
          <a:avLst/>
        </a:prstGeom>
        <a:noFill/>
        <a:ln w="25400" cap="flat" cmpd="sng" algn="ctr">
          <a:solidFill>
            <a:srgbClr val="2E75B6"/>
          </a:solidFill>
          <a:prstDash val="dash"/>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36</xdr:col>
      <xdr:colOff>11206</xdr:colOff>
      <xdr:row>83</xdr:row>
      <xdr:rowOff>191887</xdr:rowOff>
    </xdr:from>
    <xdr:to>
      <xdr:col>39</xdr:col>
      <xdr:colOff>17930</xdr:colOff>
      <xdr:row>83</xdr:row>
      <xdr:rowOff>191887</xdr:rowOff>
    </xdr:to>
    <xdr:cxnSp macro="">
      <xdr:nvCxnSpPr>
        <xdr:cNvPr id="194" name="Straight Arrow Connector 193">
          <a:extLst>
            <a:ext uri="{FF2B5EF4-FFF2-40B4-BE49-F238E27FC236}">
              <a16:creationId xmlns:a16="http://schemas.microsoft.com/office/drawing/2014/main" id="{94CE5B6E-BE03-450E-9987-392D62DF03B4}"/>
            </a:ext>
            <a:ext uri="{147F2762-F138-4A5C-976F-8EAC2B608ADB}">
              <a16:predDERef xmlns:a16="http://schemas.microsoft.com/office/drawing/2014/main" pred="{6A33D320-F27B-E0A8-4C99-8558FB7F64DB}"/>
            </a:ext>
          </a:extLst>
        </xdr:cNvPr>
        <xdr:cNvCxnSpPr>
          <a:cxnSpLocks/>
        </xdr:cNvCxnSpPr>
      </xdr:nvCxnSpPr>
      <xdr:spPr bwMode="auto">
        <a:xfrm>
          <a:off x="11351559" y="11577063"/>
          <a:ext cx="1732430" cy="0"/>
        </a:xfrm>
        <a:prstGeom prst="straightConnector1">
          <a:avLst/>
        </a:prstGeom>
        <a:noFill/>
        <a:ln w="25400" cap="flat" cmpd="sng" algn="ctr">
          <a:solidFill>
            <a:srgbClr val="2E75B6"/>
          </a:solidFill>
          <a:prstDash val="dash"/>
          <a:headEnd type="none" w="med" len="med"/>
          <a:tailEnd type="arrow"/>
        </a:ln>
        <a:effectLst>
          <a:outerShdw blurRad="40000" dist="20000" dir="5400000" rotWithShape="0">
            <a:srgbClr val="000000">
              <a:alpha val="38000"/>
            </a:srgbClr>
          </a:outerShdw>
        </a:effectLst>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7284</xdr:colOff>
      <xdr:row>81</xdr:row>
      <xdr:rowOff>200852</xdr:rowOff>
    </xdr:from>
    <xdr:to>
      <xdr:col>33</xdr:col>
      <xdr:colOff>7284</xdr:colOff>
      <xdr:row>82</xdr:row>
      <xdr:rowOff>208428</xdr:rowOff>
    </xdr:to>
    <xdr:cxnSp macro="">
      <xdr:nvCxnSpPr>
        <xdr:cNvPr id="196" name="Straight Arrow Connector 1822">
          <a:extLst>
            <a:ext uri="{FF2B5EF4-FFF2-40B4-BE49-F238E27FC236}">
              <a16:creationId xmlns:a16="http://schemas.microsoft.com/office/drawing/2014/main" id="{1EAF435E-30D2-4975-9912-2D8EE546944B}"/>
            </a:ext>
          </a:extLst>
        </xdr:cNvPr>
        <xdr:cNvCxnSpPr/>
      </xdr:nvCxnSpPr>
      <xdr:spPr>
        <a:xfrm>
          <a:off x="9599519" y="11115381"/>
          <a:ext cx="0" cy="242900"/>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14008</xdr:colOff>
      <xdr:row>82</xdr:row>
      <xdr:rowOff>173957</xdr:rowOff>
    </xdr:from>
    <xdr:to>
      <xdr:col>36</xdr:col>
      <xdr:colOff>14008</xdr:colOff>
      <xdr:row>83</xdr:row>
      <xdr:rowOff>181534</xdr:rowOff>
    </xdr:to>
    <xdr:cxnSp macro="">
      <xdr:nvCxnSpPr>
        <xdr:cNvPr id="197" name="Straight Arrow Connector 1822">
          <a:extLst>
            <a:ext uri="{FF2B5EF4-FFF2-40B4-BE49-F238E27FC236}">
              <a16:creationId xmlns:a16="http://schemas.microsoft.com/office/drawing/2014/main" id="{D9E48531-94E7-4EEA-96BB-B9D3A69A3F09}"/>
            </a:ext>
          </a:extLst>
        </xdr:cNvPr>
        <xdr:cNvCxnSpPr/>
      </xdr:nvCxnSpPr>
      <xdr:spPr>
        <a:xfrm>
          <a:off x="11354361" y="11323810"/>
          <a:ext cx="0" cy="242900"/>
        </a:xfrm>
        <a:prstGeom prst="straightConnector1">
          <a:avLst/>
        </a:prstGeom>
        <a:noFill/>
        <a:ln w="9525" cap="flat" cmpd="sng" algn="ctr">
          <a:solidFill>
            <a:srgbClr val="2E75B6"/>
          </a:solidFill>
          <a:prstDash val="lgDash"/>
          <a:tailEnd type="triangle"/>
        </a:ln>
        <a:effectLst/>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550658</xdr:colOff>
      <xdr:row>2</xdr:row>
      <xdr:rowOff>195767</xdr:rowOff>
    </xdr:from>
    <xdr:to>
      <xdr:col>2</xdr:col>
      <xdr:colOff>546652</xdr:colOff>
      <xdr:row>2</xdr:row>
      <xdr:rowOff>195767</xdr:rowOff>
    </xdr:to>
    <xdr:cxnSp macro="">
      <xdr:nvCxnSpPr>
        <xdr:cNvPr id="9" name="Straight Connector 1">
          <a:extLst>
            <a:ext uri="{FF2B5EF4-FFF2-40B4-BE49-F238E27FC236}">
              <a16:creationId xmlns:a16="http://schemas.microsoft.com/office/drawing/2014/main" id="{4F2F22C1-720B-F322-C50E-16D128823490}"/>
            </a:ext>
          </a:extLst>
        </xdr:cNvPr>
        <xdr:cNvCxnSpPr/>
      </xdr:nvCxnSpPr>
      <xdr:spPr>
        <a:xfrm>
          <a:off x="857115" y="783832"/>
          <a:ext cx="1404037"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119963</xdr:colOff>
      <xdr:row>7</xdr:row>
      <xdr:rowOff>195767</xdr:rowOff>
    </xdr:from>
    <xdr:to>
      <xdr:col>4</xdr:col>
      <xdr:colOff>836543</xdr:colOff>
      <xdr:row>7</xdr:row>
      <xdr:rowOff>195767</xdr:rowOff>
    </xdr:to>
    <xdr:cxnSp macro="">
      <xdr:nvCxnSpPr>
        <xdr:cNvPr id="11" name="Straight Connector 1">
          <a:extLst>
            <a:ext uri="{FF2B5EF4-FFF2-40B4-BE49-F238E27FC236}">
              <a16:creationId xmlns:a16="http://schemas.microsoft.com/office/drawing/2014/main" id="{4D7E21DE-8BBF-46C3-5119-27344DE842E0}"/>
            </a:ext>
          </a:extLst>
        </xdr:cNvPr>
        <xdr:cNvCxnSpPr/>
      </xdr:nvCxnSpPr>
      <xdr:spPr>
        <a:xfrm>
          <a:off x="2397680" y="1645224"/>
          <a:ext cx="1404037"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550658</xdr:colOff>
      <xdr:row>2</xdr:row>
      <xdr:rowOff>195767</xdr:rowOff>
    </xdr:from>
    <xdr:to>
      <xdr:col>2</xdr:col>
      <xdr:colOff>546652</xdr:colOff>
      <xdr:row>2</xdr:row>
      <xdr:rowOff>195767</xdr:rowOff>
    </xdr:to>
    <xdr:cxnSp macro="">
      <xdr:nvCxnSpPr>
        <xdr:cNvPr id="2" name="Straight Connector 1">
          <a:extLst>
            <a:ext uri="{FF2B5EF4-FFF2-40B4-BE49-F238E27FC236}">
              <a16:creationId xmlns:a16="http://schemas.microsoft.com/office/drawing/2014/main" id="{FAA0EA33-51D3-5748-48D4-57B8EC9ACBDB}"/>
            </a:ext>
          </a:extLst>
        </xdr:cNvPr>
        <xdr:cNvCxnSpPr/>
      </xdr:nvCxnSpPr>
      <xdr:spPr>
        <a:xfrm>
          <a:off x="855458" y="586292"/>
          <a:ext cx="140569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119963</xdr:colOff>
      <xdr:row>7</xdr:row>
      <xdr:rowOff>195767</xdr:rowOff>
    </xdr:from>
    <xdr:to>
      <xdr:col>4</xdr:col>
      <xdr:colOff>836543</xdr:colOff>
      <xdr:row>7</xdr:row>
      <xdr:rowOff>195767</xdr:rowOff>
    </xdr:to>
    <xdr:cxnSp macro="">
      <xdr:nvCxnSpPr>
        <xdr:cNvPr id="3" name="Straight Connector 1">
          <a:extLst>
            <a:ext uri="{FF2B5EF4-FFF2-40B4-BE49-F238E27FC236}">
              <a16:creationId xmlns:a16="http://schemas.microsoft.com/office/drawing/2014/main" id="{DC7CBF2D-615A-DE05-AD06-9375B2F134FF}"/>
            </a:ext>
          </a:extLst>
        </xdr:cNvPr>
        <xdr:cNvCxnSpPr/>
      </xdr:nvCxnSpPr>
      <xdr:spPr>
        <a:xfrm>
          <a:off x="2396438" y="1453067"/>
          <a:ext cx="1402380"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5A2E35-4A76-47E1-B677-533CD730DC9E}" name="Table1" displayName="Table1" ref="A6:AD28" totalsRowShown="0" headerRowDxfId="106" dataDxfId="105" tableBorderDxfId="104">
  <autoFilter ref="A6:AD28" xr:uid="{AC5A2E35-4A76-47E1-B677-533CD730DC9E}"/>
  <tableColumns count="30">
    <tableColumn id="1" xr3:uid="{C258111E-C3D9-41FC-9402-FF997D0E2283}" name="Column1" dataDxfId="103"/>
    <tableColumn id="2" xr3:uid="{DE7735CD-F9D6-4E6D-826E-1DD6A8B1E38B}" name="Column2" dataDxfId="102"/>
    <tableColumn id="3" xr3:uid="{72013653-1DD2-47E1-932C-960737BB4579}" name="DL" dataDxfId="101"/>
    <tableColumn id="4" xr3:uid="{53CB943F-AB14-41AA-8EE8-D129013EBDF8}" name="XL" dataDxfId="100"/>
    <tableColumn id="5" xr3:uid="{9EFF355E-CC33-4DD8-9F72-7381379BCB14}" name="SL" dataDxfId="99"/>
    <tableColumn id="6" xr3:uid="{8F6A4453-40C4-4F16-90FD-E1817366251E}" name="DL3" dataDxfId="98"/>
    <tableColumn id="7" xr3:uid="{2FFB2F2F-87FB-4BD2-BE6B-A0F900DF35B1}" name="XL4" dataDxfId="97"/>
    <tableColumn id="8" xr3:uid="{FB120AB6-BF7F-464C-B67B-5B6D7BAB1EC9}" name="SL5" dataDxfId="96"/>
    <tableColumn id="9" xr3:uid="{7AD5FA33-F821-4CBF-A25C-479D51251BA8}" name="DL6" dataDxfId="95"/>
    <tableColumn id="10" xr3:uid="{B5056F57-7C46-4A82-8845-1758AE51E738}" name="XL7" dataDxfId="94"/>
    <tableColumn id="11" xr3:uid="{455C3CCD-CDB7-404D-B14F-FF34836AE4A5}" name="SL8" dataDxfId="93"/>
    <tableColumn id="12" xr3:uid="{C76AFB25-A410-497F-A4ED-DB9F2FE079A6}" name="DL9" dataDxfId="92"/>
    <tableColumn id="13" xr3:uid="{9904922B-04DA-447F-AE15-96C2759CEA3F}" name="XL10" dataDxfId="91"/>
    <tableColumn id="14" xr3:uid="{6D2893CB-8A61-4B30-B507-4C0536922E07}" name="SL11" dataDxfId="90"/>
    <tableColumn id="15" xr3:uid="{F6C64384-EFBB-4966-9B05-1FDF2F2E4C94}" name="DL12" dataDxfId="89"/>
    <tableColumn id="16" xr3:uid="{8AC045CE-6995-47A6-B31B-4A69C5AC9CA7}" name="XL13" dataDxfId="88"/>
    <tableColumn id="17" xr3:uid="{85412C63-2D36-4568-8CE1-5D9D54F22311}" name="SL14" dataDxfId="87"/>
    <tableColumn id="18" xr3:uid="{DA6A2F2F-2475-4EF9-BBCF-A5DF8BEBF121}" name="DL15" dataDxfId="86"/>
    <tableColumn id="19" xr3:uid="{C88030F8-BB2C-497D-863D-4453595BE785}" name="XL16" dataDxfId="85"/>
    <tableColumn id="20" xr3:uid="{542D6465-3199-4C94-A2F5-4CFAD5EF15B2}" name="SL17" dataDxfId="84"/>
    <tableColumn id="30" xr3:uid="{30DCDC6D-409C-4809-8B40-C4D1F95016B1}" name="SL173" dataDxfId="83"/>
    <tableColumn id="29" xr3:uid="{C0BE4F3E-88E7-4913-98B6-B8BEE39DD8B1}" name="SL172" dataDxfId="82"/>
    <tableColumn id="28" xr3:uid="{EA72DB2D-4293-4252-8DC6-4F79047AF040}" name="SL18" dataDxfId="81"/>
    <tableColumn id="21" xr3:uid="{7C5531B5-97A9-4EA9-A8CC-662AB49C90EA}" name="DL18" dataDxfId="80"/>
    <tableColumn id="22" xr3:uid="{D1D769D1-4FF0-4C51-A7FC-520E0F67D291}" name="XL19" dataDxfId="79"/>
    <tableColumn id="23" xr3:uid="{1EFFCC28-29D8-46AD-8658-2FE01F7E4133}" name="SL20" dataDxfId="78"/>
    <tableColumn id="24" xr3:uid="{74500191-E8B8-4EBB-AAFB-938274250631}" name="DL21" dataDxfId="77">
      <calculatedColumnFormula>C7+O7+R7+X7</calculatedColumnFormula>
    </tableColumn>
    <tableColumn id="25" xr3:uid="{514C18E8-5F66-4F6C-8EA2-AC335B3ADC3A}" name="XL22" dataDxfId="76">
      <calculatedColumnFormula>D7+P7+S7+Y7</calculatedColumnFormula>
    </tableColumn>
    <tableColumn id="26" xr3:uid="{4D8DA0F8-2D7E-432A-B8F7-FF3A6EB194D7}" name="SL23" dataDxfId="75">
      <calculatedColumnFormula>E7+Q7+T7+Z7</calculatedColumnFormula>
    </tableColumn>
    <tableColumn id="27" xr3:uid="{44F5C8E1-9E5A-4866-83EC-9D62ED71C03F}" name="Column24" dataDxfId="7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X17" dT="2026-10-12T01:45:20.40" personId="{00000000-0000-0000-0000-000000000000}" id="{267E9C2B-B92D-4E6B-B19E-79A38DE25B81}">
    <text>Tết DL nghỉ ngày 1/1</text>
  </threadedComment>
  <threadedComment ref="Y17" dT="2026-10-12T01:54:11.41" personId="{00000000-0000-0000-0000-000000000000}" id="{D42F1CA8-3DE8-43D3-97E7-1E2B14AD6F21}">
    <text>Làm hết 25 âm và đi làm ngày 06 âm</text>
  </threadedComment>
  <threadedComment ref="AB17" dT="2026-10-12T01:54:37.29" personId="{00000000-0000-0000-0000-000000000000}" id="{57D208FC-AEB5-4BEC-B20D-B9424D856606}">
    <text>Nghỉ 30/40 và 10/3</text>
  </threadedComment>
  <threadedComment ref="AC17" dT="2026-10-12T01:54:47.00" personId="{00000000-0000-0000-0000-000000000000}" id="{FE880757-A4B2-4A17-9AAF-A4C6D7008A09}">
    <text>Nghỉ 1/5</text>
  </threadedComment>
  <threadedComment ref="AH17" dT="2026-10-12T01:54:58.57" personId="{00000000-0000-0000-0000-000000000000}" id="{57B7C20E-3C64-4867-8A6E-AA74FDB8F9BA}">
    <text>Nghỉ 2/9</text>
  </threadedComment>
  <threadedComment ref="AK17" dT="2026-10-12T01:53:07.36" personId="{00000000-0000-0000-0000-000000000000}" id="{29AA5CD8-0F51-4749-B452-ECF98AA5EFF9}">
    <text>Ngày 24 được nghỉ theo nghi quyết 28</text>
  </threadedComment>
  <threadedComment ref="C78" dT="2026-09-28T06:56:23.05" personId="{00000000-0000-0000-0000-000000000000}" id="{069E0336-7DD2-46A2-91C1-72F3B0846C82}">
    <text>Dự kiến sang 14-4 hoặc 10-4</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89C2BFE-88B5-45AE-8BEA-0C7002029666}">
  <we:reference id="wa200005502" version="1.0.0.12" store="en-US" storeType="OMEX"/>
  <we:alternateReferences>
    <we:reference id="WA200005502" version="1.0.0.12" store="" storeType="OMEX"/>
  </we:alternateReferences>
  <we:properties>
    <we:property name="docId" value="&quot;dcabrK9tflSEZ4ixK1oU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ABBB0E76-F0BC-470A-B8FE-8C9B0D957041}">
  <we:reference id="wa200010725" version="1.0.0.1" store="en-US" storeType="OMEX"/>
  <we:alternateReferences>
    <we:reference id="WA200010725" version="1.0.0.1" store="" storeType="OMEX"/>
  </we:alternateReferences>
  <we:properties>
    <we:property name="claude.fileId" value="&quot;99cd8232-86ca-45a0-b02c-606e44b653a3&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CABFE-9870-4D63-81D7-46BC0A6CCA4B}">
  <sheetPr codeName="Sheet10">
    <tabColor theme="9" tint="-0.249977111117893"/>
  </sheetPr>
  <dimension ref="B1:Q31"/>
  <sheetViews>
    <sheetView view="pageBreakPreview" topLeftCell="A7" zoomScale="85" zoomScaleNormal="100" zoomScaleSheetLayoutView="85" workbookViewId="0">
      <selection activeCell="L10" sqref="L10"/>
    </sheetView>
  </sheetViews>
  <sheetFormatPr defaultRowHeight="15" x14ac:dyDescent="0.25"/>
  <cols>
    <col min="1" max="1" width="3" customWidth="1"/>
    <col min="5" max="5" width="15.42578125" customWidth="1"/>
    <col min="6" max="6" width="12" customWidth="1"/>
    <col min="9" max="9" width="10.85546875" customWidth="1"/>
    <col min="12" max="12" width="8.42578125" customWidth="1"/>
    <col min="14" max="14" width="24.5703125" customWidth="1"/>
  </cols>
  <sheetData>
    <row r="1" spans="2:17" ht="15.75" thickBot="1" x14ac:dyDescent="0.3"/>
    <row r="2" spans="2:17" ht="15.75" thickTop="1" x14ac:dyDescent="0.25">
      <c r="B2" s="11"/>
      <c r="C2" s="12"/>
      <c r="D2" s="12"/>
      <c r="E2" s="12"/>
      <c r="F2" s="12"/>
      <c r="G2" s="12"/>
      <c r="H2" s="12"/>
      <c r="I2" s="12"/>
      <c r="J2" s="12"/>
      <c r="K2" s="12"/>
      <c r="L2" s="12"/>
      <c r="M2" s="12"/>
      <c r="N2" s="13"/>
    </row>
    <row r="3" spans="2:17" ht="16.5" x14ac:dyDescent="0.25">
      <c r="B3" s="845" t="s">
        <v>86</v>
      </c>
      <c r="C3" s="846"/>
      <c r="D3" s="846"/>
      <c r="E3" s="846"/>
      <c r="F3" s="846"/>
      <c r="G3" s="14"/>
      <c r="H3" s="847" t="s">
        <v>87</v>
      </c>
      <c r="I3" s="847"/>
      <c r="J3" s="847"/>
      <c r="K3" s="847"/>
      <c r="L3" s="847"/>
      <c r="M3" s="847"/>
      <c r="N3" s="848"/>
    </row>
    <row r="4" spans="2:17" ht="18.75" x14ac:dyDescent="0.25">
      <c r="B4" s="849" t="s">
        <v>88</v>
      </c>
      <c r="C4" s="847"/>
      <c r="D4" s="847"/>
      <c r="E4" s="847"/>
      <c r="F4" s="847"/>
      <c r="G4" s="16"/>
      <c r="H4" s="850" t="s">
        <v>89</v>
      </c>
      <c r="I4" s="847"/>
      <c r="J4" s="847"/>
      <c r="K4" s="847"/>
      <c r="L4" s="847"/>
      <c r="M4" s="847"/>
      <c r="N4" s="848"/>
    </row>
    <row r="5" spans="2:17" ht="15.75" x14ac:dyDescent="0.25">
      <c r="B5" s="17"/>
      <c r="N5" s="18"/>
    </row>
    <row r="6" spans="2:17" ht="18.75" x14ac:dyDescent="0.25">
      <c r="B6" s="19"/>
      <c r="C6" s="851"/>
      <c r="D6" s="851"/>
      <c r="E6" s="851"/>
      <c r="J6" s="20" t="s">
        <v>815</v>
      </c>
      <c r="N6" s="18"/>
    </row>
    <row r="7" spans="2:17" ht="15.75" x14ac:dyDescent="0.25">
      <c r="B7" s="17"/>
      <c r="N7" s="18"/>
    </row>
    <row r="8" spans="2:17" ht="27" x14ac:dyDescent="0.25">
      <c r="B8" s="21"/>
      <c r="N8" s="18"/>
    </row>
    <row r="9" spans="2:17" ht="27" x14ac:dyDescent="0.25">
      <c r="B9" s="21"/>
      <c r="N9" s="18"/>
    </row>
    <row r="10" spans="2:17" ht="27" x14ac:dyDescent="0.25">
      <c r="B10" s="21"/>
      <c r="N10" s="18"/>
    </row>
    <row r="11" spans="2:17" ht="27" x14ac:dyDescent="0.25">
      <c r="B11" s="22"/>
      <c r="N11" s="18"/>
      <c r="Q11" s="2"/>
    </row>
    <row r="12" spans="2:17" ht="27" x14ac:dyDescent="0.25">
      <c r="B12" s="852" t="s">
        <v>1031</v>
      </c>
      <c r="C12" s="853"/>
      <c r="D12" s="853"/>
      <c r="E12" s="853"/>
      <c r="F12" s="853"/>
      <c r="G12" s="853"/>
      <c r="H12" s="853"/>
      <c r="I12" s="853"/>
      <c r="J12" s="853"/>
      <c r="K12" s="853"/>
      <c r="L12" s="853"/>
      <c r="M12" s="853"/>
      <c r="N12" s="854"/>
      <c r="Q12" s="2"/>
    </row>
    <row r="13" spans="2:17" ht="20.25" x14ac:dyDescent="0.25">
      <c r="B13" s="855"/>
      <c r="C13" s="856"/>
      <c r="D13" s="856"/>
      <c r="E13" s="856"/>
      <c r="F13" s="856"/>
      <c r="G13" s="856"/>
      <c r="H13" s="856"/>
      <c r="I13" s="856"/>
      <c r="J13" s="856"/>
      <c r="K13" s="856"/>
      <c r="L13" s="856"/>
      <c r="M13" s="856"/>
      <c r="N13" s="857"/>
    </row>
    <row r="14" spans="2:17" ht="20.25" x14ac:dyDescent="0.25">
      <c r="B14" s="858" t="s">
        <v>1032</v>
      </c>
      <c r="C14" s="856"/>
      <c r="D14" s="856"/>
      <c r="E14" s="856"/>
      <c r="F14" s="856"/>
      <c r="G14" s="856"/>
      <c r="H14" s="856"/>
      <c r="I14" s="856"/>
      <c r="J14" s="856"/>
      <c r="K14" s="856"/>
      <c r="L14" s="856"/>
      <c r="M14" s="856"/>
      <c r="N14" s="857"/>
    </row>
    <row r="15" spans="2:17" ht="20.25" x14ac:dyDescent="0.25">
      <c r="B15" s="23"/>
      <c r="C15" s="24"/>
      <c r="D15" s="24"/>
      <c r="E15" s="24"/>
      <c r="F15" s="24"/>
      <c r="G15" s="24"/>
      <c r="H15" s="24"/>
      <c r="I15" s="24"/>
      <c r="J15" s="24"/>
      <c r="K15" s="24"/>
      <c r="L15" s="24"/>
      <c r="M15" s="24"/>
      <c r="N15" s="25"/>
    </row>
    <row r="16" spans="2:17" ht="20.25" x14ac:dyDescent="0.25">
      <c r="B16" s="23"/>
      <c r="C16" s="24"/>
      <c r="D16" s="24"/>
      <c r="E16" s="24"/>
      <c r="F16" s="24"/>
      <c r="G16" s="24"/>
      <c r="H16" s="24"/>
      <c r="I16" s="24"/>
      <c r="J16" s="24"/>
      <c r="K16" s="24"/>
      <c r="L16" s="24"/>
      <c r="M16" s="24"/>
      <c r="N16" s="25"/>
    </row>
    <row r="17" spans="2:14" ht="15.75" x14ac:dyDescent="0.25">
      <c r="B17" s="15"/>
      <c r="N17" s="18"/>
    </row>
    <row r="18" spans="2:14" ht="15.75" x14ac:dyDescent="0.25">
      <c r="B18" s="284" t="s">
        <v>598</v>
      </c>
      <c r="F18" s="1"/>
      <c r="H18" s="5"/>
      <c r="K18" s="1"/>
      <c r="L18" s="1"/>
      <c r="M18" s="1"/>
      <c r="N18" s="234"/>
    </row>
    <row r="19" spans="2:14" ht="16.5" x14ac:dyDescent="0.25">
      <c r="B19" s="285"/>
      <c r="D19" s="8"/>
      <c r="F19" s="1"/>
      <c r="G19" s="1"/>
      <c r="H19" s="1"/>
      <c r="I19" s="1"/>
      <c r="J19" s="1"/>
      <c r="K19" s="1"/>
      <c r="L19" s="1"/>
      <c r="M19" s="1"/>
      <c r="N19" s="234"/>
    </row>
    <row r="20" spans="2:14" ht="16.5" x14ac:dyDescent="0.25">
      <c r="B20" s="286"/>
      <c r="D20" s="8"/>
      <c r="F20" s="1"/>
      <c r="G20" s="1"/>
      <c r="H20" s="1"/>
      <c r="I20" s="1"/>
      <c r="J20" s="26"/>
      <c r="K20" s="1"/>
      <c r="L20" s="1"/>
      <c r="M20" s="1"/>
      <c r="N20" s="234"/>
    </row>
    <row r="21" spans="2:14" ht="16.5" x14ac:dyDescent="0.25">
      <c r="B21" s="286"/>
      <c r="D21" s="27"/>
      <c r="F21" s="1"/>
      <c r="G21" s="1"/>
      <c r="H21" s="1"/>
      <c r="I21" s="1"/>
      <c r="J21" s="26"/>
      <c r="K21" s="1"/>
      <c r="L21" s="1"/>
      <c r="M21" s="1"/>
      <c r="N21" s="234"/>
    </row>
    <row r="22" spans="2:14" ht="16.5" x14ac:dyDescent="0.25">
      <c r="B22" s="296" t="s">
        <v>814</v>
      </c>
      <c r="D22" s="233"/>
      <c r="F22" s="1"/>
      <c r="G22" s="1"/>
      <c r="H22" s="1"/>
      <c r="I22" s="1"/>
      <c r="J22" s="26"/>
      <c r="K22" s="1"/>
      <c r="L22" s="1"/>
      <c r="M22" s="1"/>
      <c r="N22" s="234"/>
    </row>
    <row r="23" spans="2:14" ht="18.75" x14ac:dyDescent="0.25">
      <c r="B23" s="841"/>
      <c r="C23" s="840"/>
      <c r="D23" s="840"/>
      <c r="E23" s="859"/>
      <c r="F23" s="859"/>
      <c r="G23" s="859"/>
      <c r="H23" s="1"/>
      <c r="I23" s="1"/>
      <c r="J23" s="859"/>
      <c r="K23" s="859"/>
      <c r="L23" s="859"/>
      <c r="M23" s="1"/>
      <c r="N23" s="234"/>
    </row>
    <row r="24" spans="2:14" ht="18.75" x14ac:dyDescent="0.25">
      <c r="B24" s="843" t="s">
        <v>90</v>
      </c>
      <c r="C24" s="844"/>
      <c r="D24" s="27"/>
      <c r="E24" s="28"/>
      <c r="F24" s="28"/>
      <c r="G24" s="28"/>
      <c r="H24" s="1"/>
      <c r="I24" s="1"/>
      <c r="J24" s="28"/>
      <c r="K24" s="28"/>
      <c r="L24" s="28"/>
      <c r="M24" s="1"/>
      <c r="N24" s="234"/>
    </row>
    <row r="25" spans="2:14" ht="16.5" x14ac:dyDescent="0.25">
      <c r="B25" s="839" t="s">
        <v>91</v>
      </c>
      <c r="C25" s="840"/>
      <c r="D25" s="840"/>
      <c r="E25" s="26"/>
      <c r="F25" s="1"/>
      <c r="G25" s="1"/>
      <c r="H25" s="1"/>
      <c r="I25" s="1"/>
      <c r="J25" s="1"/>
      <c r="K25" s="1"/>
      <c r="L25" s="1"/>
      <c r="M25" s="1"/>
      <c r="N25" s="234"/>
    </row>
    <row r="26" spans="2:14" ht="16.5" x14ac:dyDescent="0.25">
      <c r="B26" s="841" t="s">
        <v>92</v>
      </c>
      <c r="C26" s="840"/>
      <c r="D26" s="840"/>
      <c r="E26" s="26"/>
      <c r="F26" s="1"/>
      <c r="G26" s="1"/>
      <c r="H26" s="1"/>
      <c r="I26" s="1"/>
      <c r="J26" s="1"/>
      <c r="K26" s="1"/>
      <c r="L26" s="1"/>
      <c r="M26" s="1"/>
      <c r="N26" s="234"/>
    </row>
    <row r="27" spans="2:14" ht="16.5" x14ac:dyDescent="0.25">
      <c r="B27" s="841" t="s">
        <v>93</v>
      </c>
      <c r="C27" s="842"/>
      <c r="D27" s="842"/>
      <c r="E27" s="26"/>
      <c r="F27" s="1"/>
      <c r="G27" s="1"/>
      <c r="H27" s="1"/>
      <c r="I27" s="1"/>
      <c r="J27" s="1"/>
      <c r="K27" s="1"/>
      <c r="L27" s="1"/>
      <c r="M27" s="1"/>
      <c r="N27" s="234"/>
    </row>
    <row r="28" spans="2:14" x14ac:dyDescent="0.25">
      <c r="B28" s="839" t="s">
        <v>94</v>
      </c>
      <c r="C28" s="840"/>
      <c r="D28" s="840"/>
      <c r="N28" s="18"/>
    </row>
    <row r="29" spans="2:14" x14ac:dyDescent="0.25">
      <c r="B29" s="839" t="s">
        <v>95</v>
      </c>
      <c r="C29" s="840"/>
      <c r="D29" s="840"/>
      <c r="N29" s="18"/>
    </row>
    <row r="30" spans="2:14" ht="15.75" thickBot="1" x14ac:dyDescent="0.3">
      <c r="B30" s="29"/>
      <c r="C30" s="30"/>
      <c r="D30" s="30"/>
      <c r="E30" s="30"/>
      <c r="F30" s="30"/>
      <c r="G30" s="30"/>
      <c r="H30" s="30"/>
      <c r="I30" s="30"/>
      <c r="J30" s="30"/>
      <c r="K30" s="30"/>
      <c r="L30" s="30"/>
      <c r="M30" s="30"/>
      <c r="N30" s="31"/>
    </row>
    <row r="31" spans="2:14" ht="15.75" thickTop="1" x14ac:dyDescent="0.25"/>
  </sheetData>
  <mergeCells count="17">
    <mergeCell ref="B24:C24"/>
    <mergeCell ref="B3:F3"/>
    <mergeCell ref="H3:N3"/>
    <mergeCell ref="B4:F4"/>
    <mergeCell ref="H4:N4"/>
    <mergeCell ref="C6:E6"/>
    <mergeCell ref="B12:N12"/>
    <mergeCell ref="B13:N13"/>
    <mergeCell ref="B14:N14"/>
    <mergeCell ref="B23:D23"/>
    <mergeCell ref="E23:G23"/>
    <mergeCell ref="J23:L23"/>
    <mergeCell ref="B25:D25"/>
    <mergeCell ref="B26:D26"/>
    <mergeCell ref="B27:D27"/>
    <mergeCell ref="B28:D28"/>
    <mergeCell ref="B29:D29"/>
  </mergeCells>
  <pageMargins left="0.70866141732283472" right="0.46" top="0.49" bottom="0.54" header="0.42" footer="0.31496062992125984"/>
  <pageSetup paperSize="9" scale="9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2A16-BF76-46E5-9780-433FD5DB3CE3}">
  <sheetPr>
    <tabColor rgb="FF7030A0"/>
  </sheetPr>
  <dimension ref="A1:F110"/>
  <sheetViews>
    <sheetView zoomScale="130" zoomScaleNormal="130" workbookViewId="0">
      <pane ySplit="3" topLeftCell="A94" activePane="bottomLeft" state="frozen"/>
      <selection pane="bottomLeft" activeCell="J13" sqref="J13"/>
    </sheetView>
  </sheetViews>
  <sheetFormatPr defaultRowHeight="15" x14ac:dyDescent="0.25"/>
  <cols>
    <col min="1" max="1" width="5" customWidth="1"/>
    <col min="2" max="2" width="42" customWidth="1"/>
    <col min="3" max="3" width="7.28515625" customWidth="1"/>
    <col min="4" max="4" width="13.5703125" customWidth="1"/>
  </cols>
  <sheetData>
    <row r="1" spans="1:6" ht="15.75" x14ac:dyDescent="0.25">
      <c r="A1" s="837" t="s">
        <v>911</v>
      </c>
      <c r="B1" s="837"/>
      <c r="C1" s="837"/>
      <c r="D1" s="837"/>
      <c r="E1" s="837"/>
      <c r="F1" s="575"/>
    </row>
    <row r="2" spans="1:6" ht="10.5" customHeight="1" x14ac:dyDescent="0.25">
      <c r="A2" s="838"/>
      <c r="B2" s="838"/>
      <c r="C2" s="838"/>
      <c r="D2" s="838"/>
      <c r="E2" s="838"/>
      <c r="F2" s="575"/>
    </row>
    <row r="3" spans="1:6" ht="42.75" x14ac:dyDescent="0.25">
      <c r="A3" s="576" t="s">
        <v>109</v>
      </c>
      <c r="B3" s="576" t="s">
        <v>912</v>
      </c>
      <c r="C3" s="581" t="s">
        <v>915</v>
      </c>
      <c r="D3" s="583" t="s">
        <v>916</v>
      </c>
      <c r="E3" s="581" t="s">
        <v>186</v>
      </c>
      <c r="F3" s="588"/>
    </row>
    <row r="4" spans="1:6" ht="15.75" x14ac:dyDescent="0.25">
      <c r="A4" s="577" t="s">
        <v>6</v>
      </c>
      <c r="B4" s="578" t="s">
        <v>913</v>
      </c>
      <c r="C4" s="582"/>
      <c r="D4" s="584"/>
      <c r="E4" s="585">
        <v>4.9999899696558714E-2</v>
      </c>
      <c r="F4" s="589" t="s">
        <v>917</v>
      </c>
    </row>
    <row r="5" spans="1:6" ht="15.75" x14ac:dyDescent="0.25">
      <c r="A5" s="579" t="s">
        <v>893</v>
      </c>
      <c r="B5" s="580" t="s">
        <v>914</v>
      </c>
      <c r="C5" s="579" t="s">
        <v>305</v>
      </c>
      <c r="D5" s="684">
        <f>D6</f>
        <v>2500000</v>
      </c>
      <c r="E5" s="587"/>
      <c r="F5" s="589" t="s">
        <v>917</v>
      </c>
    </row>
    <row r="6" spans="1:6" ht="15.75" x14ac:dyDescent="0.25">
      <c r="A6" s="579">
        <v>2</v>
      </c>
      <c r="B6" s="590" t="s">
        <v>918</v>
      </c>
      <c r="C6" s="592" t="s">
        <v>305</v>
      </c>
      <c r="D6" s="682">
        <f>D7+D12</f>
        <v>2500000</v>
      </c>
      <c r="E6" s="593"/>
      <c r="F6" s="589" t="s">
        <v>917</v>
      </c>
    </row>
    <row r="7" spans="1:6" ht="15.75" x14ac:dyDescent="0.25">
      <c r="A7" s="582" t="s">
        <v>919</v>
      </c>
      <c r="B7" s="591" t="s">
        <v>920</v>
      </c>
      <c r="C7" s="592" t="s">
        <v>305</v>
      </c>
      <c r="D7" s="683">
        <f>SUM(D8:D11)</f>
        <v>2216300</v>
      </c>
      <c r="E7" s="587"/>
      <c r="F7" s="589" t="s">
        <v>917</v>
      </c>
    </row>
    <row r="8" spans="1:6" ht="15.75" x14ac:dyDescent="0.25">
      <c r="A8" s="582"/>
      <c r="B8" s="590" t="s">
        <v>921</v>
      </c>
      <c r="C8" s="592" t="s">
        <v>305</v>
      </c>
      <c r="D8" s="682">
        <f>SUMIFS(KH_LC!$V$22:$V$186,KH_LC!$K$22:$K$186,"CGH")+SUMIFS(KH_LC!$V$22:$V$186,KH_LC!$K$22:$K$186,"CGHD")</f>
        <v>780000</v>
      </c>
      <c r="E8" s="594"/>
      <c r="F8" s="589" t="s">
        <v>917</v>
      </c>
    </row>
    <row r="9" spans="1:6" ht="15.75" x14ac:dyDescent="0.25">
      <c r="A9" s="582"/>
      <c r="B9" s="590" t="s">
        <v>922</v>
      </c>
      <c r="C9" s="592" t="s">
        <v>305</v>
      </c>
      <c r="D9" s="682">
        <f>SUMIFS(KH_LC!$V$22:$V$186,KH_LC!$K$22:$K$186,"GK")+SUMIFS(KH_LC!$V$22:$V$186,KH_LC!$K$22:$K$186,"GX")</f>
        <v>1281200</v>
      </c>
      <c r="E9" s="587"/>
      <c r="F9" s="589" t="s">
        <v>917</v>
      </c>
    </row>
    <row r="10" spans="1:6" ht="15.75" x14ac:dyDescent="0.25">
      <c r="A10" s="582"/>
      <c r="B10" s="590" t="s">
        <v>923</v>
      </c>
      <c r="C10" s="592" t="s">
        <v>305</v>
      </c>
      <c r="D10" s="682">
        <f>SUMIFS(KH_LC!$V$22:$V$186,KH_LC!$K$22:$K$186,"ZRY")</f>
        <v>155100</v>
      </c>
      <c r="E10" s="595"/>
      <c r="F10" s="589" t="s">
        <v>917</v>
      </c>
    </row>
    <row r="11" spans="1:6" ht="15.75" x14ac:dyDescent="0.25">
      <c r="A11" s="582"/>
      <c r="B11" s="590" t="s">
        <v>924</v>
      </c>
      <c r="C11" s="592" t="s">
        <v>305</v>
      </c>
      <c r="D11" s="586"/>
      <c r="E11" s="587"/>
      <c r="F11" s="589" t="s">
        <v>917</v>
      </c>
    </row>
    <row r="12" spans="1:6" ht="15.75" x14ac:dyDescent="0.25">
      <c r="A12" s="582" t="s">
        <v>925</v>
      </c>
      <c r="B12" s="591" t="s">
        <v>926</v>
      </c>
      <c r="C12" s="592" t="s">
        <v>305</v>
      </c>
      <c r="D12" s="682">
        <f>D13+D14</f>
        <v>283700</v>
      </c>
      <c r="E12" s="587"/>
      <c r="F12" s="589" t="s">
        <v>917</v>
      </c>
    </row>
    <row r="13" spans="1:6" ht="15.75" x14ac:dyDescent="0.25">
      <c r="A13" s="582"/>
      <c r="B13" s="590" t="s">
        <v>927</v>
      </c>
      <c r="C13" s="592" t="s">
        <v>305</v>
      </c>
      <c r="D13" s="682">
        <f>TH_PX2027!F8</f>
        <v>273000</v>
      </c>
      <c r="E13" s="596"/>
      <c r="F13" s="589" t="s">
        <v>917</v>
      </c>
    </row>
    <row r="14" spans="1:6" ht="15.75" x14ac:dyDescent="0.25">
      <c r="A14" s="582"/>
      <c r="B14" s="590" t="s">
        <v>928</v>
      </c>
      <c r="C14" s="592" t="s">
        <v>305</v>
      </c>
      <c r="D14" s="682">
        <f>TH_PX2027!G8</f>
        <v>10700</v>
      </c>
      <c r="E14" s="593"/>
      <c r="F14" s="589" t="s">
        <v>917</v>
      </c>
    </row>
    <row r="15" spans="1:6" ht="15.75" x14ac:dyDescent="0.25">
      <c r="A15" s="579">
        <v>3</v>
      </c>
      <c r="B15" s="580" t="s">
        <v>929</v>
      </c>
      <c r="C15" s="579" t="s">
        <v>322</v>
      </c>
      <c r="D15" s="597"/>
      <c r="E15" s="597"/>
      <c r="F15" s="598" t="s">
        <v>917</v>
      </c>
    </row>
    <row r="16" spans="1:6" ht="15.75" x14ac:dyDescent="0.25">
      <c r="A16" s="579" t="s">
        <v>930</v>
      </c>
      <c r="B16" s="590" t="s">
        <v>931</v>
      </c>
      <c r="C16" s="592" t="s">
        <v>322</v>
      </c>
      <c r="D16" s="597"/>
      <c r="E16" s="599"/>
      <c r="F16" s="598" t="s">
        <v>917</v>
      </c>
    </row>
    <row r="17" spans="1:6" ht="15.75" x14ac:dyDescent="0.25">
      <c r="A17" s="579">
        <v>2</v>
      </c>
      <c r="B17" s="580" t="s">
        <v>932</v>
      </c>
      <c r="C17" s="579" t="s">
        <v>323</v>
      </c>
      <c r="D17" s="684">
        <f>KH_ĐL!I14</f>
        <v>25400</v>
      </c>
      <c r="E17" s="600"/>
      <c r="F17" s="598" t="s">
        <v>917</v>
      </c>
    </row>
    <row r="18" spans="1:6" ht="15.75" x14ac:dyDescent="0.25">
      <c r="A18" s="601" t="s">
        <v>919</v>
      </c>
      <c r="B18" s="602" t="s">
        <v>933</v>
      </c>
      <c r="C18" s="579"/>
      <c r="D18" s="604"/>
      <c r="E18" s="600"/>
      <c r="F18" s="598" t="s">
        <v>917</v>
      </c>
    </row>
    <row r="19" spans="1:6" ht="14.25" customHeight="1" x14ac:dyDescent="0.25">
      <c r="A19" s="579"/>
      <c r="B19" s="590" t="s">
        <v>934</v>
      </c>
      <c r="C19" s="592" t="s">
        <v>323</v>
      </c>
      <c r="D19" s="682">
        <f>KH_ĐL!J14</f>
        <v>8421</v>
      </c>
      <c r="E19" s="600"/>
      <c r="F19" s="598" t="s">
        <v>917</v>
      </c>
    </row>
    <row r="20" spans="1:6" ht="14.25" customHeight="1" x14ac:dyDescent="0.25">
      <c r="A20" s="601"/>
      <c r="B20" s="591" t="s">
        <v>935</v>
      </c>
      <c r="C20" s="603" t="s">
        <v>1023</v>
      </c>
      <c r="D20" s="685" cm="1">
        <f t="array" ref="D20">SUMPRODUCT((KH_ĐL!$CE$18:$CE$412="Lò")*KH_ĐL!$G$18:$G$412*KH_ĐL!$J$18:$J$412)/D19</f>
        <v>16.960016625103908</v>
      </c>
      <c r="E20" s="594"/>
      <c r="F20" s="606" t="s">
        <v>917</v>
      </c>
    </row>
    <row r="21" spans="1:6" ht="14.25" customHeight="1" x14ac:dyDescent="0.25">
      <c r="A21" s="579"/>
      <c r="B21" s="590" t="s">
        <v>936</v>
      </c>
      <c r="C21" s="592" t="s">
        <v>323</v>
      </c>
      <c r="D21" s="682">
        <f>KH_ĐL!K14</f>
        <v>16979</v>
      </c>
      <c r="E21" s="587"/>
      <c r="F21" s="598" t="s">
        <v>917</v>
      </c>
    </row>
    <row r="22" spans="1:6" ht="14.25" customHeight="1" x14ac:dyDescent="0.25">
      <c r="A22" s="601"/>
      <c r="B22" s="591" t="s">
        <v>937</v>
      </c>
      <c r="C22" s="603" t="s">
        <v>1023</v>
      </c>
      <c r="D22" s="685" cm="1">
        <f t="array" ref="D22">SUMPRODUCT((KH_ĐL!$CE$18:$CE$412="Lò")*KH_ĐL!$G$18:$G$412*KH_ĐL!$K$18:$K$412)/D21</f>
        <v>13.20934095058602</v>
      </c>
      <c r="E22" s="605"/>
      <c r="F22" s="606" t="s">
        <v>917</v>
      </c>
    </row>
    <row r="23" spans="1:6" ht="14.25" customHeight="1" x14ac:dyDescent="0.25">
      <c r="A23" s="579"/>
      <c r="B23" s="587" t="s">
        <v>938</v>
      </c>
      <c r="C23" s="592" t="s">
        <v>323</v>
      </c>
      <c r="D23" s="682">
        <f>KH_ĐL!I417</f>
        <v>1500</v>
      </c>
      <c r="E23" s="609"/>
      <c r="F23" s="589" t="s">
        <v>917</v>
      </c>
    </row>
    <row r="24" spans="1:6" ht="14.25" customHeight="1" x14ac:dyDescent="0.25">
      <c r="A24" s="579"/>
      <c r="B24" s="587" t="s">
        <v>939</v>
      </c>
      <c r="C24" s="592" t="s">
        <v>323</v>
      </c>
      <c r="D24" s="682">
        <f>KH_ĐL!I419</f>
        <v>1600</v>
      </c>
      <c r="E24" s="610"/>
      <c r="F24" s="589" t="s">
        <v>917</v>
      </c>
    </row>
    <row r="25" spans="1:6" ht="15.75" x14ac:dyDescent="0.25">
      <c r="A25" s="601" t="s">
        <v>925</v>
      </c>
      <c r="B25" s="602" t="s">
        <v>940</v>
      </c>
      <c r="C25" s="592"/>
      <c r="D25" s="686">
        <f>SUM(D26:D28)</f>
        <v>25400</v>
      </c>
      <c r="E25" s="611"/>
      <c r="F25" s="598" t="s">
        <v>917</v>
      </c>
    </row>
    <row r="26" spans="1:6" ht="15.75" x14ac:dyDescent="0.25">
      <c r="A26" s="579"/>
      <c r="B26" s="590" t="s">
        <v>941</v>
      </c>
      <c r="C26" s="592" t="s">
        <v>323</v>
      </c>
      <c r="D26" s="682">
        <f>SUMIFS(KH_ĐL!$I$18:$I$412,KH_ĐL!$CE$18:$CE$412,"Lò",KH_ĐL!$D$18:$D$412,"Neo")</f>
        <v>1756</v>
      </c>
      <c r="E26" s="612"/>
      <c r="F26" s="589" t="s">
        <v>917</v>
      </c>
    </row>
    <row r="27" spans="1:6" ht="15.75" x14ac:dyDescent="0.25">
      <c r="A27" s="579"/>
      <c r="B27" s="590" t="s">
        <v>942</v>
      </c>
      <c r="C27" s="592" t="s">
        <v>323</v>
      </c>
      <c r="D27" s="682">
        <f>SUMIFS(KH_ĐL!$I$18:$I$412,KH_ĐL!$CE$18:$CE$412,"Lò",KH_ĐL!$D$18:$D$412,"Thép")</f>
        <v>22692</v>
      </c>
      <c r="E27" s="587"/>
      <c r="F27" s="598" t="s">
        <v>917</v>
      </c>
    </row>
    <row r="28" spans="1:6" ht="15.75" x14ac:dyDescent="0.25">
      <c r="A28" s="579"/>
      <c r="B28" s="590" t="s">
        <v>943</v>
      </c>
      <c r="C28" s="592" t="s">
        <v>323</v>
      </c>
      <c r="D28" s="682">
        <f>SUMIFS(KH_ĐL!$I$18:$I$412,KH_ĐL!$CE$18:$CE$412,"Lò",KH_ĐL!$D$18:$D$412,"Gỗ")</f>
        <v>952</v>
      </c>
      <c r="E28" s="587"/>
      <c r="F28" s="589" t="s">
        <v>917</v>
      </c>
    </row>
    <row r="29" spans="1:6" ht="15.75" x14ac:dyDescent="0.25">
      <c r="A29" s="601" t="s">
        <v>944</v>
      </c>
      <c r="B29" s="602" t="s">
        <v>945</v>
      </c>
      <c r="C29" s="592" t="s">
        <v>323</v>
      </c>
      <c r="D29" s="686">
        <f>D30+D39</f>
        <v>25400</v>
      </c>
      <c r="E29" s="587"/>
      <c r="F29" s="598" t="s">
        <v>917</v>
      </c>
    </row>
    <row r="30" spans="1:6" ht="15.75" x14ac:dyDescent="0.25">
      <c r="A30" s="579" t="s">
        <v>7</v>
      </c>
      <c r="B30" s="602" t="s">
        <v>946</v>
      </c>
      <c r="C30" s="592" t="s">
        <v>323</v>
      </c>
      <c r="D30" s="686">
        <f>D31+D34+D37</f>
        <v>16979</v>
      </c>
      <c r="E30" s="613"/>
      <c r="F30" s="598" t="s">
        <v>917</v>
      </c>
    </row>
    <row r="31" spans="1:6" ht="15.75" x14ac:dyDescent="0.25">
      <c r="A31" s="579"/>
      <c r="B31" s="607" t="s">
        <v>947</v>
      </c>
      <c r="C31" s="592" t="s">
        <v>308</v>
      </c>
      <c r="D31" s="682">
        <f>SUMIFS(KH_ĐL!$K$18:$K$412,KH_ĐL!$CE$18:$CE$412,"Lò",KH_ĐL!$D$18:$D$412,"Thép")</f>
        <v>14609</v>
      </c>
      <c r="E31" s="600"/>
      <c r="F31" s="598" t="s">
        <v>917</v>
      </c>
    </row>
    <row r="32" spans="1:6" ht="18" x14ac:dyDescent="0.25">
      <c r="A32" s="579"/>
      <c r="B32" s="590" t="s">
        <v>948</v>
      </c>
      <c r="C32" s="592" t="s">
        <v>67</v>
      </c>
      <c r="D32" s="687" cm="1">
        <f t="array" ref="D32">SUMPRODUCT((KH_ĐL!$CE$18:$CE$412="Lò")*(KH_ĐL!$D$18:$D$412="Thép")*KH_ĐL!$G$18:$G$412*KH_ĐL!$K$18:$K$412)/D31</f>
        <v>13.784735437059348</v>
      </c>
      <c r="E32" s="587"/>
      <c r="F32" s="589" t="s">
        <v>917</v>
      </c>
    </row>
    <row r="33" spans="1:6" ht="15.75" x14ac:dyDescent="0.25">
      <c r="A33" s="579"/>
      <c r="B33" s="608" t="s">
        <v>949</v>
      </c>
      <c r="C33" s="592" t="s">
        <v>323</v>
      </c>
      <c r="D33" s="682">
        <f>SUMIFS(KH_ĐL!$K$18:$K$412,KH_ĐL!$CE$18:$CE$412,"Lò",KH_ĐL!$D$18:$D$412,"Thép",KH_ĐL!$E$18:$E$412,"EBH")</f>
        <v>1340</v>
      </c>
      <c r="E33" s="614"/>
      <c r="F33" s="589" t="s">
        <v>917</v>
      </c>
    </row>
    <row r="34" spans="1:6" ht="15.75" x14ac:dyDescent="0.25">
      <c r="A34" s="579"/>
      <c r="B34" s="607" t="s">
        <v>950</v>
      </c>
      <c r="C34" s="592" t="s">
        <v>323</v>
      </c>
      <c r="D34" s="682">
        <f>SUMIFS(KH_ĐL!$K$18:$K$412,KH_ĐL!$CE$18:$CE$412,"Lò",KH_ĐL!$D$18:$D$412,"Neo")</f>
        <v>1471</v>
      </c>
      <c r="E34" s="587"/>
      <c r="F34" s="589" t="s">
        <v>917</v>
      </c>
    </row>
    <row r="35" spans="1:6" ht="18" x14ac:dyDescent="0.25">
      <c r="A35" s="579"/>
      <c r="B35" s="590" t="s">
        <v>948</v>
      </c>
      <c r="C35" s="592" t="s">
        <v>67</v>
      </c>
      <c r="D35" s="687" cm="1">
        <f t="array" ref="D35">SUMPRODUCT((KH_ĐL!$CE$18:$CE$412="Lò")*(KH_ĐL!$D$18:$D$412="Neo")*KH_ĐL!$G$18:$G$412*KH_ĐL!$K$18:$K$412)/D34</f>
        <v>12.267573079537728</v>
      </c>
      <c r="E35" s="587"/>
      <c r="F35" s="589" t="s">
        <v>917</v>
      </c>
    </row>
    <row r="36" spans="1:6" ht="15.75" x14ac:dyDescent="0.25">
      <c r="A36" s="579"/>
      <c r="B36" s="608" t="s">
        <v>951</v>
      </c>
      <c r="C36" s="592" t="s">
        <v>323</v>
      </c>
      <c r="D36" s="682">
        <f>SUMIFS(KH_ĐL!$K$18:$K$412,KH_ĐL!$CE$18:$CE$412,"Lò",KH_ĐL!$D$18:$D$412,"Neo",KH_ĐL!$E$18:$E$412,"EBH")</f>
        <v>0</v>
      </c>
      <c r="E36" s="587"/>
      <c r="F36" s="589" t="s">
        <v>917</v>
      </c>
    </row>
    <row r="37" spans="1:6" ht="15.75" x14ac:dyDescent="0.25">
      <c r="A37" s="579"/>
      <c r="B37" s="615" t="s">
        <v>952</v>
      </c>
      <c r="C37" s="592" t="s">
        <v>323</v>
      </c>
      <c r="D37" s="682">
        <f>SUMIFS(KH_ĐL!$K$18:$K$412,KH_ĐL!$CE$18:$CE$412,"Lò",KH_ĐL!$D$18:$D$412,"Gỗ")</f>
        <v>899</v>
      </c>
      <c r="E37" s="587"/>
      <c r="F37" s="589" t="s">
        <v>917</v>
      </c>
    </row>
    <row r="38" spans="1:6" ht="18" x14ac:dyDescent="0.25">
      <c r="A38" s="579"/>
      <c r="B38" s="608" t="s">
        <v>953</v>
      </c>
      <c r="C38" s="592" t="s">
        <v>67</v>
      </c>
      <c r="D38" s="687" cm="1">
        <f t="array" ref="D38">SUMPRODUCT((KH_ĐL!$CE$18:$CE$412="Lò")*(KH_ĐL!$D$18:$D$412="Gỗ")*KH_ĐL!$G$18:$G$412*KH_ĐL!$K$18:$K$412)/D37</f>
        <v>5.4</v>
      </c>
      <c r="E38" s="587"/>
      <c r="F38" s="589" t="s">
        <v>917</v>
      </c>
    </row>
    <row r="39" spans="1:6" ht="15.75" x14ac:dyDescent="0.25">
      <c r="A39" s="579" t="s">
        <v>7</v>
      </c>
      <c r="B39" s="616" t="s">
        <v>954</v>
      </c>
      <c r="C39" s="592" t="s">
        <v>323</v>
      </c>
      <c r="D39" s="686">
        <f>D40+D46+D52</f>
        <v>8421</v>
      </c>
      <c r="E39" s="600"/>
      <c r="F39" s="598" t="s">
        <v>917</v>
      </c>
    </row>
    <row r="40" spans="1:6" ht="15.75" x14ac:dyDescent="0.25">
      <c r="A40" s="587"/>
      <c r="B40" s="607" t="s">
        <v>955</v>
      </c>
      <c r="C40" s="592" t="s">
        <v>323</v>
      </c>
      <c r="D40" s="683">
        <f>SUMIFS(KH_ĐL!$J$18:$J$412,KH_ĐL!$CE$18:$CE$412,"Lò",KH_ĐL!$D$18:$D$412,"Thép")</f>
        <v>8083</v>
      </c>
      <c r="E40" s="600"/>
      <c r="F40" s="598" t="s">
        <v>917</v>
      </c>
    </row>
    <row r="41" spans="1:6" ht="18" x14ac:dyDescent="0.25">
      <c r="A41" s="579"/>
      <c r="B41" s="590" t="s">
        <v>948</v>
      </c>
      <c r="C41" s="592" t="s">
        <v>67</v>
      </c>
      <c r="D41" s="687" cm="1">
        <f t="array" ref="D41">SUMPRODUCT((KH_ĐL!$CE$18:$CE$412="Lò")*(KH_ĐL!$D$18:$D$412="Thép")*KH_ĐL!$G$18:$G$412*KH_ĐL!$J$18:$J$412)/D40</f>
        <v>17.233527155759006</v>
      </c>
      <c r="E41" s="587"/>
      <c r="F41" s="589" t="s">
        <v>917</v>
      </c>
    </row>
    <row r="42" spans="1:6" ht="15.75" x14ac:dyDescent="0.25">
      <c r="A42" s="579"/>
      <c r="B42" s="590" t="s">
        <v>956</v>
      </c>
      <c r="C42" s="592" t="s">
        <v>125</v>
      </c>
      <c r="D42" s="618"/>
      <c r="E42" s="619"/>
      <c r="F42" s="598" t="s">
        <v>917</v>
      </c>
    </row>
    <row r="43" spans="1:6" ht="15.75" x14ac:dyDescent="0.25">
      <c r="A43" s="579"/>
      <c r="B43" s="590" t="s">
        <v>957</v>
      </c>
      <c r="C43" s="592" t="s">
        <v>323</v>
      </c>
      <c r="D43" s="688"/>
      <c r="E43" s="620"/>
      <c r="F43" s="589" t="s">
        <v>917</v>
      </c>
    </row>
    <row r="44" spans="1:6" ht="15.75" x14ac:dyDescent="0.25">
      <c r="A44" s="621"/>
      <c r="B44" s="622" t="s">
        <v>958</v>
      </c>
      <c r="C44" s="623" t="s">
        <v>323</v>
      </c>
      <c r="D44" s="624"/>
      <c r="E44" s="625"/>
      <c r="F44" s="627" t="s">
        <v>917</v>
      </c>
    </row>
    <row r="45" spans="1:6" ht="15.75" x14ac:dyDescent="0.25">
      <c r="A45" s="579"/>
      <c r="B45" s="590" t="s">
        <v>959</v>
      </c>
      <c r="C45" s="592" t="s">
        <v>323</v>
      </c>
      <c r="D45" s="692"/>
      <c r="E45" s="620"/>
      <c r="F45" s="589" t="s">
        <v>917</v>
      </c>
    </row>
    <row r="46" spans="1:6" ht="15.75" x14ac:dyDescent="0.25">
      <c r="A46" s="579"/>
      <c r="B46" s="607" t="s">
        <v>960</v>
      </c>
      <c r="C46" s="592" t="s">
        <v>323</v>
      </c>
      <c r="D46" s="683">
        <f>SUMIFS(KH_ĐL!$J$18:$J$412,KH_ĐL!$CE$18:$CE$412,"Lò",KH_ĐL!$D$18:$D$412,"Neo")</f>
        <v>285</v>
      </c>
      <c r="E46" s="587"/>
      <c r="F46" s="589" t="s">
        <v>917</v>
      </c>
    </row>
    <row r="47" spans="1:6" ht="18" x14ac:dyDescent="0.25">
      <c r="A47" s="579"/>
      <c r="B47" s="590" t="s">
        <v>948</v>
      </c>
      <c r="C47" s="592" t="s">
        <v>67</v>
      </c>
      <c r="D47" s="687" cm="1">
        <f t="array" ref="D47">SUMPRODUCT((KH_ĐL!$CE$18:$CE$412="Lò")*(KH_ĐL!$D$18:$D$412="Neo")*KH_ĐL!$G$18:$G$412*KH_ĐL!$J$18:$J$412)/D46</f>
        <v>11.352631578947369</v>
      </c>
      <c r="E47" s="620"/>
      <c r="F47" s="589" t="s">
        <v>917</v>
      </c>
    </row>
    <row r="48" spans="1:6" ht="15.75" x14ac:dyDescent="0.25">
      <c r="A48" s="579"/>
      <c r="B48" s="590" t="s">
        <v>956</v>
      </c>
      <c r="C48" s="592" t="s">
        <v>125</v>
      </c>
      <c r="D48" s="626"/>
      <c r="E48" s="619"/>
      <c r="F48" s="589" t="s">
        <v>917</v>
      </c>
    </row>
    <row r="49" spans="1:6" ht="15.75" x14ac:dyDescent="0.25">
      <c r="A49" s="579"/>
      <c r="B49" s="590" t="s">
        <v>961</v>
      </c>
      <c r="C49" s="592" t="s">
        <v>323</v>
      </c>
      <c r="D49" s="688">
        <f>D46</f>
        <v>285</v>
      </c>
      <c r="E49" s="587"/>
      <c r="F49" s="589" t="s">
        <v>917</v>
      </c>
    </row>
    <row r="50" spans="1:6" ht="15.75" x14ac:dyDescent="0.25">
      <c r="A50" s="579"/>
      <c r="B50" s="590" t="s">
        <v>962</v>
      </c>
      <c r="C50" s="592" t="s">
        <v>323</v>
      </c>
      <c r="D50" s="586"/>
      <c r="E50" s="587"/>
      <c r="F50" s="598" t="s">
        <v>917</v>
      </c>
    </row>
    <row r="51" spans="1:6" ht="15.75" x14ac:dyDescent="0.25">
      <c r="A51" s="579"/>
      <c r="B51" s="590" t="s">
        <v>958</v>
      </c>
      <c r="C51" s="592" t="s">
        <v>323</v>
      </c>
      <c r="D51" s="628"/>
      <c r="E51" s="587"/>
      <c r="F51" s="598" t="s">
        <v>917</v>
      </c>
    </row>
    <row r="52" spans="1:6" ht="15.75" x14ac:dyDescent="0.25">
      <c r="A52" s="579"/>
      <c r="B52" s="607" t="s">
        <v>963</v>
      </c>
      <c r="C52" s="592" t="s">
        <v>323</v>
      </c>
      <c r="D52" s="688">
        <f>SUMIFS(KH_ĐL!$J$18:$J$412,KH_ĐL!$CE$18:$CE$412,"Lò",KH_ĐL!$D$18:$D$412,"Gỗ")</f>
        <v>53</v>
      </c>
      <c r="E52" s="587"/>
      <c r="F52" s="589" t="s">
        <v>917</v>
      </c>
    </row>
    <row r="53" spans="1:6" ht="15.75" x14ac:dyDescent="0.25">
      <c r="A53" s="601">
        <v>3</v>
      </c>
      <c r="B53" s="602" t="s">
        <v>964</v>
      </c>
      <c r="C53" s="601" t="s">
        <v>323</v>
      </c>
      <c r="D53" s="586"/>
      <c r="E53" s="630"/>
      <c r="F53" s="589" t="s">
        <v>917</v>
      </c>
    </row>
    <row r="54" spans="1:6" ht="15.75" x14ac:dyDescent="0.25">
      <c r="A54" s="579" t="s">
        <v>965</v>
      </c>
      <c r="B54" s="580" t="s">
        <v>966</v>
      </c>
      <c r="C54" s="579" t="s">
        <v>323</v>
      </c>
      <c r="D54" s="684">
        <f>KH_ĐL!I15</f>
        <v>7500</v>
      </c>
      <c r="E54" s="631"/>
      <c r="F54" s="598" t="s">
        <v>917</v>
      </c>
    </row>
    <row r="55" spans="1:6" ht="15.75" x14ac:dyDescent="0.25">
      <c r="A55" s="579" t="s">
        <v>7</v>
      </c>
      <c r="B55" s="590" t="s">
        <v>967</v>
      </c>
      <c r="C55" s="592" t="s">
        <v>323</v>
      </c>
      <c r="D55" s="632"/>
      <c r="E55" s="587"/>
      <c r="F55" s="598" t="s">
        <v>917</v>
      </c>
    </row>
    <row r="56" spans="1:6" ht="15.75" x14ac:dyDescent="0.25">
      <c r="A56" s="579"/>
      <c r="B56" s="590" t="s">
        <v>968</v>
      </c>
      <c r="C56" s="592" t="s">
        <v>323</v>
      </c>
      <c r="D56" s="689">
        <f>SUMIFS(KH_ĐL!$I$18:$I$412,KH_ĐL!$CF$18:$CF$412,"TN.Xé")</f>
        <v>2867</v>
      </c>
      <c r="E56" s="587"/>
      <c r="F56" s="598" t="s">
        <v>917</v>
      </c>
    </row>
    <row r="57" spans="1:6" ht="17.25" customHeight="1" x14ac:dyDescent="0.25">
      <c r="A57" s="579"/>
      <c r="B57" s="629" t="s">
        <v>969</v>
      </c>
      <c r="C57" s="592" t="s">
        <v>323</v>
      </c>
      <c r="D57" s="689">
        <f>D54-D56</f>
        <v>4633</v>
      </c>
      <c r="E57" s="587"/>
      <c r="F57" s="598" t="s">
        <v>917</v>
      </c>
    </row>
    <row r="58" spans="1:6" ht="15.75" x14ac:dyDescent="0.25">
      <c r="A58" s="603" t="s">
        <v>8</v>
      </c>
      <c r="B58" s="591" t="s">
        <v>933</v>
      </c>
      <c r="C58" s="592" t="s">
        <v>323</v>
      </c>
      <c r="D58" s="684">
        <f>D59+D60</f>
        <v>7500</v>
      </c>
      <c r="E58" s="587"/>
      <c r="F58" s="598" t="s">
        <v>917</v>
      </c>
    </row>
    <row r="59" spans="1:6" ht="15.75" x14ac:dyDescent="0.25">
      <c r="A59" s="579"/>
      <c r="B59" s="590" t="s">
        <v>970</v>
      </c>
      <c r="C59" s="592" t="s">
        <v>323</v>
      </c>
      <c r="D59" s="682">
        <f>KH_ĐL!J15</f>
        <v>4086</v>
      </c>
      <c r="E59" s="587"/>
      <c r="F59" s="598" t="s">
        <v>917</v>
      </c>
    </row>
    <row r="60" spans="1:6" ht="15.75" x14ac:dyDescent="0.25">
      <c r="A60" s="579"/>
      <c r="B60" s="590" t="s">
        <v>971</v>
      </c>
      <c r="C60" s="592" t="s">
        <v>323</v>
      </c>
      <c r="D60" s="682">
        <f>KH_ĐL!K15</f>
        <v>3414</v>
      </c>
      <c r="E60" s="587"/>
      <c r="F60" s="598" t="s">
        <v>917</v>
      </c>
    </row>
    <row r="61" spans="1:6" ht="15.75" x14ac:dyDescent="0.25">
      <c r="A61" s="603" t="s">
        <v>37</v>
      </c>
      <c r="B61" s="590" t="s">
        <v>945</v>
      </c>
      <c r="C61" s="592" t="s">
        <v>323</v>
      </c>
      <c r="D61" s="684">
        <f>SUM(D62:D66)</f>
        <v>7500</v>
      </c>
      <c r="E61" s="633"/>
      <c r="F61" s="598" t="s">
        <v>917</v>
      </c>
    </row>
    <row r="62" spans="1:6" ht="15.75" x14ac:dyDescent="0.25">
      <c r="A62" s="603"/>
      <c r="B62" s="590" t="s">
        <v>972</v>
      </c>
      <c r="C62" s="592" t="s">
        <v>323</v>
      </c>
      <c r="D62" s="682">
        <f>SUMIFS(KH_ĐL!$K$18:$K$412,KH_ĐL!$CE$18:$CE$412,"Xé",KH_ĐL!$D$18:$D$412,"Thép")</f>
        <v>3414</v>
      </c>
      <c r="E62" s="587"/>
      <c r="F62" s="598" t="s">
        <v>917</v>
      </c>
    </row>
    <row r="63" spans="1:6" ht="15.75" x14ac:dyDescent="0.25">
      <c r="A63" s="603"/>
      <c r="B63" s="590" t="s">
        <v>973</v>
      </c>
      <c r="C63" s="592" t="s">
        <v>323</v>
      </c>
      <c r="D63" s="682">
        <f>SUMIFS(KH_ĐL!$J$18:$J$412,KH_ĐL!$CE$18:$CE$412,"Xé",KH_ĐL!$D$18:$D$412,"Thép")</f>
        <v>4086</v>
      </c>
      <c r="E63" s="587"/>
      <c r="F63" s="598" t="s">
        <v>917</v>
      </c>
    </row>
    <row r="64" spans="1:6" ht="15.75" x14ac:dyDescent="0.25">
      <c r="A64" s="603"/>
      <c r="B64" s="590" t="s">
        <v>974</v>
      </c>
      <c r="C64" s="592" t="s">
        <v>323</v>
      </c>
      <c r="D64" s="682">
        <f>SUMIFS(KH_ĐL!$K$18:$K$412,KH_ĐL!$CE$18:$CE$412,"Xé",KH_ĐL!$D$18:$D$412,"Neo")</f>
        <v>0</v>
      </c>
      <c r="E64" s="587"/>
      <c r="F64" s="598" t="s">
        <v>917</v>
      </c>
    </row>
    <row r="65" spans="1:6" ht="15.75" x14ac:dyDescent="0.25">
      <c r="A65" s="579"/>
      <c r="B65" s="590" t="s">
        <v>975</v>
      </c>
      <c r="C65" s="592" t="s">
        <v>323</v>
      </c>
      <c r="D65" s="682">
        <f>SUMIFS(KH_ĐL!$J$18:$J$412,KH_ĐL!$CE$18:$CE$412,"Xé",KH_ĐL!$D$18:$D$412,"Neo")</f>
        <v>0</v>
      </c>
      <c r="E65" s="587"/>
      <c r="F65" s="598" t="s">
        <v>917</v>
      </c>
    </row>
    <row r="66" spans="1:6" ht="15.75" x14ac:dyDescent="0.25">
      <c r="A66" s="579"/>
      <c r="B66" s="590" t="s">
        <v>976</v>
      </c>
      <c r="C66" s="592" t="s">
        <v>323</v>
      </c>
      <c r="D66" s="682">
        <f>SUMIFS(KH_ĐL!$K$18:$K$412,KH_ĐL!$CE$18:$CE$412,"Xé",KH_ĐL!$D$18:$D$412,"Gỗ")</f>
        <v>0</v>
      </c>
      <c r="E66" s="587"/>
      <c r="F66" s="598" t="s">
        <v>917</v>
      </c>
    </row>
    <row r="67" spans="1:6" ht="15.75" x14ac:dyDescent="0.25">
      <c r="A67" s="603" t="s">
        <v>39</v>
      </c>
      <c r="B67" s="591" t="s">
        <v>940</v>
      </c>
      <c r="C67" s="592"/>
      <c r="D67" s="684">
        <f>SUM(D68:D70)</f>
        <v>7500</v>
      </c>
      <c r="E67" s="587"/>
      <c r="F67" s="598" t="s">
        <v>917</v>
      </c>
    </row>
    <row r="68" spans="1:6" ht="15.75" x14ac:dyDescent="0.25">
      <c r="A68" s="603"/>
      <c r="B68" s="590" t="s">
        <v>977</v>
      </c>
      <c r="C68" s="592"/>
      <c r="D68" s="682">
        <f>SUMIFS(KH_ĐL!$I$18:$I$412,KH_ĐL!$CE$18:$CE$412,"Xé",KH_ĐL!$D$18:$D$412,"Thép")</f>
        <v>7500</v>
      </c>
      <c r="E68" s="634"/>
      <c r="F68" s="598" t="s">
        <v>917</v>
      </c>
    </row>
    <row r="69" spans="1:6" ht="15.75" x14ac:dyDescent="0.25">
      <c r="A69" s="579"/>
      <c r="B69" s="590" t="s">
        <v>978</v>
      </c>
      <c r="C69" s="592" t="s">
        <v>323</v>
      </c>
      <c r="D69" s="692">
        <f>SUMIFS(KH_ĐL!$I$18:$I$412,KH_ĐL!$CE$18:$CE$412,"Xé",KH_ĐL!$D$18:$D$412,"Neo")</f>
        <v>0</v>
      </c>
      <c r="E69" s="587"/>
      <c r="F69" s="598" t="s">
        <v>917</v>
      </c>
    </row>
    <row r="70" spans="1:6" ht="15.75" x14ac:dyDescent="0.25">
      <c r="A70" s="579"/>
      <c r="B70" s="590" t="s">
        <v>979</v>
      </c>
      <c r="C70" s="592" t="s">
        <v>323</v>
      </c>
      <c r="D70" s="692">
        <f>SUMIFS(KH_ĐL!$I$18:$I$412,KH_ĐL!$CE$18:$CE$412,"Xé",KH_ĐL!$D$18:$D$412,"Gỗ")</f>
        <v>0</v>
      </c>
      <c r="E70" s="587"/>
      <c r="F70" s="598" t="s">
        <v>917</v>
      </c>
    </row>
    <row r="71" spans="1:6" ht="15.75" x14ac:dyDescent="0.25">
      <c r="A71" s="636" t="s">
        <v>41</v>
      </c>
      <c r="B71" s="637" t="s">
        <v>980</v>
      </c>
      <c r="C71" s="648"/>
      <c r="D71" s="635"/>
      <c r="E71" s="587"/>
      <c r="F71" s="598" t="s">
        <v>917</v>
      </c>
    </row>
    <row r="72" spans="1:6" ht="18" x14ac:dyDescent="0.25">
      <c r="A72" s="638">
        <v>1</v>
      </c>
      <c r="B72" s="639" t="s">
        <v>981</v>
      </c>
      <c r="C72" s="649" t="s">
        <v>1024</v>
      </c>
      <c r="D72" s="652"/>
      <c r="E72" s="587"/>
      <c r="F72" s="598" t="s">
        <v>917</v>
      </c>
    </row>
    <row r="73" spans="1:6" ht="15.75" x14ac:dyDescent="0.25">
      <c r="A73" s="638">
        <v>2</v>
      </c>
      <c r="B73" s="639" t="s">
        <v>982</v>
      </c>
      <c r="C73" s="649" t="s">
        <v>998</v>
      </c>
      <c r="D73" s="690">
        <f>D17/D5*1000</f>
        <v>10.16</v>
      </c>
      <c r="E73" s="587"/>
      <c r="F73" s="589" t="s">
        <v>917</v>
      </c>
    </row>
    <row r="74" spans="1:6" ht="15.75" x14ac:dyDescent="0.25">
      <c r="A74" s="638">
        <v>3</v>
      </c>
      <c r="B74" s="639" t="s">
        <v>983</v>
      </c>
      <c r="C74" s="649" t="s">
        <v>322</v>
      </c>
      <c r="D74" s="653"/>
      <c r="E74" s="587"/>
      <c r="F74" s="598" t="s">
        <v>917</v>
      </c>
    </row>
    <row r="75" spans="1:6" ht="15.75" x14ac:dyDescent="0.25">
      <c r="A75" s="640"/>
      <c r="B75" s="641" t="s">
        <v>984</v>
      </c>
      <c r="C75" s="650" t="s">
        <v>308</v>
      </c>
      <c r="D75" s="654"/>
      <c r="E75" s="587"/>
      <c r="F75" s="589" t="s">
        <v>917</v>
      </c>
    </row>
    <row r="76" spans="1:6" ht="15.75" x14ac:dyDescent="0.25">
      <c r="A76" s="640"/>
      <c r="B76" s="641" t="s">
        <v>985</v>
      </c>
      <c r="C76" s="650" t="s">
        <v>308</v>
      </c>
      <c r="D76" s="653"/>
      <c r="E76" s="587"/>
      <c r="F76" s="598" t="s">
        <v>917</v>
      </c>
    </row>
    <row r="77" spans="1:6" ht="15.75" x14ac:dyDescent="0.25">
      <c r="A77" s="638">
        <v>4</v>
      </c>
      <c r="B77" s="639" t="s">
        <v>986</v>
      </c>
      <c r="C77" s="650"/>
      <c r="D77" s="655"/>
      <c r="E77" s="587"/>
      <c r="F77" s="598" t="s">
        <v>917</v>
      </c>
    </row>
    <row r="78" spans="1:6" ht="15.75" x14ac:dyDescent="0.25">
      <c r="A78" s="638"/>
      <c r="B78" s="641" t="s">
        <v>987</v>
      </c>
      <c r="C78" s="649" t="s">
        <v>322</v>
      </c>
      <c r="D78" s="656"/>
      <c r="E78" s="587"/>
      <c r="F78" s="589" t="s">
        <v>917</v>
      </c>
    </row>
    <row r="79" spans="1:6" ht="18" x14ac:dyDescent="0.25">
      <c r="A79" s="638">
        <v>5</v>
      </c>
      <c r="B79" s="639" t="s">
        <v>988</v>
      </c>
      <c r="C79" s="649" t="s">
        <v>1025</v>
      </c>
      <c r="D79" s="691">
        <f>D80</f>
        <v>1.6233795063845147</v>
      </c>
      <c r="E79" s="587"/>
      <c r="F79" s="598" t="s">
        <v>917</v>
      </c>
    </row>
    <row r="80" spans="1:6" ht="18" x14ac:dyDescent="0.25">
      <c r="A80" s="640"/>
      <c r="B80" s="642" t="s">
        <v>989</v>
      </c>
      <c r="C80" s="650" t="s">
        <v>1025</v>
      </c>
      <c r="D80" s="693" cm="1">
        <f t="array" ref="D80">SUMPRODUCT((KH_LC!$K$22:$K$186&lt;&gt;"")*(KH_LC!$K$22:$K$186&lt;&gt;"ĐX"),KH_LC!$I$22:$I$186,KH_LC!$V$22:$V$186)/D7</f>
        <v>1.6233795063845147</v>
      </c>
      <c r="E80" s="587"/>
      <c r="F80" s="589" t="s">
        <v>917</v>
      </c>
    </row>
    <row r="81" spans="1:6" ht="18.75" x14ac:dyDescent="0.25">
      <c r="A81" s="638">
        <v>6</v>
      </c>
      <c r="B81" s="643" t="s">
        <v>990</v>
      </c>
      <c r="C81" s="408" t="s">
        <v>1026</v>
      </c>
      <c r="D81" s="657"/>
      <c r="E81" s="587"/>
      <c r="F81" s="598" t="s">
        <v>917</v>
      </c>
    </row>
    <row r="82" spans="1:6" ht="18.75" x14ac:dyDescent="0.25">
      <c r="A82" s="640"/>
      <c r="B82" s="644" t="s">
        <v>991</v>
      </c>
      <c r="C82" s="408" t="s">
        <v>1026</v>
      </c>
      <c r="D82" s="626"/>
      <c r="E82" s="587"/>
      <c r="F82" s="589" t="s">
        <v>917</v>
      </c>
    </row>
    <row r="83" spans="1:6" ht="15.75" x14ac:dyDescent="0.25">
      <c r="A83" s="645">
        <v>7</v>
      </c>
      <c r="B83" s="643" t="s">
        <v>992</v>
      </c>
      <c r="C83" s="651"/>
      <c r="D83" s="654"/>
      <c r="E83" s="620"/>
      <c r="F83" s="598" t="s">
        <v>917</v>
      </c>
    </row>
    <row r="84" spans="1:6" ht="15.75" x14ac:dyDescent="0.25">
      <c r="A84" s="646"/>
      <c r="B84" s="647" t="s">
        <v>993</v>
      </c>
      <c r="C84" s="650" t="s">
        <v>308</v>
      </c>
      <c r="D84" s="658"/>
      <c r="E84" s="659"/>
      <c r="F84" s="589" t="s">
        <v>917</v>
      </c>
    </row>
    <row r="85" spans="1:6" ht="15.75" x14ac:dyDescent="0.25">
      <c r="A85" s="646"/>
      <c r="B85" s="647" t="s">
        <v>994</v>
      </c>
      <c r="C85" s="650" t="s">
        <v>308</v>
      </c>
      <c r="D85" s="658"/>
      <c r="E85" s="659"/>
      <c r="F85" s="589" t="s">
        <v>917</v>
      </c>
    </row>
    <row r="86" spans="1:6" ht="15.75" x14ac:dyDescent="0.25">
      <c r="A86" s="646"/>
      <c r="B86" s="647" t="s">
        <v>995</v>
      </c>
      <c r="C86" s="650" t="s">
        <v>308</v>
      </c>
      <c r="D86" s="658"/>
      <c r="E86" s="659"/>
      <c r="F86" s="589" t="s">
        <v>917</v>
      </c>
    </row>
    <row r="87" spans="1:6" ht="15.75" x14ac:dyDescent="0.25">
      <c r="A87" s="646"/>
      <c r="B87" s="647" t="s">
        <v>996</v>
      </c>
      <c r="C87" s="650" t="s">
        <v>308</v>
      </c>
      <c r="D87" s="658"/>
      <c r="E87" s="659"/>
      <c r="F87" s="589" t="s">
        <v>917</v>
      </c>
    </row>
    <row r="88" spans="1:6" ht="15.75" x14ac:dyDescent="0.25">
      <c r="A88" s="646"/>
      <c r="B88" s="647" t="s">
        <v>997</v>
      </c>
      <c r="C88" s="650" t="s">
        <v>308</v>
      </c>
      <c r="D88" s="658"/>
      <c r="E88" s="660"/>
      <c r="F88" s="589" t="s">
        <v>917</v>
      </c>
    </row>
    <row r="89" spans="1:6" ht="15.75" x14ac:dyDescent="0.25">
      <c r="A89" s="661">
        <v>9</v>
      </c>
      <c r="B89" s="662" t="s">
        <v>999</v>
      </c>
      <c r="C89" s="663"/>
      <c r="D89" s="657"/>
      <c r="E89" s="587"/>
      <c r="F89" s="598" t="s">
        <v>917</v>
      </c>
    </row>
    <row r="90" spans="1:6" ht="18" x14ac:dyDescent="0.25">
      <c r="A90" s="663" t="s">
        <v>7</v>
      </c>
      <c r="B90" s="664" t="s">
        <v>1000</v>
      </c>
      <c r="C90" s="663" t="s">
        <v>1027</v>
      </c>
      <c r="D90" s="669"/>
      <c r="E90" s="587"/>
      <c r="F90" s="598" t="s">
        <v>917</v>
      </c>
    </row>
    <row r="91" spans="1:6" ht="18" x14ac:dyDescent="0.25">
      <c r="A91" s="663"/>
      <c r="B91" s="665" t="s">
        <v>1001</v>
      </c>
      <c r="C91" s="663" t="s">
        <v>1027</v>
      </c>
      <c r="D91" s="597"/>
      <c r="E91" s="587"/>
      <c r="F91" s="598" t="s">
        <v>917</v>
      </c>
    </row>
    <row r="92" spans="1:6" ht="15.75" x14ac:dyDescent="0.25">
      <c r="A92" s="663"/>
      <c r="B92" s="666" t="s">
        <v>1002</v>
      </c>
      <c r="C92" s="663" t="s">
        <v>1013</v>
      </c>
      <c r="D92" s="597"/>
      <c r="E92" s="587"/>
      <c r="F92" s="598" t="s">
        <v>917</v>
      </c>
    </row>
    <row r="93" spans="1:6" ht="15.75" x14ac:dyDescent="0.25">
      <c r="A93" s="663"/>
      <c r="B93" s="666" t="s">
        <v>1003</v>
      </c>
      <c r="C93" s="663" t="s">
        <v>1013</v>
      </c>
      <c r="D93" s="597"/>
      <c r="E93" s="587"/>
      <c r="F93" s="598" t="s">
        <v>917</v>
      </c>
    </row>
    <row r="94" spans="1:6" ht="15.75" x14ac:dyDescent="0.25">
      <c r="A94" s="663"/>
      <c r="B94" s="666" t="s">
        <v>1004</v>
      </c>
      <c r="C94" s="663" t="s">
        <v>1013</v>
      </c>
      <c r="D94" s="597"/>
      <c r="E94" s="587"/>
      <c r="F94" s="589" t="s">
        <v>917</v>
      </c>
    </row>
    <row r="95" spans="1:6" ht="18" x14ac:dyDescent="0.25">
      <c r="A95" s="667" t="s">
        <v>7</v>
      </c>
      <c r="B95" s="668" t="s">
        <v>1005</v>
      </c>
      <c r="C95" s="663" t="s">
        <v>1028</v>
      </c>
      <c r="D95" s="669"/>
      <c r="E95" s="587"/>
      <c r="F95" s="598" t="s">
        <v>917</v>
      </c>
    </row>
    <row r="96" spans="1:6" ht="18" x14ac:dyDescent="0.25">
      <c r="A96" s="663"/>
      <c r="B96" s="666" t="s">
        <v>1006</v>
      </c>
      <c r="C96" s="663" t="s">
        <v>1028</v>
      </c>
      <c r="D96" s="597"/>
      <c r="E96" s="587"/>
      <c r="F96" s="598" t="s">
        <v>917</v>
      </c>
    </row>
    <row r="97" spans="1:6" ht="18" x14ac:dyDescent="0.25">
      <c r="A97" s="663"/>
      <c r="B97" s="666" t="s">
        <v>1007</v>
      </c>
      <c r="C97" s="663" t="s">
        <v>1029</v>
      </c>
      <c r="D97" s="597"/>
      <c r="E97" s="587"/>
      <c r="F97" s="589" t="s">
        <v>917</v>
      </c>
    </row>
    <row r="98" spans="1:6" ht="18" x14ac:dyDescent="0.25">
      <c r="A98" s="663"/>
      <c r="B98" s="666" t="s">
        <v>1008</v>
      </c>
      <c r="C98" s="663" t="s">
        <v>1029</v>
      </c>
      <c r="D98" s="597"/>
      <c r="E98" s="587"/>
      <c r="F98" s="589" t="s">
        <v>917</v>
      </c>
    </row>
    <row r="99" spans="1:6" ht="18" x14ac:dyDescent="0.25">
      <c r="A99" s="663"/>
      <c r="B99" s="666" t="s">
        <v>1009</v>
      </c>
      <c r="C99" s="663" t="s">
        <v>1029</v>
      </c>
      <c r="D99" s="597"/>
      <c r="E99" s="670"/>
      <c r="F99" s="589" t="s">
        <v>917</v>
      </c>
    </row>
    <row r="100" spans="1:6" ht="15.75" x14ac:dyDescent="0.25">
      <c r="A100" s="407" t="s">
        <v>7</v>
      </c>
      <c r="B100" s="668" t="s">
        <v>1010</v>
      </c>
      <c r="C100" s="663" t="s">
        <v>1013</v>
      </c>
      <c r="D100" s="617"/>
      <c r="E100" s="671"/>
      <c r="F100" s="598" t="s">
        <v>917</v>
      </c>
    </row>
    <row r="101" spans="1:6" ht="15.75" x14ac:dyDescent="0.25">
      <c r="A101" s="407" t="s">
        <v>7</v>
      </c>
      <c r="B101" s="668" t="s">
        <v>1011</v>
      </c>
      <c r="C101" s="663" t="s">
        <v>1014</v>
      </c>
      <c r="D101" s="597"/>
      <c r="E101" s="587"/>
      <c r="F101" s="589" t="s">
        <v>917</v>
      </c>
    </row>
    <row r="102" spans="1:6" ht="15.75" x14ac:dyDescent="0.25">
      <c r="A102" s="407" t="s">
        <v>7</v>
      </c>
      <c r="B102" s="668" t="s">
        <v>1012</v>
      </c>
      <c r="C102" s="663"/>
      <c r="D102" s="597"/>
      <c r="E102" s="587"/>
      <c r="F102" s="598" t="s">
        <v>917</v>
      </c>
    </row>
    <row r="103" spans="1:6" ht="15.75" x14ac:dyDescent="0.25">
      <c r="A103" s="408"/>
      <c r="B103" s="647" t="s">
        <v>1015</v>
      </c>
      <c r="C103" s="663" t="s">
        <v>1017</v>
      </c>
      <c r="D103" s="673"/>
      <c r="E103" s="587"/>
      <c r="F103" s="598" t="s">
        <v>917</v>
      </c>
    </row>
    <row r="104" spans="1:6" ht="15.75" x14ac:dyDescent="0.25">
      <c r="A104" s="407" t="s">
        <v>7</v>
      </c>
      <c r="B104" s="672" t="s">
        <v>1016</v>
      </c>
      <c r="C104" s="663"/>
      <c r="D104" s="617"/>
      <c r="E104" s="587"/>
      <c r="F104" s="598" t="s">
        <v>917</v>
      </c>
    </row>
    <row r="105" spans="1:6" ht="15.75" x14ac:dyDescent="0.25">
      <c r="A105" s="408"/>
      <c r="B105" s="647" t="s">
        <v>1018</v>
      </c>
      <c r="C105" s="663" t="s">
        <v>1017</v>
      </c>
      <c r="D105" s="617"/>
      <c r="E105" s="587"/>
      <c r="F105" s="598" t="s">
        <v>917</v>
      </c>
    </row>
    <row r="106" spans="1:6" ht="15.75" x14ac:dyDescent="0.25">
      <c r="A106" s="661">
        <v>10</v>
      </c>
      <c r="B106" s="668" t="s">
        <v>1019</v>
      </c>
      <c r="C106" s="663" t="s">
        <v>323</v>
      </c>
      <c r="D106" s="586"/>
      <c r="E106" s="587"/>
      <c r="F106" s="589" t="s">
        <v>917</v>
      </c>
    </row>
    <row r="107" spans="1:6" ht="15.75" x14ac:dyDescent="0.25">
      <c r="A107" s="674"/>
      <c r="B107" s="675" t="s">
        <v>1020</v>
      </c>
      <c r="C107" s="663" t="s">
        <v>322</v>
      </c>
      <c r="D107" s="617"/>
      <c r="E107" s="587"/>
      <c r="F107" s="589" t="s">
        <v>917</v>
      </c>
    </row>
    <row r="108" spans="1:6" ht="18" x14ac:dyDescent="0.25">
      <c r="A108" s="661">
        <v>11</v>
      </c>
      <c r="B108" s="668" t="s">
        <v>1021</v>
      </c>
      <c r="C108" s="663" t="s">
        <v>1030</v>
      </c>
      <c r="D108" s="676"/>
      <c r="E108" s="587"/>
      <c r="F108" s="589" t="s">
        <v>917</v>
      </c>
    </row>
    <row r="109" spans="1:6" ht="15.75" x14ac:dyDescent="0.25">
      <c r="A109" s="661">
        <v>12</v>
      </c>
      <c r="B109" s="668" t="s">
        <v>1022</v>
      </c>
      <c r="C109" s="663" t="s">
        <v>323</v>
      </c>
      <c r="D109" s="676"/>
      <c r="E109" s="677"/>
      <c r="F109" s="589" t="s">
        <v>917</v>
      </c>
    </row>
    <row r="110" spans="1:6" ht="15.75" x14ac:dyDescent="0.25">
      <c r="A110" s="678"/>
      <c r="B110" s="679"/>
      <c r="C110" s="680"/>
      <c r="D110" s="681"/>
      <c r="E110" s="679"/>
      <c r="F110" s="589" t="s">
        <v>917</v>
      </c>
    </row>
  </sheetData>
  <autoFilter ref="A4:XEV110" xr:uid="{27342A16-BF76-46E5-9780-433FD5DB3CE3}"/>
  <mergeCells count="2">
    <mergeCell ref="A1:E1"/>
    <mergeCell ref="A2:E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49057-1330-44BC-B934-67E2FDB00ED4}">
  <sheetPr codeName="Sheet7">
    <tabColor rgb="FFFF0000"/>
  </sheetPr>
  <dimension ref="A1:BL34"/>
  <sheetViews>
    <sheetView view="pageBreakPreview" topLeftCell="A5" zoomScale="70" zoomScaleNormal="68" zoomScaleSheetLayoutView="70" workbookViewId="0">
      <selection activeCell="AM23" sqref="AM23"/>
    </sheetView>
  </sheetViews>
  <sheetFormatPr defaultColWidth="10.28515625" defaultRowHeight="15.75" outlineLevelCol="1" x14ac:dyDescent="0.25"/>
  <cols>
    <col min="1" max="1" width="6.140625" style="249" customWidth="1"/>
    <col min="2" max="2" width="7.42578125" style="249" customWidth="1"/>
    <col min="3" max="3" width="20.28515625" style="248" customWidth="1"/>
    <col min="4" max="4" width="14.42578125" style="248" customWidth="1"/>
    <col min="5" max="5" width="15" style="248" customWidth="1"/>
    <col min="6" max="6" width="12.85546875" style="248" customWidth="1"/>
    <col min="7" max="7" width="11.7109375" style="248" customWidth="1"/>
    <col min="8" max="8" width="12.28515625" style="248" customWidth="1"/>
    <col min="9" max="9" width="13.42578125" style="248" bestFit="1" customWidth="1"/>
    <col min="10" max="10" width="13.140625" style="248" customWidth="1"/>
    <col min="11" max="11" width="14.7109375" style="248" hidden="1" customWidth="1" outlineLevel="1"/>
    <col min="12" max="12" width="12.7109375" style="248" hidden="1" customWidth="1" outlineLevel="1"/>
    <col min="13" max="13" width="13.7109375" style="248" hidden="1" customWidth="1" outlineLevel="1"/>
    <col min="14" max="14" width="13.42578125" style="248" hidden="1" customWidth="1" outlineLevel="1"/>
    <col min="15" max="15" width="9.5703125" style="248" hidden="1" customWidth="1" outlineLevel="1"/>
    <col min="16" max="16" width="2.7109375" style="248" hidden="1" customWidth="1" collapsed="1"/>
    <col min="17" max="17" width="12.85546875" style="248" hidden="1" customWidth="1" outlineLevel="1"/>
    <col min="18" max="18" width="13.5703125" style="248" hidden="1" customWidth="1" outlineLevel="1"/>
    <col min="19" max="20" width="13.42578125" style="248" hidden="1" customWidth="1" outlineLevel="1"/>
    <col min="21" max="21" width="9.5703125" style="248" hidden="1" customWidth="1" outlineLevel="1"/>
    <col min="22" max="22" width="14.42578125" style="248" hidden="1" customWidth="1" outlineLevel="1"/>
    <col min="23" max="23" width="10" style="249" hidden="1" customWidth="1" outlineLevel="1"/>
    <col min="24" max="25" width="11.7109375" style="248" hidden="1" customWidth="1" outlineLevel="1"/>
    <col min="26" max="26" width="10.28515625" style="248" hidden="1" customWidth="1" collapsed="1"/>
    <col min="27" max="27" width="10.7109375" style="248" hidden="1" customWidth="1"/>
    <col min="28" max="28" width="14.140625" style="248" hidden="1" customWidth="1" outlineLevel="1"/>
    <col min="29" max="29" width="13.5703125" style="248" hidden="1" customWidth="1" outlineLevel="1"/>
    <col min="30" max="31" width="13.42578125" style="248" hidden="1" customWidth="1" outlineLevel="1"/>
    <col min="32" max="32" width="9.5703125" style="248" hidden="1" customWidth="1" outlineLevel="1"/>
    <col min="33" max="33" width="2.140625" style="248" hidden="1" customWidth="1" collapsed="1"/>
    <col min="34" max="34" width="13.28515625" style="248" hidden="1" customWidth="1" outlineLevel="1"/>
    <col min="35" max="35" width="13.5703125" style="248" hidden="1" customWidth="1" outlineLevel="1"/>
    <col min="36" max="37" width="13.42578125" style="248" hidden="1" customWidth="1" outlineLevel="1"/>
    <col min="38" max="38" width="9.5703125" style="248" hidden="1" customWidth="1" outlineLevel="1"/>
    <col min="39" max="39" width="16.140625" style="248" customWidth="1" collapsed="1"/>
    <col min="40" max="40" width="10.28515625" style="248" customWidth="1"/>
    <col min="41" max="41" width="4.85546875" style="249" customWidth="1" outlineLevel="1"/>
    <col min="42" max="42" width="18.7109375" style="248" customWidth="1" outlineLevel="1"/>
    <col min="43" max="43" width="14.5703125" style="248" bestFit="1" customWidth="1" outlineLevel="1"/>
    <col min="44" max="44" width="15.28515625" style="248" customWidth="1" outlineLevel="1"/>
    <col min="45" max="45" width="14.5703125" style="248" customWidth="1" outlineLevel="1"/>
    <col min="46" max="46" width="13" style="248" customWidth="1" outlineLevel="1"/>
    <col min="47" max="47" width="12.28515625" style="248" customWidth="1" outlineLevel="1"/>
    <col min="48" max="48" width="9.42578125" style="248" customWidth="1" outlineLevel="1"/>
    <col min="49" max="50" width="10.28515625" style="248" customWidth="1" outlineLevel="1"/>
    <col min="51" max="51" width="10.28515625" style="248"/>
    <col min="52" max="52" width="9.42578125" style="248" hidden="1" customWidth="1" outlineLevel="1"/>
    <col min="53" max="53" width="16.85546875" style="248" hidden="1" customWidth="1" outlineLevel="1"/>
    <col min="54" max="54" width="0" style="248" hidden="1" customWidth="1" outlineLevel="1"/>
    <col min="55" max="55" width="12" style="248" hidden="1" customWidth="1" outlineLevel="1"/>
    <col min="56" max="63" width="0" style="248" hidden="1" customWidth="1" outlineLevel="1"/>
    <col min="64" max="64" width="10.28515625" style="248" collapsed="1"/>
    <col min="65" max="16384" width="10.28515625" style="248"/>
  </cols>
  <sheetData>
    <row r="1" spans="1:64" x14ac:dyDescent="0.25">
      <c r="A1" s="246" t="s">
        <v>375</v>
      </c>
      <c r="B1" s="247"/>
      <c r="AO1" s="247" t="s">
        <v>375</v>
      </c>
    </row>
    <row r="2" spans="1:64" s="253" customFormat="1" ht="18.75" x14ac:dyDescent="0.25">
      <c r="A2" s="861" t="s">
        <v>858</v>
      </c>
      <c r="B2" s="861"/>
      <c r="C2" s="861"/>
      <c r="D2" s="861"/>
      <c r="E2" s="861"/>
      <c r="F2" s="861"/>
      <c r="G2" s="861"/>
      <c r="H2" s="861"/>
      <c r="I2" s="861"/>
      <c r="J2" s="861"/>
      <c r="K2" s="861"/>
      <c r="L2" s="861"/>
      <c r="M2" s="861"/>
      <c r="N2" s="861"/>
      <c r="O2" s="861"/>
      <c r="P2" s="861"/>
      <c r="Q2" s="861"/>
      <c r="R2" s="861"/>
      <c r="S2" s="861"/>
      <c r="T2" s="861"/>
      <c r="U2" s="861"/>
      <c r="V2" s="861"/>
      <c r="W2" s="861"/>
      <c r="X2" s="861"/>
      <c r="Y2" s="861"/>
      <c r="Z2" s="861"/>
      <c r="AA2" s="861"/>
      <c r="AB2" s="861"/>
      <c r="AC2" s="861"/>
      <c r="AD2" s="861"/>
      <c r="AE2" s="861"/>
      <c r="AF2" s="861"/>
      <c r="AG2" s="861"/>
      <c r="AH2" s="861"/>
      <c r="AI2" s="861"/>
      <c r="AJ2" s="861"/>
      <c r="AK2" s="861"/>
      <c r="AL2" s="861"/>
      <c r="AM2" s="861"/>
      <c r="AN2" s="250"/>
      <c r="AO2" s="861" t="s">
        <v>376</v>
      </c>
      <c r="AP2" s="861"/>
      <c r="AQ2" s="861"/>
      <c r="AR2" s="861"/>
      <c r="AS2" s="861"/>
      <c r="AT2" s="861"/>
      <c r="AU2" s="861"/>
      <c r="AV2" s="861"/>
      <c r="AW2" s="861"/>
      <c r="AX2" s="250"/>
      <c r="AY2" s="251">
        <f>2400000-AS8-AT8-AR8</f>
        <v>4.9999999813735485E-2</v>
      </c>
      <c r="AZ2" s="881" t="s">
        <v>377</v>
      </c>
      <c r="BA2" s="881"/>
      <c r="BB2" s="881"/>
      <c r="BC2" s="881"/>
      <c r="BD2" s="881"/>
      <c r="BE2" s="881"/>
      <c r="BF2" s="881"/>
      <c r="BG2" s="881"/>
      <c r="BH2" s="881"/>
      <c r="BI2" s="881"/>
      <c r="BJ2" s="881"/>
      <c r="BK2" s="881"/>
    </row>
    <row r="3" spans="1:64" s="253" customFormat="1" ht="5.25" customHeight="1" thickBot="1" x14ac:dyDescent="0.3">
      <c r="A3" s="250"/>
      <c r="B3" s="250"/>
      <c r="C3" s="250"/>
      <c r="D3" s="250"/>
      <c r="E3" s="250"/>
      <c r="F3" s="250"/>
      <c r="G3" s="250"/>
      <c r="H3" s="250"/>
      <c r="I3" s="250"/>
      <c r="J3" s="250"/>
      <c r="K3" s="250"/>
      <c r="L3" s="250"/>
      <c r="M3" s="250"/>
      <c r="N3" s="250"/>
      <c r="O3" s="250"/>
      <c r="P3" s="250"/>
      <c r="Q3" s="250"/>
      <c r="R3" s="250"/>
      <c r="S3" s="250"/>
      <c r="T3" s="250"/>
      <c r="U3" s="250"/>
      <c r="V3" s="250"/>
      <c r="W3" s="250"/>
      <c r="X3" s="250"/>
      <c r="Y3" s="250"/>
      <c r="Z3" s="250"/>
      <c r="AA3" s="250"/>
      <c r="AB3" s="250"/>
      <c r="AC3" s="250"/>
      <c r="AD3" s="250"/>
      <c r="AE3" s="250"/>
      <c r="AF3" s="250"/>
      <c r="AG3" s="250"/>
      <c r="AH3" s="250"/>
      <c r="AI3" s="250"/>
      <c r="AJ3" s="250"/>
      <c r="AK3" s="250"/>
      <c r="AL3" s="250"/>
      <c r="AM3" s="250"/>
      <c r="AN3" s="250"/>
      <c r="AO3" s="250"/>
      <c r="AP3" s="250"/>
      <c r="AQ3" s="250"/>
      <c r="AR3" s="250"/>
      <c r="AS3" s="250"/>
      <c r="AT3" s="250"/>
      <c r="AU3" s="250"/>
      <c r="AV3" s="250"/>
      <c r="AW3" s="250"/>
      <c r="AX3" s="250"/>
      <c r="AY3" s="251"/>
      <c r="AZ3" s="252"/>
      <c r="BA3" s="252"/>
      <c r="BB3" s="252"/>
      <c r="BC3" s="252"/>
      <c r="BD3" s="252"/>
      <c r="BE3" s="252"/>
      <c r="BF3" s="252"/>
      <c r="BG3" s="252"/>
      <c r="BH3" s="252"/>
      <c r="BI3" s="252"/>
      <c r="BJ3" s="252"/>
      <c r="BK3" s="252"/>
    </row>
    <row r="4" spans="1:64" s="253" customFormat="1" ht="22.5" hidden="1" customHeight="1" thickBot="1" x14ac:dyDescent="0.3">
      <c r="A4" s="250"/>
      <c r="B4" s="250"/>
      <c r="C4" s="250"/>
      <c r="D4" s="254">
        <f>2500000-D8</f>
        <v>0</v>
      </c>
      <c r="E4" s="250"/>
      <c r="F4" s="250"/>
      <c r="G4" s="250"/>
      <c r="H4" s="254">
        <f>2500000-D8</f>
        <v>0</v>
      </c>
      <c r="I4" s="250"/>
      <c r="J4" s="254">
        <f>7500-J8</f>
        <v>0</v>
      </c>
      <c r="K4" s="250"/>
      <c r="L4" s="250"/>
      <c r="M4" s="250"/>
      <c r="N4" s="250"/>
      <c r="O4" s="250"/>
      <c r="P4" s="250"/>
      <c r="Q4" s="254"/>
      <c r="R4" s="250"/>
      <c r="S4" s="250"/>
      <c r="T4" s="250"/>
      <c r="U4" s="250"/>
      <c r="V4" s="250"/>
      <c r="W4" s="250"/>
      <c r="X4" s="250"/>
      <c r="Y4" s="250"/>
      <c r="Z4" s="250"/>
      <c r="AA4" s="250"/>
      <c r="AB4" s="250"/>
      <c r="AC4" s="250"/>
      <c r="AD4" s="250"/>
      <c r="AE4" s="250"/>
      <c r="AF4" s="250"/>
      <c r="AG4" s="250"/>
      <c r="AH4" s="255">
        <f>AH8+AB8</f>
        <v>1200400</v>
      </c>
      <c r="AI4" s="250"/>
      <c r="AJ4" s="250"/>
      <c r="AK4" s="250"/>
      <c r="AL4" s="250"/>
      <c r="AM4" s="250"/>
      <c r="AN4" s="250"/>
      <c r="AO4" s="250"/>
      <c r="AP4" s="250"/>
      <c r="AQ4" s="250"/>
      <c r="AR4" s="250"/>
      <c r="AS4" s="250"/>
      <c r="AT4" s="250"/>
      <c r="AU4" s="250"/>
      <c r="AV4" s="250"/>
      <c r="AW4" s="250"/>
      <c r="AX4" s="250"/>
      <c r="AY4" s="251"/>
      <c r="AZ4" s="252"/>
      <c r="BA4" s="252"/>
      <c r="BB4" s="252"/>
      <c r="BC4" s="252"/>
      <c r="BD4" s="252"/>
      <c r="BE4" s="252"/>
      <c r="BF4" s="252"/>
      <c r="BG4" s="252"/>
      <c r="BH4" s="252"/>
      <c r="BI4" s="252"/>
      <c r="BJ4" s="252"/>
      <c r="BK4" s="252"/>
    </row>
    <row r="5" spans="1:64" s="256" customFormat="1" ht="19.5" thickTop="1" x14ac:dyDescent="0.25">
      <c r="A5" s="862" t="s">
        <v>378</v>
      </c>
      <c r="B5" s="298"/>
      <c r="C5" s="865" t="s">
        <v>379</v>
      </c>
      <c r="D5" s="868" t="s">
        <v>439</v>
      </c>
      <c r="E5" s="871" t="s">
        <v>859</v>
      </c>
      <c r="F5" s="871"/>
      <c r="G5" s="871"/>
      <c r="H5" s="871" t="s">
        <v>860</v>
      </c>
      <c r="I5" s="871"/>
      <c r="J5" s="871"/>
      <c r="K5" s="871" t="s">
        <v>583</v>
      </c>
      <c r="L5" s="871"/>
      <c r="M5" s="871"/>
      <c r="N5" s="871"/>
      <c r="O5" s="873"/>
      <c r="P5" s="299"/>
      <c r="Q5" s="873" t="s">
        <v>584</v>
      </c>
      <c r="R5" s="874"/>
      <c r="S5" s="874"/>
      <c r="T5" s="874"/>
      <c r="U5" s="874"/>
      <c r="V5" s="873" t="s">
        <v>594</v>
      </c>
      <c r="W5" s="874"/>
      <c r="X5" s="874"/>
      <c r="Y5" s="874"/>
      <c r="Z5" s="874"/>
      <c r="AA5" s="880"/>
      <c r="AB5" s="873" t="s">
        <v>585</v>
      </c>
      <c r="AC5" s="874"/>
      <c r="AD5" s="874"/>
      <c r="AE5" s="874"/>
      <c r="AF5" s="874"/>
      <c r="AG5" s="299"/>
      <c r="AH5" s="871" t="s">
        <v>586</v>
      </c>
      <c r="AI5" s="871"/>
      <c r="AJ5" s="871"/>
      <c r="AK5" s="871"/>
      <c r="AL5" s="871"/>
      <c r="AM5" s="875" t="s">
        <v>101</v>
      </c>
      <c r="AO5" s="882" t="s">
        <v>378</v>
      </c>
      <c r="AP5" s="885" t="s">
        <v>379</v>
      </c>
      <c r="AQ5" s="888" t="s">
        <v>439</v>
      </c>
      <c r="AR5" s="891" t="s">
        <v>381</v>
      </c>
      <c r="AS5" s="892"/>
      <c r="AT5" s="892"/>
      <c r="AU5" s="891" t="s">
        <v>382</v>
      </c>
      <c r="AV5" s="892"/>
      <c r="AW5" s="892"/>
      <c r="AX5" s="257" t="s">
        <v>548</v>
      </c>
      <c r="AZ5" s="258"/>
      <c r="BA5" s="258" t="s">
        <v>379</v>
      </c>
      <c r="BB5" s="258" t="s">
        <v>380</v>
      </c>
      <c r="BC5" s="258" t="s">
        <v>381</v>
      </c>
      <c r="BD5" s="258"/>
      <c r="BE5" s="258"/>
      <c r="BF5" s="258"/>
      <c r="BG5" s="258" t="s">
        <v>382</v>
      </c>
      <c r="BH5" s="258"/>
      <c r="BI5" s="258"/>
      <c r="BJ5" s="258"/>
      <c r="BK5" s="258" t="s">
        <v>101</v>
      </c>
    </row>
    <row r="6" spans="1:64" s="256" customFormat="1" ht="18.75" x14ac:dyDescent="0.2">
      <c r="A6" s="863"/>
      <c r="B6" s="300"/>
      <c r="C6" s="866"/>
      <c r="D6" s="869"/>
      <c r="E6" s="301"/>
      <c r="F6" s="302" t="s">
        <v>179</v>
      </c>
      <c r="G6" s="302" t="s">
        <v>165</v>
      </c>
      <c r="H6" s="301"/>
      <c r="I6" s="302" t="s">
        <v>179</v>
      </c>
      <c r="J6" s="302" t="s">
        <v>165</v>
      </c>
      <c r="K6" s="302"/>
      <c r="L6" s="297" t="s">
        <v>257</v>
      </c>
      <c r="M6" s="297" t="s">
        <v>471</v>
      </c>
      <c r="N6" s="302" t="s">
        <v>179</v>
      </c>
      <c r="O6" s="302" t="s">
        <v>165</v>
      </c>
      <c r="P6" s="303"/>
      <c r="Q6" s="302"/>
      <c r="R6" s="297" t="s">
        <v>257</v>
      </c>
      <c r="S6" s="297" t="s">
        <v>471</v>
      </c>
      <c r="T6" s="302" t="s">
        <v>179</v>
      </c>
      <c r="U6" s="302" t="s">
        <v>165</v>
      </c>
      <c r="V6" s="878" t="s">
        <v>593</v>
      </c>
      <c r="W6" s="879"/>
      <c r="X6" s="878" t="s">
        <v>592</v>
      </c>
      <c r="Y6" s="879"/>
      <c r="Z6" s="878" t="s">
        <v>141</v>
      </c>
      <c r="AA6" s="879"/>
      <c r="AB6" s="302"/>
      <c r="AC6" s="297" t="s">
        <v>257</v>
      </c>
      <c r="AD6" s="297" t="s">
        <v>471</v>
      </c>
      <c r="AE6" s="302" t="s">
        <v>179</v>
      </c>
      <c r="AF6" s="302" t="s">
        <v>165</v>
      </c>
      <c r="AG6" s="303"/>
      <c r="AH6" s="302"/>
      <c r="AI6" s="297" t="s">
        <v>257</v>
      </c>
      <c r="AJ6" s="297" t="s">
        <v>471</v>
      </c>
      <c r="AK6" s="302" t="s">
        <v>179</v>
      </c>
      <c r="AL6" s="302" t="s">
        <v>165</v>
      </c>
      <c r="AM6" s="876"/>
      <c r="AO6" s="883"/>
      <c r="AP6" s="886"/>
      <c r="AQ6" s="889"/>
      <c r="AR6" s="259"/>
      <c r="AU6" s="259"/>
      <c r="AZ6" s="258"/>
      <c r="BA6" s="258"/>
      <c r="BB6" s="258"/>
      <c r="BC6" s="258"/>
      <c r="BD6" s="258"/>
      <c r="BE6" s="258"/>
      <c r="BF6" s="258"/>
      <c r="BG6" s="258"/>
      <c r="BH6" s="258"/>
      <c r="BI6" s="258"/>
      <c r="BJ6" s="258"/>
      <c r="BK6" s="258"/>
    </row>
    <row r="7" spans="1:64" s="256" customFormat="1" ht="18.75" x14ac:dyDescent="0.25">
      <c r="A7" s="864"/>
      <c r="B7" s="303"/>
      <c r="C7" s="867"/>
      <c r="D7" s="870"/>
      <c r="E7" s="306" t="s">
        <v>440</v>
      </c>
      <c r="F7" s="306" t="s">
        <v>441</v>
      </c>
      <c r="G7" s="306" t="s">
        <v>442</v>
      </c>
      <c r="H7" s="306" t="s">
        <v>108</v>
      </c>
      <c r="I7" s="306" t="s">
        <v>518</v>
      </c>
      <c r="J7" s="306" t="s">
        <v>20</v>
      </c>
      <c r="K7" s="304" t="s">
        <v>166</v>
      </c>
      <c r="L7" s="307"/>
      <c r="M7" s="308"/>
      <c r="N7" s="306" t="s">
        <v>517</v>
      </c>
      <c r="O7" s="304" t="s">
        <v>472</v>
      </c>
      <c r="P7" s="305"/>
      <c r="Q7" s="304" t="s">
        <v>166</v>
      </c>
      <c r="R7" s="307"/>
      <c r="S7" s="308"/>
      <c r="T7" s="306" t="s">
        <v>517</v>
      </c>
      <c r="U7" s="304" t="s">
        <v>472</v>
      </c>
      <c r="V7" s="306" t="s">
        <v>166</v>
      </c>
      <c r="W7" s="306" t="s">
        <v>322</v>
      </c>
      <c r="X7" s="306" t="s">
        <v>592</v>
      </c>
      <c r="Y7" s="306" t="s">
        <v>322</v>
      </c>
      <c r="Z7" s="306" t="s">
        <v>141</v>
      </c>
      <c r="AA7" s="304" t="s">
        <v>322</v>
      </c>
      <c r="AB7" s="304" t="s">
        <v>166</v>
      </c>
      <c r="AC7" s="307"/>
      <c r="AD7" s="308"/>
      <c r="AE7" s="306" t="s">
        <v>517</v>
      </c>
      <c r="AF7" s="304" t="s">
        <v>472</v>
      </c>
      <c r="AG7" s="305"/>
      <c r="AH7" s="304" t="s">
        <v>166</v>
      </c>
      <c r="AI7" s="307"/>
      <c r="AJ7" s="308"/>
      <c r="AK7" s="306" t="s">
        <v>517</v>
      </c>
      <c r="AL7" s="306" t="s">
        <v>472</v>
      </c>
      <c r="AM7" s="877"/>
      <c r="AO7" s="884"/>
      <c r="AP7" s="887"/>
      <c r="AQ7" s="890"/>
      <c r="AR7" s="260" t="s">
        <v>383</v>
      </c>
      <c r="AS7" s="260" t="s">
        <v>324</v>
      </c>
      <c r="AT7" s="260" t="s">
        <v>374</v>
      </c>
      <c r="AU7" s="260" t="s">
        <v>385</v>
      </c>
      <c r="AV7" s="260" t="s">
        <v>207</v>
      </c>
      <c r="AW7" s="260" t="s">
        <v>20</v>
      </c>
      <c r="AZ7" s="258"/>
      <c r="BA7" s="258"/>
      <c r="BB7" s="258"/>
      <c r="BC7" s="258" t="s">
        <v>383</v>
      </c>
      <c r="BD7" s="258" t="s">
        <v>324</v>
      </c>
      <c r="BE7" s="258" t="s">
        <v>374</v>
      </c>
      <c r="BF7" s="258" t="s">
        <v>384</v>
      </c>
      <c r="BG7" s="258" t="s">
        <v>385</v>
      </c>
      <c r="BH7" s="258" t="s">
        <v>207</v>
      </c>
      <c r="BI7" s="258" t="s">
        <v>20</v>
      </c>
      <c r="BJ7" s="258" t="s">
        <v>386</v>
      </c>
      <c r="BK7" s="258"/>
    </row>
    <row r="8" spans="1:64" s="250" customFormat="1" ht="20.25" x14ac:dyDescent="0.25">
      <c r="A8" s="309"/>
      <c r="B8" s="310"/>
      <c r="C8" s="311" t="s">
        <v>387</v>
      </c>
      <c r="D8" s="239">
        <f>SUM(D9:D28)</f>
        <v>2500000</v>
      </c>
      <c r="E8" s="239">
        <f>SUM(E9:E28)</f>
        <v>2216300</v>
      </c>
      <c r="F8" s="239">
        <f t="shared" ref="F8:AL8" si="0">SUM(F9:F28)</f>
        <v>273000</v>
      </c>
      <c r="G8" s="239">
        <f t="shared" si="0"/>
        <v>10700</v>
      </c>
      <c r="H8" s="239">
        <f t="shared" si="0"/>
        <v>32900</v>
      </c>
      <c r="I8" s="312">
        <f t="shared" si="0"/>
        <v>25400</v>
      </c>
      <c r="J8" s="312">
        <f t="shared" si="0"/>
        <v>7500</v>
      </c>
      <c r="K8" s="239">
        <f>SUM(K9:K28)+200</f>
        <v>623000</v>
      </c>
      <c r="L8" s="239">
        <f t="shared" si="0"/>
        <v>551200</v>
      </c>
      <c r="M8" s="239">
        <f t="shared" si="0"/>
        <v>71900</v>
      </c>
      <c r="N8" s="239">
        <f t="shared" si="0"/>
        <v>6460</v>
      </c>
      <c r="O8" s="245">
        <f t="shared" si="0"/>
        <v>1939</v>
      </c>
      <c r="P8" s="244">
        <f>SUM(P9:P28)</f>
        <v>0</v>
      </c>
      <c r="Q8" s="239">
        <f>SUM(Q9:Q28)+400</f>
        <v>676300</v>
      </c>
      <c r="R8" s="239">
        <f t="shared" si="0"/>
        <v>592600</v>
      </c>
      <c r="S8" s="239">
        <f t="shared" si="0"/>
        <v>83300</v>
      </c>
      <c r="T8" s="240">
        <f t="shared" si="0"/>
        <v>7250</v>
      </c>
      <c r="U8" s="241">
        <f t="shared" si="0"/>
        <v>2058</v>
      </c>
      <c r="V8" s="240">
        <f>K8+Q8</f>
        <v>1299300</v>
      </c>
      <c r="W8" s="242">
        <f>V8*100/D8</f>
        <v>51.972000000000001</v>
      </c>
      <c r="X8" s="240">
        <f>N8+T8</f>
        <v>13710</v>
      </c>
      <c r="Y8" s="242">
        <f>X8*100/I8</f>
        <v>53.976377952755904</v>
      </c>
      <c r="Z8" s="240">
        <f>O8+U8</f>
        <v>3997</v>
      </c>
      <c r="AA8" s="242">
        <f>Z8*100/J8</f>
        <v>53.293333333333337</v>
      </c>
      <c r="AB8" s="239">
        <f>SUM(AB9:AB28)</f>
        <v>606100</v>
      </c>
      <c r="AC8" s="239">
        <f t="shared" si="0"/>
        <v>531400</v>
      </c>
      <c r="AD8" s="239">
        <f t="shared" si="0"/>
        <v>74700</v>
      </c>
      <c r="AE8" s="239">
        <f t="shared" si="0"/>
        <v>6693</v>
      </c>
      <c r="AF8" s="239">
        <f t="shared" si="0"/>
        <v>1828</v>
      </c>
      <c r="AG8" s="239">
        <f t="shared" si="0"/>
        <v>0</v>
      </c>
      <c r="AH8" s="239">
        <f>SUM(AH9:AH28)-600</f>
        <v>594300</v>
      </c>
      <c r="AI8" s="239">
        <f t="shared" si="0"/>
        <v>541100</v>
      </c>
      <c r="AJ8" s="239">
        <f t="shared" si="0"/>
        <v>53800</v>
      </c>
      <c r="AK8" s="239">
        <f t="shared" si="0"/>
        <v>4997</v>
      </c>
      <c r="AL8" s="239">
        <f t="shared" si="0"/>
        <v>1600</v>
      </c>
      <c r="AM8" s="313"/>
      <c r="AN8" s="250" t="s">
        <v>322</v>
      </c>
      <c r="AO8" s="261"/>
      <c r="AP8" s="262" t="s">
        <v>387</v>
      </c>
      <c r="AQ8" s="263">
        <v>2399999.9500000002</v>
      </c>
      <c r="AR8" s="264">
        <v>2106000</v>
      </c>
      <c r="AS8" s="264">
        <v>281530</v>
      </c>
      <c r="AT8" s="264">
        <v>12469.95</v>
      </c>
      <c r="AU8" s="264">
        <v>25409.9</v>
      </c>
      <c r="AV8" s="264">
        <v>2004</v>
      </c>
      <c r="AW8" s="264">
        <v>7300</v>
      </c>
      <c r="AX8" s="254"/>
      <c r="AZ8" s="262"/>
      <c r="BA8" s="262" t="s">
        <v>387</v>
      </c>
      <c r="BB8" s="262">
        <v>2500000.3199999998</v>
      </c>
      <c r="BC8" s="262">
        <v>2211100</v>
      </c>
      <c r="BD8" s="262">
        <v>275300</v>
      </c>
      <c r="BE8" s="262">
        <v>13600.32</v>
      </c>
      <c r="BF8" s="262">
        <v>0</v>
      </c>
      <c r="BG8" s="262">
        <v>26325</v>
      </c>
      <c r="BH8" s="262">
        <v>2842</v>
      </c>
      <c r="BI8" s="262">
        <v>7300</v>
      </c>
      <c r="BJ8" s="262">
        <v>0</v>
      </c>
      <c r="BK8" s="262"/>
    </row>
    <row r="9" spans="1:64" s="268" customFormat="1" ht="19.5" x14ac:dyDescent="0.35">
      <c r="A9" s="314">
        <v>1</v>
      </c>
      <c r="B9" s="315" t="s">
        <v>285</v>
      </c>
      <c r="C9" s="316" t="s">
        <v>389</v>
      </c>
      <c r="D9" s="317">
        <f>SUM(E9:G9)</f>
        <v>179000</v>
      </c>
      <c r="E9" s="213">
        <f t="shared" ref="E9:E15" si="1">SUM(L9,R9,AC9,AI9)</f>
        <v>170100</v>
      </c>
      <c r="F9" s="217">
        <f>SUMIFS(KH_ĐL!$L:$L,KH_ĐL!$CF:$CF,$B9&amp;F$6)</f>
        <v>8700</v>
      </c>
      <c r="G9" s="217">
        <f>SUMIFS(KH_ĐL!$L:$L,KH_ĐL!$CF:$CF,$B9&amp;G$6)</f>
        <v>200</v>
      </c>
      <c r="H9" s="214">
        <f>SUM(I9:J9)</f>
        <v>1001</v>
      </c>
      <c r="I9" s="217">
        <f>SUMIFS(KH_ĐL!$I:$I,KH_ĐL!$CF:$CF,$B9&amp;I$6)</f>
        <v>896</v>
      </c>
      <c r="J9" s="217">
        <f>SUMIFS(KH_ĐL!$I:$I,KH_ĐL!$CF:$CF,$B9&amp;J$6)</f>
        <v>105</v>
      </c>
      <c r="K9" s="217">
        <f>SUM(L9:M9)</f>
        <v>44700</v>
      </c>
      <c r="L9" s="217">
        <f>SUMIFS(KH_LC!$AA:$AA,KH_LC!$AQ:$AQ,$B9&amp;L$6)</f>
        <v>41800</v>
      </c>
      <c r="M9" s="217">
        <f>SUMIFS(KH_LC!$AA:$AA,KH_LC!$AQ:$AQ,$B9&amp;M$6)</f>
        <v>2900</v>
      </c>
      <c r="N9" s="217">
        <f>SUMIFS(KH_ĐL!$V:$V,KH_ĐL!$CF:$CF,$B9&amp;N$6)</f>
        <v>290</v>
      </c>
      <c r="O9" s="217">
        <f>SUMIFS(KH_ĐL!$V:$V,KH_ĐL!$CF:$CF,$B9&amp;O$6)</f>
        <v>40</v>
      </c>
      <c r="P9" s="235"/>
      <c r="Q9" s="217">
        <f>SUM(R9:S9)</f>
        <v>49100</v>
      </c>
      <c r="R9" s="217">
        <f>SUMIFS(KH_LC!$AE:$AE,KH_LC!$AQ:$AQ,$B9&amp;R$6)</f>
        <v>47300</v>
      </c>
      <c r="S9" s="217">
        <f>SUMIFS(KH_LC!$AE:$AE,KH_LC!$AQ:$AQ,$B9&amp;S$6)</f>
        <v>1800</v>
      </c>
      <c r="T9" s="238">
        <f>SUMIFS(KH_ĐL!$AH:$AH,KH_ĐL!$CF:$CF,$B9&amp;T$6)</f>
        <v>195</v>
      </c>
      <c r="U9" s="238">
        <f>SUMIFS(KH_ĐL!$AH:$AH,KH_ĐL!$CF:$CF,$B9&amp;U$6)</f>
        <v>0</v>
      </c>
      <c r="V9" s="243">
        <f t="shared" ref="V9:V27" si="2">K9+Q9</f>
        <v>93800</v>
      </c>
      <c r="W9" s="243"/>
      <c r="X9" s="243">
        <f t="shared" ref="X9:X27" si="3">N9+T9</f>
        <v>485</v>
      </c>
      <c r="Y9" s="213"/>
      <c r="Z9" s="243">
        <f t="shared" ref="Z9:Z27" si="4">O9+U9</f>
        <v>40</v>
      </c>
      <c r="AA9" s="213"/>
      <c r="AB9" s="217">
        <f>SUM(AC9:AD9)</f>
        <v>44100</v>
      </c>
      <c r="AC9" s="217">
        <f>SUMIFS(KH_LC!$AI:$AI,KH_LC!$AQ:$AQ,$B9&amp;AC$6)</f>
        <v>41400</v>
      </c>
      <c r="AD9" s="217">
        <f>SUMIFS(KH_LC!$AI:$AI,KH_LC!$AQ:$AQ,$B9&amp;AD$6)</f>
        <v>2700</v>
      </c>
      <c r="AE9" s="217">
        <f>SUMIFS(KH_ĐL!$AT:$AT,KH_ĐL!$CF:$CF,$B9&amp;AE$6)</f>
        <v>271</v>
      </c>
      <c r="AF9" s="217">
        <f>SUMIFS(KH_ĐL!$AT:$AT,KH_ĐL!$CF:$CF,$B9&amp;AF$6)</f>
        <v>0</v>
      </c>
      <c r="AG9" s="235"/>
      <c r="AH9" s="217">
        <f>SUM(AI9:AJ9)</f>
        <v>41100</v>
      </c>
      <c r="AI9" s="217">
        <f>SUMIFS(KH_LC!$AM:$AM,KH_LC!$AQ:$AQ,$B9&amp;AI$6)</f>
        <v>39600</v>
      </c>
      <c r="AJ9" s="217">
        <f>SUMIFS(KH_LC!$AM:$AM,KH_LC!$AQ:$AQ,$B9&amp;AJ$6)</f>
        <v>1500</v>
      </c>
      <c r="AK9" s="217">
        <f>SUMIFS(KH_ĐL!$BF:$BF,KH_ĐL!$CF:$CF,$B9&amp;AK$6)</f>
        <v>140</v>
      </c>
      <c r="AL9" s="217">
        <f>SUMIFS(KH_ĐL!$BF:$BF,KH_ĐL!$CF:$CF,$B9&amp;AL$6)</f>
        <v>65</v>
      </c>
      <c r="AM9" s="318"/>
      <c r="AN9" s="250" t="s">
        <v>322</v>
      </c>
      <c r="AO9" s="265">
        <v>1</v>
      </c>
      <c r="AP9" s="266" t="s">
        <v>389</v>
      </c>
      <c r="AQ9" s="267">
        <v>150600</v>
      </c>
      <c r="AR9" s="213">
        <v>148000</v>
      </c>
      <c r="AS9" s="214">
        <v>1300</v>
      </c>
      <c r="AT9" s="214">
        <v>1277.7</v>
      </c>
      <c r="AU9" s="214">
        <v>125</v>
      </c>
      <c r="AV9" s="214">
        <v>0</v>
      </c>
      <c r="AW9" s="214">
        <v>360</v>
      </c>
      <c r="AX9" s="228">
        <f>AU9+AW9</f>
        <v>485</v>
      </c>
      <c r="AY9" s="268" t="s">
        <v>390</v>
      </c>
      <c r="AZ9" s="269" t="s">
        <v>388</v>
      </c>
      <c r="BA9" s="269" t="s">
        <v>389</v>
      </c>
      <c r="BB9" s="269">
        <v>200500</v>
      </c>
      <c r="BC9" s="269">
        <v>195900</v>
      </c>
      <c r="BD9" s="269">
        <v>3600</v>
      </c>
      <c r="BE9" s="269">
        <v>1008</v>
      </c>
      <c r="BF9" s="269">
        <v>0</v>
      </c>
      <c r="BG9" s="269">
        <v>383</v>
      </c>
      <c r="BH9" s="269">
        <v>21</v>
      </c>
      <c r="BI9" s="269">
        <v>390</v>
      </c>
      <c r="BJ9" s="269">
        <v>0</v>
      </c>
      <c r="BK9" s="269"/>
      <c r="BL9" s="268" cm="1">
        <f t="array" ref="BL9:BL34">_xlfn.UNIQUE(KH_ĐL!CC:CC)</f>
        <v>0</v>
      </c>
    </row>
    <row r="10" spans="1:64" s="268" customFormat="1" ht="19.5" x14ac:dyDescent="0.35">
      <c r="A10" s="319">
        <v>2</v>
      </c>
      <c r="B10" s="315" t="s">
        <v>286</v>
      </c>
      <c r="C10" s="320" t="s">
        <v>392</v>
      </c>
      <c r="D10" s="317">
        <f t="shared" ref="D10:D27" si="5">SUM(E10:G10)</f>
        <v>165000</v>
      </c>
      <c r="E10" s="213">
        <f t="shared" si="1"/>
        <v>162300</v>
      </c>
      <c r="F10" s="217">
        <f>SUMIFS(KH_ĐL!$L:$L,KH_ĐL!$CF:$CF,$B10&amp;F$6)-100</f>
        <v>2400</v>
      </c>
      <c r="G10" s="217">
        <f>SUMIFS(KH_ĐL!$L:$L,KH_ĐL!$CF:$CF,$B10&amp;G$6)</f>
        <v>300</v>
      </c>
      <c r="H10" s="214">
        <f t="shared" ref="H10:H27" si="6">SUM(I10:J10)</f>
        <v>550</v>
      </c>
      <c r="I10" s="217">
        <f>SUMIFS(KH_ĐL!$I:$I,KH_ĐL!$CF:$CF,$B10&amp;I$6)</f>
        <v>267</v>
      </c>
      <c r="J10" s="217">
        <f>SUMIFS(KH_ĐL!$I:$I,KH_ĐL!$CF:$CF,$B10&amp;J$6)</f>
        <v>283</v>
      </c>
      <c r="K10" s="217">
        <f t="shared" ref="K10:K27" si="7">SUM(L10:M10)</f>
        <v>39500</v>
      </c>
      <c r="L10" s="217">
        <f>SUMIFS(KH_LC!$AA:$AA,KH_LC!$AQ:$AQ,$B10&amp;L$6)</f>
        <v>37500</v>
      </c>
      <c r="M10" s="217">
        <f>SUMIFS(KH_LC!$AA:$AA,KH_LC!$AQ:$AQ,$B10&amp;M$6)</f>
        <v>2000</v>
      </c>
      <c r="N10" s="217">
        <f>SUMIFS(KH_ĐL!$V:$V,KH_ĐL!$CF:$CF,$B10&amp;N$6)</f>
        <v>167</v>
      </c>
      <c r="O10" s="217">
        <f>SUMIFS(KH_ĐL!$V:$V,KH_ĐL!$CF:$CF,$B10&amp;O$6)</f>
        <v>43</v>
      </c>
      <c r="P10" s="235"/>
      <c r="Q10" s="217">
        <f t="shared" ref="Q10:Q27" si="8">SUM(R10:S10)</f>
        <v>44500</v>
      </c>
      <c r="R10" s="217">
        <f>SUMIFS(KH_LC!$AE:$AE,KH_LC!$AQ:$AQ,$B10&amp;R$6)</f>
        <v>43800</v>
      </c>
      <c r="S10" s="217">
        <f>SUMIFS(KH_LC!$AE:$AE,KH_LC!$AQ:$AQ,$B10&amp;S$6)</f>
        <v>700</v>
      </c>
      <c r="T10" s="238">
        <f>SUMIFS(KH_ĐL!$AH:$AH,KH_ĐL!$CF:$CF,$B10&amp;T$6)</f>
        <v>100</v>
      </c>
      <c r="U10" s="238">
        <f>SUMIFS(KH_ĐL!$AH:$AH,KH_ĐL!$CF:$CF,$B10&amp;U$6)</f>
        <v>90</v>
      </c>
      <c r="V10" s="243">
        <f t="shared" si="2"/>
        <v>84000</v>
      </c>
      <c r="W10" s="243"/>
      <c r="X10" s="243">
        <f t="shared" si="3"/>
        <v>267</v>
      </c>
      <c r="Y10" s="213"/>
      <c r="Z10" s="243">
        <f t="shared" si="4"/>
        <v>133</v>
      </c>
      <c r="AA10" s="213"/>
      <c r="AB10" s="217">
        <f t="shared" ref="AB10:AB27" si="9">SUM(AC10:AD10)</f>
        <v>41400</v>
      </c>
      <c r="AC10" s="217">
        <f>SUMIFS(KH_LC!$AI:$AI,KH_LC!$AQ:$AQ,$B10&amp;AC$6)</f>
        <v>41400</v>
      </c>
      <c r="AD10" s="217">
        <f>SUMIFS(KH_LC!$AI:$AI,KH_LC!$AQ:$AQ,$B10&amp;AD$6)</f>
        <v>0</v>
      </c>
      <c r="AE10" s="217">
        <f>SUMIFS(KH_ĐL!$AT:$AT,KH_ĐL!$CF:$CF,$B10&amp;AE$6)</f>
        <v>0</v>
      </c>
      <c r="AF10" s="217">
        <f>SUMIFS(KH_ĐL!$AT:$AT,KH_ĐL!$CF:$CF,$B10&amp;AF$6)</f>
        <v>75</v>
      </c>
      <c r="AG10" s="235"/>
      <c r="AH10" s="217">
        <f t="shared" ref="AH10:AH27" si="10">SUM(AI10:AJ10)</f>
        <v>39600</v>
      </c>
      <c r="AI10" s="217">
        <f>SUMIFS(KH_LC!$AM:$AM,KH_LC!$AQ:$AQ,$B10&amp;AI$6)</f>
        <v>39600</v>
      </c>
      <c r="AJ10" s="217">
        <f>SUMIFS(KH_LC!$AM:$AM,KH_LC!$AQ:$AQ,$B10&amp;AJ$6)</f>
        <v>0</v>
      </c>
      <c r="AK10" s="217">
        <f>SUMIFS(KH_ĐL!$BF:$BF,KH_ĐL!$CF:$CF,$B10&amp;AK$6)</f>
        <v>0</v>
      </c>
      <c r="AL10" s="217">
        <f>SUMIFS(KH_ĐL!$BF:$BF,KH_ĐL!$CF:$CF,$B10&amp;AL$6)</f>
        <v>75</v>
      </c>
      <c r="AM10" s="321"/>
      <c r="AO10" s="271">
        <v>2</v>
      </c>
      <c r="AP10" s="270" t="s">
        <v>392</v>
      </c>
      <c r="AQ10" s="267">
        <v>136100</v>
      </c>
      <c r="AR10" s="213">
        <v>132000</v>
      </c>
      <c r="AS10" s="214">
        <v>3700</v>
      </c>
      <c r="AT10" s="214">
        <v>390</v>
      </c>
      <c r="AU10" s="214">
        <v>401</v>
      </c>
      <c r="AV10" s="214">
        <v>0</v>
      </c>
      <c r="AW10" s="214">
        <v>150</v>
      </c>
      <c r="AX10" s="228">
        <f t="shared" ref="AX10:AX26" si="11">AU10+AW10</f>
        <v>551</v>
      </c>
      <c r="AY10" s="268" t="s">
        <v>393</v>
      </c>
      <c r="AZ10" s="269" t="s">
        <v>391</v>
      </c>
      <c r="BA10" s="269" t="s">
        <v>392</v>
      </c>
      <c r="BB10" s="269">
        <v>130100</v>
      </c>
      <c r="BC10" s="269">
        <v>125000</v>
      </c>
      <c r="BD10" s="269">
        <v>4400</v>
      </c>
      <c r="BE10" s="269">
        <v>720</v>
      </c>
      <c r="BF10" s="269">
        <v>0</v>
      </c>
      <c r="BG10" s="269">
        <v>445</v>
      </c>
      <c r="BH10" s="269">
        <v>217</v>
      </c>
      <c r="BI10" s="269">
        <v>200</v>
      </c>
      <c r="BJ10" s="269">
        <v>0</v>
      </c>
      <c r="BK10" s="269"/>
      <c r="BL10" s="268" t="str">
        <v>Lọc khai thác: PX&amp;KT</v>
      </c>
    </row>
    <row r="11" spans="1:64" s="268" customFormat="1" ht="19.5" x14ac:dyDescent="0.35">
      <c r="A11" s="319">
        <v>3</v>
      </c>
      <c r="B11" s="315" t="s">
        <v>287</v>
      </c>
      <c r="C11" s="320" t="s">
        <v>395</v>
      </c>
      <c r="D11" s="317">
        <f t="shared" si="5"/>
        <v>125100</v>
      </c>
      <c r="E11" s="213">
        <f t="shared" si="1"/>
        <v>115400</v>
      </c>
      <c r="F11" s="217">
        <f>SUMIFS(KH_ĐL!$L:$L,KH_ĐL!$CF:$CF,$B11&amp;F$6)-100</f>
        <v>9500</v>
      </c>
      <c r="G11" s="217">
        <f>SUMIFS(KH_ĐL!$L:$L,KH_ĐL!$CF:$CF,$B11&amp;G$6)+100</f>
        <v>200</v>
      </c>
      <c r="H11" s="214">
        <f t="shared" si="6"/>
        <v>1107</v>
      </c>
      <c r="I11" s="217">
        <f>SUMIFS(KH_ĐL!$I:$I,KH_ĐL!$CF:$CF,$B11&amp;I$6)</f>
        <v>957</v>
      </c>
      <c r="J11" s="217">
        <f>SUMIFS(KH_ĐL!$I:$I,KH_ĐL!$CF:$CF,$B11&amp;J$6)</f>
        <v>150</v>
      </c>
      <c r="K11" s="217">
        <f t="shared" si="7"/>
        <v>28400</v>
      </c>
      <c r="L11" s="217">
        <f>SUMIFS(KH_LC!$AA:$AA,KH_LC!$AQ:$AQ,$B11&amp;L$6)</f>
        <v>23700</v>
      </c>
      <c r="M11" s="217">
        <f>SUMIFS(KH_LC!$AA:$AA,KH_LC!$AQ:$AQ,$B11&amp;M$6)</f>
        <v>4700</v>
      </c>
      <c r="N11" s="217">
        <f>SUMIFS(KH_ĐL!$V:$V,KH_ĐL!$CF:$CF,$B11&amp;N$6)</f>
        <v>459</v>
      </c>
      <c r="O11" s="217">
        <f>SUMIFS(KH_ĐL!$V:$V,KH_ĐL!$CF:$CF,$B11&amp;O$6)</f>
        <v>75</v>
      </c>
      <c r="P11" s="235"/>
      <c r="Q11" s="217">
        <f t="shared" si="8"/>
        <v>35000</v>
      </c>
      <c r="R11" s="217">
        <f>SUMIFS(KH_LC!$AE:$AE,KH_LC!$AQ:$AQ,$B11&amp;R$6)</f>
        <v>32400</v>
      </c>
      <c r="S11" s="217">
        <f>SUMIFS(KH_LC!$AE:$AE,KH_LC!$AQ:$AQ,$B11&amp;S$6)</f>
        <v>2600</v>
      </c>
      <c r="T11" s="238">
        <f>SUMIFS(KH_ĐL!$AH:$AH,KH_ĐL!$CF:$CF,$B11&amp;T$6)</f>
        <v>290</v>
      </c>
      <c r="U11" s="238">
        <f>SUMIFS(KH_ĐL!$AH:$AH,KH_ĐL!$CF:$CF,$B11&amp;U$6)</f>
        <v>0</v>
      </c>
      <c r="V11" s="243">
        <f t="shared" si="2"/>
        <v>63400</v>
      </c>
      <c r="W11" s="243"/>
      <c r="X11" s="243">
        <f t="shared" si="3"/>
        <v>749</v>
      </c>
      <c r="Y11" s="213"/>
      <c r="Z11" s="243">
        <f t="shared" si="4"/>
        <v>75</v>
      </c>
      <c r="AA11" s="213"/>
      <c r="AB11" s="217">
        <f t="shared" si="9"/>
        <v>37000</v>
      </c>
      <c r="AC11" s="217">
        <f>SUMIFS(KH_LC!$AI:$AI,KH_LC!$AQ:$AQ,$B11&amp;AC$6)</f>
        <v>34800</v>
      </c>
      <c r="AD11" s="217">
        <f>SUMIFS(KH_LC!$AI:$AI,KH_LC!$AQ:$AQ,$B11&amp;AD$6)</f>
        <v>2200</v>
      </c>
      <c r="AE11" s="217">
        <f>SUMIFS(KH_ĐL!$AT:$AT,KH_ĐL!$CF:$CF,$B11&amp;AE$6)</f>
        <v>193</v>
      </c>
      <c r="AF11" s="217">
        <f>SUMIFS(KH_ĐL!$AT:$AT,KH_ĐL!$CF:$CF,$B11&amp;AF$6)</f>
        <v>0</v>
      </c>
      <c r="AG11" s="235"/>
      <c r="AH11" s="217">
        <f t="shared" si="10"/>
        <v>24700</v>
      </c>
      <c r="AI11" s="217">
        <f>SUMIFS(KH_LC!$AM:$AM,KH_LC!$AQ:$AQ,$B11&amp;AI$6)</f>
        <v>24500</v>
      </c>
      <c r="AJ11" s="217">
        <f>SUMIFS(KH_LC!$AM:$AM,KH_LC!$AQ:$AQ,$B11&amp;AJ$6)</f>
        <v>200</v>
      </c>
      <c r="AK11" s="217">
        <f>SUMIFS(KH_ĐL!$BF:$BF,KH_ĐL!$CF:$CF,$B11&amp;AK$6)</f>
        <v>15</v>
      </c>
      <c r="AL11" s="217">
        <f>SUMIFS(KH_ĐL!$BF:$BF,KH_ĐL!$CF:$CF,$B11&amp;AL$6)</f>
        <v>0</v>
      </c>
      <c r="AM11" s="322"/>
      <c r="AN11" s="272"/>
      <c r="AO11" s="271">
        <v>3</v>
      </c>
      <c r="AP11" s="270" t="s">
        <v>395</v>
      </c>
      <c r="AQ11" s="267">
        <v>165600</v>
      </c>
      <c r="AR11" s="213">
        <v>157000</v>
      </c>
      <c r="AS11" s="214">
        <v>6800</v>
      </c>
      <c r="AT11" s="214">
        <v>1836</v>
      </c>
      <c r="AU11" s="214">
        <v>555</v>
      </c>
      <c r="AV11" s="214">
        <v>0</v>
      </c>
      <c r="AW11" s="214">
        <v>626</v>
      </c>
      <c r="AX11" s="228">
        <f t="shared" si="11"/>
        <v>1181</v>
      </c>
      <c r="AY11" s="268" t="s">
        <v>397</v>
      </c>
      <c r="AZ11" s="269" t="s">
        <v>394</v>
      </c>
      <c r="BA11" s="269" t="s">
        <v>395</v>
      </c>
      <c r="BB11" s="269">
        <v>210600</v>
      </c>
      <c r="BC11" s="269">
        <v>207000</v>
      </c>
      <c r="BD11" s="269">
        <v>2100</v>
      </c>
      <c r="BE11" s="269">
        <v>1494</v>
      </c>
      <c r="BF11" s="269">
        <v>0</v>
      </c>
      <c r="BG11" s="269">
        <v>198</v>
      </c>
      <c r="BH11" s="269">
        <v>0</v>
      </c>
      <c r="BI11" s="269">
        <v>515</v>
      </c>
      <c r="BJ11" s="269">
        <v>0</v>
      </c>
      <c r="BK11" s="269" t="s">
        <v>396</v>
      </c>
      <c r="BL11" s="268" t="str">
        <v>Lọc đào lò: PX&amp;ĐL&amp; Lò</v>
      </c>
    </row>
    <row r="12" spans="1:64" s="268" customFormat="1" ht="19.5" x14ac:dyDescent="0.35">
      <c r="A12" s="319">
        <v>4</v>
      </c>
      <c r="B12" s="315" t="s">
        <v>520</v>
      </c>
      <c r="C12" s="320" t="s">
        <v>524</v>
      </c>
      <c r="D12" s="317">
        <f t="shared" si="5"/>
        <v>181800</v>
      </c>
      <c r="E12" s="213">
        <f t="shared" si="1"/>
        <v>179900</v>
      </c>
      <c r="F12" s="217">
        <f>SUMIFS(KH_ĐL!$L:$L,KH_ĐL!$CF:$CF,$B12&amp;F$6)-200</f>
        <v>1400</v>
      </c>
      <c r="G12" s="217">
        <f>SUMIFS(KH_ĐL!$L:$L,KH_ĐL!$CF:$CF,$B12&amp;G$6)</f>
        <v>500</v>
      </c>
      <c r="H12" s="214">
        <f t="shared" si="6"/>
        <v>552</v>
      </c>
      <c r="I12" s="217">
        <f>SUMIFS(KH_ĐL!$I:$I,KH_ĐL!$CF:$CF,$B12&amp;I$6)</f>
        <v>242</v>
      </c>
      <c r="J12" s="217">
        <f>SUMIFS(KH_ĐL!$I:$I,KH_ĐL!$CF:$CF,$B12&amp;J$6)</f>
        <v>310</v>
      </c>
      <c r="K12" s="217">
        <f t="shared" si="7"/>
        <v>48600</v>
      </c>
      <c r="L12" s="217">
        <f>SUMIFS(KH_LC!$AA:$AA,KH_LC!$AQ:$AQ,$B12&amp;L$6)</f>
        <v>47600</v>
      </c>
      <c r="M12" s="217">
        <f>SUMIFS(KH_LC!$AA:$AA,KH_LC!$AQ:$AQ,$B12&amp;M$6)</f>
        <v>1000</v>
      </c>
      <c r="N12" s="217">
        <f>SUMIFS(KH_ĐL!$V:$V,KH_ĐL!$CF:$CF,$B12&amp;N$6)</f>
        <v>118</v>
      </c>
      <c r="O12" s="217">
        <f>SUMIFS(KH_ĐL!$V:$V,KH_ĐL!$CF:$CF,$B12&amp;O$6)</f>
        <v>110</v>
      </c>
      <c r="P12" s="235"/>
      <c r="Q12" s="217">
        <f t="shared" si="8"/>
        <v>45400</v>
      </c>
      <c r="R12" s="217">
        <f>SUMIFS(KH_LC!$AE:$AE,KH_LC!$AQ:$AQ,$B12&amp;R$6)</f>
        <v>44500</v>
      </c>
      <c r="S12" s="217">
        <f>SUMIFS(KH_LC!$AE:$AE,KH_LC!$AQ:$AQ,$B12&amp;S$6)</f>
        <v>900</v>
      </c>
      <c r="T12" s="238">
        <f>SUMIFS(KH_ĐL!$AH:$AH,KH_ĐL!$CF:$CF,$B12&amp;T$6)</f>
        <v>124</v>
      </c>
      <c r="U12" s="238">
        <f>SUMIFS(KH_ĐL!$AH:$AH,KH_ĐL!$CF:$CF,$B12&amp;U$6)</f>
        <v>100</v>
      </c>
      <c r="V12" s="243">
        <f t="shared" si="2"/>
        <v>94000</v>
      </c>
      <c r="W12" s="243"/>
      <c r="X12" s="243">
        <f t="shared" si="3"/>
        <v>242</v>
      </c>
      <c r="Y12" s="213"/>
      <c r="Z12" s="243">
        <f t="shared" si="4"/>
        <v>210</v>
      </c>
      <c r="AA12" s="213"/>
      <c r="AB12" s="217">
        <f t="shared" si="9"/>
        <v>44500</v>
      </c>
      <c r="AC12" s="217">
        <f>SUMIFS(KH_LC!$AI:$AI,KH_LC!$AQ:$AQ,$B12&amp;AC$6)</f>
        <v>44500</v>
      </c>
      <c r="AD12" s="217">
        <f>SUMIFS(KH_LC!$AI:$AI,KH_LC!$AQ:$AQ,$B12&amp;AD$6)</f>
        <v>0</v>
      </c>
      <c r="AE12" s="217">
        <f>SUMIFS(KH_ĐL!$AT:$AT,KH_ĐL!$CF:$CF,$B12&amp;AE$6)</f>
        <v>0</v>
      </c>
      <c r="AF12" s="217">
        <f>SUMIFS(KH_ĐL!$AT:$AT,KH_ĐL!$CF:$CF,$B12&amp;AF$6)</f>
        <v>40</v>
      </c>
      <c r="AG12" s="235"/>
      <c r="AH12" s="217">
        <f t="shared" si="10"/>
        <v>43300</v>
      </c>
      <c r="AI12" s="217">
        <f>SUMIFS(KH_LC!$AM:$AM,KH_LC!$AQ:$AQ,$B12&amp;AI$6)</f>
        <v>43300</v>
      </c>
      <c r="AJ12" s="217">
        <f>SUMIFS(KH_LC!$AM:$AM,KH_LC!$AQ:$AQ,$B12&amp;AJ$6)</f>
        <v>0</v>
      </c>
      <c r="AK12" s="217">
        <f>SUMIFS(KH_ĐL!$BF:$BF,KH_ĐL!$CF:$CF,$B12&amp;AK$6)</f>
        <v>0</v>
      </c>
      <c r="AL12" s="217">
        <f>SUMIFS(KH_ĐL!$BF:$BF,KH_ĐL!$CF:$CF,$B12&amp;AL$6)</f>
        <v>60</v>
      </c>
      <c r="AM12" s="323"/>
      <c r="AN12" s="273"/>
      <c r="AO12" s="271">
        <v>4</v>
      </c>
      <c r="AP12" s="270" t="s">
        <v>399</v>
      </c>
      <c r="AQ12" s="267">
        <v>157800</v>
      </c>
      <c r="AR12" s="213">
        <v>155000</v>
      </c>
      <c r="AS12" s="214">
        <v>2500</v>
      </c>
      <c r="AT12" s="214">
        <v>265.2</v>
      </c>
      <c r="AU12" s="214">
        <v>263</v>
      </c>
      <c r="AV12" s="214">
        <v>0</v>
      </c>
      <c r="AW12" s="214">
        <v>118</v>
      </c>
      <c r="AX12" s="228">
        <f t="shared" si="11"/>
        <v>381</v>
      </c>
      <c r="AY12" s="268" t="s">
        <v>400</v>
      </c>
      <c r="AZ12" s="269" t="s">
        <v>398</v>
      </c>
      <c r="BA12" s="269" t="s">
        <v>399</v>
      </c>
      <c r="BB12" s="269">
        <v>162200</v>
      </c>
      <c r="BC12" s="269">
        <v>160000</v>
      </c>
      <c r="BD12" s="269">
        <v>1000</v>
      </c>
      <c r="BE12" s="269">
        <v>1170</v>
      </c>
      <c r="BF12" s="269">
        <v>0</v>
      </c>
      <c r="BG12" s="269">
        <v>122</v>
      </c>
      <c r="BH12" s="269">
        <v>0</v>
      </c>
      <c r="BI12" s="269">
        <v>325</v>
      </c>
      <c r="BJ12" s="269">
        <v>0</v>
      </c>
      <c r="BK12" s="269"/>
      <c r="BL12" s="268" t="str">
        <v>Lọc xén lò: PX&amp;XL&amp; Xé</v>
      </c>
    </row>
    <row r="13" spans="1:64" s="268" customFormat="1" ht="19.5" x14ac:dyDescent="0.35">
      <c r="A13" s="319">
        <v>5</v>
      </c>
      <c r="B13" s="315" t="s">
        <v>288</v>
      </c>
      <c r="C13" s="320" t="s">
        <v>402</v>
      </c>
      <c r="D13" s="317">
        <f t="shared" si="5"/>
        <v>130400</v>
      </c>
      <c r="E13" s="213">
        <f t="shared" si="1"/>
        <v>128000</v>
      </c>
      <c r="F13" s="217">
        <f>SUMIFS(KH_ĐL!$L:$L,KH_ĐL!$CF:$CF,$B13&amp;F$6)+100</f>
        <v>2100</v>
      </c>
      <c r="G13" s="217">
        <f>SUMIFS(KH_ĐL!$L:$L,KH_ĐL!$CF:$CF,$B13&amp;G$6)</f>
        <v>300</v>
      </c>
      <c r="H13" s="214">
        <f t="shared" si="6"/>
        <v>400</v>
      </c>
      <c r="I13" s="217">
        <f>SUMIFS(KH_ĐL!$I:$I,KH_ĐL!$CF:$CF,$B13&amp;I$6)</f>
        <v>250</v>
      </c>
      <c r="J13" s="217">
        <f>SUMIFS(KH_ĐL!$I:$I,KH_ĐL!$CF:$CF,$B13&amp;J$6)</f>
        <v>150</v>
      </c>
      <c r="K13" s="217">
        <f t="shared" si="7"/>
        <v>31600</v>
      </c>
      <c r="L13" s="217">
        <f>SUMIFS(KH_LC!$AA:$AA,KH_LC!$AQ:$AQ,$B13&amp;L$6)</f>
        <v>30100</v>
      </c>
      <c r="M13" s="217">
        <f>SUMIFS(KH_LC!$AA:$AA,KH_LC!$AQ:$AQ,$B13&amp;M$6)</f>
        <v>1500</v>
      </c>
      <c r="N13" s="217">
        <f>SUMIFS(KH_ĐL!$V:$V,KH_ĐL!$CF:$CF,$B13&amp;N$6)</f>
        <v>153</v>
      </c>
      <c r="O13" s="217">
        <f>SUMIFS(KH_ĐL!$V:$V,KH_ĐL!$CF:$CF,$B13&amp;O$6)</f>
        <v>115</v>
      </c>
      <c r="P13" s="235"/>
      <c r="Q13" s="217">
        <f t="shared" si="8"/>
        <v>36000</v>
      </c>
      <c r="R13" s="217">
        <f>SUMIFS(KH_LC!$AE:$AE,KH_LC!$AQ:$AQ,$B13&amp;R$6)</f>
        <v>35500</v>
      </c>
      <c r="S13" s="217">
        <f>SUMIFS(KH_LC!$AE:$AE,KH_LC!$AQ:$AQ,$B13&amp;S$6)</f>
        <v>500</v>
      </c>
      <c r="T13" s="238">
        <f>SUMIFS(KH_ĐL!$AH:$AH,KH_ĐL!$CF:$CF,$B13&amp;T$6)</f>
        <v>65</v>
      </c>
      <c r="U13" s="238">
        <f>SUMIFS(KH_ĐL!$AH:$AH,KH_ĐL!$CF:$CF,$B13&amp;U$6)</f>
        <v>35</v>
      </c>
      <c r="V13" s="243">
        <f t="shared" si="2"/>
        <v>67600</v>
      </c>
      <c r="W13" s="243"/>
      <c r="X13" s="243">
        <f t="shared" si="3"/>
        <v>218</v>
      </c>
      <c r="Y13" s="213"/>
      <c r="Z13" s="243">
        <f t="shared" si="4"/>
        <v>150</v>
      </c>
      <c r="AA13" s="213"/>
      <c r="AB13" s="217">
        <f t="shared" si="9"/>
        <v>32800</v>
      </c>
      <c r="AC13" s="217">
        <f>SUMIFS(KH_LC!$AI:$AI,KH_LC!$AQ:$AQ,$B13&amp;AC$6)</f>
        <v>32400</v>
      </c>
      <c r="AD13" s="217">
        <f>SUMIFS(KH_LC!$AI:$AI,KH_LC!$AQ:$AQ,$B13&amp;AD$6)</f>
        <v>400</v>
      </c>
      <c r="AE13" s="217">
        <f>SUMIFS(KH_ĐL!$AT:$AT,KH_ĐL!$CF:$CF,$B13&amp;AE$6)</f>
        <v>32</v>
      </c>
      <c r="AF13" s="217">
        <f>SUMIFS(KH_ĐL!$AT:$AT,KH_ĐL!$CF:$CF,$B13&amp;AF$6)</f>
        <v>0</v>
      </c>
      <c r="AG13" s="235"/>
      <c r="AH13" s="217">
        <f t="shared" si="10"/>
        <v>30000</v>
      </c>
      <c r="AI13" s="217">
        <f>SUMIFS(KH_LC!$AM:$AM,KH_LC!$AQ:$AQ,$B13&amp;AI$6)</f>
        <v>30000</v>
      </c>
      <c r="AJ13" s="217">
        <f>SUMIFS(KH_LC!$AM:$AM,KH_LC!$AQ:$AQ,$B13&amp;AJ$6)</f>
        <v>0</v>
      </c>
      <c r="AK13" s="217">
        <f>SUMIFS(KH_ĐL!$BF:$BF,KH_ĐL!$CF:$CF,$B13&amp;AK$6)</f>
        <v>0</v>
      </c>
      <c r="AL13" s="217">
        <f>SUMIFS(KH_ĐL!$BF:$BF,KH_ĐL!$CF:$CF,$B13&amp;AL$6)</f>
        <v>0</v>
      </c>
      <c r="AM13" s="323"/>
      <c r="AN13" s="273"/>
      <c r="AO13" s="271">
        <v>5</v>
      </c>
      <c r="AP13" s="270" t="s">
        <v>402</v>
      </c>
      <c r="AQ13" s="267">
        <v>151200</v>
      </c>
      <c r="AR13" s="213">
        <v>146000</v>
      </c>
      <c r="AS13" s="214">
        <v>4300</v>
      </c>
      <c r="AT13" s="214">
        <v>850.2</v>
      </c>
      <c r="AU13" s="214">
        <v>447</v>
      </c>
      <c r="AV13" s="214">
        <v>0</v>
      </c>
      <c r="AW13" s="214">
        <v>268</v>
      </c>
      <c r="AX13" s="228">
        <f t="shared" si="11"/>
        <v>715</v>
      </c>
      <c r="AY13" s="268" t="s">
        <v>403</v>
      </c>
      <c r="AZ13" s="269" t="s">
        <v>401</v>
      </c>
      <c r="BA13" s="269" t="s">
        <v>402</v>
      </c>
      <c r="BB13" s="269">
        <v>157600</v>
      </c>
      <c r="BC13" s="274">
        <v>151500</v>
      </c>
      <c r="BD13" s="269">
        <v>5600</v>
      </c>
      <c r="BE13" s="269">
        <v>468</v>
      </c>
      <c r="BF13" s="269">
        <v>0</v>
      </c>
      <c r="BG13" s="269">
        <v>557</v>
      </c>
      <c r="BH13" s="269">
        <v>0</v>
      </c>
      <c r="BI13" s="269">
        <v>130</v>
      </c>
      <c r="BJ13" s="269">
        <v>0</v>
      </c>
      <c r="BK13" s="269"/>
      <c r="BL13" s="268" t="str">
        <v>T7</v>
      </c>
    </row>
    <row r="14" spans="1:64" s="268" customFormat="1" ht="19.5" x14ac:dyDescent="0.35">
      <c r="A14" s="319">
        <v>6</v>
      </c>
      <c r="B14" s="315" t="s">
        <v>289</v>
      </c>
      <c r="C14" s="320" t="s">
        <v>405</v>
      </c>
      <c r="D14" s="317">
        <f t="shared" si="5"/>
        <v>176300</v>
      </c>
      <c r="E14" s="213">
        <f t="shared" si="1"/>
        <v>170000</v>
      </c>
      <c r="F14" s="217">
        <f>SUMIFS(KH_ĐL!$L:$L,KH_ĐL!$CF:$CF,$B14&amp;F$6)-300</f>
        <v>6000</v>
      </c>
      <c r="G14" s="217">
        <f>SUMIFS(KH_ĐL!$L:$L,KH_ĐL!$CF:$CF,$B14&amp;G$6)</f>
        <v>300</v>
      </c>
      <c r="H14" s="214">
        <f t="shared" si="6"/>
        <v>785</v>
      </c>
      <c r="I14" s="217">
        <f>SUMIFS(KH_ĐL!$I:$I,KH_ĐL!$CF:$CF,$B14&amp;I$6)</f>
        <v>640</v>
      </c>
      <c r="J14" s="217">
        <f>SUMIFS(KH_ĐL!$I:$I,KH_ĐL!$CF:$CF,$B14&amp;J$6)</f>
        <v>145</v>
      </c>
      <c r="K14" s="217">
        <f t="shared" si="7"/>
        <v>46000</v>
      </c>
      <c r="L14" s="217">
        <f>SUMIFS(KH_LC!$AA:$AA,KH_LC!$AQ:$AQ,$B14&amp;L$6)</f>
        <v>44000</v>
      </c>
      <c r="M14" s="217">
        <f>SUMIFS(KH_LC!$AA:$AA,KH_LC!$AQ:$AQ,$B14&amp;M$6)</f>
        <v>2000</v>
      </c>
      <c r="N14" s="217">
        <f>SUMIFS(KH_ĐL!$V:$V,KH_ĐL!$CF:$CF,$B14&amp;N$6)</f>
        <v>230</v>
      </c>
      <c r="O14" s="217">
        <f>SUMIFS(KH_ĐL!$V:$V,KH_ĐL!$CF:$CF,$B14&amp;O$6)</f>
        <v>15</v>
      </c>
      <c r="P14" s="235"/>
      <c r="Q14" s="217">
        <f t="shared" si="8"/>
        <v>51600</v>
      </c>
      <c r="R14" s="217">
        <f>SUMIFS(KH_LC!$AE:$AE,KH_LC!$AQ:$AQ,$B14&amp;R$6)</f>
        <v>49300</v>
      </c>
      <c r="S14" s="217">
        <f>SUMIFS(KH_LC!$AE:$AE,KH_LC!$AQ:$AQ,$B14&amp;S$6)</f>
        <v>2300</v>
      </c>
      <c r="T14" s="238">
        <f>SUMIFS(KH_ĐL!$AH:$AH,KH_ĐL!$CF:$CF,$B14&amp;T$6)</f>
        <v>195</v>
      </c>
      <c r="U14" s="238">
        <f>SUMIFS(KH_ĐL!$AH:$AH,KH_ĐL!$CF:$CF,$B14&amp;U$6)</f>
        <v>30</v>
      </c>
      <c r="V14" s="243">
        <f t="shared" si="2"/>
        <v>97600</v>
      </c>
      <c r="W14" s="243"/>
      <c r="X14" s="243">
        <f t="shared" si="3"/>
        <v>425</v>
      </c>
      <c r="Y14" s="213"/>
      <c r="Z14" s="243">
        <f t="shared" si="4"/>
        <v>45</v>
      </c>
      <c r="AA14" s="213"/>
      <c r="AB14" s="217">
        <f t="shared" si="9"/>
        <v>40000</v>
      </c>
      <c r="AC14" s="217">
        <f>SUMIFS(KH_LC!$AI:$AI,KH_LC!$AQ:$AQ,$B14&amp;AC$6)</f>
        <v>38300</v>
      </c>
      <c r="AD14" s="217">
        <f>SUMIFS(KH_LC!$AI:$AI,KH_LC!$AQ:$AQ,$B14&amp;AD$6)</f>
        <v>1700</v>
      </c>
      <c r="AE14" s="217">
        <f>SUMIFS(KH_ĐL!$AT:$AT,KH_ĐL!$CF:$CF,$B14&amp;AE$6)</f>
        <v>175</v>
      </c>
      <c r="AF14" s="217">
        <f>SUMIFS(KH_ĐL!$AT:$AT,KH_ĐL!$CF:$CF,$B14&amp;AF$6)</f>
        <v>40</v>
      </c>
      <c r="AG14" s="235"/>
      <c r="AH14" s="217">
        <f t="shared" si="10"/>
        <v>38700</v>
      </c>
      <c r="AI14" s="217">
        <f>SUMIFS(KH_LC!$AM:$AM,KH_LC!$AQ:$AQ,$B14&amp;AI$6)</f>
        <v>38400</v>
      </c>
      <c r="AJ14" s="217">
        <f>SUMIFS(KH_LC!$AM:$AM,KH_LC!$AQ:$AQ,$B14&amp;AJ$6)</f>
        <v>300</v>
      </c>
      <c r="AK14" s="217">
        <f>SUMIFS(KH_ĐL!$BF:$BF,KH_ĐL!$CF:$CF,$B14&amp;AK$6)</f>
        <v>40</v>
      </c>
      <c r="AL14" s="217">
        <f>SUMIFS(KH_ĐL!$BF:$BF,KH_ĐL!$CF:$CF,$B14&amp;AL$6)</f>
        <v>60</v>
      </c>
      <c r="AM14" s="323"/>
      <c r="AN14" s="273"/>
      <c r="AO14" s="271">
        <v>6</v>
      </c>
      <c r="AP14" s="270" t="s">
        <v>405</v>
      </c>
      <c r="AQ14" s="267">
        <v>167500</v>
      </c>
      <c r="AR14" s="213">
        <v>165000</v>
      </c>
      <c r="AS14" s="214">
        <v>2100</v>
      </c>
      <c r="AT14" s="214">
        <v>390</v>
      </c>
      <c r="AU14" s="214">
        <v>193</v>
      </c>
      <c r="AV14" s="214">
        <v>0</v>
      </c>
      <c r="AW14" s="214">
        <v>200</v>
      </c>
      <c r="AX14" s="228">
        <f t="shared" si="11"/>
        <v>393</v>
      </c>
      <c r="AY14" s="268" t="s">
        <v>406</v>
      </c>
      <c r="AZ14" s="269" t="s">
        <v>404</v>
      </c>
      <c r="BA14" s="269" t="s">
        <v>405</v>
      </c>
      <c r="BB14" s="269">
        <v>155300</v>
      </c>
      <c r="BC14" s="269">
        <v>150000</v>
      </c>
      <c r="BD14" s="269">
        <v>4200</v>
      </c>
      <c r="BE14" s="269">
        <v>1116</v>
      </c>
      <c r="BF14" s="269">
        <v>0</v>
      </c>
      <c r="BG14" s="269">
        <v>471</v>
      </c>
      <c r="BH14" s="269">
        <v>0</v>
      </c>
      <c r="BI14" s="269">
        <v>389</v>
      </c>
      <c r="BJ14" s="269">
        <v>0</v>
      </c>
      <c r="BK14" s="269"/>
      <c r="BL14" s="268" t="str">
        <v>KHÔNG XÓA</v>
      </c>
    </row>
    <row r="15" spans="1:64" s="268" customFormat="1" ht="19.5" x14ac:dyDescent="0.35">
      <c r="A15" s="319">
        <v>7</v>
      </c>
      <c r="B15" s="315" t="s">
        <v>290</v>
      </c>
      <c r="C15" s="320" t="s">
        <v>407</v>
      </c>
      <c r="D15" s="317">
        <f t="shared" si="5"/>
        <v>346100</v>
      </c>
      <c r="E15" s="213">
        <f t="shared" si="1"/>
        <v>340000</v>
      </c>
      <c r="F15" s="217">
        <f>SUMIFS(KH_ĐL!$L:$L,KH_ĐL!$CF:$CF,$B15&amp;F$6)</f>
        <v>5800</v>
      </c>
      <c r="G15" s="217">
        <f>SUMIFS(KH_ĐL!$L:$L,KH_ĐL!$CF:$CF,$B15&amp;G$6)</f>
        <v>300</v>
      </c>
      <c r="H15" s="214">
        <f t="shared" si="6"/>
        <v>537</v>
      </c>
      <c r="I15" s="217">
        <f>SUMIFS(KH_ĐL!$I:$I,KH_ĐL!$CF:$CF,$B15&amp;I$6)</f>
        <v>370</v>
      </c>
      <c r="J15" s="217">
        <f>SUMIFS(KH_ĐL!$I:$I,KH_ĐL!$CF:$CF,$B15&amp;J$6)</f>
        <v>167</v>
      </c>
      <c r="K15" s="217">
        <f t="shared" si="7"/>
        <v>90800</v>
      </c>
      <c r="L15" s="217">
        <f>SUMIFS(KH_LC!$AA:$AA,KH_LC!$AQ:$AQ,$B15&amp;L$6)</f>
        <v>88300</v>
      </c>
      <c r="M15" s="217">
        <f>SUMIFS(KH_LC!$AA:$AA,KH_LC!$AQ:$AQ,$B15&amp;M$6)</f>
        <v>2500</v>
      </c>
      <c r="N15" s="217">
        <f>SUMIFS(KH_ĐL!$V:$V,KH_ĐL!$CF:$CF,$B15&amp;N$6)</f>
        <v>145</v>
      </c>
      <c r="O15" s="217">
        <f>SUMIFS(KH_ĐL!$V:$V,KH_ĐL!$CF:$CF,$B15&amp;O$6)</f>
        <v>70</v>
      </c>
      <c r="P15" s="235"/>
      <c r="Q15" s="217">
        <f t="shared" si="8"/>
        <v>75000</v>
      </c>
      <c r="R15" s="217">
        <f>SUMIFS(KH_LC!$AE:$AE,KH_LC!$AQ:$AQ,$B15&amp;R$6)</f>
        <v>72600</v>
      </c>
      <c r="S15" s="217">
        <f>SUMIFS(KH_LC!$AE:$AE,KH_LC!$AQ:$AQ,$B15&amp;S$6)</f>
        <v>2400</v>
      </c>
      <c r="T15" s="238">
        <f>SUMIFS(KH_ĐL!$AH:$AH,KH_ĐL!$CF:$CF,$B15&amp;T$6)</f>
        <v>170</v>
      </c>
      <c r="U15" s="238">
        <f>SUMIFS(KH_ĐL!$AH:$AH,KH_ĐL!$CF:$CF,$B15&amp;U$6)</f>
        <v>25</v>
      </c>
      <c r="V15" s="243">
        <f t="shared" si="2"/>
        <v>165800</v>
      </c>
      <c r="W15" s="243"/>
      <c r="X15" s="243">
        <f t="shared" si="3"/>
        <v>315</v>
      </c>
      <c r="Y15" s="213"/>
      <c r="Z15" s="243">
        <f t="shared" si="4"/>
        <v>95</v>
      </c>
      <c r="AA15" s="213"/>
      <c r="AB15" s="217">
        <f t="shared" si="9"/>
        <v>102600</v>
      </c>
      <c r="AC15" s="217">
        <f>SUMIFS(KH_LC!$AI:$AI,KH_LC!$AQ:$AQ,$B15&amp;AC$6)</f>
        <v>101400</v>
      </c>
      <c r="AD15" s="217">
        <f>SUMIFS(KH_LC!$AI:$AI,KH_LC!$AQ:$AQ,$B15&amp;AD$6)</f>
        <v>1200</v>
      </c>
      <c r="AE15" s="217">
        <f>SUMIFS(KH_ĐL!$AT:$AT,KH_ĐL!$CF:$CF,$B15&amp;AE$6)</f>
        <v>55</v>
      </c>
      <c r="AF15" s="217">
        <f>SUMIFS(KH_ĐL!$AT:$AT,KH_ĐL!$CF:$CF,$B15&amp;AF$6)</f>
        <v>72</v>
      </c>
      <c r="AG15" s="235"/>
      <c r="AH15" s="217">
        <f t="shared" si="10"/>
        <v>77700</v>
      </c>
      <c r="AI15" s="217">
        <f>SUMIFS(KH_LC!$AM:$AM,KH_LC!$AQ:$AQ,$B15&amp;AI$6)</f>
        <v>77700</v>
      </c>
      <c r="AJ15" s="217">
        <f>SUMIFS(KH_LC!$AM:$AM,KH_LC!$AQ:$AQ,$B15&amp;AJ$6)</f>
        <v>0</v>
      </c>
      <c r="AK15" s="217">
        <f>SUMIFS(KH_ĐL!$BF:$BF,KH_ĐL!$CF:$CF,$B15&amp;AK$6)</f>
        <v>0</v>
      </c>
      <c r="AL15" s="217">
        <f>SUMIFS(KH_ĐL!$BF:$BF,KH_ĐL!$CF:$CF,$B15&amp;AL$6)</f>
        <v>0</v>
      </c>
      <c r="AM15" s="323"/>
      <c r="AN15" s="273"/>
      <c r="AO15" s="271">
        <v>7</v>
      </c>
      <c r="AP15" s="270" t="s">
        <v>407</v>
      </c>
      <c r="AQ15" s="267">
        <v>330100</v>
      </c>
      <c r="AR15" s="213">
        <v>328000</v>
      </c>
      <c r="AS15" s="214">
        <v>2100</v>
      </c>
      <c r="AT15" s="214">
        <v>0</v>
      </c>
      <c r="AU15" s="214">
        <v>140</v>
      </c>
      <c r="AV15" s="214">
        <v>140</v>
      </c>
      <c r="AW15" s="214">
        <v>0</v>
      </c>
      <c r="AX15" s="228">
        <f t="shared" si="11"/>
        <v>140</v>
      </c>
      <c r="AY15" s="268" t="s">
        <v>189</v>
      </c>
      <c r="AZ15" s="269" t="s">
        <v>408</v>
      </c>
      <c r="BA15" s="269" t="s">
        <v>407</v>
      </c>
      <c r="BB15" s="269">
        <v>350200</v>
      </c>
      <c r="BC15" s="269">
        <v>345500</v>
      </c>
      <c r="BD15" s="269">
        <v>4000</v>
      </c>
      <c r="BE15" s="269">
        <v>702</v>
      </c>
      <c r="BF15" s="269">
        <v>0</v>
      </c>
      <c r="BG15" s="269">
        <v>240</v>
      </c>
      <c r="BH15" s="269">
        <v>240</v>
      </c>
      <c r="BI15" s="269">
        <v>226</v>
      </c>
      <c r="BJ15" s="269">
        <v>0</v>
      </c>
      <c r="BK15" s="269" t="s">
        <v>409</v>
      </c>
      <c r="BL15" s="268" t="str">
        <v>PX</v>
      </c>
    </row>
    <row r="16" spans="1:64" s="294" customFormat="1" ht="19.5" x14ac:dyDescent="0.35">
      <c r="A16" s="319">
        <v>8</v>
      </c>
      <c r="B16" s="315" t="s">
        <v>291</v>
      </c>
      <c r="C16" s="320" t="s">
        <v>410</v>
      </c>
      <c r="D16" s="317">
        <f t="shared" si="5"/>
        <v>434600</v>
      </c>
      <c r="E16" s="213">
        <f>SUM(L16,R16,AC16,AI16)</f>
        <v>430000</v>
      </c>
      <c r="F16" s="217">
        <f>SUMIFS(KH_ĐL!$L:$L,KH_ĐL!$CF:$CF,$B16&amp;F$6)+200</f>
        <v>4200</v>
      </c>
      <c r="G16" s="217">
        <f>SUMIFS(KH_ĐL!$L:$L,KH_ĐL!$CF:$CF,$B16&amp;G$6)</f>
        <v>400</v>
      </c>
      <c r="H16" s="214">
        <f t="shared" si="6"/>
        <v>485</v>
      </c>
      <c r="I16" s="217">
        <f>SUMIFS(KH_ĐL!$I:$I,KH_ĐL!$CF:$CF,$B16&amp;I$6)</f>
        <v>240</v>
      </c>
      <c r="J16" s="217">
        <f>SUMIFS(KH_ĐL!$I:$I,KH_ĐL!$CF:$CF,$B16&amp;J$6)</f>
        <v>245</v>
      </c>
      <c r="K16" s="217">
        <f t="shared" si="7"/>
        <v>106100</v>
      </c>
      <c r="L16" s="217">
        <f>SUMIFS(KH_LC!$AA:$AA,KH_LC!$AQ:$AQ,$B16&amp;L$6)</f>
        <v>103800</v>
      </c>
      <c r="M16" s="217">
        <f>SUMIFS(KH_LC!$AA:$AA,KH_LC!$AQ:$AQ,$B16&amp;M$6)</f>
        <v>2300</v>
      </c>
      <c r="N16" s="217">
        <f>SUMIFS(KH_ĐL!$V:$V,KH_ĐL!$CF:$CF,$B16&amp;N$6)</f>
        <v>120</v>
      </c>
      <c r="O16" s="217">
        <f>SUMIFS(KH_ĐL!$V:$V,KH_ĐL!$CF:$CF,$B16&amp;O$6)</f>
        <v>55</v>
      </c>
      <c r="P16" s="235"/>
      <c r="Q16" s="217">
        <f t="shared" si="8"/>
        <v>129600</v>
      </c>
      <c r="R16" s="217">
        <f>SUMIFS(KH_LC!$AE:$AE,KH_LC!$AQ:$AQ,$B16&amp;R$6)</f>
        <v>129600</v>
      </c>
      <c r="S16" s="217">
        <f>SUMIFS(KH_LC!$AE:$AE,KH_LC!$AQ:$AQ,$B16&amp;S$6)</f>
        <v>0</v>
      </c>
      <c r="T16" s="238">
        <f>SUMIFS(KH_ĐL!$AH:$AH,KH_ĐL!$CF:$CF,$B16&amp;T$6)</f>
        <v>0</v>
      </c>
      <c r="U16" s="238">
        <f>SUMIFS(KH_ĐL!$AH:$AH,KH_ĐL!$CF:$CF,$B16&amp;U$6)</f>
        <v>15</v>
      </c>
      <c r="V16" s="243">
        <f t="shared" si="2"/>
        <v>235700</v>
      </c>
      <c r="W16" s="243"/>
      <c r="X16" s="243">
        <f t="shared" si="3"/>
        <v>120</v>
      </c>
      <c r="Y16" s="213"/>
      <c r="Z16" s="243">
        <f t="shared" si="4"/>
        <v>70</v>
      </c>
      <c r="AA16" s="213"/>
      <c r="AB16" s="217">
        <f t="shared" si="9"/>
        <v>75800</v>
      </c>
      <c r="AC16" s="217">
        <f>SUMIFS(KH_LC!$AI:$AI,KH_LC!$AQ:$AQ,$B16&amp;AC$6)</f>
        <v>73600</v>
      </c>
      <c r="AD16" s="217">
        <f>SUMIFS(KH_LC!$AI:$AI,KH_LC!$AQ:$AQ,$B16&amp;AD$6)</f>
        <v>2200</v>
      </c>
      <c r="AE16" s="217">
        <f>SUMIFS(KH_ĐL!$AT:$AT,KH_ĐL!$CF:$CF,$B16&amp;AE$6)</f>
        <v>120</v>
      </c>
      <c r="AF16" s="217">
        <f>SUMIFS(KH_ĐL!$AT:$AT,KH_ĐL!$CF:$CF,$B16&amp;AF$6)</f>
        <v>100</v>
      </c>
      <c r="AG16" s="235"/>
      <c r="AH16" s="217">
        <f t="shared" si="10"/>
        <v>123100</v>
      </c>
      <c r="AI16" s="217">
        <f>SUMIFS(KH_LC!$AM:$AM,KH_LC!$AQ:$AQ,$B16&amp;AI$6)</f>
        <v>123000</v>
      </c>
      <c r="AJ16" s="217">
        <f>SUMIFS(KH_LC!$AM:$AM,KH_LC!$AQ:$AQ,$B16&amp;AJ$6)</f>
        <v>100</v>
      </c>
      <c r="AK16" s="217">
        <f>SUMIFS(KH_ĐL!$BF:$BF,KH_ĐL!$CF:$CF,$B16&amp;AK$6)</f>
        <v>0</v>
      </c>
      <c r="AL16" s="217">
        <f>SUMIFS(KH_ĐL!$BF:$BF,KH_ĐL!$CF:$CF,$B16&amp;AL$6)</f>
        <v>75</v>
      </c>
      <c r="AM16" s="323"/>
      <c r="AN16" s="290"/>
      <c r="AO16" s="291">
        <v>8</v>
      </c>
      <c r="AP16" s="287" t="s">
        <v>410</v>
      </c>
      <c r="AQ16" s="292">
        <v>439300</v>
      </c>
      <c r="AR16" s="288">
        <v>433000</v>
      </c>
      <c r="AS16" s="289">
        <v>6300</v>
      </c>
      <c r="AT16" s="289">
        <v>0</v>
      </c>
      <c r="AU16" s="289">
        <v>360</v>
      </c>
      <c r="AV16" s="289">
        <v>360</v>
      </c>
      <c r="AW16" s="289">
        <v>0</v>
      </c>
      <c r="AX16" s="293">
        <f t="shared" si="11"/>
        <v>360</v>
      </c>
      <c r="AY16" s="294" t="s">
        <v>27</v>
      </c>
      <c r="AZ16" s="295" t="s">
        <v>411</v>
      </c>
      <c r="BA16" s="295" t="s">
        <v>410</v>
      </c>
      <c r="BB16" s="295">
        <v>403100</v>
      </c>
      <c r="BC16" s="295">
        <v>401000</v>
      </c>
      <c r="BD16" s="295">
        <v>1700</v>
      </c>
      <c r="BE16" s="295">
        <v>360</v>
      </c>
      <c r="BF16" s="295">
        <v>0</v>
      </c>
      <c r="BG16" s="295">
        <v>110</v>
      </c>
      <c r="BH16" s="295">
        <v>110</v>
      </c>
      <c r="BI16" s="295">
        <v>150</v>
      </c>
      <c r="BJ16" s="295">
        <v>0</v>
      </c>
      <c r="BK16" s="295" t="s">
        <v>412</v>
      </c>
      <c r="BL16" s="294" t="str">
        <v>KT1.</v>
      </c>
    </row>
    <row r="17" spans="1:64" s="268" customFormat="1" ht="19.5" x14ac:dyDescent="0.35">
      <c r="A17" s="319">
        <v>9</v>
      </c>
      <c r="B17" s="315" t="s">
        <v>292</v>
      </c>
      <c r="C17" s="320" t="s">
        <v>414</v>
      </c>
      <c r="D17" s="317">
        <f t="shared" si="5"/>
        <v>176400</v>
      </c>
      <c r="E17" s="213">
        <f t="shared" ref="E17:E27" si="12">SUM(L17,R17,AC17,AI17)</f>
        <v>173700</v>
      </c>
      <c r="F17" s="217">
        <f>SUMIFS(KH_ĐL!$L:$L,KH_ĐL!$CF:$CF,$B17&amp;F$6)-100</f>
        <v>2400</v>
      </c>
      <c r="G17" s="217">
        <f>SUMIFS(KH_ĐL!$L:$L,KH_ĐL!$CF:$CF,$B17&amp;G$6)</f>
        <v>300</v>
      </c>
      <c r="H17" s="214">
        <f t="shared" si="6"/>
        <v>521</v>
      </c>
      <c r="I17" s="217">
        <f>SUMIFS(KH_ĐL!$I:$I,KH_ĐL!$CF:$CF,$B17&amp;I$6)</f>
        <v>281</v>
      </c>
      <c r="J17" s="217">
        <f>SUMIFS(KH_ĐL!$I:$I,KH_ĐL!$CF:$CF,$B17&amp;J$6)</f>
        <v>240</v>
      </c>
      <c r="K17" s="217">
        <f t="shared" si="7"/>
        <v>46700</v>
      </c>
      <c r="L17" s="217">
        <f>SUMIFS(KH_LC!$AA:$AA,KH_LC!$AQ:$AQ,$B17&amp;L$6)</f>
        <v>46600</v>
      </c>
      <c r="M17" s="217">
        <f>SUMIFS(KH_LC!$AA:$AA,KH_LC!$AQ:$AQ,$B17&amp;M$6)</f>
        <v>100</v>
      </c>
      <c r="N17" s="217">
        <f>SUMIFS(KH_ĐL!$V:$V,KH_ĐL!$CF:$CF,$B17&amp;N$6)</f>
        <v>20</v>
      </c>
      <c r="O17" s="217">
        <f>SUMIFS(KH_ĐL!$V:$V,KH_ĐL!$CF:$CF,$B17&amp;O$6)</f>
        <v>105</v>
      </c>
      <c r="P17" s="235"/>
      <c r="Q17" s="217">
        <f t="shared" si="8"/>
        <v>51300</v>
      </c>
      <c r="R17" s="217">
        <f>SUMIFS(KH_LC!$AE:$AE,KH_LC!$AQ:$AQ,$B17&amp;R$6)</f>
        <v>51200</v>
      </c>
      <c r="S17" s="217">
        <f>SUMIFS(KH_LC!$AE:$AE,KH_LC!$AQ:$AQ,$B17&amp;S$6)</f>
        <v>100</v>
      </c>
      <c r="T17" s="238">
        <f>SUMIFS(KH_ĐL!$AH:$AH,KH_ĐL!$CF:$CF,$B17&amp;T$6)</f>
        <v>0</v>
      </c>
      <c r="U17" s="238">
        <f>SUMIFS(KH_ĐL!$AH:$AH,KH_ĐL!$CF:$CF,$B17&amp;U$6)</f>
        <v>100</v>
      </c>
      <c r="V17" s="243">
        <f t="shared" si="2"/>
        <v>98000</v>
      </c>
      <c r="W17" s="243"/>
      <c r="X17" s="243">
        <f t="shared" si="3"/>
        <v>20</v>
      </c>
      <c r="Y17" s="213"/>
      <c r="Z17" s="243">
        <f t="shared" si="4"/>
        <v>205</v>
      </c>
      <c r="AA17" s="213"/>
      <c r="AB17" s="217">
        <f t="shared" si="9"/>
        <v>35300</v>
      </c>
      <c r="AC17" s="217">
        <f>SUMIFS(KH_LC!$AI:$AI,KH_LC!$AQ:$AQ,$B17&amp;AC$6)</f>
        <v>33800</v>
      </c>
      <c r="AD17" s="217">
        <f>SUMIFS(KH_LC!$AI:$AI,KH_LC!$AQ:$AQ,$B17&amp;AD$6)</f>
        <v>1500</v>
      </c>
      <c r="AE17" s="217">
        <f>SUMIFS(KH_ĐL!$AT:$AT,KH_ĐL!$CF:$CF,$B17&amp;AE$6)</f>
        <v>161</v>
      </c>
      <c r="AF17" s="217">
        <f>SUMIFS(KH_ĐL!$AT:$AT,KH_ĐL!$CF:$CF,$B17&amp;AF$6)</f>
        <v>35</v>
      </c>
      <c r="AG17" s="235"/>
      <c r="AH17" s="217">
        <f t="shared" si="10"/>
        <v>43100</v>
      </c>
      <c r="AI17" s="217">
        <f>SUMIFS(KH_LC!$AM:$AM,KH_LC!$AQ:$AQ,$B17&amp;AI$6)</f>
        <v>42100</v>
      </c>
      <c r="AJ17" s="217">
        <f>SUMIFS(KH_LC!$AM:$AM,KH_LC!$AQ:$AQ,$B17&amp;AJ$6)</f>
        <v>1000</v>
      </c>
      <c r="AK17" s="217">
        <f>SUMIFS(KH_ĐL!$BF:$BF,KH_ĐL!$CF:$CF,$B17&amp;AK$6)</f>
        <v>100</v>
      </c>
      <c r="AL17" s="217">
        <f>SUMIFS(KH_ĐL!$BF:$BF,KH_ĐL!$CF:$CF,$B17&amp;AL$6)</f>
        <v>0</v>
      </c>
      <c r="AM17" s="323"/>
      <c r="AN17" s="273"/>
      <c r="AO17" s="271">
        <v>9</v>
      </c>
      <c r="AP17" s="270" t="s">
        <v>414</v>
      </c>
      <c r="AQ17" s="267">
        <v>145700</v>
      </c>
      <c r="AR17" s="213">
        <v>135000</v>
      </c>
      <c r="AS17" s="214">
        <v>10200</v>
      </c>
      <c r="AT17" s="214">
        <v>468</v>
      </c>
      <c r="AU17" s="214">
        <v>1060</v>
      </c>
      <c r="AV17" s="214">
        <v>0</v>
      </c>
      <c r="AW17" s="214">
        <v>158</v>
      </c>
      <c r="AX17" s="228">
        <f t="shared" si="11"/>
        <v>1218</v>
      </c>
      <c r="AY17" s="268" t="s">
        <v>415</v>
      </c>
      <c r="AZ17" s="269" t="s">
        <v>413</v>
      </c>
      <c r="BA17" s="269" t="s">
        <v>414</v>
      </c>
      <c r="BB17" s="269">
        <v>163500</v>
      </c>
      <c r="BC17" s="269">
        <v>159200</v>
      </c>
      <c r="BD17" s="269">
        <v>4000</v>
      </c>
      <c r="BE17" s="269">
        <v>252</v>
      </c>
      <c r="BF17" s="269">
        <v>0</v>
      </c>
      <c r="BG17" s="269">
        <v>382</v>
      </c>
      <c r="BH17" s="269">
        <v>50</v>
      </c>
      <c r="BI17" s="269">
        <v>250</v>
      </c>
      <c r="BJ17" s="269">
        <v>0</v>
      </c>
      <c r="BK17" s="269"/>
      <c r="BL17" s="268" t="str">
        <v>KT2.</v>
      </c>
    </row>
    <row r="18" spans="1:64" s="268" customFormat="1" ht="19.5" x14ac:dyDescent="0.35">
      <c r="A18" s="319">
        <v>10</v>
      </c>
      <c r="B18" s="315" t="s">
        <v>293</v>
      </c>
      <c r="C18" s="320" t="s">
        <v>417</v>
      </c>
      <c r="D18" s="317">
        <f t="shared" si="5"/>
        <v>183100</v>
      </c>
      <c r="E18" s="213">
        <f t="shared" si="12"/>
        <v>178600</v>
      </c>
      <c r="F18" s="217">
        <f>SUMIFS(KH_ĐL!$L:$L,KH_ĐL!$CF:$CF,$B18&amp;F$6)-100</f>
        <v>4000</v>
      </c>
      <c r="G18" s="217">
        <f>SUMIFS(KH_ĐL!$L:$L,KH_ĐL!$CF:$CF,$B18&amp;G$6)-100</f>
        <v>500</v>
      </c>
      <c r="H18" s="214">
        <f t="shared" si="6"/>
        <v>725</v>
      </c>
      <c r="I18" s="217">
        <f>SUMIFS(KH_ĐL!$I:$I,KH_ĐL!$CF:$CF,$B18&amp;I$6)</f>
        <v>465</v>
      </c>
      <c r="J18" s="217">
        <f>SUMIFS(KH_ĐL!$I:$I,KH_ĐL!$CF:$CF,$B18&amp;J$6)</f>
        <v>260</v>
      </c>
      <c r="K18" s="217">
        <f t="shared" si="7"/>
        <v>47200</v>
      </c>
      <c r="L18" s="217">
        <f>SUMIFS(KH_LC!$AA:$AA,KH_LC!$AQ:$AQ,$B18&amp;L$6)</f>
        <v>46600</v>
      </c>
      <c r="M18" s="217">
        <f>SUMIFS(KH_LC!$AA:$AA,KH_LC!$AQ:$AQ,$B18&amp;M$6)</f>
        <v>600</v>
      </c>
      <c r="N18" s="217">
        <f>SUMIFS(KH_ĐL!$V:$V,KH_ĐL!$CF:$CF,$B18&amp;N$6)</f>
        <v>75</v>
      </c>
      <c r="O18" s="217">
        <f>SUMIFS(KH_ĐL!$V:$V,KH_ĐL!$CF:$CF,$B18&amp;O$6)</f>
        <v>0</v>
      </c>
      <c r="P18" s="235"/>
      <c r="Q18" s="217">
        <f t="shared" si="8"/>
        <v>42300</v>
      </c>
      <c r="R18" s="217">
        <f>SUMIFS(KH_LC!$AE:$AE,KH_LC!$AQ:$AQ,$B18&amp;R$6)</f>
        <v>42000</v>
      </c>
      <c r="S18" s="217">
        <f>SUMIFS(KH_LC!$AE:$AE,KH_LC!$AQ:$AQ,$B18&amp;S$6)</f>
        <v>300</v>
      </c>
      <c r="T18" s="238">
        <f>SUMIFS(KH_ĐL!$AH:$AH,KH_ĐL!$CF:$CF,$B18&amp;T$6)</f>
        <v>60</v>
      </c>
      <c r="U18" s="238">
        <f>SUMIFS(KH_ĐL!$AH:$AH,KH_ĐL!$CF:$CF,$B18&amp;U$6)</f>
        <v>0</v>
      </c>
      <c r="V18" s="243">
        <f t="shared" si="2"/>
        <v>89500</v>
      </c>
      <c r="W18" s="243"/>
      <c r="X18" s="243">
        <f t="shared" si="3"/>
        <v>135</v>
      </c>
      <c r="Y18" s="213"/>
      <c r="Z18" s="243">
        <f t="shared" si="4"/>
        <v>0</v>
      </c>
      <c r="AA18" s="213"/>
      <c r="AB18" s="217">
        <f t="shared" si="9"/>
        <v>48600</v>
      </c>
      <c r="AC18" s="217">
        <f>SUMIFS(KH_LC!$AI:$AI,KH_LC!$AQ:$AQ,$B18&amp;AC$6)</f>
        <v>46800</v>
      </c>
      <c r="AD18" s="217">
        <f>SUMIFS(KH_LC!$AI:$AI,KH_LC!$AQ:$AQ,$B18&amp;AD$6)</f>
        <v>1800</v>
      </c>
      <c r="AE18" s="217">
        <f>SUMIFS(KH_ĐL!$AT:$AT,KH_ĐL!$CF:$CF,$B18&amp;AE$6)</f>
        <v>160</v>
      </c>
      <c r="AF18" s="217">
        <f>SUMIFS(KH_ĐL!$AT:$AT,KH_ĐL!$CF:$CF,$B18&amp;AF$6)</f>
        <v>40</v>
      </c>
      <c r="AG18" s="235"/>
      <c r="AH18" s="217">
        <f t="shared" si="10"/>
        <v>45000</v>
      </c>
      <c r="AI18" s="217">
        <f>SUMIFS(KH_LC!$AM:$AM,KH_LC!$AQ:$AQ,$B18&amp;AI$6)</f>
        <v>43200</v>
      </c>
      <c r="AJ18" s="217">
        <f>SUMIFS(KH_LC!$AM:$AM,KH_LC!$AQ:$AQ,$B18&amp;AJ$6)</f>
        <v>1800</v>
      </c>
      <c r="AK18" s="217">
        <f>SUMIFS(KH_ĐL!$BF:$BF,KH_ĐL!$CF:$CF,$B18&amp;AK$6)</f>
        <v>170</v>
      </c>
      <c r="AL18" s="217">
        <f>SUMIFS(KH_ĐL!$BF:$BF,KH_ĐL!$CF:$CF,$B18&amp;AL$6)</f>
        <v>220</v>
      </c>
      <c r="AM18" s="323"/>
      <c r="AN18" s="273"/>
      <c r="AO18" s="271">
        <v>10</v>
      </c>
      <c r="AP18" s="270" t="s">
        <v>417</v>
      </c>
      <c r="AQ18" s="267">
        <v>164300</v>
      </c>
      <c r="AR18" s="213">
        <v>163000</v>
      </c>
      <c r="AS18" s="214">
        <v>1000</v>
      </c>
      <c r="AT18" s="214">
        <v>257.40000000000003</v>
      </c>
      <c r="AU18" s="214">
        <v>108</v>
      </c>
      <c r="AV18" s="214">
        <v>0</v>
      </c>
      <c r="AW18" s="214">
        <v>116</v>
      </c>
      <c r="AX18" s="228">
        <f t="shared" si="11"/>
        <v>224</v>
      </c>
      <c r="AY18" s="268" t="s">
        <v>418</v>
      </c>
      <c r="AZ18" s="269" t="s">
        <v>416</v>
      </c>
      <c r="BA18" s="269" t="s">
        <v>417</v>
      </c>
      <c r="BB18" s="269">
        <v>161700</v>
      </c>
      <c r="BC18" s="269">
        <v>159000</v>
      </c>
      <c r="BD18" s="269">
        <v>2600</v>
      </c>
      <c r="BE18" s="269">
        <v>126</v>
      </c>
      <c r="BF18" s="269">
        <v>0</v>
      </c>
      <c r="BG18" s="269">
        <v>248</v>
      </c>
      <c r="BH18" s="269">
        <v>0</v>
      </c>
      <c r="BI18" s="269">
        <v>265</v>
      </c>
      <c r="BJ18" s="269">
        <v>0</v>
      </c>
      <c r="BK18" s="269"/>
      <c r="BL18" s="268" t="str">
        <v>KT3.</v>
      </c>
    </row>
    <row r="19" spans="1:64" s="268" customFormat="1" ht="19.5" x14ac:dyDescent="0.35">
      <c r="A19" s="319">
        <v>11</v>
      </c>
      <c r="B19" s="315" t="s">
        <v>294</v>
      </c>
      <c r="C19" s="320" t="s">
        <v>420</v>
      </c>
      <c r="D19" s="317">
        <f t="shared" si="5"/>
        <v>172200</v>
      </c>
      <c r="E19" s="213">
        <f t="shared" si="12"/>
        <v>168300</v>
      </c>
      <c r="F19" s="217">
        <f>SUMIFS(KH_ĐL!$L:$L,KH_ĐL!$CF:$CF,$B19&amp;F$6)+100</f>
        <v>3600</v>
      </c>
      <c r="G19" s="217">
        <f>SUMIFS(KH_ĐL!$L:$L,KH_ĐL!$CF:$CF,$B19&amp;G$6)</f>
        <v>300</v>
      </c>
      <c r="H19" s="214">
        <f t="shared" si="6"/>
        <v>575</v>
      </c>
      <c r="I19" s="217">
        <f>SUMIFS(KH_ĐL!$I:$I,KH_ĐL!$CF:$CF,$B19&amp;I$6)</f>
        <v>370</v>
      </c>
      <c r="J19" s="217">
        <f>SUMIFS(KH_ĐL!$I:$I,KH_ĐL!$CF:$CF,$B19&amp;J$6)</f>
        <v>205</v>
      </c>
      <c r="K19" s="217">
        <f t="shared" si="7"/>
        <v>42900</v>
      </c>
      <c r="L19" s="217">
        <f>SUMIFS(KH_LC!$AA:$AA,KH_LC!$AQ:$AQ,$B19&amp;L$6)</f>
        <v>41200</v>
      </c>
      <c r="M19" s="217">
        <f>SUMIFS(KH_LC!$AA:$AA,KH_LC!$AQ:$AQ,$B19&amp;M$6)</f>
        <v>1700</v>
      </c>
      <c r="N19" s="217">
        <f>SUMIFS(KH_ĐL!$V:$V,KH_ĐL!$CF:$CF,$B19&amp;N$6)</f>
        <v>165</v>
      </c>
      <c r="O19" s="217">
        <f>SUMIFS(KH_ĐL!$V:$V,KH_ĐL!$CF:$CF,$B19&amp;O$6)</f>
        <v>60</v>
      </c>
      <c r="P19" s="235"/>
      <c r="Q19" s="217">
        <f t="shared" si="8"/>
        <v>45700</v>
      </c>
      <c r="R19" s="217">
        <f>SUMIFS(KH_LC!$AE:$AE,KH_LC!$AQ:$AQ,$B19&amp;R$6)</f>
        <v>44400</v>
      </c>
      <c r="S19" s="217">
        <f>SUMIFS(KH_LC!$AE:$AE,KH_LC!$AQ:$AQ,$B19&amp;S$6)</f>
        <v>1300</v>
      </c>
      <c r="T19" s="238">
        <f>SUMIFS(KH_ĐL!$AH:$AH,KH_ĐL!$CF:$CF,$B19&amp;T$6)</f>
        <v>120</v>
      </c>
      <c r="U19" s="238">
        <f>SUMIFS(KH_ĐL!$AH:$AH,KH_ĐL!$CF:$CF,$B19&amp;U$6)</f>
        <v>60</v>
      </c>
      <c r="V19" s="243">
        <f t="shared" si="2"/>
        <v>88600</v>
      </c>
      <c r="W19" s="243"/>
      <c r="X19" s="243">
        <f t="shared" si="3"/>
        <v>285</v>
      </c>
      <c r="Y19" s="213"/>
      <c r="Z19" s="243">
        <f t="shared" si="4"/>
        <v>120</v>
      </c>
      <c r="AA19" s="213"/>
      <c r="AB19" s="217">
        <f t="shared" si="9"/>
        <v>43800</v>
      </c>
      <c r="AC19" s="217">
        <f>SUMIFS(KH_LC!$AI:$AI,KH_LC!$AQ:$AQ,$B19&amp;AC$6)</f>
        <v>43000</v>
      </c>
      <c r="AD19" s="217">
        <f>SUMIFS(KH_LC!$AI:$AI,KH_LC!$AQ:$AQ,$B19&amp;AD$6)</f>
        <v>800</v>
      </c>
      <c r="AE19" s="217">
        <f>SUMIFS(KH_ĐL!$AT:$AT,KH_ĐL!$CF:$CF,$B19&amp;AE$6)</f>
        <v>85</v>
      </c>
      <c r="AF19" s="217">
        <f>SUMIFS(KH_ĐL!$AT:$AT,KH_ĐL!$CF:$CF,$B19&amp;AF$6)</f>
        <v>30</v>
      </c>
      <c r="AG19" s="235"/>
      <c r="AH19" s="217">
        <f t="shared" si="10"/>
        <v>39800</v>
      </c>
      <c r="AI19" s="217">
        <f>SUMIFS(KH_LC!$AM:$AM,KH_LC!$AQ:$AQ,$B19&amp;AI$6)</f>
        <v>39700</v>
      </c>
      <c r="AJ19" s="217">
        <f>SUMIFS(KH_LC!$AM:$AM,KH_LC!$AQ:$AQ,$B19&amp;AJ$6)</f>
        <v>100</v>
      </c>
      <c r="AK19" s="217">
        <f>SUMIFS(KH_ĐL!$BF:$BF,KH_ĐL!$CF:$CF,$B19&amp;AK$6)</f>
        <v>0</v>
      </c>
      <c r="AL19" s="217">
        <f>SUMIFS(KH_ĐL!$BF:$BF,KH_ĐL!$CF:$CF,$B19&amp;AL$6)</f>
        <v>55</v>
      </c>
      <c r="AM19" s="323"/>
      <c r="AN19" s="273"/>
      <c r="AO19" s="271">
        <v>11</v>
      </c>
      <c r="AP19" s="270" t="s">
        <v>420</v>
      </c>
      <c r="AQ19" s="267">
        <v>151800</v>
      </c>
      <c r="AR19" s="213">
        <v>144000</v>
      </c>
      <c r="AS19" s="214">
        <v>7000</v>
      </c>
      <c r="AT19" s="214">
        <v>780</v>
      </c>
      <c r="AU19" s="214">
        <v>650</v>
      </c>
      <c r="AV19" s="214">
        <v>392</v>
      </c>
      <c r="AW19" s="214">
        <v>250</v>
      </c>
      <c r="AX19" s="228">
        <f t="shared" si="11"/>
        <v>900</v>
      </c>
      <c r="AY19" s="268" t="s">
        <v>421</v>
      </c>
      <c r="AZ19" s="269" t="s">
        <v>419</v>
      </c>
      <c r="BA19" s="269" t="s">
        <v>420</v>
      </c>
      <c r="BB19" s="269">
        <v>165500</v>
      </c>
      <c r="BC19" s="269">
        <v>157000</v>
      </c>
      <c r="BD19" s="269">
        <v>7700</v>
      </c>
      <c r="BE19" s="269">
        <v>756</v>
      </c>
      <c r="BF19" s="269">
        <v>0</v>
      </c>
      <c r="BG19" s="269">
        <v>693</v>
      </c>
      <c r="BH19" s="269">
        <v>256</v>
      </c>
      <c r="BI19" s="269">
        <v>548</v>
      </c>
      <c r="BJ19" s="269">
        <v>0</v>
      </c>
      <c r="BK19" s="269"/>
      <c r="BL19" s="268" t="str">
        <v>KT8.</v>
      </c>
    </row>
    <row r="20" spans="1:64" s="268" customFormat="1" ht="19.5" x14ac:dyDescent="0.35">
      <c r="A20" s="319">
        <v>12</v>
      </c>
      <c r="B20" s="315" t="s">
        <v>295</v>
      </c>
      <c r="C20" s="320" t="s">
        <v>481</v>
      </c>
      <c r="D20" s="317">
        <f t="shared" si="5"/>
        <v>45700</v>
      </c>
      <c r="E20" s="213">
        <f t="shared" si="12"/>
        <v>0</v>
      </c>
      <c r="F20" s="217">
        <f>SUMIFS(KH_ĐL!$L:$L,KH_ĐL!$CF:$CF,$B20&amp;F$6)+400</f>
        <v>45500</v>
      </c>
      <c r="G20" s="217">
        <f>SUMIFS(KH_ĐL!$L:$L,KH_ĐL!$CF:$CF,$B20&amp;G$6)</f>
        <v>200</v>
      </c>
      <c r="H20" s="214">
        <f t="shared" si="6"/>
        <v>3245</v>
      </c>
      <c r="I20" s="217">
        <f>SUMIFS(KH_ĐL!$I:$I,KH_ĐL!$CF:$CF,$B20&amp;I$6)</f>
        <v>2885</v>
      </c>
      <c r="J20" s="217">
        <f>SUMIFS(KH_ĐL!$I:$I,KH_ĐL!$CF:$CF,$B20&amp;J$6)</f>
        <v>360</v>
      </c>
      <c r="K20" s="217">
        <f t="shared" si="7"/>
        <v>10000</v>
      </c>
      <c r="L20" s="217">
        <f>SUMIFS(KH_LC!$AA:$AA,KH_LC!$AQ:$AQ,$B20&amp;L$6)</f>
        <v>0</v>
      </c>
      <c r="M20" s="217">
        <f>SUMIFS(KH_LC!$AA:$AA,KH_LC!$AQ:$AQ,$B20&amp;M$6)</f>
        <v>10000</v>
      </c>
      <c r="N20" s="217">
        <f>SUMIFS(KH_ĐL!$V:$V,KH_ĐL!$CF:$CF,$B20&amp;N$6)</f>
        <v>785</v>
      </c>
      <c r="O20" s="217">
        <f>SUMIFS(KH_ĐL!$V:$V,KH_ĐL!$CF:$CF,$B20&amp;O$6)</f>
        <v>0</v>
      </c>
      <c r="P20" s="235"/>
      <c r="Q20" s="217">
        <f t="shared" si="8"/>
        <v>11000</v>
      </c>
      <c r="R20" s="217">
        <f>SUMIFS(KH_LC!$AE:$AE,KH_LC!$AQ:$AQ,$B20&amp;R$6)</f>
        <v>0</v>
      </c>
      <c r="S20" s="217">
        <f>SUMIFS(KH_LC!$AE:$AE,KH_LC!$AQ:$AQ,$B20&amp;S$6)</f>
        <v>11000</v>
      </c>
      <c r="T20" s="238">
        <f>SUMIFS(KH_ĐL!$AH:$AH,KH_ĐL!$CF:$CF,$B20&amp;T$6)</f>
        <v>675</v>
      </c>
      <c r="U20" s="238">
        <f>SUMIFS(KH_ĐL!$AH:$AH,KH_ĐL!$CF:$CF,$B20&amp;U$6)</f>
        <v>120</v>
      </c>
      <c r="V20" s="243">
        <f t="shared" si="2"/>
        <v>21000</v>
      </c>
      <c r="W20" s="243"/>
      <c r="X20" s="243">
        <f t="shared" si="3"/>
        <v>1460</v>
      </c>
      <c r="Y20" s="213"/>
      <c r="Z20" s="243">
        <f t="shared" si="4"/>
        <v>120</v>
      </c>
      <c r="AA20" s="213"/>
      <c r="AB20" s="217">
        <f t="shared" si="9"/>
        <v>11300</v>
      </c>
      <c r="AC20" s="217">
        <f>SUMIFS(KH_LC!$AI:$AI,KH_LC!$AQ:$AQ,$B20&amp;AC$6)</f>
        <v>0</v>
      </c>
      <c r="AD20" s="217">
        <f>SUMIFS(KH_LC!$AI:$AI,KH_LC!$AQ:$AQ,$B20&amp;AD$6)</f>
        <v>11300</v>
      </c>
      <c r="AE20" s="217">
        <f>SUMIFS(KH_ĐL!$AT:$AT,KH_ĐL!$CF:$CF,$B20&amp;AE$6)</f>
        <v>670</v>
      </c>
      <c r="AF20" s="217">
        <f>SUMIFS(KH_ĐL!$AT:$AT,KH_ĐL!$CF:$CF,$B20&amp;AF$6)</f>
        <v>120</v>
      </c>
      <c r="AG20" s="235"/>
      <c r="AH20" s="217">
        <f t="shared" si="10"/>
        <v>13400</v>
      </c>
      <c r="AI20" s="217">
        <f>SUMIFS(KH_LC!$AM:$AM,KH_LC!$AQ:$AQ,$B20&amp;AI$6)</f>
        <v>0</v>
      </c>
      <c r="AJ20" s="217">
        <f>SUMIFS(KH_LC!$AM:$AM,KH_LC!$AQ:$AQ,$B20&amp;AJ$6)</f>
        <v>13400</v>
      </c>
      <c r="AK20" s="217">
        <f>SUMIFS(KH_ĐL!$BF:$BF,KH_ĐL!$CF:$CF,$B20&amp;AK$6)</f>
        <v>755</v>
      </c>
      <c r="AL20" s="217">
        <f>SUMIFS(KH_ĐL!$BF:$BF,KH_ĐL!$CF:$CF,$B20&amp;AL$6)</f>
        <v>120</v>
      </c>
      <c r="AM20" s="324"/>
      <c r="AO20" s="271">
        <v>12</v>
      </c>
      <c r="AP20" s="270" t="s">
        <v>423</v>
      </c>
      <c r="AQ20" s="267">
        <v>45900</v>
      </c>
      <c r="AR20" s="213">
        <v>0</v>
      </c>
      <c r="AS20" s="214">
        <v>44600</v>
      </c>
      <c r="AT20" s="214">
        <v>1251.9000000000001</v>
      </c>
      <c r="AU20" s="214">
        <v>3058</v>
      </c>
      <c r="AV20" s="214">
        <v>0</v>
      </c>
      <c r="AW20" s="214">
        <v>566</v>
      </c>
      <c r="AX20" s="228">
        <f t="shared" si="11"/>
        <v>3624</v>
      </c>
      <c r="AY20" s="268" t="s">
        <v>188</v>
      </c>
      <c r="AZ20" s="269" t="s">
        <v>422</v>
      </c>
      <c r="BA20" s="269" t="s">
        <v>423</v>
      </c>
      <c r="BB20" s="269">
        <v>47800</v>
      </c>
      <c r="BC20" s="269">
        <v>0</v>
      </c>
      <c r="BD20" s="269">
        <v>46900</v>
      </c>
      <c r="BE20" s="269">
        <v>864</v>
      </c>
      <c r="BF20" s="269">
        <v>0</v>
      </c>
      <c r="BG20" s="269">
        <v>3134</v>
      </c>
      <c r="BH20" s="269">
        <v>0</v>
      </c>
      <c r="BI20" s="269">
        <v>276</v>
      </c>
      <c r="BJ20" s="269">
        <v>0</v>
      </c>
      <c r="BK20" s="269"/>
      <c r="BL20" s="268" t="str">
        <v>KT5.</v>
      </c>
    </row>
    <row r="21" spans="1:64" s="268" customFormat="1" ht="19.5" x14ac:dyDescent="0.35">
      <c r="A21" s="319">
        <v>13</v>
      </c>
      <c r="B21" s="315" t="s">
        <v>296</v>
      </c>
      <c r="C21" s="320" t="s">
        <v>482</v>
      </c>
      <c r="D21" s="317">
        <f t="shared" si="5"/>
        <v>11800</v>
      </c>
      <c r="E21" s="213">
        <f t="shared" si="12"/>
        <v>0</v>
      </c>
      <c r="F21" s="217">
        <f>SUMIFS(KH_ĐL!$L:$L,KH_ĐL!$CF:$CF,$B21&amp;F$6)+200</f>
        <v>10900</v>
      </c>
      <c r="G21" s="217">
        <f>SUMIFS(KH_ĐL!$L:$L,KH_ĐL!$CF:$CF,$B21&amp;G$6)</f>
        <v>900</v>
      </c>
      <c r="H21" s="214">
        <f t="shared" si="6"/>
        <v>2266</v>
      </c>
      <c r="I21" s="217">
        <f>SUMIFS(KH_ĐL!$I:$I,KH_ĐL!$CF:$CF,$B21&amp;I$6)</f>
        <v>1766</v>
      </c>
      <c r="J21" s="217">
        <f>SUMIFS(KH_ĐL!$I:$I,KH_ĐL!$CF:$CF,$B21&amp;J$6)</f>
        <v>500</v>
      </c>
      <c r="K21" s="217">
        <f t="shared" si="7"/>
        <v>2600</v>
      </c>
      <c r="L21" s="217">
        <f>SUMIFS(KH_LC!$AA:$AA,KH_LC!$AQ:$AQ,$B21&amp;L$6)</f>
        <v>0</v>
      </c>
      <c r="M21" s="217">
        <f>SUMIFS(KH_LC!$AA:$AA,KH_LC!$AQ:$AQ,$B21&amp;M$6)</f>
        <v>2600</v>
      </c>
      <c r="N21" s="217">
        <f>SUMIFS(KH_ĐL!$V:$V,KH_ĐL!$CF:$CF,$B21&amp;N$6)</f>
        <v>405</v>
      </c>
      <c r="O21" s="217">
        <f>SUMIFS(KH_ĐL!$V:$V,KH_ĐL!$CF:$CF,$B21&amp;O$6)</f>
        <v>120</v>
      </c>
      <c r="P21" s="235"/>
      <c r="Q21" s="217">
        <f t="shared" si="8"/>
        <v>3300</v>
      </c>
      <c r="R21" s="217">
        <f>SUMIFS(KH_LC!$AE:$AE,KH_LC!$AQ:$AQ,$B21&amp;R$6)</f>
        <v>0</v>
      </c>
      <c r="S21" s="217">
        <f>SUMIFS(KH_LC!$AE:$AE,KH_LC!$AQ:$AQ,$B21&amp;S$6)</f>
        <v>3300</v>
      </c>
      <c r="T21" s="238">
        <f>SUMIFS(KH_ĐL!$AH:$AH,KH_ĐL!$CF:$CF,$B21&amp;T$6)</f>
        <v>416</v>
      </c>
      <c r="U21" s="238">
        <f>SUMIFS(KH_ĐL!$AH:$AH,KH_ĐL!$CF:$CF,$B21&amp;U$6)</f>
        <v>130</v>
      </c>
      <c r="V21" s="243">
        <f t="shared" si="2"/>
        <v>5900</v>
      </c>
      <c r="W21" s="243"/>
      <c r="X21" s="243">
        <f t="shared" si="3"/>
        <v>821</v>
      </c>
      <c r="Y21" s="213"/>
      <c r="Z21" s="243">
        <f t="shared" si="4"/>
        <v>250</v>
      </c>
      <c r="AA21" s="213"/>
      <c r="AB21" s="217">
        <f t="shared" si="9"/>
        <v>4400</v>
      </c>
      <c r="AC21" s="217">
        <f>SUMIFS(KH_LC!$AI:$AI,KH_LC!$AQ:$AQ,$B21&amp;AC$6)</f>
        <v>0</v>
      </c>
      <c r="AD21" s="217">
        <f>SUMIFS(KH_LC!$AI:$AI,KH_LC!$AQ:$AQ,$B21&amp;AD$6)</f>
        <v>4400</v>
      </c>
      <c r="AE21" s="217">
        <f>SUMIFS(KH_ĐL!$AT:$AT,KH_ĐL!$CF:$CF,$B21&amp;AE$6)</f>
        <v>495</v>
      </c>
      <c r="AF21" s="217">
        <f>SUMIFS(KH_ĐL!$AT:$AT,KH_ĐL!$CF:$CF,$B21&amp;AF$6)</f>
        <v>125</v>
      </c>
      <c r="AG21" s="235"/>
      <c r="AH21" s="217">
        <f t="shared" si="10"/>
        <v>1500</v>
      </c>
      <c r="AI21" s="217">
        <f>SUMIFS(KH_LC!$AM:$AM,KH_LC!$AQ:$AQ,$B21&amp;AI$6)</f>
        <v>0</v>
      </c>
      <c r="AJ21" s="217">
        <f>SUMIFS(KH_LC!$AM:$AM,KH_LC!$AQ:$AQ,$B21&amp;AJ$6)</f>
        <v>1500</v>
      </c>
      <c r="AK21" s="217">
        <f>SUMIFS(KH_ĐL!$BF:$BF,KH_ĐL!$CF:$CF,$B21&amp;AK$6)</f>
        <v>450</v>
      </c>
      <c r="AL21" s="217">
        <f>SUMIFS(KH_ĐL!$BF:$BF,KH_ĐL!$CF:$CF,$B21&amp;AL$6)</f>
        <v>125</v>
      </c>
      <c r="AM21" s="324"/>
      <c r="AO21" s="271">
        <v>13</v>
      </c>
      <c r="AP21" s="270" t="s">
        <v>425</v>
      </c>
      <c r="AQ21" s="267">
        <v>44100</v>
      </c>
      <c r="AR21" s="213">
        <v>0</v>
      </c>
      <c r="AS21" s="214">
        <v>42900</v>
      </c>
      <c r="AT21" s="214">
        <v>1246.5</v>
      </c>
      <c r="AU21" s="214">
        <v>3011</v>
      </c>
      <c r="AV21" s="214">
        <v>120</v>
      </c>
      <c r="AW21" s="214">
        <v>620</v>
      </c>
      <c r="AX21" s="228">
        <f t="shared" si="11"/>
        <v>3631</v>
      </c>
      <c r="AY21" s="268" t="s">
        <v>191</v>
      </c>
      <c r="AZ21" s="269" t="s">
        <v>424</v>
      </c>
      <c r="BA21" s="269" t="s">
        <v>425</v>
      </c>
      <c r="BB21" s="269">
        <v>41000</v>
      </c>
      <c r="BC21" s="269">
        <v>0</v>
      </c>
      <c r="BD21" s="269">
        <v>39700</v>
      </c>
      <c r="BE21" s="269">
        <v>1278</v>
      </c>
      <c r="BF21" s="269">
        <v>0</v>
      </c>
      <c r="BG21" s="269">
        <v>3088</v>
      </c>
      <c r="BH21" s="269">
        <v>0</v>
      </c>
      <c r="BI21" s="269">
        <v>540</v>
      </c>
      <c r="BJ21" s="269">
        <v>0</v>
      </c>
      <c r="BK21" s="269"/>
      <c r="BL21" s="268" t="str">
        <v>KT6.</v>
      </c>
    </row>
    <row r="22" spans="1:64" s="268" customFormat="1" ht="19.5" x14ac:dyDescent="0.35">
      <c r="A22" s="319">
        <v>14</v>
      </c>
      <c r="B22" s="315" t="s">
        <v>297</v>
      </c>
      <c r="C22" s="320" t="s">
        <v>427</v>
      </c>
      <c r="D22" s="317">
        <f t="shared" si="5"/>
        <v>32400</v>
      </c>
      <c r="E22" s="213">
        <f t="shared" si="12"/>
        <v>0</v>
      </c>
      <c r="F22" s="217">
        <f>SUMIFS(KH_ĐL!$L:$L,KH_ĐL!$CF:$CF,$B22&amp;F$6)+800</f>
        <v>31800</v>
      </c>
      <c r="G22" s="217">
        <f>SUMIFS(KH_ĐL!$L:$L,KH_ĐL!$CF:$CF,$B22&amp;G$6)</f>
        <v>600</v>
      </c>
      <c r="H22" s="214">
        <f t="shared" si="6"/>
        <v>2611</v>
      </c>
      <c r="I22" s="217">
        <f>SUMIFS(KH_ĐL!$I:$I,KH_ĐL!$CF:$CF,$B22&amp;I$6)</f>
        <v>2411</v>
      </c>
      <c r="J22" s="217">
        <f>SUMIFS(KH_ĐL!$I:$I,KH_ĐL!$CF:$CF,$B22&amp;J$6)</f>
        <v>200</v>
      </c>
      <c r="K22" s="217">
        <f t="shared" si="7"/>
        <v>9800</v>
      </c>
      <c r="L22" s="217">
        <f>SUMIFS(KH_LC!$AA:$AA,KH_LC!$AQ:$AQ,$B22&amp;L$6)</f>
        <v>0</v>
      </c>
      <c r="M22" s="217">
        <f>SUMIFS(KH_LC!$AA:$AA,KH_LC!$AQ:$AQ,$B22&amp;M$6)</f>
        <v>9800</v>
      </c>
      <c r="N22" s="217">
        <f>SUMIFS(KH_ĐL!$V:$V,KH_ĐL!$CF:$CF,$B22&amp;N$6)</f>
        <v>721</v>
      </c>
      <c r="O22" s="217">
        <f>SUMIFS(KH_ĐL!$V:$V,KH_ĐL!$CF:$CF,$B22&amp;O$6)</f>
        <v>0</v>
      </c>
      <c r="P22" s="235"/>
      <c r="Q22" s="217">
        <f t="shared" si="8"/>
        <v>10500</v>
      </c>
      <c r="R22" s="217">
        <f>SUMIFS(KH_LC!$AE:$AE,KH_LC!$AQ:$AQ,$B22&amp;R$6)</f>
        <v>0</v>
      </c>
      <c r="S22" s="217">
        <f>SUMIFS(KH_LC!$AE:$AE,KH_LC!$AQ:$AQ,$B22&amp;S$6)</f>
        <v>10500</v>
      </c>
      <c r="T22" s="238">
        <f>SUMIFS(KH_ĐL!$AH:$AH,KH_ĐL!$CF:$CF,$B22&amp;T$6)</f>
        <v>780</v>
      </c>
      <c r="U22" s="238">
        <f>SUMIFS(KH_ĐL!$AH:$AH,KH_ĐL!$CF:$CF,$B22&amp;U$6)</f>
        <v>0</v>
      </c>
      <c r="V22" s="243">
        <f t="shared" si="2"/>
        <v>20300</v>
      </c>
      <c r="W22" s="243"/>
      <c r="X22" s="243">
        <f t="shared" si="3"/>
        <v>1501</v>
      </c>
      <c r="Y22" s="213"/>
      <c r="Z22" s="243">
        <f t="shared" si="4"/>
        <v>0</v>
      </c>
      <c r="AA22" s="213"/>
      <c r="AB22" s="217">
        <f t="shared" si="9"/>
        <v>7500</v>
      </c>
      <c r="AC22" s="217">
        <f>SUMIFS(KH_LC!$AI:$AI,KH_LC!$AQ:$AQ,$B22&amp;AC$6)</f>
        <v>0</v>
      </c>
      <c r="AD22" s="217">
        <f>SUMIFS(KH_LC!$AI:$AI,KH_LC!$AQ:$AQ,$B22&amp;AD$6)</f>
        <v>7500</v>
      </c>
      <c r="AE22" s="217">
        <f>SUMIFS(KH_ĐL!$AT:$AT,KH_ĐL!$CF:$CF,$B22&amp;AE$6)</f>
        <v>530</v>
      </c>
      <c r="AF22" s="217">
        <f>SUMIFS(KH_ĐL!$AT:$AT,KH_ĐL!$CF:$CF,$B22&amp;AF$6)</f>
        <v>80</v>
      </c>
      <c r="AG22" s="235"/>
      <c r="AH22" s="217">
        <f t="shared" si="10"/>
        <v>4600</v>
      </c>
      <c r="AI22" s="217">
        <f>SUMIFS(KH_LC!$AM:$AM,KH_LC!$AQ:$AQ,$B22&amp;AI$6)</f>
        <v>0</v>
      </c>
      <c r="AJ22" s="217">
        <f>SUMIFS(KH_LC!$AM:$AM,KH_LC!$AQ:$AQ,$B22&amp;AJ$6)</f>
        <v>4600</v>
      </c>
      <c r="AK22" s="217">
        <f>SUMIFS(KH_ĐL!$BF:$BF,KH_ĐL!$CF:$CF,$B22&amp;AK$6)</f>
        <v>380</v>
      </c>
      <c r="AL22" s="217">
        <f>SUMIFS(KH_ĐL!$BF:$BF,KH_ĐL!$CF:$CF,$B22&amp;AL$6)</f>
        <v>120</v>
      </c>
      <c r="AM22" s="324"/>
      <c r="AO22" s="271">
        <v>14</v>
      </c>
      <c r="AP22" s="270" t="s">
        <v>427</v>
      </c>
      <c r="AQ22" s="267">
        <v>33200</v>
      </c>
      <c r="AR22" s="213">
        <v>0</v>
      </c>
      <c r="AS22" s="214">
        <v>32400</v>
      </c>
      <c r="AT22" s="214">
        <v>774</v>
      </c>
      <c r="AU22" s="214">
        <v>2870</v>
      </c>
      <c r="AV22" s="214">
        <v>241</v>
      </c>
      <c r="AW22" s="214">
        <v>565</v>
      </c>
      <c r="AX22" s="228">
        <f t="shared" si="11"/>
        <v>3435</v>
      </c>
      <c r="AY22" s="268" t="s">
        <v>190</v>
      </c>
      <c r="AZ22" s="269" t="s">
        <v>426</v>
      </c>
      <c r="BA22" s="269" t="s">
        <v>427</v>
      </c>
      <c r="BB22" s="269">
        <v>38500</v>
      </c>
      <c r="BC22" s="269">
        <v>0</v>
      </c>
      <c r="BD22" s="269">
        <v>36800</v>
      </c>
      <c r="BE22" s="269">
        <v>1696.32</v>
      </c>
      <c r="BF22" s="269">
        <v>0</v>
      </c>
      <c r="BG22" s="269">
        <v>2700</v>
      </c>
      <c r="BH22" s="269">
        <v>410</v>
      </c>
      <c r="BI22" s="269">
        <v>424</v>
      </c>
      <c r="BJ22" s="269">
        <v>0</v>
      </c>
      <c r="BK22" s="269"/>
      <c r="BL22" s="268" t="str">
        <v>CGH2.</v>
      </c>
    </row>
    <row r="23" spans="1:64" s="268" customFormat="1" ht="19.5" x14ac:dyDescent="0.35">
      <c r="A23" s="319">
        <v>15</v>
      </c>
      <c r="B23" s="315" t="s">
        <v>523</v>
      </c>
      <c r="C23" s="320" t="s">
        <v>423</v>
      </c>
      <c r="D23" s="317">
        <f>SUM(E23:G23)</f>
        <v>34700</v>
      </c>
      <c r="E23" s="213">
        <f t="shared" si="12"/>
        <v>0</v>
      </c>
      <c r="F23" s="217">
        <f>SUMIFS(KH_ĐL!$L:$L,KH_ĐL!$CF:$CF,$B23&amp;F$6)+800</f>
        <v>34700</v>
      </c>
      <c r="G23" s="217">
        <f>SUMIFS(KH_ĐL!$L:$L,KH_ĐL!$CF:$CF,$B23&amp;G$6)</f>
        <v>0</v>
      </c>
      <c r="H23" s="214">
        <f t="shared" si="6"/>
        <v>2660</v>
      </c>
      <c r="I23" s="217">
        <f>SUMIFS(KH_ĐL!$I:$I,KH_ĐL!$CF:$CF,$B23&amp;I$6)</f>
        <v>2225</v>
      </c>
      <c r="J23" s="217">
        <f>SUMIFS(KH_ĐL!$I:$I,KH_ĐL!$CF:$CF,$B23&amp;J$6)</f>
        <v>435</v>
      </c>
      <c r="K23" s="217">
        <f>SUM(L23:M23)-300</f>
        <v>7100</v>
      </c>
      <c r="L23" s="217">
        <f>SUMIFS(KH_LC!$AA:$AA,KH_LC!$AQ:$AQ,$B23&amp;L$6)</f>
        <v>0</v>
      </c>
      <c r="M23" s="217">
        <f>SUMIFS(KH_LC!$AA:$AA,KH_LC!$AQ:$AQ,$B23&amp;M$6)</f>
        <v>7400</v>
      </c>
      <c r="N23" s="217">
        <f>SUMIFS(KH_ĐL!$V:$V,KH_ĐL!$CF:$CF,$B23&amp;N$6)</f>
        <v>500</v>
      </c>
      <c r="O23" s="217">
        <f>SUMIFS(KH_ĐL!$V:$V,KH_ĐL!$CF:$CF,$B23&amp;O$6)</f>
        <v>110</v>
      </c>
      <c r="P23" s="235"/>
      <c r="Q23" s="217">
        <f t="shared" si="8"/>
        <v>9700</v>
      </c>
      <c r="R23" s="217">
        <f>SUMIFS(KH_LC!$AE:$AE,KH_LC!$AQ:$AQ,$B23&amp;R$6)</f>
        <v>0</v>
      </c>
      <c r="S23" s="217">
        <f>SUMIFS(KH_LC!$AE:$AE,KH_LC!$AQ:$AQ,$B23&amp;S$6)</f>
        <v>9700</v>
      </c>
      <c r="T23" s="238">
        <f>SUMIFS(KH_ĐL!$AH:$AH,KH_ĐL!$CF:$CF,$B23&amp;T$6)</f>
        <v>565</v>
      </c>
      <c r="U23" s="238">
        <f>SUMIFS(KH_ĐL!$AH:$AH,KH_ĐL!$CF:$CF,$B23&amp;U$6)</f>
        <v>110</v>
      </c>
      <c r="V23" s="243">
        <f t="shared" si="2"/>
        <v>16800</v>
      </c>
      <c r="W23" s="243"/>
      <c r="X23" s="243">
        <f t="shared" si="3"/>
        <v>1065</v>
      </c>
      <c r="Y23" s="213"/>
      <c r="Z23" s="243">
        <f t="shared" si="4"/>
        <v>220</v>
      </c>
      <c r="AA23" s="213"/>
      <c r="AB23" s="217">
        <f t="shared" si="9"/>
        <v>8800</v>
      </c>
      <c r="AC23" s="217">
        <f>SUMIFS(KH_LC!$AI:$AI,KH_LC!$AQ:$AQ,$B23&amp;AC$6)</f>
        <v>0</v>
      </c>
      <c r="AD23" s="217">
        <f>SUMIFS(KH_LC!$AI:$AI,KH_LC!$AQ:$AQ,$B23&amp;AD$6)</f>
        <v>8800</v>
      </c>
      <c r="AE23" s="217">
        <f>SUMIFS(KH_ĐL!$AT:$AT,KH_ĐL!$CF:$CF,$B23&amp;AE$6)</f>
        <v>605</v>
      </c>
      <c r="AF23" s="217">
        <f>SUMIFS(KH_ĐL!$AT:$AT,KH_ĐL!$CF:$CF,$B23&amp;AF$6)</f>
        <v>110</v>
      </c>
      <c r="AG23" s="235"/>
      <c r="AH23" s="217">
        <f t="shared" si="10"/>
        <v>8800</v>
      </c>
      <c r="AI23" s="217">
        <f>SUMIFS(KH_LC!$AM:$AM,KH_LC!$AQ:$AQ,$B23&amp;AI$6)</f>
        <v>0</v>
      </c>
      <c r="AJ23" s="217">
        <f>SUMIFS(KH_LC!$AM:$AM,KH_LC!$AQ:$AQ,$B23&amp;AJ$6)</f>
        <v>8800</v>
      </c>
      <c r="AK23" s="217">
        <f>SUMIFS(KH_ĐL!$BF:$BF,KH_ĐL!$CF:$CF,$B23&amp;AK$6)</f>
        <v>555</v>
      </c>
      <c r="AL23" s="217">
        <f>SUMIFS(KH_ĐL!$BF:$BF,KH_ĐL!$CF:$CF,$B23&amp;AL$6)</f>
        <v>105</v>
      </c>
      <c r="AM23" s="324"/>
      <c r="AO23" s="271">
        <v>15</v>
      </c>
      <c r="AP23" s="270" t="s">
        <v>429</v>
      </c>
      <c r="AQ23" s="267">
        <v>40000</v>
      </c>
      <c r="AR23" s="213">
        <v>0</v>
      </c>
      <c r="AS23" s="214">
        <v>38700</v>
      </c>
      <c r="AT23" s="214">
        <v>1290</v>
      </c>
      <c r="AU23" s="214">
        <v>2910</v>
      </c>
      <c r="AV23" s="214">
        <v>435</v>
      </c>
      <c r="AW23" s="214">
        <v>600</v>
      </c>
      <c r="AX23" s="228">
        <f t="shared" si="11"/>
        <v>3510</v>
      </c>
      <c r="AY23" s="268" t="s">
        <v>194</v>
      </c>
      <c r="AZ23" s="269" t="s">
        <v>428</v>
      </c>
      <c r="BA23" s="269" t="s">
        <v>429</v>
      </c>
      <c r="BB23" s="269">
        <v>37300</v>
      </c>
      <c r="BC23" s="269">
        <v>0</v>
      </c>
      <c r="BD23" s="269">
        <v>36300</v>
      </c>
      <c r="BE23" s="269">
        <v>960</v>
      </c>
      <c r="BF23" s="269">
        <v>0</v>
      </c>
      <c r="BG23" s="269">
        <v>2791</v>
      </c>
      <c r="BH23" s="269">
        <v>1398</v>
      </c>
      <c r="BI23" s="269">
        <v>557</v>
      </c>
      <c r="BJ23" s="269">
        <v>0</v>
      </c>
      <c r="BK23" s="269"/>
      <c r="BL23" s="268" t="str">
        <v>CGH1.</v>
      </c>
    </row>
    <row r="24" spans="1:64" s="268" customFormat="1" ht="19.5" x14ac:dyDescent="0.35">
      <c r="A24" s="319">
        <v>16</v>
      </c>
      <c r="B24" s="315" t="s">
        <v>298</v>
      </c>
      <c r="C24" s="320" t="s">
        <v>431</v>
      </c>
      <c r="D24" s="317">
        <f t="shared" si="5"/>
        <v>30600</v>
      </c>
      <c r="E24" s="213">
        <f t="shared" si="12"/>
        <v>0</v>
      </c>
      <c r="F24" s="217">
        <f>SUMIFS(KH_ĐL!$L:$L,KH_ĐL!$CF:$CF,$B24&amp;F$6)+1000</f>
        <v>30600</v>
      </c>
      <c r="G24" s="217">
        <f>SUMIFS(KH_ĐL!$L:$L,KH_ĐL!$CF:$CF,$B24&amp;G$6)</f>
        <v>0</v>
      </c>
      <c r="H24" s="214">
        <f t="shared" si="6"/>
        <v>2658</v>
      </c>
      <c r="I24" s="217">
        <f>SUMIFS(KH_ĐL!$I:$I,KH_ĐL!$CF:$CF,$B24&amp;I$6)</f>
        <v>2273</v>
      </c>
      <c r="J24" s="217">
        <f>SUMIFS(KH_ĐL!$I:$I,KH_ĐL!$CF:$CF,$B24&amp;J$6)</f>
        <v>385</v>
      </c>
      <c r="K24" s="217">
        <f t="shared" si="7"/>
        <v>7400</v>
      </c>
      <c r="L24" s="217">
        <f>SUMIFS(KH_LC!$AA:$AA,KH_LC!$AQ:$AQ,$B24&amp;L$6)</f>
        <v>0</v>
      </c>
      <c r="M24" s="217">
        <f>SUMIFS(KH_LC!$AA:$AA,KH_LC!$AQ:$AQ,$B24&amp;M$6)</f>
        <v>7400</v>
      </c>
      <c r="N24" s="217">
        <f>SUMIFS(KH_ĐL!$V:$V,KH_ĐL!$CF:$CF,$B24&amp;N$6)</f>
        <v>655</v>
      </c>
      <c r="O24" s="217">
        <f>SUMIFS(KH_ĐL!$V:$V,KH_ĐL!$CF:$CF,$B24&amp;O$6)</f>
        <v>0</v>
      </c>
      <c r="P24" s="235"/>
      <c r="Q24" s="217">
        <f t="shared" si="8"/>
        <v>10400</v>
      </c>
      <c r="R24" s="217">
        <f>SUMIFS(KH_LC!$AE:$AE,KH_LC!$AQ:$AQ,$B24&amp;R$6)</f>
        <v>0</v>
      </c>
      <c r="S24" s="217">
        <f>SUMIFS(KH_LC!$AE:$AE,KH_LC!$AQ:$AQ,$B24&amp;S$6)</f>
        <v>10400</v>
      </c>
      <c r="T24" s="238">
        <f>SUMIFS(KH_ĐL!$AH:$AH,KH_ĐL!$CF:$CF,$B24&amp;T$6)</f>
        <v>783</v>
      </c>
      <c r="U24" s="238">
        <f>SUMIFS(KH_ĐL!$AH:$AH,KH_ĐL!$CF:$CF,$B24&amp;U$6)</f>
        <v>0</v>
      </c>
      <c r="V24" s="243">
        <f t="shared" si="2"/>
        <v>17800</v>
      </c>
      <c r="W24" s="243"/>
      <c r="X24" s="243">
        <f t="shared" si="3"/>
        <v>1438</v>
      </c>
      <c r="Y24" s="213"/>
      <c r="Z24" s="243">
        <f t="shared" si="4"/>
        <v>0</v>
      </c>
      <c r="AA24" s="213"/>
      <c r="AB24" s="217">
        <f t="shared" si="9"/>
        <v>7000</v>
      </c>
      <c r="AC24" s="217">
        <f>SUMIFS(KH_LC!$AI:$AI,KH_LC!$AQ:$AQ,$B24&amp;AC$6)</f>
        <v>0</v>
      </c>
      <c r="AD24" s="217">
        <f>SUMIFS(KH_LC!$AI:$AI,KH_LC!$AQ:$AQ,$B24&amp;AD$6)</f>
        <v>7000</v>
      </c>
      <c r="AE24" s="217">
        <f>SUMIFS(KH_ĐL!$AT:$AT,KH_ĐL!$CF:$CF,$B24&amp;AE$6)</f>
        <v>445</v>
      </c>
      <c r="AF24" s="217">
        <f>SUMIFS(KH_ĐL!$AT:$AT,KH_ĐL!$CF:$CF,$B24&amp;AF$6)</f>
        <v>150</v>
      </c>
      <c r="AG24" s="235"/>
      <c r="AH24" s="217">
        <f t="shared" si="10"/>
        <v>5800</v>
      </c>
      <c r="AI24" s="217">
        <f>SUMIFS(KH_LC!$AM:$AM,KH_LC!$AQ:$AQ,$B24&amp;AI$6)</f>
        <v>0</v>
      </c>
      <c r="AJ24" s="217">
        <f>SUMIFS(KH_LC!$AM:$AM,KH_LC!$AQ:$AQ,$B24&amp;AJ$6)</f>
        <v>5800</v>
      </c>
      <c r="AK24" s="217">
        <f>SUMIFS(KH_ĐL!$BF:$BF,KH_ĐL!$CF:$CF,$B24&amp;AK$6)</f>
        <v>390</v>
      </c>
      <c r="AL24" s="217">
        <f>SUMIFS(KH_ĐL!$BF:$BF,KH_ĐL!$CF:$CF,$B24&amp;AL$6)</f>
        <v>235</v>
      </c>
      <c r="AM24" s="324"/>
      <c r="AO24" s="271">
        <v>16</v>
      </c>
      <c r="AP24" s="270" t="s">
        <v>431</v>
      </c>
      <c r="AQ24" s="267">
        <v>29200</v>
      </c>
      <c r="AR24" s="213">
        <v>0</v>
      </c>
      <c r="AS24" s="214">
        <v>27800</v>
      </c>
      <c r="AT24" s="214">
        <v>1393.0500000000002</v>
      </c>
      <c r="AU24" s="214">
        <v>2781</v>
      </c>
      <c r="AV24" s="214">
        <v>0</v>
      </c>
      <c r="AW24" s="214">
        <v>643</v>
      </c>
      <c r="AX24" s="228">
        <f t="shared" si="11"/>
        <v>3424</v>
      </c>
      <c r="AY24" s="268" t="s">
        <v>193</v>
      </c>
      <c r="AZ24" s="269" t="s">
        <v>430</v>
      </c>
      <c r="BA24" s="269" t="s">
        <v>431</v>
      </c>
      <c r="BB24" s="269">
        <v>26500</v>
      </c>
      <c r="BC24" s="269">
        <v>0</v>
      </c>
      <c r="BD24" s="269">
        <v>26500</v>
      </c>
      <c r="BE24" s="269">
        <v>0</v>
      </c>
      <c r="BF24" s="269">
        <v>0</v>
      </c>
      <c r="BG24" s="269">
        <v>2675</v>
      </c>
      <c r="BH24" s="269">
        <v>140</v>
      </c>
      <c r="BI24" s="269">
        <v>650</v>
      </c>
      <c r="BJ24" s="269">
        <v>0</v>
      </c>
      <c r="BK24" s="269"/>
      <c r="BL24" s="268" t="str">
        <v>KT9.</v>
      </c>
    </row>
    <row r="25" spans="1:64" s="268" customFormat="1" ht="19.5" x14ac:dyDescent="0.35">
      <c r="A25" s="319">
        <v>17</v>
      </c>
      <c r="B25" s="315" t="s">
        <v>299</v>
      </c>
      <c r="C25" s="320" t="s">
        <v>433</v>
      </c>
      <c r="D25" s="317">
        <f t="shared" si="5"/>
        <v>34800</v>
      </c>
      <c r="E25" s="213">
        <f t="shared" si="12"/>
        <v>0</v>
      </c>
      <c r="F25" s="217">
        <f>SUMIFS(KH_ĐL!$L:$L,KH_ĐL!$CF:$CF,$B25&amp;F$6)+200</f>
        <v>34400</v>
      </c>
      <c r="G25" s="217">
        <f>SUMIFS(KH_ĐL!$L:$L,KH_ĐL!$CF:$CF,$B25&amp;G$6)</f>
        <v>400</v>
      </c>
      <c r="H25" s="214">
        <f t="shared" si="6"/>
        <v>2722</v>
      </c>
      <c r="I25" s="217">
        <f>SUMIFS(KH_ĐL!$I:$I,KH_ĐL!$CF:$CF,$B25&amp;I$6)</f>
        <v>2362</v>
      </c>
      <c r="J25" s="217">
        <f>SUMIFS(KH_ĐL!$I:$I,KH_ĐL!$CF:$CF,$B25&amp;J$6)</f>
        <v>360</v>
      </c>
      <c r="K25" s="217">
        <f t="shared" si="7"/>
        <v>9800</v>
      </c>
      <c r="L25" s="217">
        <f>SUMIFS(KH_LC!$AA:$AA,KH_LC!$AQ:$AQ,$B25&amp;L$6)</f>
        <v>0</v>
      </c>
      <c r="M25" s="217">
        <f>SUMIFS(KH_LC!$AA:$AA,KH_LC!$AQ:$AQ,$B25&amp;M$6)</f>
        <v>9800</v>
      </c>
      <c r="N25" s="217">
        <f>SUMIFS(KH_ĐL!$V:$V,KH_ĐL!$CF:$CF,$B25&amp;N$6)</f>
        <v>560</v>
      </c>
      <c r="O25" s="217">
        <f>SUMIFS(KH_ĐL!$V:$V,KH_ĐL!$CF:$CF,$B25&amp;O$6)</f>
        <v>90</v>
      </c>
      <c r="P25" s="235"/>
      <c r="Q25" s="217">
        <f t="shared" si="8"/>
        <v>10100</v>
      </c>
      <c r="R25" s="217">
        <f>SUMIFS(KH_LC!$AE:$AE,KH_LC!$AQ:$AQ,$B25&amp;R$6)</f>
        <v>0</v>
      </c>
      <c r="S25" s="217">
        <f>SUMIFS(KH_LC!$AE:$AE,KH_LC!$AQ:$AQ,$B25&amp;S$6)</f>
        <v>10100</v>
      </c>
      <c r="T25" s="238">
        <f>SUMIFS(KH_ĐL!$AH:$AH,KH_ĐL!$CF:$CF,$B25&amp;T$6)</f>
        <v>627</v>
      </c>
      <c r="U25" s="238">
        <f>SUMIFS(KH_ĐL!$AH:$AH,KH_ĐL!$CF:$CF,$B25&amp;U$6)</f>
        <v>90</v>
      </c>
      <c r="V25" s="243">
        <f t="shared" si="2"/>
        <v>19900</v>
      </c>
      <c r="W25" s="243"/>
      <c r="X25" s="243">
        <f t="shared" si="3"/>
        <v>1187</v>
      </c>
      <c r="Y25" s="213"/>
      <c r="Z25" s="243">
        <f t="shared" si="4"/>
        <v>180</v>
      </c>
      <c r="AA25" s="213"/>
      <c r="AB25" s="217">
        <f t="shared" si="9"/>
        <v>7100</v>
      </c>
      <c r="AC25" s="217">
        <f>SUMIFS(KH_LC!$AI:$AI,KH_LC!$AQ:$AQ,$B25&amp;AC$6)</f>
        <v>0</v>
      </c>
      <c r="AD25" s="217">
        <f>SUMIFS(KH_LC!$AI:$AI,KH_LC!$AQ:$AQ,$B25&amp;AD$6)</f>
        <v>7100</v>
      </c>
      <c r="AE25" s="217">
        <f>SUMIFS(KH_ĐL!$AT:$AT,KH_ĐL!$CF:$CF,$B25&amp;AE$6)</f>
        <v>578</v>
      </c>
      <c r="AF25" s="217">
        <f>SUMIFS(KH_ĐL!$AT:$AT,KH_ĐL!$CF:$CF,$B25&amp;AF$6)</f>
        <v>90</v>
      </c>
      <c r="AG25" s="235"/>
      <c r="AH25" s="217">
        <f t="shared" si="10"/>
        <v>7800</v>
      </c>
      <c r="AI25" s="217">
        <f>SUMIFS(KH_LC!$AM:$AM,KH_LC!$AQ:$AQ,$B25&amp;AI$6)</f>
        <v>0</v>
      </c>
      <c r="AJ25" s="217">
        <f>SUMIFS(KH_LC!$AM:$AM,KH_LC!$AQ:$AQ,$B25&amp;AJ$6)</f>
        <v>7800</v>
      </c>
      <c r="AK25" s="217">
        <f>SUMIFS(KH_ĐL!$BF:$BF,KH_ĐL!$CF:$CF,$B25&amp;AK$6)</f>
        <v>597</v>
      </c>
      <c r="AL25" s="217">
        <f>SUMIFS(KH_ĐL!$BF:$BF,KH_ĐL!$CF:$CF,$B25&amp;AL$6)</f>
        <v>90</v>
      </c>
      <c r="AM25" s="324"/>
      <c r="AO25" s="271">
        <v>17</v>
      </c>
      <c r="AP25" s="270" t="s">
        <v>433</v>
      </c>
      <c r="AQ25" s="267">
        <v>37300</v>
      </c>
      <c r="AR25" s="213">
        <v>0</v>
      </c>
      <c r="AS25" s="214">
        <v>37300</v>
      </c>
      <c r="AT25" s="214">
        <v>0</v>
      </c>
      <c r="AU25" s="214">
        <v>2864</v>
      </c>
      <c r="AV25" s="215">
        <v>316</v>
      </c>
      <c r="AW25" s="214">
        <v>450</v>
      </c>
      <c r="AX25" s="228">
        <f t="shared" si="11"/>
        <v>3314</v>
      </c>
      <c r="AY25" s="268" t="s">
        <v>192</v>
      </c>
      <c r="AZ25" s="269" t="s">
        <v>432</v>
      </c>
      <c r="BA25" s="269" t="s">
        <v>433</v>
      </c>
      <c r="BB25" s="269">
        <v>25600</v>
      </c>
      <c r="BC25" s="269">
        <v>0</v>
      </c>
      <c r="BD25" s="269">
        <v>25300</v>
      </c>
      <c r="BE25" s="269">
        <v>270</v>
      </c>
      <c r="BF25" s="269">
        <v>0</v>
      </c>
      <c r="BG25" s="269">
        <v>2088</v>
      </c>
      <c r="BH25" s="269">
        <v>0</v>
      </c>
      <c r="BI25" s="269">
        <v>525</v>
      </c>
      <c r="BJ25" s="269">
        <v>0</v>
      </c>
      <c r="BK25" s="269"/>
      <c r="BL25" s="268" t="str">
        <v>KT10.</v>
      </c>
    </row>
    <row r="26" spans="1:64" s="268" customFormat="1" ht="19.5" x14ac:dyDescent="0.35">
      <c r="A26" s="319">
        <v>18</v>
      </c>
      <c r="B26" s="325" t="s">
        <v>496</v>
      </c>
      <c r="C26" s="320" t="s">
        <v>480</v>
      </c>
      <c r="D26" s="317">
        <f t="shared" si="5"/>
        <v>2500</v>
      </c>
      <c r="E26" s="213">
        <f t="shared" si="12"/>
        <v>0</v>
      </c>
      <c r="F26" s="217">
        <f>SUMIFS(KH_ĐL!$L:$L,KH_ĐL!$CF:$CF,$B26&amp;F$6)+100</f>
        <v>2500</v>
      </c>
      <c r="G26" s="217">
        <f>SUMIFS(KH_ĐL!$L:$L,KH_ĐL!$CF:$CF,$B26&amp;G$6)</f>
        <v>0</v>
      </c>
      <c r="H26" s="214">
        <f t="shared" si="6"/>
        <v>3133</v>
      </c>
      <c r="I26" s="217">
        <f>SUMIFS(KH_ĐL!$I:$I,KH_ĐL!$CF:$CF,$B26&amp;I$6)</f>
        <v>3000</v>
      </c>
      <c r="J26" s="217">
        <f>SUMIFS(KH_ĐL!$I:$I,KH_ĐL!$CF:$CF,$B26&amp;J$6)</f>
        <v>133</v>
      </c>
      <c r="K26" s="217">
        <f t="shared" si="7"/>
        <v>0</v>
      </c>
      <c r="L26" s="217">
        <f>SUMIFS(KH_LC!$AA:$AA,KH_LC!$AQ:$AQ,$B26&amp;L$6)</f>
        <v>0</v>
      </c>
      <c r="M26" s="217">
        <f>SUMIFS(KH_LC!$AA:$AA,KH_LC!$AQ:$AQ,$B26&amp;M$6)</f>
        <v>0</v>
      </c>
      <c r="N26" s="217">
        <f>SUMIFS(KH_ĐL!$V:$V,KH_ĐL!$CF:$CF,$B26&amp;N$6)</f>
        <v>647</v>
      </c>
      <c r="O26" s="217">
        <f>SUMIFS(KH_ĐL!$V:$V,KH_ĐL!$CF:$CF,$B26&amp;O$6)</f>
        <v>120</v>
      </c>
      <c r="P26" s="235"/>
      <c r="Q26" s="217">
        <f t="shared" si="8"/>
        <v>1900</v>
      </c>
      <c r="R26" s="217">
        <f>SUMIFS(KH_LC!$AE:$AE,KH_LC!$AQ:$AQ,$B26&amp;R$6)</f>
        <v>0</v>
      </c>
      <c r="S26" s="217">
        <f>SUMIFS(KH_LC!$AE:$AE,KH_LC!$AQ:$AQ,$B26&amp;S$6)</f>
        <v>1900</v>
      </c>
      <c r="T26" s="238">
        <f>SUMIFS(KH_ĐL!$AH:$AH,KH_ĐL!$CF:$CF,$B26&amp;T$6)</f>
        <v>905</v>
      </c>
      <c r="U26" s="238">
        <f>SUMIFS(KH_ĐL!$AH:$AH,KH_ĐL!$CF:$CF,$B26&amp;U$6)</f>
        <v>13</v>
      </c>
      <c r="V26" s="243">
        <f t="shared" si="2"/>
        <v>1900</v>
      </c>
      <c r="W26" s="243"/>
      <c r="X26" s="243">
        <f t="shared" si="3"/>
        <v>1552</v>
      </c>
      <c r="Y26" s="213"/>
      <c r="Z26" s="243">
        <f t="shared" si="4"/>
        <v>133</v>
      </c>
      <c r="AA26" s="213"/>
      <c r="AB26" s="217">
        <f t="shared" si="9"/>
        <v>200</v>
      </c>
      <c r="AC26" s="217">
        <f>SUMIFS(KH_LC!$AI:$AI,KH_LC!$AQ:$AQ,$B26&amp;AC$6)</f>
        <v>0</v>
      </c>
      <c r="AD26" s="217">
        <f>SUMIFS(KH_LC!$AI:$AI,KH_LC!$AQ:$AQ,$B26&amp;AD$6)</f>
        <v>200</v>
      </c>
      <c r="AE26" s="217">
        <f>SUMIFS(KH_ĐL!$AT:$AT,KH_ĐL!$CF:$CF,$B26&amp;AE$6)</f>
        <v>788</v>
      </c>
      <c r="AF26" s="217">
        <f>SUMIFS(KH_ĐL!$AT:$AT,KH_ĐL!$CF:$CF,$B26&amp;AF$6)</f>
        <v>0</v>
      </c>
      <c r="AG26" s="235"/>
      <c r="AH26" s="217">
        <f t="shared" si="10"/>
        <v>400</v>
      </c>
      <c r="AI26" s="217">
        <f>SUMIFS(KH_LC!$AM:$AM,KH_LC!$AQ:$AQ,$B26&amp;AI$6)</f>
        <v>0</v>
      </c>
      <c r="AJ26" s="217">
        <f>SUMIFS(KH_LC!$AM:$AM,KH_LC!$AQ:$AQ,$B26&amp;AJ$6)</f>
        <v>400</v>
      </c>
      <c r="AK26" s="217">
        <f>SUMIFS(KH_ĐL!$BF:$BF,KH_ĐL!$CF:$CF,$B26&amp;AK$6)</f>
        <v>660</v>
      </c>
      <c r="AL26" s="217">
        <f>SUMIFS(KH_ĐL!$BF:$BF,KH_ĐL!$CF:$CF,$B26&amp;AL$6)</f>
        <v>0</v>
      </c>
      <c r="AM26" s="324"/>
      <c r="AO26" s="271">
        <v>18</v>
      </c>
      <c r="AP26" s="270" t="s">
        <v>434</v>
      </c>
      <c r="AQ26" s="267">
        <v>10500</v>
      </c>
      <c r="AR26" s="213"/>
      <c r="AS26" s="214">
        <v>10530</v>
      </c>
      <c r="AT26" s="214">
        <v>0</v>
      </c>
      <c r="AU26" s="214">
        <v>3613.8999999999996</v>
      </c>
      <c r="AV26" s="214">
        <v>0</v>
      </c>
      <c r="AW26" s="214">
        <v>1610</v>
      </c>
      <c r="AX26" s="228">
        <f t="shared" si="11"/>
        <v>5223.8999999999996</v>
      </c>
      <c r="AY26" s="268" t="s">
        <v>158</v>
      </c>
      <c r="AZ26" s="269" t="s">
        <v>435</v>
      </c>
      <c r="BA26" s="269" t="s">
        <v>434</v>
      </c>
      <c r="BB26" s="269">
        <v>0</v>
      </c>
      <c r="BC26" s="269">
        <v>0</v>
      </c>
      <c r="BD26" s="269">
        <v>0</v>
      </c>
      <c r="BE26" s="269">
        <v>0</v>
      </c>
      <c r="BF26" s="269">
        <v>0</v>
      </c>
      <c r="BG26" s="269">
        <v>3574</v>
      </c>
      <c r="BH26" s="269">
        <v>0</v>
      </c>
      <c r="BI26" s="269">
        <v>280</v>
      </c>
      <c r="BJ26" s="269">
        <v>0</v>
      </c>
      <c r="BK26" s="269"/>
      <c r="BL26" s="268" t="str">
        <v>KT11.</v>
      </c>
    </row>
    <row r="27" spans="1:64" s="268" customFormat="1" ht="19.5" x14ac:dyDescent="0.35">
      <c r="A27" s="319">
        <v>19</v>
      </c>
      <c r="B27" s="325" t="s">
        <v>300</v>
      </c>
      <c r="C27" s="320" t="s">
        <v>437</v>
      </c>
      <c r="D27" s="317">
        <f t="shared" si="5"/>
        <v>37500</v>
      </c>
      <c r="E27" s="213">
        <f t="shared" si="12"/>
        <v>0</v>
      </c>
      <c r="F27" s="217">
        <f>SUMIFS(KH_ĐL!$L:$L,KH_ĐL!$CF:$CF,$B27&amp;F$6)+900</f>
        <v>32500</v>
      </c>
      <c r="G27" s="217">
        <f>SUMIFS(KH_ĐL!$L:$L,KH_ĐL!$CF:$CF,$B27&amp;G$6)</f>
        <v>5000</v>
      </c>
      <c r="H27" s="214">
        <f t="shared" si="6"/>
        <v>6367</v>
      </c>
      <c r="I27" s="217">
        <f>SUMIFS(KH_ĐL!$I:$I,KH_ĐL!$CF:$CF,$B27&amp;I$6)</f>
        <v>3500</v>
      </c>
      <c r="J27" s="217">
        <f>SUMIFS(KH_ĐL!$I:$I,KH_ĐL!$CF:$CF,$B27&amp;J$6)</f>
        <v>2867</v>
      </c>
      <c r="K27" s="217">
        <f t="shared" si="7"/>
        <v>3600</v>
      </c>
      <c r="L27" s="217">
        <f>SUMIFS(KH_LC!$AA:$AA,KH_LC!$AQ:$AQ,$B27&amp;L$6)</f>
        <v>0</v>
      </c>
      <c r="M27" s="217">
        <f>SUMIFS(KH_LC!$AA:$AA,KH_LC!$AQ:$AQ,$B27&amp;M$6)</f>
        <v>3600</v>
      </c>
      <c r="N27" s="217">
        <f>SUMIFS(KH_ĐL!$V:$V,KH_ĐL!$CF:$CF,$B27&amp;N$6)</f>
        <v>245</v>
      </c>
      <c r="O27" s="217">
        <f>SUMIFS(KH_ĐL!$V:$V,KH_ĐL!$CF:$CF,$B27&amp;O$6)</f>
        <v>811</v>
      </c>
      <c r="P27" s="228"/>
      <c r="Q27" s="217">
        <f t="shared" si="8"/>
        <v>13500</v>
      </c>
      <c r="R27" s="217">
        <f>SUMIFS(KH_LC!$AE:$AE,KH_LC!$AQ:$AQ,$B27&amp;R$6)</f>
        <v>0</v>
      </c>
      <c r="S27" s="217">
        <f>SUMIFS(KH_LC!$AE:$AE,KH_LC!$AQ:$AQ,$B27&amp;S$6)</f>
        <v>13500</v>
      </c>
      <c r="T27" s="238">
        <f>SUMIFS(KH_ĐL!$AH:$AH,KH_ĐL!$CF:$CF,$B27&amp;T$6)</f>
        <v>1180</v>
      </c>
      <c r="U27" s="238">
        <f>SUMIFS(KH_ĐL!$AH:$AH,KH_ĐL!$CF:$CF,$B27&amp;U$6)</f>
        <v>1140</v>
      </c>
      <c r="V27" s="243">
        <f t="shared" si="2"/>
        <v>17100</v>
      </c>
      <c r="W27" s="243"/>
      <c r="X27" s="243">
        <f t="shared" si="3"/>
        <v>1425</v>
      </c>
      <c r="Y27" s="213"/>
      <c r="Z27" s="243">
        <f t="shared" si="4"/>
        <v>1951</v>
      </c>
      <c r="AA27" s="213"/>
      <c r="AB27" s="217">
        <f t="shared" si="9"/>
        <v>13900</v>
      </c>
      <c r="AC27" s="217">
        <f>SUMIFS(KH_LC!$AI:$AI,KH_LC!$AQ:$AQ,$B27&amp;AC$6)</f>
        <v>0</v>
      </c>
      <c r="AD27" s="217">
        <f>SUMIFS(KH_LC!$AI:$AI,KH_LC!$AQ:$AQ,$B27&amp;AD$6)</f>
        <v>13900</v>
      </c>
      <c r="AE27" s="217">
        <f>SUMIFS(KH_ĐL!$AT:$AT,KH_ĐL!$CF:$CF,$B27&amp;AE$6)</f>
        <v>1330</v>
      </c>
      <c r="AF27" s="217">
        <f>SUMIFS(KH_ĐL!$AT:$AT,KH_ĐL!$CF:$CF,$B27&amp;AF$6)</f>
        <v>721</v>
      </c>
      <c r="AG27" s="228"/>
      <c r="AH27" s="217">
        <f t="shared" si="10"/>
        <v>6500</v>
      </c>
      <c r="AI27" s="217">
        <f>SUMIFS(KH_LC!$AM:$AM,KH_LC!$AQ:$AQ,$B27&amp;AI$6)</f>
        <v>0</v>
      </c>
      <c r="AJ27" s="217">
        <f>SUMIFS(KH_LC!$AM:$AM,KH_LC!$AQ:$AQ,$B27&amp;AJ$6)</f>
        <v>6500</v>
      </c>
      <c r="AK27" s="217">
        <f>SUMIFS(KH_ĐL!$BF:$BF,KH_ĐL!$CF:$CF,$B27&amp;AK$6)</f>
        <v>745</v>
      </c>
      <c r="AL27" s="217">
        <f>SUMIFS(KH_ĐL!$BF:$BF,KH_ĐL!$CF:$CF,$B27&amp;AL$6)</f>
        <v>195</v>
      </c>
      <c r="AM27" s="326"/>
      <c r="AO27" s="275"/>
      <c r="AP27" s="276"/>
      <c r="AQ27" s="277"/>
      <c r="AR27" s="219"/>
      <c r="AS27" s="220"/>
      <c r="AT27" s="220"/>
      <c r="AU27" s="220"/>
      <c r="AV27" s="220"/>
      <c r="AW27" s="220"/>
      <c r="AX27" s="228"/>
      <c r="AZ27" s="269"/>
      <c r="BA27" s="269"/>
      <c r="BB27" s="269"/>
      <c r="BC27" s="269"/>
      <c r="BD27" s="269"/>
      <c r="BE27" s="269"/>
      <c r="BF27" s="269"/>
      <c r="BG27" s="269"/>
      <c r="BH27" s="269"/>
      <c r="BI27" s="269"/>
      <c r="BJ27" s="269"/>
      <c r="BK27" s="269"/>
      <c r="BL27" s="268" t="str">
        <v>CGĐB.</v>
      </c>
    </row>
    <row r="28" spans="1:64" s="268" customFormat="1" ht="19.5" thickBot="1" x14ac:dyDescent="0.35">
      <c r="A28" s="327"/>
      <c r="B28" s="328"/>
      <c r="C28" s="280"/>
      <c r="D28" s="280"/>
      <c r="E28" s="280"/>
      <c r="F28" s="280"/>
      <c r="G28" s="280"/>
      <c r="H28" s="280"/>
      <c r="I28" s="280"/>
      <c r="J28" s="216"/>
      <c r="K28" s="218"/>
      <c r="L28" s="218"/>
      <c r="M28" s="218"/>
      <c r="N28" s="218"/>
      <c r="O28" s="218"/>
      <c r="P28" s="236"/>
      <c r="Q28" s="218"/>
      <c r="R28" s="218"/>
      <c r="S28" s="218"/>
      <c r="T28" s="218"/>
      <c r="U28" s="218"/>
      <c r="V28" s="236"/>
      <c r="W28" s="237"/>
      <c r="X28" s="236"/>
      <c r="Y28" s="236"/>
      <c r="Z28" s="236"/>
      <c r="AA28" s="236"/>
      <c r="AB28" s="218"/>
      <c r="AC28" s="218"/>
      <c r="AD28" s="218"/>
      <c r="AE28" s="218"/>
      <c r="AF28" s="218"/>
      <c r="AG28" s="236"/>
      <c r="AH28" s="218"/>
      <c r="AI28" s="218"/>
      <c r="AJ28" s="218"/>
      <c r="AK28" s="218"/>
      <c r="AL28" s="218"/>
      <c r="AM28" s="329"/>
      <c r="AO28" s="278"/>
      <c r="AP28" s="279"/>
      <c r="AQ28" s="279"/>
      <c r="AR28" s="280"/>
      <c r="AS28" s="280"/>
      <c r="AT28" s="280"/>
      <c r="AU28" s="280"/>
      <c r="AV28" s="280"/>
      <c r="AW28" s="216"/>
      <c r="AX28" s="228"/>
      <c r="AZ28" s="269" t="s">
        <v>436</v>
      </c>
      <c r="BA28" s="269" t="s">
        <v>437</v>
      </c>
      <c r="BB28" s="269">
        <v>23300</v>
      </c>
      <c r="BC28" s="269">
        <v>0</v>
      </c>
      <c r="BD28" s="269">
        <v>22900</v>
      </c>
      <c r="BE28" s="269">
        <v>360</v>
      </c>
      <c r="BF28" s="269">
        <v>0</v>
      </c>
      <c r="BG28" s="269">
        <v>2426</v>
      </c>
      <c r="BH28" s="269">
        <v>0</v>
      </c>
      <c r="BI28" s="269">
        <v>660</v>
      </c>
      <c r="BJ28" s="269">
        <v>0</v>
      </c>
      <c r="BK28" s="269"/>
      <c r="BL28" s="268" t="str">
        <v>BCG.</v>
      </c>
    </row>
    <row r="29" spans="1:64" ht="16.5" thickTop="1" x14ac:dyDescent="0.25">
      <c r="A29" s="3"/>
      <c r="B29" s="3"/>
      <c r="C29" s="1"/>
      <c r="D29" s="1"/>
      <c r="E29" s="1"/>
      <c r="F29" s="1"/>
      <c r="G29" s="1"/>
      <c r="H29" s="1"/>
      <c r="I29" s="1"/>
      <c r="J29" s="1"/>
      <c r="K29" s="1"/>
      <c r="L29" s="1"/>
      <c r="M29" s="1"/>
      <c r="N29" s="1"/>
      <c r="O29" s="1"/>
      <c r="P29" s="1"/>
      <c r="Q29" s="1"/>
      <c r="R29" s="1"/>
      <c r="S29" s="1"/>
      <c r="T29" s="1"/>
      <c r="U29" s="1"/>
      <c r="V29" s="1"/>
      <c r="W29" s="3"/>
      <c r="X29" s="1"/>
      <c r="Y29" s="1"/>
      <c r="Z29" s="1"/>
      <c r="AA29" s="1"/>
      <c r="AB29" s="1"/>
      <c r="AC29" s="1"/>
      <c r="AD29" s="1"/>
      <c r="AE29" s="1"/>
      <c r="AF29" s="1"/>
      <c r="AG29" s="1"/>
      <c r="AH29" s="1"/>
      <c r="AI29" s="1"/>
      <c r="AJ29" s="1"/>
      <c r="AK29" s="1"/>
      <c r="AL29" s="1"/>
      <c r="AM29" s="1"/>
      <c r="BL29" s="248" t="str">
        <v>ĐL3.</v>
      </c>
    </row>
    <row r="30" spans="1:64" ht="40.5" customHeight="1" x14ac:dyDescent="0.3">
      <c r="A30" s="3"/>
      <c r="B30" s="3"/>
      <c r="C30" s="872" t="s">
        <v>817</v>
      </c>
      <c r="D30" s="872"/>
      <c r="E30" s="872"/>
      <c r="F30" s="872"/>
      <c r="G30" s="872"/>
      <c r="H30" s="872"/>
      <c r="I30" s="872"/>
      <c r="J30" s="872"/>
      <c r="K30" s="872"/>
      <c r="L30" s="872"/>
      <c r="M30" s="872"/>
      <c r="N30" s="872"/>
      <c r="O30" s="872"/>
      <c r="P30" s="872"/>
      <c r="Q30" s="872"/>
      <c r="R30" s="872"/>
      <c r="S30" s="872"/>
      <c r="T30" s="872"/>
      <c r="U30" s="872"/>
      <c r="V30" s="872"/>
      <c r="W30" s="872"/>
      <c r="X30" s="872"/>
      <c r="Y30" s="872"/>
      <c r="Z30" s="872"/>
      <c r="AA30" s="872"/>
      <c r="AB30" s="872"/>
      <c r="AC30" s="872"/>
      <c r="AD30" s="872"/>
      <c r="AE30" s="872"/>
      <c r="AF30" s="872"/>
      <c r="AG30" s="872"/>
      <c r="AH30" s="872"/>
      <c r="AI30" s="872"/>
      <c r="AJ30" s="872"/>
      <c r="AK30" s="872"/>
      <c r="AL30" s="872"/>
      <c r="AM30" s="872"/>
      <c r="AN30" s="281"/>
      <c r="AP30" s="860" t="s">
        <v>438</v>
      </c>
      <c r="AQ30" s="860"/>
      <c r="AR30" s="860"/>
      <c r="AS30" s="860"/>
      <c r="AT30" s="860"/>
      <c r="AU30" s="860"/>
      <c r="AV30" s="860"/>
      <c r="AW30" s="860"/>
      <c r="AX30" s="281"/>
      <c r="BL30" s="248" t="str">
        <v>ĐL1.</v>
      </c>
    </row>
    <row r="31" spans="1:64" ht="20.25" customHeight="1" x14ac:dyDescent="0.25">
      <c r="E31" s="282"/>
      <c r="AR31" s="282"/>
      <c r="BL31" s="248" t="str">
        <v>ĐL5.</v>
      </c>
    </row>
    <row r="32" spans="1:64" ht="20.25" customHeight="1" x14ac:dyDescent="0.25">
      <c r="BL32" s="248" t="str">
        <v>ĐL6.</v>
      </c>
    </row>
    <row r="33" spans="6:64" ht="20.25" customHeight="1" x14ac:dyDescent="0.25">
      <c r="F33" s="282"/>
      <c r="I33" s="282"/>
      <c r="J33" s="282"/>
      <c r="K33" s="282"/>
      <c r="L33" s="282"/>
      <c r="M33" s="282"/>
      <c r="N33" s="282"/>
      <c r="O33" s="282"/>
      <c r="P33" s="282"/>
      <c r="Q33" s="282"/>
      <c r="R33" s="282"/>
      <c r="S33" s="282"/>
      <c r="T33" s="282"/>
      <c r="U33" s="282"/>
      <c r="V33" s="282"/>
      <c r="W33" s="283"/>
      <c r="X33" s="282"/>
      <c r="Y33" s="282"/>
      <c r="Z33" s="282"/>
      <c r="AA33" s="282"/>
      <c r="AB33" s="282"/>
      <c r="AC33" s="282"/>
      <c r="AD33" s="282"/>
      <c r="AE33" s="282"/>
      <c r="AF33" s="282"/>
      <c r="AG33" s="282"/>
      <c r="AH33" s="282"/>
      <c r="AI33" s="282"/>
      <c r="AJ33" s="282"/>
      <c r="AK33" s="282"/>
      <c r="AL33" s="282"/>
      <c r="AS33" s="282"/>
      <c r="AW33" s="282"/>
      <c r="AX33" s="282"/>
      <c r="BL33" s="248" t="str">
        <v>XLM.</v>
      </c>
    </row>
    <row r="34" spans="6:64" x14ac:dyDescent="0.25">
      <c r="BL34" s="248" t="str">
        <v>TN.</v>
      </c>
    </row>
  </sheetData>
  <mergeCells count="24">
    <mergeCell ref="Z6:AA6"/>
    <mergeCell ref="V5:AA5"/>
    <mergeCell ref="AZ2:BK2"/>
    <mergeCell ref="AO5:AO7"/>
    <mergeCell ref="AP5:AP7"/>
    <mergeCell ref="AQ5:AQ7"/>
    <mergeCell ref="AR5:AT5"/>
    <mergeCell ref="AU5:AW5"/>
    <mergeCell ref="AP30:AW30"/>
    <mergeCell ref="A2:AM2"/>
    <mergeCell ref="A5:A7"/>
    <mergeCell ref="C5:C7"/>
    <mergeCell ref="D5:D7"/>
    <mergeCell ref="E5:G5"/>
    <mergeCell ref="H5:J5"/>
    <mergeCell ref="C30:AM30"/>
    <mergeCell ref="AO2:AW2"/>
    <mergeCell ref="K5:O5"/>
    <mergeCell ref="Q5:U5"/>
    <mergeCell ref="AB5:AF5"/>
    <mergeCell ref="AH5:AL5"/>
    <mergeCell ref="AM5:AM7"/>
    <mergeCell ref="V6:W6"/>
    <mergeCell ref="X6:Y6"/>
  </mergeCells>
  <pageMargins left="0.70866141732283472" right="0.35433070866141736" top="0.6692913385826772" bottom="0.74803149606299213" header="0.62992125984251968" footer="0.31496062992125984"/>
  <pageSetup paperSize="9" scale="90" orientation="landscape" r:id="rId1"/>
  <ignoredErrors>
    <ignoredError sqref="K8:P8 AC8:AK8 Q8:U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7E47-9FFA-43A7-B110-6CC207E7DCCC}">
  <sheetPr codeName="Sheet5">
    <tabColor rgb="FF92D050"/>
  </sheetPr>
  <dimension ref="A1:CH844"/>
  <sheetViews>
    <sheetView view="pageBreakPreview" topLeftCell="B1" zoomScale="85" zoomScaleNormal="70" zoomScaleSheetLayoutView="85" workbookViewId="0">
      <pane xSplit="10" ySplit="17" topLeftCell="L60" activePane="bottomRight" state="frozen"/>
      <selection activeCell="J12" sqref="J12:J13"/>
      <selection pane="topRight" activeCell="J12" sqref="J12:J13"/>
      <selection pane="bottomLeft" activeCell="J12" sqref="J12:J13"/>
      <selection pane="bottomRight" activeCell="E1" sqref="E1:F1048576"/>
    </sheetView>
  </sheetViews>
  <sheetFormatPr defaultColWidth="9.7109375" defaultRowHeight="13.5" customHeight="1" outlineLevelRow="1" outlineLevelCol="2" x14ac:dyDescent="0.25"/>
  <cols>
    <col min="1" max="1" width="3" style="351" hidden="1" customWidth="1"/>
    <col min="2" max="2" width="5.28515625" style="352" customWidth="1"/>
    <col min="3" max="3" width="42.140625" style="351" customWidth="1"/>
    <col min="4" max="4" width="7.7109375" style="352" customWidth="1"/>
    <col min="5" max="6" width="7.7109375" style="352" hidden="1" customWidth="1"/>
    <col min="7" max="7" width="7.42578125" style="351" customWidth="1"/>
    <col min="8" max="8" width="7.7109375" style="351" customWidth="1"/>
    <col min="9" max="9" width="10.140625" style="352" customWidth="1"/>
    <col min="10" max="10" width="10.7109375" style="352" customWidth="1"/>
    <col min="11" max="11" width="10" style="351" customWidth="1"/>
    <col min="12" max="12" width="11.85546875" style="352" customWidth="1"/>
    <col min="13" max="13" width="8.85546875" style="352" hidden="1" customWidth="1" outlineLevel="2"/>
    <col min="14" max="14" width="8.28515625" style="352" hidden="1" customWidth="1" outlineLevel="2"/>
    <col min="15" max="16" width="8.7109375" style="352" hidden="1" customWidth="1" outlineLevel="2"/>
    <col min="17" max="17" width="7" style="352" hidden="1" customWidth="1" outlineLevel="2"/>
    <col min="18" max="18" width="9.7109375" style="352" hidden="1" customWidth="1" outlineLevel="2"/>
    <col min="19" max="19" width="9" style="836" hidden="1" customWidth="1" outlineLevel="2"/>
    <col min="20" max="20" width="8.42578125" style="352" hidden="1" customWidth="1" outlineLevel="2"/>
    <col min="21" max="21" width="8.7109375" style="352" hidden="1" customWidth="1" outlineLevel="2"/>
    <col min="22" max="22" width="9.7109375" style="352" customWidth="1" collapsed="1"/>
    <col min="23" max="23" width="8.85546875" style="352" customWidth="1"/>
    <col min="24" max="24" width="9.28515625" style="352" customWidth="1"/>
    <col min="25" max="25" width="9.5703125" style="352" hidden="1" customWidth="1" outlineLevel="1"/>
    <col min="26" max="26" width="8" style="352" hidden="1" customWidth="1" outlineLevel="1"/>
    <col min="27" max="27" width="10" style="352" hidden="1" customWidth="1" outlineLevel="1"/>
    <col min="28" max="28" width="8.7109375" style="352" hidden="1" customWidth="1" outlineLevel="1"/>
    <col min="29" max="29" width="7.5703125" style="352" hidden="1" customWidth="1" outlineLevel="1"/>
    <col min="30" max="31" width="9" style="352" hidden="1" customWidth="1" outlineLevel="1"/>
    <col min="32" max="32" width="8.140625" style="352" hidden="1" customWidth="1" outlineLevel="1"/>
    <col min="33" max="33" width="9" style="352" hidden="1" customWidth="1" outlineLevel="1"/>
    <col min="34" max="34" width="9.28515625" style="352" customWidth="1" collapsed="1"/>
    <col min="35" max="35" width="8.7109375" style="352" customWidth="1"/>
    <col min="36" max="36" width="9" style="352" customWidth="1"/>
    <col min="37" max="37" width="10" style="352" hidden="1" customWidth="1" outlineLevel="1"/>
    <col min="38" max="38" width="7.7109375" style="352" hidden="1" customWidth="1" outlineLevel="1"/>
    <col min="39" max="39" width="9.28515625" style="352" hidden="1" customWidth="1" outlineLevel="1"/>
    <col min="40" max="40" width="9" style="352" hidden="1" customWidth="1" outlineLevel="1"/>
    <col min="41" max="41" width="8.140625" style="352" hidden="1" customWidth="1" outlineLevel="1"/>
    <col min="42" max="42" width="8.7109375" style="352" hidden="1" customWidth="1" outlineLevel="1"/>
    <col min="43" max="43" width="9.5703125" style="352" hidden="1" customWidth="1" outlineLevel="1"/>
    <col min="44" max="44" width="9" style="352" hidden="1" customWidth="1" outlineLevel="1"/>
    <col min="45" max="45" width="8.7109375" style="352" hidden="1" customWidth="1" outlineLevel="1"/>
    <col min="46" max="46" width="9.7109375" style="352" customWidth="1" collapsed="1"/>
    <col min="47" max="47" width="9.28515625" style="352" customWidth="1"/>
    <col min="48" max="48" width="9.140625" style="352" customWidth="1"/>
    <col min="49" max="49" width="8.5703125" style="352" hidden="1" customWidth="1" outlineLevel="1"/>
    <col min="50" max="50" width="8" style="352" hidden="1" customWidth="1" outlineLevel="1"/>
    <col min="51" max="51" width="8.7109375" style="352" hidden="1" customWidth="1" outlineLevel="1"/>
    <col min="52" max="52" width="9" style="352" hidden="1" customWidth="1" outlineLevel="1"/>
    <col min="53" max="53" width="7.5703125" style="352" hidden="1" customWidth="1" outlineLevel="1"/>
    <col min="54" max="54" width="9" style="352" hidden="1" customWidth="1" outlineLevel="1"/>
    <col min="55" max="55" width="8.85546875" style="352" hidden="1" customWidth="1" outlineLevel="1"/>
    <col min="56" max="56" width="8.140625" style="352" hidden="1" customWidth="1" outlineLevel="1"/>
    <col min="57" max="57" width="9" style="352" hidden="1" customWidth="1" outlineLevel="1"/>
    <col min="58" max="58" width="9.140625" style="352" customWidth="1" collapsed="1"/>
    <col min="59" max="59" width="9.5703125" style="352" customWidth="1"/>
    <col min="60" max="60" width="9.7109375" style="352" customWidth="1"/>
    <col min="61" max="61" width="12.5703125" style="351" customWidth="1"/>
    <col min="62" max="62" width="7.5703125" style="1" customWidth="1"/>
    <col min="63" max="63" width="8.140625" style="351" customWidth="1" outlineLevel="1"/>
    <col min="64" max="65" width="8.5703125" style="351" customWidth="1" outlineLevel="1"/>
    <col min="66" max="66" width="9.42578125" style="351" customWidth="1" outlineLevel="1"/>
    <col min="67" max="69" width="8.5703125" style="351" customWidth="1" outlineLevel="1"/>
    <col min="70" max="70" width="10.140625" style="351" customWidth="1" outlineLevel="1"/>
    <col min="71" max="73" width="8.5703125" style="351" customWidth="1" outlineLevel="1"/>
    <col min="74" max="74" width="9.5703125" style="351" customWidth="1" outlineLevel="1"/>
    <col min="75" max="76" width="8.5703125" style="351" customWidth="1" outlineLevel="1"/>
    <col min="77" max="77" width="8.85546875" style="351" customWidth="1" outlineLevel="1"/>
    <col min="78" max="78" width="9.85546875" style="351" customWidth="1" outlineLevel="1"/>
    <col min="79" max="79" width="10.5703125" style="351" customWidth="1"/>
    <col min="80" max="80" width="9.7109375" style="351" customWidth="1" outlineLevel="1"/>
    <col min="81" max="84" width="11.5703125" style="351" customWidth="1" outlineLevel="1"/>
    <col min="85" max="86" width="11.5703125" style="351" customWidth="1"/>
    <col min="87" max="87" width="7.5703125" style="351" customWidth="1"/>
    <col min="88" max="16384" width="9.7109375" style="351"/>
  </cols>
  <sheetData>
    <row r="1" spans="1:86" ht="16.5" hidden="1" x14ac:dyDescent="0.25">
      <c r="L1" s="353"/>
      <c r="M1" s="356"/>
      <c r="N1" s="356"/>
      <c r="O1" s="356"/>
      <c r="P1" s="356"/>
      <c r="Q1" s="356"/>
      <c r="R1" s="356"/>
      <c r="S1" s="813"/>
      <c r="T1" s="356"/>
      <c r="U1" s="356"/>
      <c r="V1" s="356"/>
      <c r="W1" s="356"/>
      <c r="X1" s="356"/>
      <c r="Y1" s="356"/>
      <c r="Z1" s="356"/>
      <c r="AA1" s="356"/>
      <c r="AB1" s="356"/>
      <c r="AC1" s="356"/>
      <c r="AD1" s="356"/>
      <c r="AE1" s="356"/>
      <c r="AF1" s="356"/>
      <c r="AG1" s="356"/>
      <c r="AH1" s="356"/>
      <c r="AI1" s="356"/>
      <c r="AJ1" s="356"/>
      <c r="AK1" s="356"/>
      <c r="AL1" s="356"/>
      <c r="AM1" s="356"/>
      <c r="AN1" s="356"/>
      <c r="AO1" s="356"/>
      <c r="AP1" s="356"/>
      <c r="AQ1" s="356"/>
      <c r="AR1" s="356"/>
      <c r="AS1" s="356"/>
      <c r="AT1" s="356"/>
      <c r="AU1" s="356"/>
      <c r="AV1" s="356"/>
      <c r="AW1" s="356"/>
      <c r="AX1" s="356"/>
      <c r="AY1" s="356"/>
      <c r="AZ1" s="356"/>
      <c r="BA1" s="356"/>
      <c r="BB1" s="356"/>
      <c r="BC1" s="356"/>
      <c r="BD1" s="356"/>
      <c r="BE1" s="356"/>
      <c r="BF1" s="356"/>
      <c r="BG1" s="356"/>
      <c r="BH1" s="356"/>
    </row>
    <row r="2" spans="1:86" ht="16.5" hidden="1" x14ac:dyDescent="0.25">
      <c r="B2" s="446">
        <v>-2</v>
      </c>
      <c r="L2" s="448"/>
      <c r="M2" s="449"/>
      <c r="N2" s="449"/>
      <c r="O2" s="449"/>
      <c r="P2" s="449"/>
      <c r="Q2" s="449"/>
      <c r="R2" s="449"/>
      <c r="S2" s="814"/>
      <c r="T2" s="449"/>
      <c r="U2" s="449"/>
      <c r="V2" s="449"/>
      <c r="W2" s="449"/>
      <c r="X2" s="449"/>
      <c r="Y2" s="449"/>
      <c r="Z2" s="449"/>
      <c r="AA2" s="449"/>
      <c r="AB2" s="449"/>
      <c r="AC2" s="449"/>
      <c r="AD2" s="449"/>
      <c r="AE2" s="449"/>
      <c r="AF2" s="449"/>
      <c r="AG2" s="449"/>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row>
    <row r="3" spans="1:86" ht="18.75" hidden="1" x14ac:dyDescent="0.3">
      <c r="B3" s="450" t="s">
        <v>168</v>
      </c>
      <c r="C3" s="451">
        <v>1.63</v>
      </c>
      <c r="D3" s="452"/>
      <c r="E3" s="452"/>
      <c r="F3" s="452"/>
      <c r="I3" s="453"/>
      <c r="J3" s="453"/>
      <c r="K3" s="453"/>
      <c r="L3" s="454"/>
      <c r="M3" s="454"/>
      <c r="N3" s="454"/>
      <c r="O3" s="454"/>
      <c r="P3" s="454"/>
      <c r="Q3" s="454"/>
      <c r="R3" s="454"/>
      <c r="S3" s="815"/>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54"/>
      <c r="AZ3" s="454"/>
      <c r="BA3" s="454"/>
      <c r="BB3" s="454"/>
      <c r="BC3" s="454"/>
      <c r="BD3" s="454"/>
      <c r="BE3" s="454"/>
      <c r="BF3" s="454"/>
      <c r="BG3" s="454"/>
      <c r="BH3" s="454"/>
      <c r="CC3" s="355" t="s">
        <v>226</v>
      </c>
    </row>
    <row r="4" spans="1:86" ht="16.5" hidden="1" x14ac:dyDescent="0.25">
      <c r="A4" s="455"/>
      <c r="B4" s="450" t="s">
        <v>168</v>
      </c>
      <c r="C4" s="456" t="s">
        <v>578</v>
      </c>
      <c r="D4" s="457"/>
      <c r="E4" s="457"/>
      <c r="F4" s="457"/>
      <c r="G4" s="458"/>
      <c r="H4" s="455"/>
      <c r="I4" s="457"/>
      <c r="J4" s="457"/>
      <c r="K4" s="458"/>
      <c r="L4" s="459"/>
      <c r="M4" s="459"/>
      <c r="N4" s="459"/>
      <c r="O4" s="460">
        <f>120/25</f>
        <v>4.8</v>
      </c>
      <c r="P4" s="459">
        <f>O4*16</f>
        <v>76.8</v>
      </c>
      <c r="Q4" s="459"/>
      <c r="R4" s="459"/>
      <c r="S4" s="816"/>
      <c r="T4" s="459"/>
      <c r="U4" s="459"/>
      <c r="V4" s="459"/>
      <c r="W4" s="459"/>
      <c r="X4" s="459"/>
      <c r="Y4" s="459"/>
      <c r="Z4" s="459"/>
      <c r="AA4" s="459"/>
      <c r="AB4" s="459"/>
      <c r="AC4" s="459"/>
      <c r="AD4" s="459"/>
      <c r="AE4" s="459"/>
      <c r="AF4" s="459"/>
      <c r="AG4" s="459"/>
      <c r="AH4" s="459"/>
      <c r="AI4" s="459"/>
      <c r="AJ4" s="459"/>
      <c r="AK4" s="459"/>
      <c r="AL4" s="459"/>
      <c r="AM4" s="459"/>
      <c r="AN4" s="459"/>
      <c r="AO4" s="459"/>
      <c r="AP4" s="459"/>
      <c r="AQ4" s="459"/>
      <c r="AR4" s="459"/>
      <c r="AS4" s="459"/>
      <c r="AT4" s="459"/>
      <c r="AU4" s="459"/>
      <c r="AV4" s="459"/>
      <c r="AW4" s="459"/>
      <c r="AX4" s="459"/>
      <c r="AY4" s="459"/>
      <c r="AZ4" s="459"/>
      <c r="BA4" s="459"/>
      <c r="BB4" s="459"/>
      <c r="BC4" s="459"/>
      <c r="BD4" s="459"/>
      <c r="BE4" s="459"/>
      <c r="BF4" s="459"/>
      <c r="BG4" s="459"/>
      <c r="BH4" s="459"/>
      <c r="BI4" s="461"/>
      <c r="BJ4" s="462"/>
      <c r="BK4" s="461"/>
      <c r="BL4" s="461"/>
      <c r="BM4" s="461"/>
      <c r="BN4" s="461"/>
      <c r="BO4" s="461"/>
      <c r="BP4" s="461"/>
      <c r="BQ4" s="461"/>
      <c r="BR4" s="461"/>
      <c r="BS4" s="461"/>
      <c r="BT4" s="461"/>
      <c r="BU4" s="461"/>
      <c r="BV4" s="461"/>
      <c r="BW4" s="461"/>
      <c r="BX4" s="461"/>
      <c r="BY4" s="461"/>
      <c r="BZ4" s="461"/>
      <c r="CA4" s="461"/>
      <c r="CC4" s="463" t="s">
        <v>224</v>
      </c>
    </row>
    <row r="5" spans="1:86" s="357" customFormat="1" ht="18.75" hidden="1" x14ac:dyDescent="0.25">
      <c r="A5" s="464" t="s">
        <v>179</v>
      </c>
      <c r="B5" s="465">
        <v>0.73499999999999999</v>
      </c>
      <c r="C5" s="904" t="s">
        <v>263</v>
      </c>
      <c r="D5" s="904"/>
      <c r="E5" s="904"/>
      <c r="F5" s="904"/>
      <c r="G5" s="904"/>
      <c r="H5" s="904"/>
      <c r="I5" s="904"/>
      <c r="J5" s="904"/>
      <c r="K5" s="904"/>
      <c r="L5" s="904"/>
      <c r="M5" s="904"/>
      <c r="N5" s="904"/>
      <c r="O5" s="904"/>
      <c r="P5" s="904"/>
      <c r="Q5" s="904"/>
      <c r="R5" s="904"/>
      <c r="S5" s="904"/>
      <c r="T5" s="904"/>
      <c r="U5" s="904"/>
      <c r="V5" s="904"/>
      <c r="W5" s="904"/>
      <c r="X5" s="904"/>
      <c r="Y5" s="904"/>
      <c r="Z5" s="904"/>
      <c r="AA5" s="904"/>
      <c r="AB5" s="904"/>
      <c r="AC5" s="904"/>
      <c r="AD5" s="904"/>
      <c r="AE5" s="904"/>
      <c r="AF5" s="904"/>
      <c r="AG5" s="904"/>
      <c r="AH5" s="904"/>
      <c r="AI5" s="904"/>
      <c r="AJ5" s="904"/>
      <c r="AK5" s="904"/>
      <c r="AL5" s="904"/>
      <c r="AM5" s="904"/>
      <c r="AN5" s="904"/>
      <c r="AO5" s="904"/>
      <c r="AP5" s="904"/>
      <c r="AQ5" s="904"/>
      <c r="AR5" s="904"/>
      <c r="AS5" s="904"/>
      <c r="AT5" s="904"/>
      <c r="AU5" s="904"/>
      <c r="AV5" s="904"/>
      <c r="AW5" s="904"/>
      <c r="AX5" s="904"/>
      <c r="AY5" s="904"/>
      <c r="AZ5" s="904"/>
      <c r="BA5" s="904"/>
      <c r="BB5" s="904"/>
      <c r="BC5" s="904"/>
      <c r="BD5" s="904"/>
      <c r="BE5" s="904"/>
      <c r="BF5" s="904"/>
      <c r="BG5" s="904"/>
      <c r="BH5" s="904"/>
      <c r="BI5" s="904"/>
      <c r="BJ5" s="466"/>
      <c r="BK5" s="903" t="s">
        <v>483</v>
      </c>
      <c r="BL5" s="903"/>
      <c r="BM5" s="903"/>
      <c r="BN5" s="903"/>
      <c r="BO5" s="903"/>
      <c r="BP5" s="903"/>
      <c r="BQ5" s="903"/>
      <c r="BR5" s="903"/>
      <c r="BS5" s="903"/>
      <c r="BT5" s="903"/>
      <c r="BU5" s="903"/>
      <c r="BV5" s="903"/>
      <c r="BW5" s="903"/>
      <c r="BX5" s="903"/>
      <c r="BY5" s="903"/>
      <c r="BZ5" s="903"/>
      <c r="CA5" s="467"/>
      <c r="CC5" s="468" t="s">
        <v>225</v>
      </c>
      <c r="CH5" s="469">
        <f>20827-I14</f>
        <v>-4573</v>
      </c>
    </row>
    <row r="6" spans="1:86" s="357" customFormat="1" ht="17.25" hidden="1" thickBot="1" x14ac:dyDescent="0.3">
      <c r="A6" s="464" t="s">
        <v>165</v>
      </c>
      <c r="B6" s="470">
        <v>0.22</v>
      </c>
      <c r="C6" s="471"/>
      <c r="D6" s="354"/>
      <c r="E6" s="354"/>
      <c r="F6" s="354"/>
      <c r="G6" s="471"/>
      <c r="H6" s="472"/>
      <c r="I6" s="473"/>
      <c r="J6" s="474"/>
      <c r="K6" s="475"/>
      <c r="L6" s="476"/>
      <c r="M6" s="476"/>
      <c r="N6" s="476"/>
      <c r="O6" s="476"/>
      <c r="P6" s="476"/>
      <c r="Q6" s="476"/>
      <c r="R6" s="476"/>
      <c r="S6" s="817"/>
      <c r="T6" s="476"/>
      <c r="U6" s="476"/>
      <c r="V6" s="477"/>
      <c r="W6" s="477"/>
      <c r="X6" s="477"/>
      <c r="Y6" s="477"/>
      <c r="Z6" s="477"/>
      <c r="AA6" s="477"/>
      <c r="AB6" s="477"/>
      <c r="AC6" s="477"/>
      <c r="AD6" s="477"/>
      <c r="AE6" s="477"/>
      <c r="AF6" s="477"/>
      <c r="AG6" s="477"/>
      <c r="AH6" s="477">
        <f>AH13-AE13-AB13-Y13</f>
        <v>0</v>
      </c>
      <c r="AI6" s="477">
        <f>AI13-AF13-AC13-Z13</f>
        <v>10</v>
      </c>
      <c r="AJ6" s="477"/>
      <c r="AK6" s="477"/>
      <c r="AL6" s="477"/>
      <c r="AM6" s="477"/>
      <c r="AN6" s="477"/>
      <c r="AO6" s="477"/>
      <c r="AP6" s="477"/>
      <c r="AQ6" s="477"/>
      <c r="AR6" s="477"/>
      <c r="AS6" s="477"/>
      <c r="AT6" s="477">
        <f>AT13-AQ13-AN13-AK13</f>
        <v>0</v>
      </c>
      <c r="AU6" s="477">
        <f>AU13-AR13-AO13-AL13</f>
        <v>0</v>
      </c>
      <c r="AV6" s="477"/>
      <c r="AW6" s="477"/>
      <c r="AX6" s="477"/>
      <c r="AY6" s="477"/>
      <c r="AZ6" s="477"/>
      <c r="BA6" s="477"/>
      <c r="BB6" s="477"/>
      <c r="BC6" s="477"/>
      <c r="BD6" s="477"/>
      <c r="BE6" s="477"/>
      <c r="BF6" s="477">
        <f>BF13-BC13-AZ13-AW13</f>
        <v>160</v>
      </c>
      <c r="BG6" s="477">
        <f>BG13-BD13-BA13-AX13</f>
        <v>50</v>
      </c>
      <c r="BH6" s="477">
        <f>I13-V13-AH13-AT13-BF13</f>
        <v>1075.5</v>
      </c>
      <c r="BI6" s="477">
        <f>J13-W13-AI13-AU13-BG13</f>
        <v>538</v>
      </c>
      <c r="BJ6" s="478">
        <f>L13-BN13-BR13-BV13-BZ13</f>
        <v>-3300</v>
      </c>
      <c r="BK6" s="479"/>
      <c r="BL6" s="479"/>
      <c r="BM6" s="479"/>
      <c r="BN6" s="479"/>
      <c r="BO6" s="479"/>
      <c r="BP6" s="479"/>
      <c r="BQ6" s="479"/>
      <c r="BR6" s="479"/>
      <c r="BS6" s="479"/>
      <c r="BT6" s="479"/>
      <c r="BU6" s="479"/>
      <c r="BV6" s="479"/>
      <c r="BW6" s="479"/>
      <c r="BX6" s="479"/>
      <c r="BY6" s="479"/>
      <c r="BZ6" s="479"/>
      <c r="CA6" s="479"/>
      <c r="CB6" s="479"/>
    </row>
    <row r="7" spans="1:86" s="357" customFormat="1" ht="21" customHeight="1" x14ac:dyDescent="0.25">
      <c r="A7" s="464"/>
      <c r="B7" s="470"/>
      <c r="C7" s="903" t="s">
        <v>854</v>
      </c>
      <c r="D7" s="903"/>
      <c r="E7" s="903"/>
      <c r="F7" s="903"/>
      <c r="G7" s="903"/>
      <c r="H7" s="903"/>
      <c r="I7" s="903"/>
      <c r="J7" s="903"/>
      <c r="K7" s="903"/>
      <c r="L7" s="920"/>
      <c r="M7" s="920"/>
      <c r="N7" s="920"/>
      <c r="O7" s="920"/>
      <c r="P7" s="920"/>
      <c r="Q7" s="920"/>
      <c r="R7" s="920"/>
      <c r="S7" s="920"/>
      <c r="T7" s="920"/>
      <c r="U7" s="920"/>
      <c r="V7" s="903"/>
      <c r="W7" s="903"/>
      <c r="X7" s="903"/>
      <c r="Y7" s="920"/>
      <c r="Z7" s="920"/>
      <c r="AA7" s="920"/>
      <c r="AB7" s="920"/>
      <c r="AC7" s="920"/>
      <c r="AD7" s="920"/>
      <c r="AE7" s="920"/>
      <c r="AF7" s="920"/>
      <c r="AG7" s="920"/>
      <c r="AH7" s="903"/>
      <c r="AI7" s="903"/>
      <c r="AJ7" s="903"/>
      <c r="AK7" s="920"/>
      <c r="AL7" s="920"/>
      <c r="AM7" s="920"/>
      <c r="AN7" s="920"/>
      <c r="AO7" s="920"/>
      <c r="AP7" s="920"/>
      <c r="AQ7" s="920"/>
      <c r="AR7" s="920"/>
      <c r="AS7" s="920"/>
      <c r="AT7" s="903"/>
      <c r="AU7" s="903"/>
      <c r="AV7" s="903"/>
      <c r="AW7" s="920"/>
      <c r="AX7" s="920"/>
      <c r="AY7" s="920"/>
      <c r="AZ7" s="920"/>
      <c r="BA7" s="920"/>
      <c r="BB7" s="920"/>
      <c r="BC7" s="920"/>
      <c r="BD7" s="920"/>
      <c r="BE7" s="920"/>
      <c r="BF7" s="903"/>
      <c r="BG7" s="903"/>
      <c r="BH7" s="903"/>
      <c r="BI7" s="903"/>
      <c r="BJ7" s="478"/>
      <c r="BK7" s="479"/>
      <c r="BL7" s="479"/>
      <c r="BM7" s="479"/>
      <c r="BN7" s="479"/>
      <c r="BO7" s="479"/>
      <c r="BP7" s="479"/>
      <c r="BQ7" s="479"/>
      <c r="BR7" s="479"/>
      <c r="BS7" s="479"/>
      <c r="BT7" s="479"/>
      <c r="BU7" s="479"/>
      <c r="BV7" s="479"/>
      <c r="BW7" s="479"/>
      <c r="BX7" s="479"/>
      <c r="BY7" s="479"/>
      <c r="BZ7" s="479"/>
      <c r="CA7" s="479"/>
      <c r="CB7" s="479"/>
    </row>
    <row r="8" spans="1:86" s="357" customFormat="1" ht="21" customHeight="1" thickBot="1" x14ac:dyDescent="0.3">
      <c r="A8" s="464"/>
      <c r="B8" s="480"/>
      <c r="C8" s="568"/>
      <c r="D8" s="568"/>
      <c r="E8" s="568"/>
      <c r="F8" s="568"/>
      <c r="G8" s="568"/>
      <c r="H8" s="568"/>
      <c r="I8" s="568">
        <f>SUBTOTAL(9,I18:I412)</f>
        <v>97661.5</v>
      </c>
      <c r="J8" s="568"/>
      <c r="K8" s="568"/>
      <c r="L8" s="569"/>
      <c r="M8" s="569"/>
      <c r="N8" s="569"/>
      <c r="O8" s="569"/>
      <c r="P8" s="569"/>
      <c r="Q8" s="569"/>
      <c r="R8" s="569"/>
      <c r="S8" s="818"/>
      <c r="T8" s="569"/>
      <c r="U8" s="569"/>
      <c r="V8" s="568"/>
      <c r="W8" s="568"/>
      <c r="X8" s="568"/>
      <c r="Y8" s="569"/>
      <c r="Z8" s="569"/>
      <c r="AA8" s="569"/>
      <c r="AB8" s="569"/>
      <c r="AC8" s="569"/>
      <c r="AD8" s="569"/>
      <c r="AE8" s="569"/>
      <c r="AF8" s="569"/>
      <c r="AG8" s="569"/>
      <c r="AH8" s="568"/>
      <c r="AI8" s="568"/>
      <c r="AJ8" s="568"/>
      <c r="AK8" s="569"/>
      <c r="AL8" s="569"/>
      <c r="AM8" s="569"/>
      <c r="AN8" s="569"/>
      <c r="AO8" s="569"/>
      <c r="AP8" s="569"/>
      <c r="AQ8" s="569"/>
      <c r="AR8" s="569"/>
      <c r="AS8" s="569"/>
      <c r="AT8" s="568"/>
      <c r="AU8" s="568"/>
      <c r="AV8" s="568"/>
      <c r="AW8" s="569"/>
      <c r="AX8" s="569"/>
      <c r="AY8" s="569"/>
      <c r="AZ8" s="569"/>
      <c r="BA8" s="569"/>
      <c r="BB8" s="569"/>
      <c r="BC8" s="569"/>
      <c r="BD8" s="569"/>
      <c r="BE8" s="569"/>
      <c r="BF8" s="568"/>
      <c r="BG8" s="568"/>
      <c r="BH8" s="568"/>
      <c r="BI8" s="568"/>
      <c r="BJ8" s="478"/>
      <c r="BK8" s="479"/>
      <c r="BL8" s="479"/>
      <c r="BM8" s="479"/>
      <c r="BN8" s="479"/>
      <c r="BO8" s="479"/>
      <c r="BP8" s="479"/>
      <c r="BQ8" s="479"/>
      <c r="BR8" s="479"/>
      <c r="BS8" s="479"/>
      <c r="BT8" s="479"/>
      <c r="BU8" s="479"/>
      <c r="BV8" s="479"/>
      <c r="BW8" s="479"/>
      <c r="BX8" s="479"/>
      <c r="BY8" s="479"/>
      <c r="BZ8" s="479"/>
      <c r="CA8" s="479"/>
      <c r="CB8" s="479"/>
    </row>
    <row r="9" spans="1:86" s="354" customFormat="1" ht="22.5" customHeight="1" thickTop="1" x14ac:dyDescent="0.25">
      <c r="A9" s="354" t="s">
        <v>208</v>
      </c>
      <c r="B9" s="921" t="s">
        <v>9</v>
      </c>
      <c r="C9" s="924" t="s">
        <v>34</v>
      </c>
      <c r="D9" s="927" t="s">
        <v>185</v>
      </c>
      <c r="E9" s="481"/>
      <c r="F9" s="481"/>
      <c r="G9" s="927" t="s">
        <v>274</v>
      </c>
      <c r="H9" s="927" t="s">
        <v>275</v>
      </c>
      <c r="I9" s="905" t="s">
        <v>855</v>
      </c>
      <c r="J9" s="905"/>
      <c r="K9" s="905"/>
      <c r="L9" s="905"/>
      <c r="M9" s="917" t="s">
        <v>262</v>
      </c>
      <c r="N9" s="918"/>
      <c r="O9" s="918"/>
      <c r="P9" s="918"/>
      <c r="Q9" s="918"/>
      <c r="R9" s="918"/>
      <c r="S9" s="918"/>
      <c r="T9" s="918"/>
      <c r="U9" s="918"/>
      <c r="V9" s="918"/>
      <c r="W9" s="918"/>
      <c r="X9" s="918"/>
      <c r="Y9" s="918"/>
      <c r="Z9" s="918"/>
      <c r="AA9" s="918"/>
      <c r="AB9" s="918"/>
      <c r="AC9" s="918"/>
      <c r="AD9" s="918"/>
      <c r="AE9" s="918"/>
      <c r="AF9" s="918"/>
      <c r="AG9" s="918"/>
      <c r="AH9" s="918"/>
      <c r="AI9" s="918"/>
      <c r="AJ9" s="918"/>
      <c r="AK9" s="918"/>
      <c r="AL9" s="918"/>
      <c r="AM9" s="918"/>
      <c r="AN9" s="918"/>
      <c r="AO9" s="918"/>
      <c r="AP9" s="918"/>
      <c r="AQ9" s="918"/>
      <c r="AR9" s="918"/>
      <c r="AS9" s="918"/>
      <c r="AT9" s="918"/>
      <c r="AU9" s="918"/>
      <c r="AV9" s="918"/>
      <c r="AW9" s="918"/>
      <c r="AX9" s="918"/>
      <c r="AY9" s="918"/>
      <c r="AZ9" s="918"/>
      <c r="BA9" s="918"/>
      <c r="BB9" s="918"/>
      <c r="BC9" s="918"/>
      <c r="BD9" s="918"/>
      <c r="BE9" s="918"/>
      <c r="BF9" s="918"/>
      <c r="BG9" s="918"/>
      <c r="BH9" s="919"/>
      <c r="BI9" s="908" t="s">
        <v>101</v>
      </c>
      <c r="BJ9" s="482" t="s">
        <v>322</v>
      </c>
      <c r="BK9" s="916" t="s">
        <v>458</v>
      </c>
      <c r="BL9" s="916"/>
      <c r="BM9" s="916"/>
      <c r="BN9" s="916"/>
      <c r="BO9" s="916"/>
      <c r="BP9" s="916"/>
      <c r="BQ9" s="916"/>
      <c r="BR9" s="916"/>
      <c r="BS9" s="916"/>
      <c r="BT9" s="916"/>
      <c r="BU9" s="916"/>
      <c r="BV9" s="916"/>
      <c r="BW9" s="916"/>
      <c r="BX9" s="916"/>
      <c r="BY9" s="916"/>
      <c r="BZ9" s="916"/>
    </row>
    <row r="10" spans="1:86" s="354" customFormat="1" ht="21" customHeight="1" x14ac:dyDescent="0.25">
      <c r="A10" s="354" t="str">
        <f>A9</f>
        <v>h</v>
      </c>
      <c r="B10" s="922"/>
      <c r="C10" s="925"/>
      <c r="D10" s="928"/>
      <c r="E10" s="447"/>
      <c r="F10" s="447"/>
      <c r="G10" s="929"/>
      <c r="H10" s="929"/>
      <c r="I10" s="911" t="s">
        <v>373</v>
      </c>
      <c r="J10" s="911" t="s">
        <v>176</v>
      </c>
      <c r="K10" s="911" t="s">
        <v>13</v>
      </c>
      <c r="L10" s="906" t="s">
        <v>166</v>
      </c>
      <c r="M10" s="913" t="s">
        <v>139</v>
      </c>
      <c r="N10" s="914"/>
      <c r="O10" s="915"/>
      <c r="P10" s="913" t="s">
        <v>140</v>
      </c>
      <c r="Q10" s="914"/>
      <c r="R10" s="915"/>
      <c r="S10" s="913" t="s">
        <v>136</v>
      </c>
      <c r="T10" s="914"/>
      <c r="U10" s="915"/>
      <c r="V10" s="485" t="s">
        <v>258</v>
      </c>
      <c r="W10" s="486"/>
      <c r="X10" s="487"/>
      <c r="Y10" s="913" t="s">
        <v>137</v>
      </c>
      <c r="Z10" s="914"/>
      <c r="AA10" s="915"/>
      <c r="AB10" s="913" t="s">
        <v>138</v>
      </c>
      <c r="AC10" s="914"/>
      <c r="AD10" s="915"/>
      <c r="AE10" s="913" t="s">
        <v>146</v>
      </c>
      <c r="AF10" s="914"/>
      <c r="AG10" s="915"/>
      <c r="AH10" s="485" t="s">
        <v>259</v>
      </c>
      <c r="AI10" s="486"/>
      <c r="AJ10" s="487"/>
      <c r="AK10" s="913" t="s">
        <v>147</v>
      </c>
      <c r="AL10" s="914"/>
      <c r="AM10" s="915"/>
      <c r="AN10" s="913" t="s">
        <v>148</v>
      </c>
      <c r="AO10" s="914"/>
      <c r="AP10" s="915"/>
      <c r="AQ10" s="913" t="s">
        <v>149</v>
      </c>
      <c r="AR10" s="914"/>
      <c r="AS10" s="915"/>
      <c r="AT10" s="485" t="s">
        <v>260</v>
      </c>
      <c r="AU10" s="486"/>
      <c r="AV10" s="487"/>
      <c r="AW10" s="913" t="s">
        <v>150</v>
      </c>
      <c r="AX10" s="914"/>
      <c r="AY10" s="915"/>
      <c r="AZ10" s="913" t="s">
        <v>151</v>
      </c>
      <c r="BA10" s="914"/>
      <c r="BB10" s="915"/>
      <c r="BC10" s="913" t="s">
        <v>187</v>
      </c>
      <c r="BD10" s="914"/>
      <c r="BE10" s="915"/>
      <c r="BF10" s="485" t="s">
        <v>261</v>
      </c>
      <c r="BG10" s="486"/>
      <c r="BH10" s="487"/>
      <c r="BI10" s="909"/>
      <c r="BJ10" s="488">
        <f>(V14+AH14)/26195</f>
        <v>0.52338232487115866</v>
      </c>
      <c r="BK10" s="489" t="s">
        <v>139</v>
      </c>
      <c r="BL10" s="489" t="s">
        <v>140</v>
      </c>
      <c r="BM10" s="489" t="s">
        <v>136</v>
      </c>
      <c r="BN10" s="483" t="s">
        <v>258</v>
      </c>
      <c r="BO10" s="489" t="s">
        <v>137</v>
      </c>
      <c r="BP10" s="489" t="s">
        <v>138</v>
      </c>
      <c r="BQ10" s="489" t="s">
        <v>146</v>
      </c>
      <c r="BR10" s="483" t="s">
        <v>259</v>
      </c>
      <c r="BS10" s="489" t="s">
        <v>147</v>
      </c>
      <c r="BT10" s="489" t="s">
        <v>148</v>
      </c>
      <c r="BU10" s="489" t="s">
        <v>149</v>
      </c>
      <c r="BV10" s="483" t="s">
        <v>260</v>
      </c>
      <c r="BW10" s="489" t="s">
        <v>150</v>
      </c>
      <c r="BX10" s="489" t="s">
        <v>151</v>
      </c>
      <c r="BY10" s="489" t="s">
        <v>187</v>
      </c>
      <c r="BZ10" s="483" t="s">
        <v>261</v>
      </c>
      <c r="CC10" s="354" t="s">
        <v>147</v>
      </c>
      <c r="CD10" s="354" t="s">
        <v>148</v>
      </c>
      <c r="CE10" s="354" t="s">
        <v>149</v>
      </c>
      <c r="CF10" s="354" t="s">
        <v>150</v>
      </c>
      <c r="CG10" s="354" t="s">
        <v>151</v>
      </c>
      <c r="CH10" s="354" t="s">
        <v>187</v>
      </c>
    </row>
    <row r="11" spans="1:86" s="354" customFormat="1" ht="24.75" customHeight="1" x14ac:dyDescent="0.25">
      <c r="A11" s="354" t="str">
        <f>A10</f>
        <v>h</v>
      </c>
      <c r="B11" s="923"/>
      <c r="C11" s="926"/>
      <c r="D11" s="912"/>
      <c r="E11" s="490"/>
      <c r="F11" s="490"/>
      <c r="G11" s="930"/>
      <c r="H11" s="930"/>
      <c r="I11" s="912"/>
      <c r="J11" s="912"/>
      <c r="K11" s="912"/>
      <c r="L11" s="907"/>
      <c r="M11" s="491" t="s">
        <v>108</v>
      </c>
      <c r="N11" s="491" t="s">
        <v>176</v>
      </c>
      <c r="O11" s="491" t="s">
        <v>13</v>
      </c>
      <c r="P11" s="491" t="s">
        <v>108</v>
      </c>
      <c r="Q11" s="491" t="s">
        <v>176</v>
      </c>
      <c r="R11" s="491" t="s">
        <v>13</v>
      </c>
      <c r="S11" s="819" t="s">
        <v>108</v>
      </c>
      <c r="T11" s="491" t="s">
        <v>176</v>
      </c>
      <c r="U11" s="491" t="s">
        <v>13</v>
      </c>
      <c r="V11" s="492" t="s">
        <v>108</v>
      </c>
      <c r="W11" s="492" t="s">
        <v>176</v>
      </c>
      <c r="X11" s="492" t="s">
        <v>13</v>
      </c>
      <c r="Y11" s="491" t="s">
        <v>108</v>
      </c>
      <c r="Z11" s="491" t="s">
        <v>176</v>
      </c>
      <c r="AA11" s="491" t="s">
        <v>13</v>
      </c>
      <c r="AB11" s="491" t="s">
        <v>108</v>
      </c>
      <c r="AC11" s="491" t="s">
        <v>176</v>
      </c>
      <c r="AD11" s="491" t="s">
        <v>13</v>
      </c>
      <c r="AE11" s="491" t="s">
        <v>108</v>
      </c>
      <c r="AF11" s="491" t="s">
        <v>176</v>
      </c>
      <c r="AG11" s="491" t="s">
        <v>13</v>
      </c>
      <c r="AH11" s="492" t="s">
        <v>108</v>
      </c>
      <c r="AI11" s="492" t="s">
        <v>176</v>
      </c>
      <c r="AJ11" s="492" t="s">
        <v>13</v>
      </c>
      <c r="AK11" s="491" t="s">
        <v>108</v>
      </c>
      <c r="AL11" s="491" t="s">
        <v>176</v>
      </c>
      <c r="AM11" s="491" t="s">
        <v>13</v>
      </c>
      <c r="AN11" s="491" t="s">
        <v>108</v>
      </c>
      <c r="AO11" s="491" t="s">
        <v>176</v>
      </c>
      <c r="AP11" s="491" t="s">
        <v>13</v>
      </c>
      <c r="AQ11" s="491" t="s">
        <v>108</v>
      </c>
      <c r="AR11" s="491" t="s">
        <v>176</v>
      </c>
      <c r="AS11" s="491" t="s">
        <v>13</v>
      </c>
      <c r="AT11" s="492" t="s">
        <v>108</v>
      </c>
      <c r="AU11" s="492" t="s">
        <v>176</v>
      </c>
      <c r="AV11" s="492" t="s">
        <v>13</v>
      </c>
      <c r="AW11" s="491" t="s">
        <v>108</v>
      </c>
      <c r="AX11" s="491" t="s">
        <v>176</v>
      </c>
      <c r="AY11" s="491" t="s">
        <v>13</v>
      </c>
      <c r="AZ11" s="491" t="s">
        <v>108</v>
      </c>
      <c r="BA11" s="491" t="s">
        <v>176</v>
      </c>
      <c r="BB11" s="491" t="s">
        <v>13</v>
      </c>
      <c r="BC11" s="491" t="s">
        <v>108</v>
      </c>
      <c r="BD11" s="491" t="s">
        <v>176</v>
      </c>
      <c r="BE11" s="491" t="s">
        <v>13</v>
      </c>
      <c r="BF11" s="492" t="s">
        <v>108</v>
      </c>
      <c r="BG11" s="492" t="s">
        <v>176</v>
      </c>
      <c r="BH11" s="492" t="s">
        <v>13</v>
      </c>
      <c r="BI11" s="910"/>
      <c r="BJ11" s="488">
        <f>(V14+AH14)/I14</f>
        <v>0.53976377952755905</v>
      </c>
      <c r="BK11" s="489"/>
      <c r="BL11" s="489"/>
      <c r="BM11" s="489"/>
      <c r="BN11" s="489"/>
      <c r="BO11" s="489"/>
      <c r="BP11" s="489"/>
      <c r="BQ11" s="489"/>
      <c r="BR11" s="489"/>
      <c r="BS11" s="489"/>
      <c r="BT11" s="489"/>
      <c r="BU11" s="489"/>
      <c r="BV11" s="489"/>
      <c r="BW11" s="489"/>
      <c r="BX11" s="489"/>
      <c r="BY11" s="489"/>
      <c r="BZ11" s="489"/>
    </row>
    <row r="12" spans="1:86" s="357" customFormat="1" ht="16.5" hidden="1" x14ac:dyDescent="0.25">
      <c r="A12" s="354" t="str">
        <f>A11</f>
        <v>h</v>
      </c>
      <c r="B12" s="493" t="s">
        <v>8</v>
      </c>
      <c r="C12" s="494">
        <v>2</v>
      </c>
      <c r="D12" s="489">
        <v>3</v>
      </c>
      <c r="E12" s="489"/>
      <c r="F12" s="489"/>
      <c r="G12" s="494">
        <v>4</v>
      </c>
      <c r="H12" s="489">
        <v>5</v>
      </c>
      <c r="I12" s="494">
        <v>6</v>
      </c>
      <c r="J12" s="489">
        <v>7</v>
      </c>
      <c r="K12" s="494">
        <v>8</v>
      </c>
      <c r="L12" s="494">
        <v>12</v>
      </c>
      <c r="M12" s="494"/>
      <c r="N12" s="494"/>
      <c r="O12" s="494"/>
      <c r="P12" s="494"/>
      <c r="Q12" s="494"/>
      <c r="R12" s="494"/>
      <c r="S12" s="820"/>
      <c r="T12" s="494"/>
      <c r="U12" s="494"/>
      <c r="V12" s="494"/>
      <c r="W12" s="494"/>
      <c r="X12" s="494"/>
      <c r="Y12" s="494"/>
      <c r="Z12" s="494"/>
      <c r="AA12" s="494"/>
      <c r="AB12" s="494"/>
      <c r="AC12" s="494"/>
      <c r="AD12" s="494"/>
      <c r="AE12" s="494"/>
      <c r="AF12" s="494"/>
      <c r="AG12" s="494"/>
      <c r="AH12" s="494"/>
      <c r="AI12" s="494"/>
      <c r="AJ12" s="494"/>
      <c r="AK12" s="494"/>
      <c r="AL12" s="494"/>
      <c r="AM12" s="494"/>
      <c r="AN12" s="494"/>
      <c r="AO12" s="494"/>
      <c r="AP12" s="494"/>
      <c r="AQ12" s="494"/>
      <c r="AR12" s="494"/>
      <c r="AS12" s="494"/>
      <c r="AT12" s="494"/>
      <c r="AU12" s="494"/>
      <c r="AV12" s="494"/>
      <c r="AW12" s="494"/>
      <c r="AX12" s="494"/>
      <c r="AY12" s="494"/>
      <c r="AZ12" s="494"/>
      <c r="BA12" s="494"/>
      <c r="BB12" s="494"/>
      <c r="BC12" s="494"/>
      <c r="BD12" s="494"/>
      <c r="BE12" s="494"/>
      <c r="BF12" s="494"/>
      <c r="BG12" s="494"/>
      <c r="BH12" s="494"/>
      <c r="BI12" s="495">
        <v>29</v>
      </c>
      <c r="BJ12" s="488"/>
      <c r="BK12" s="489"/>
      <c r="BL12" s="489"/>
      <c r="BM12" s="489"/>
      <c r="BN12" s="489"/>
      <c r="BO12" s="489"/>
      <c r="BP12" s="489"/>
      <c r="BQ12" s="489"/>
      <c r="BR12" s="489"/>
      <c r="BS12" s="489"/>
      <c r="BT12" s="489"/>
      <c r="BU12" s="489"/>
      <c r="BV12" s="489"/>
      <c r="BW12" s="489"/>
      <c r="BX12" s="489"/>
      <c r="BY12" s="489"/>
      <c r="BZ12" s="489"/>
      <c r="CA12" s="354"/>
      <c r="CB12" s="354"/>
    </row>
    <row r="13" spans="1:86" s="355" customFormat="1" ht="18.75" x14ac:dyDescent="0.25">
      <c r="A13" s="354" t="str">
        <f>A12</f>
        <v>h</v>
      </c>
      <c r="B13" s="496" t="s">
        <v>8</v>
      </c>
      <c r="C13" s="497" t="s">
        <v>35</v>
      </c>
      <c r="D13" s="498"/>
      <c r="E13" s="498"/>
      <c r="F13" s="498"/>
      <c r="G13" s="499"/>
      <c r="H13" s="498"/>
      <c r="I13" s="58">
        <f t="shared" ref="I13:AN13" si="0">I16+I319+I379</f>
        <v>32862.5</v>
      </c>
      <c r="J13" s="58">
        <f t="shared" si="0"/>
        <v>12489.5</v>
      </c>
      <c r="K13" s="58">
        <f t="shared" si="0"/>
        <v>20373</v>
      </c>
      <c r="L13" s="58">
        <f t="shared" si="0"/>
        <v>276800</v>
      </c>
      <c r="M13" s="58">
        <f t="shared" si="0"/>
        <v>2983.5</v>
      </c>
      <c r="N13" s="58">
        <f t="shared" si="0"/>
        <v>1185</v>
      </c>
      <c r="O13" s="58">
        <f t="shared" si="0"/>
        <v>1798.5</v>
      </c>
      <c r="P13" s="58">
        <f t="shared" si="0"/>
        <v>2222.5</v>
      </c>
      <c r="Q13" s="58">
        <f t="shared" si="0"/>
        <v>869.5</v>
      </c>
      <c r="R13" s="58">
        <f t="shared" si="0"/>
        <v>1353</v>
      </c>
      <c r="S13" s="812">
        <f t="shared" si="0"/>
        <v>2930</v>
      </c>
      <c r="T13" s="58">
        <f t="shared" si="0"/>
        <v>1168</v>
      </c>
      <c r="U13" s="58">
        <f t="shared" si="0"/>
        <v>1762</v>
      </c>
      <c r="V13" s="58">
        <f t="shared" si="0"/>
        <v>8136</v>
      </c>
      <c r="W13" s="58">
        <f t="shared" si="0"/>
        <v>3222.5</v>
      </c>
      <c r="X13" s="58">
        <f t="shared" si="0"/>
        <v>4913.5</v>
      </c>
      <c r="Y13" s="58">
        <f t="shared" si="0"/>
        <v>3093</v>
      </c>
      <c r="Z13" s="58">
        <f t="shared" si="0"/>
        <v>1133.5</v>
      </c>
      <c r="AA13" s="58">
        <f t="shared" si="0"/>
        <v>1959.5</v>
      </c>
      <c r="AB13" s="58">
        <f t="shared" si="0"/>
        <v>2927.5</v>
      </c>
      <c r="AC13" s="58">
        <f t="shared" si="0"/>
        <v>1017</v>
      </c>
      <c r="AD13" s="58">
        <f t="shared" si="0"/>
        <v>1910.5</v>
      </c>
      <c r="AE13" s="58">
        <f t="shared" si="0"/>
        <v>2875</v>
      </c>
      <c r="AF13" s="58">
        <f t="shared" si="0"/>
        <v>1027.5</v>
      </c>
      <c r="AG13" s="58">
        <f t="shared" si="0"/>
        <v>1847.5</v>
      </c>
      <c r="AH13" s="58">
        <f t="shared" si="0"/>
        <v>8895.5</v>
      </c>
      <c r="AI13" s="58">
        <f t="shared" si="0"/>
        <v>3188</v>
      </c>
      <c r="AJ13" s="58">
        <f t="shared" si="0"/>
        <v>5707.5</v>
      </c>
      <c r="AK13" s="58">
        <f t="shared" si="0"/>
        <v>2915</v>
      </c>
      <c r="AL13" s="58">
        <f t="shared" si="0"/>
        <v>996.5</v>
      </c>
      <c r="AM13" s="58">
        <f t="shared" si="0"/>
        <v>1918.5</v>
      </c>
      <c r="AN13" s="58">
        <f t="shared" si="0"/>
        <v>2832</v>
      </c>
      <c r="AO13" s="58">
        <f t="shared" ref="AO13:BH13" si="1">AO16+AO319+AO379</f>
        <v>951</v>
      </c>
      <c r="AP13" s="58">
        <f t="shared" si="1"/>
        <v>1881</v>
      </c>
      <c r="AQ13" s="58">
        <f t="shared" si="1"/>
        <v>2544</v>
      </c>
      <c r="AR13" s="58">
        <f t="shared" si="1"/>
        <v>996</v>
      </c>
      <c r="AS13" s="58">
        <f t="shared" si="1"/>
        <v>1548</v>
      </c>
      <c r="AT13" s="58">
        <f t="shared" si="1"/>
        <v>8291</v>
      </c>
      <c r="AU13" s="58">
        <f t="shared" si="1"/>
        <v>2943.5</v>
      </c>
      <c r="AV13" s="58">
        <f t="shared" si="1"/>
        <v>5347.5</v>
      </c>
      <c r="AW13" s="58">
        <f t="shared" si="1"/>
        <v>2230</v>
      </c>
      <c r="AX13" s="58">
        <f t="shared" si="1"/>
        <v>917.5</v>
      </c>
      <c r="AY13" s="58">
        <f t="shared" si="1"/>
        <v>1312.5</v>
      </c>
      <c r="AZ13" s="58">
        <f t="shared" si="1"/>
        <v>2107.5</v>
      </c>
      <c r="BA13" s="58">
        <f t="shared" si="1"/>
        <v>887.5</v>
      </c>
      <c r="BB13" s="58">
        <f t="shared" si="1"/>
        <v>1220</v>
      </c>
      <c r="BC13" s="58">
        <f t="shared" si="1"/>
        <v>1967</v>
      </c>
      <c r="BD13" s="58">
        <f t="shared" si="1"/>
        <v>742.5</v>
      </c>
      <c r="BE13" s="58">
        <f t="shared" si="1"/>
        <v>1224.5</v>
      </c>
      <c r="BF13" s="58">
        <f t="shared" si="1"/>
        <v>6464.5</v>
      </c>
      <c r="BG13" s="58">
        <f t="shared" si="1"/>
        <v>2597.5</v>
      </c>
      <c r="BH13" s="58">
        <f t="shared" si="1"/>
        <v>3867</v>
      </c>
      <c r="BI13" s="566">
        <f>(V14+AH14)/I14</f>
        <v>0.53976377952755905</v>
      </c>
      <c r="BJ13" s="488"/>
      <c r="BK13" s="212">
        <f t="shared" ref="BK13:BZ13" si="2">BK16+BK319+BK379</f>
        <v>25200</v>
      </c>
      <c r="BL13" s="212">
        <f t="shared" si="2"/>
        <v>19500</v>
      </c>
      <c r="BM13" s="212">
        <f t="shared" si="2"/>
        <v>27200</v>
      </c>
      <c r="BN13" s="212">
        <f t="shared" si="2"/>
        <v>70800</v>
      </c>
      <c r="BO13" s="212">
        <f t="shared" si="2"/>
        <v>27900</v>
      </c>
      <c r="BP13" s="212">
        <f t="shared" si="2"/>
        <v>27800</v>
      </c>
      <c r="BQ13" s="212">
        <f t="shared" si="2"/>
        <v>27500</v>
      </c>
      <c r="BR13" s="212">
        <f t="shared" si="2"/>
        <v>81800</v>
      </c>
      <c r="BS13" s="212">
        <f t="shared" si="2"/>
        <v>28300</v>
      </c>
      <c r="BT13" s="212">
        <f t="shared" si="2"/>
        <v>25600</v>
      </c>
      <c r="BU13" s="212">
        <f t="shared" si="2"/>
        <v>20800</v>
      </c>
      <c r="BV13" s="212">
        <f t="shared" si="2"/>
        <v>73900</v>
      </c>
      <c r="BW13" s="212">
        <f t="shared" si="2"/>
        <v>18700</v>
      </c>
      <c r="BX13" s="212">
        <f t="shared" si="2"/>
        <v>18000</v>
      </c>
      <c r="BY13" s="212">
        <f t="shared" si="2"/>
        <v>17100</v>
      </c>
      <c r="BZ13" s="212">
        <f t="shared" si="2"/>
        <v>53600</v>
      </c>
      <c r="CA13" s="500">
        <f>BZ13+BV13+BR13+BN13</f>
        <v>280100</v>
      </c>
      <c r="CB13" s="354" t="str">
        <f t="shared" ref="CB13:CB109" si="3">IF(SUM(I13:L13)&lt;&gt;0,"X")</f>
        <v>X</v>
      </c>
      <c r="CC13" s="931" t="s">
        <v>516</v>
      </c>
      <c r="CD13" s="931"/>
      <c r="CE13" s="931"/>
      <c r="CF13" s="931"/>
    </row>
    <row r="14" spans="1:86" s="355" customFormat="1" ht="18.75" x14ac:dyDescent="0.25">
      <c r="A14" s="354" t="e">
        <f>#REF!</f>
        <v>#REF!</v>
      </c>
      <c r="B14" s="496" t="s">
        <v>8</v>
      </c>
      <c r="C14" s="497" t="s">
        <v>177</v>
      </c>
      <c r="D14" s="498"/>
      <c r="E14" s="498"/>
      <c r="F14" s="498"/>
      <c r="G14" s="499"/>
      <c r="H14" s="498"/>
      <c r="I14" s="58">
        <f t="shared" ref="I14:AN14" si="4">I18+I31+I45+I62+I77+I92+I107+I117+I127+I139+I149+I166+I191+I215+I243+I267+I293+I320+I380</f>
        <v>25400</v>
      </c>
      <c r="J14" s="58">
        <f t="shared" si="4"/>
        <v>8421</v>
      </c>
      <c r="K14" s="58">
        <f t="shared" si="4"/>
        <v>16979</v>
      </c>
      <c r="L14" s="58">
        <f t="shared" si="4"/>
        <v>269100</v>
      </c>
      <c r="M14" s="58">
        <f t="shared" si="4"/>
        <v>2400</v>
      </c>
      <c r="N14" s="58">
        <f t="shared" si="4"/>
        <v>860</v>
      </c>
      <c r="O14" s="58">
        <f t="shared" si="4"/>
        <v>1540</v>
      </c>
      <c r="P14" s="58">
        <f t="shared" si="4"/>
        <v>1730</v>
      </c>
      <c r="Q14" s="58">
        <f t="shared" si="4"/>
        <v>612</v>
      </c>
      <c r="R14" s="58">
        <f t="shared" si="4"/>
        <v>1118</v>
      </c>
      <c r="S14" s="812">
        <f t="shared" si="4"/>
        <v>2330</v>
      </c>
      <c r="T14" s="58">
        <f t="shared" si="4"/>
        <v>803</v>
      </c>
      <c r="U14" s="58">
        <f t="shared" si="4"/>
        <v>1527</v>
      </c>
      <c r="V14" s="812">
        <f t="shared" si="4"/>
        <v>6460</v>
      </c>
      <c r="W14" s="58">
        <f t="shared" si="4"/>
        <v>2275</v>
      </c>
      <c r="X14" s="58">
        <f t="shared" si="4"/>
        <v>4185</v>
      </c>
      <c r="Y14" s="58">
        <f t="shared" si="4"/>
        <v>2450</v>
      </c>
      <c r="Z14" s="58">
        <f t="shared" si="4"/>
        <v>788</v>
      </c>
      <c r="AA14" s="58">
        <f t="shared" si="4"/>
        <v>1662</v>
      </c>
      <c r="AB14" s="58">
        <f t="shared" si="4"/>
        <v>2400</v>
      </c>
      <c r="AC14" s="58">
        <f t="shared" si="4"/>
        <v>759</v>
      </c>
      <c r="AD14" s="58">
        <f t="shared" si="4"/>
        <v>1641</v>
      </c>
      <c r="AE14" s="58">
        <f t="shared" si="4"/>
        <v>2400</v>
      </c>
      <c r="AF14" s="58">
        <f t="shared" si="4"/>
        <v>788</v>
      </c>
      <c r="AG14" s="58">
        <f t="shared" si="4"/>
        <v>1612</v>
      </c>
      <c r="AH14" s="812">
        <f t="shared" si="4"/>
        <v>7250</v>
      </c>
      <c r="AI14" s="58">
        <f t="shared" si="4"/>
        <v>2345</v>
      </c>
      <c r="AJ14" s="58">
        <f t="shared" si="4"/>
        <v>4905</v>
      </c>
      <c r="AK14" s="58">
        <f t="shared" si="4"/>
        <v>2400</v>
      </c>
      <c r="AL14" s="58">
        <f t="shared" si="4"/>
        <v>719</v>
      </c>
      <c r="AM14" s="58">
        <f t="shared" si="4"/>
        <v>1681</v>
      </c>
      <c r="AN14" s="58">
        <f t="shared" si="4"/>
        <v>2300</v>
      </c>
      <c r="AO14" s="58">
        <f t="shared" ref="AO14:BH14" si="5">AO18+AO31+AO45+AO62+AO77+AO92+AO107+AO117+AO127+AO139+AO149+AO166+AO191+AO215+AO243+AO267+AO293+AO320+AO380</f>
        <v>711</v>
      </c>
      <c r="AP14" s="58">
        <f t="shared" si="5"/>
        <v>1589</v>
      </c>
      <c r="AQ14" s="58">
        <f t="shared" si="5"/>
        <v>1993</v>
      </c>
      <c r="AR14" s="58">
        <f t="shared" si="5"/>
        <v>686</v>
      </c>
      <c r="AS14" s="58">
        <f t="shared" si="5"/>
        <v>1307</v>
      </c>
      <c r="AT14" s="812">
        <f t="shared" si="5"/>
        <v>6693</v>
      </c>
      <c r="AU14" s="58">
        <f t="shared" si="5"/>
        <v>2116</v>
      </c>
      <c r="AV14" s="58">
        <f t="shared" si="5"/>
        <v>4577</v>
      </c>
      <c r="AW14" s="58">
        <f t="shared" si="5"/>
        <v>1735</v>
      </c>
      <c r="AX14" s="58">
        <f t="shared" si="5"/>
        <v>600</v>
      </c>
      <c r="AY14" s="58">
        <f t="shared" si="5"/>
        <v>1135</v>
      </c>
      <c r="AZ14" s="58">
        <f t="shared" si="5"/>
        <v>1695</v>
      </c>
      <c r="BA14" s="58">
        <f t="shared" si="5"/>
        <v>605</v>
      </c>
      <c r="BB14" s="58">
        <f t="shared" si="5"/>
        <v>1090</v>
      </c>
      <c r="BC14" s="58">
        <f t="shared" si="5"/>
        <v>1567</v>
      </c>
      <c r="BD14" s="58">
        <f t="shared" si="5"/>
        <v>480</v>
      </c>
      <c r="BE14" s="58">
        <f t="shared" si="5"/>
        <v>1087</v>
      </c>
      <c r="BF14" s="812">
        <f t="shared" si="5"/>
        <v>4997</v>
      </c>
      <c r="BG14" s="58">
        <f t="shared" si="5"/>
        <v>1685</v>
      </c>
      <c r="BH14" s="58">
        <f t="shared" si="5"/>
        <v>3312</v>
      </c>
      <c r="BI14" s="566">
        <f>(V14+AH14)/26300</f>
        <v>0.52129277566539922</v>
      </c>
      <c r="BJ14" s="488" t="s">
        <v>145</v>
      </c>
      <c r="BK14" s="212">
        <f t="shared" ref="BK14:BZ14" si="6">BK18+BK31+BK45+BK62+BK77+BK92+BK107+BK117+BK127+BK139+BK149+BK166+BK191+BK215+BK243+BK267+BK293+BK320+BK380</f>
        <v>24300</v>
      </c>
      <c r="BL14" s="212">
        <f t="shared" si="6"/>
        <v>18500</v>
      </c>
      <c r="BM14" s="212">
        <f t="shared" si="6"/>
        <v>26400</v>
      </c>
      <c r="BN14" s="212">
        <f t="shared" si="6"/>
        <v>68200</v>
      </c>
      <c r="BO14" s="212">
        <f t="shared" si="6"/>
        <v>26900</v>
      </c>
      <c r="BP14" s="212">
        <f t="shared" si="6"/>
        <v>26700</v>
      </c>
      <c r="BQ14" s="212">
        <f t="shared" si="6"/>
        <v>26700</v>
      </c>
      <c r="BR14" s="212">
        <f t="shared" si="6"/>
        <v>78900</v>
      </c>
      <c r="BS14" s="212">
        <f t="shared" si="6"/>
        <v>27300</v>
      </c>
      <c r="BT14" s="212">
        <f t="shared" si="6"/>
        <v>24400</v>
      </c>
      <c r="BU14" s="212">
        <f t="shared" si="6"/>
        <v>19900</v>
      </c>
      <c r="BV14" s="212">
        <f t="shared" si="6"/>
        <v>70800</v>
      </c>
      <c r="BW14" s="212">
        <f t="shared" si="6"/>
        <v>18200</v>
      </c>
      <c r="BX14" s="212">
        <f t="shared" si="6"/>
        <v>17500</v>
      </c>
      <c r="BY14" s="212">
        <f t="shared" si="6"/>
        <v>16600</v>
      </c>
      <c r="BZ14" s="212">
        <f t="shared" si="6"/>
        <v>51600</v>
      </c>
      <c r="CA14" s="354">
        <f>(V14+AH14)*100/26600</f>
        <v>51.541353383458649</v>
      </c>
      <c r="CB14" s="354" t="str">
        <f t="shared" si="3"/>
        <v>X</v>
      </c>
      <c r="CC14" s="501"/>
      <c r="CD14" s="501"/>
      <c r="CG14" s="501">
        <f>I14-V14-AH14-AT14-BF14</f>
        <v>0</v>
      </c>
    </row>
    <row r="15" spans="1:86" s="355" customFormat="1" ht="18" customHeight="1" x14ac:dyDescent="0.25">
      <c r="A15" s="354" t="e">
        <f>A14</f>
        <v>#REF!</v>
      </c>
      <c r="B15" s="496" t="s">
        <v>8</v>
      </c>
      <c r="C15" s="497" t="s">
        <v>178</v>
      </c>
      <c r="D15" s="567">
        <f>BG15/BF15</f>
        <v>0.60624999999999996</v>
      </c>
      <c r="E15" s="498"/>
      <c r="F15" s="498"/>
      <c r="G15" s="499"/>
      <c r="H15" s="498"/>
      <c r="I15" s="58">
        <f t="shared" ref="I15:AN15" si="7">I26+I39+I56+I72+I86+I102+I112+I123+I135+I145+I161+I185+I207+I236+I261+I287+I313+I369+I397</f>
        <v>7500</v>
      </c>
      <c r="J15" s="58">
        <f t="shared" si="7"/>
        <v>4086</v>
      </c>
      <c r="K15" s="58">
        <f t="shared" si="7"/>
        <v>3414</v>
      </c>
      <c r="L15" s="58">
        <f t="shared" si="7"/>
        <v>10700</v>
      </c>
      <c r="M15" s="58">
        <f t="shared" si="7"/>
        <v>619</v>
      </c>
      <c r="N15" s="58">
        <f t="shared" si="7"/>
        <v>330</v>
      </c>
      <c r="O15" s="58">
        <f t="shared" si="7"/>
        <v>289</v>
      </c>
      <c r="P15" s="58">
        <f t="shared" si="7"/>
        <v>575</v>
      </c>
      <c r="Q15" s="58">
        <f t="shared" si="7"/>
        <v>290</v>
      </c>
      <c r="R15" s="58">
        <f t="shared" si="7"/>
        <v>285</v>
      </c>
      <c r="S15" s="812">
        <f t="shared" si="7"/>
        <v>745</v>
      </c>
      <c r="T15" s="58">
        <f t="shared" si="7"/>
        <v>445</v>
      </c>
      <c r="U15" s="58">
        <f t="shared" si="7"/>
        <v>300</v>
      </c>
      <c r="V15" s="58">
        <f t="shared" si="7"/>
        <v>1939</v>
      </c>
      <c r="W15" s="58">
        <f t="shared" si="7"/>
        <v>1065</v>
      </c>
      <c r="X15" s="58">
        <f t="shared" si="7"/>
        <v>874</v>
      </c>
      <c r="Y15" s="58">
        <f t="shared" si="7"/>
        <v>788</v>
      </c>
      <c r="Z15" s="58">
        <f t="shared" si="7"/>
        <v>428</v>
      </c>
      <c r="AA15" s="58">
        <f t="shared" si="7"/>
        <v>360</v>
      </c>
      <c r="AB15" s="58">
        <f t="shared" si="7"/>
        <v>670</v>
      </c>
      <c r="AC15" s="58">
        <f t="shared" si="7"/>
        <v>346</v>
      </c>
      <c r="AD15" s="58">
        <f t="shared" si="7"/>
        <v>324</v>
      </c>
      <c r="AE15" s="58">
        <f t="shared" si="7"/>
        <v>600</v>
      </c>
      <c r="AF15" s="58">
        <f t="shared" si="7"/>
        <v>312</v>
      </c>
      <c r="AG15" s="58">
        <f t="shared" si="7"/>
        <v>288</v>
      </c>
      <c r="AH15" s="58">
        <f t="shared" si="7"/>
        <v>2058</v>
      </c>
      <c r="AI15" s="58">
        <f t="shared" si="7"/>
        <v>1086</v>
      </c>
      <c r="AJ15" s="58">
        <f t="shared" si="7"/>
        <v>972</v>
      </c>
      <c r="AK15" s="58">
        <f t="shared" si="7"/>
        <v>615</v>
      </c>
      <c r="AL15" s="58">
        <f t="shared" si="7"/>
        <v>325</v>
      </c>
      <c r="AM15" s="58">
        <f t="shared" si="7"/>
        <v>290</v>
      </c>
      <c r="AN15" s="58">
        <f t="shared" si="7"/>
        <v>592</v>
      </c>
      <c r="AO15" s="58">
        <f t="shared" ref="AO15:BH15" si="8">AO26+AO39+AO56+AO72+AO86+AO102+AO112+AO123+AO135+AO145+AO161+AO185+AO207+AO236+AO261+AO287+AO313+AO369+AO397</f>
        <v>260</v>
      </c>
      <c r="AP15" s="58">
        <f t="shared" si="8"/>
        <v>332</v>
      </c>
      <c r="AQ15" s="58">
        <f t="shared" si="8"/>
        <v>621</v>
      </c>
      <c r="AR15" s="58">
        <f t="shared" si="8"/>
        <v>345</v>
      </c>
      <c r="AS15" s="58">
        <f t="shared" si="8"/>
        <v>276</v>
      </c>
      <c r="AT15" s="58">
        <f t="shared" si="8"/>
        <v>1828</v>
      </c>
      <c r="AU15" s="58">
        <f t="shared" si="8"/>
        <v>930</v>
      </c>
      <c r="AV15" s="58">
        <f t="shared" si="8"/>
        <v>898</v>
      </c>
      <c r="AW15" s="58">
        <f t="shared" si="8"/>
        <v>545</v>
      </c>
      <c r="AX15" s="58">
        <f t="shared" si="8"/>
        <v>340</v>
      </c>
      <c r="AY15" s="58">
        <f t="shared" si="8"/>
        <v>205</v>
      </c>
      <c r="AZ15" s="58">
        <f t="shared" si="8"/>
        <v>460</v>
      </c>
      <c r="BA15" s="58">
        <f t="shared" si="8"/>
        <v>300</v>
      </c>
      <c r="BB15" s="58">
        <f t="shared" si="8"/>
        <v>160</v>
      </c>
      <c r="BC15" s="58">
        <f t="shared" si="8"/>
        <v>435</v>
      </c>
      <c r="BD15" s="58">
        <f t="shared" si="8"/>
        <v>280</v>
      </c>
      <c r="BE15" s="58">
        <f t="shared" si="8"/>
        <v>155</v>
      </c>
      <c r="BF15" s="58">
        <f t="shared" si="8"/>
        <v>1600</v>
      </c>
      <c r="BG15" s="58">
        <f t="shared" si="8"/>
        <v>970</v>
      </c>
      <c r="BH15" s="58">
        <f t="shared" si="8"/>
        <v>630</v>
      </c>
      <c r="BI15" s="502"/>
      <c r="BJ15" s="488" t="s">
        <v>145</v>
      </c>
      <c r="BK15" s="212">
        <f t="shared" ref="BK15:BZ15" si="9">BK26+BK39+BK56+BK72+BK86+BK102+BK112+BK123+BK135+BK145+BK161+BK185+BK207+BK236+BK261+BK287+BK313+BK369+BK397</f>
        <v>900</v>
      </c>
      <c r="BL15" s="212">
        <f t="shared" si="9"/>
        <v>1000</v>
      </c>
      <c r="BM15" s="212">
        <f t="shared" si="9"/>
        <v>800</v>
      </c>
      <c r="BN15" s="212">
        <f t="shared" si="9"/>
        <v>2600</v>
      </c>
      <c r="BO15" s="212">
        <f t="shared" si="9"/>
        <v>1000</v>
      </c>
      <c r="BP15" s="212">
        <f t="shared" si="9"/>
        <v>1100</v>
      </c>
      <c r="BQ15" s="212">
        <f t="shared" si="9"/>
        <v>800</v>
      </c>
      <c r="BR15" s="212">
        <f t="shared" si="9"/>
        <v>3100</v>
      </c>
      <c r="BS15" s="212">
        <f t="shared" si="9"/>
        <v>1000</v>
      </c>
      <c r="BT15" s="212">
        <f t="shared" si="9"/>
        <v>1200</v>
      </c>
      <c r="BU15" s="212">
        <f t="shared" si="9"/>
        <v>900</v>
      </c>
      <c r="BV15" s="212">
        <f t="shared" si="9"/>
        <v>3100</v>
      </c>
      <c r="BW15" s="212">
        <f t="shared" si="9"/>
        <v>500</v>
      </c>
      <c r="BX15" s="212">
        <f t="shared" si="9"/>
        <v>500</v>
      </c>
      <c r="BY15" s="212">
        <f t="shared" si="9"/>
        <v>500</v>
      </c>
      <c r="BZ15" s="212">
        <f t="shared" si="9"/>
        <v>2000</v>
      </c>
      <c r="CA15" s="354"/>
      <c r="CB15" s="354" t="str">
        <f t="shared" si="3"/>
        <v>X</v>
      </c>
      <c r="CC15" s="501"/>
      <c r="CD15" s="501"/>
    </row>
    <row r="16" spans="1:86" ht="16.5" x14ac:dyDescent="0.25">
      <c r="A16" s="354" t="e">
        <f>A15</f>
        <v>#REF!</v>
      </c>
      <c r="B16" s="503" t="s">
        <v>6</v>
      </c>
      <c r="C16" s="504" t="s">
        <v>36</v>
      </c>
      <c r="D16" s="505"/>
      <c r="E16" s="505"/>
      <c r="F16" s="505"/>
      <c r="G16" s="505"/>
      <c r="H16" s="505"/>
      <c r="I16" s="59">
        <f t="shared" ref="I16:AN16" si="10">I17+I30+I44+I61+I76+I91+I106+I116+I126+I138+I148+I165+I190+I214+I242+I266+I292</f>
        <v>23362.5</v>
      </c>
      <c r="J16" s="59">
        <f t="shared" si="10"/>
        <v>6935.5</v>
      </c>
      <c r="K16" s="59">
        <f t="shared" si="10"/>
        <v>16427</v>
      </c>
      <c r="L16" s="59">
        <f t="shared" si="10"/>
        <v>237800</v>
      </c>
      <c r="M16" s="59">
        <f t="shared" si="10"/>
        <v>2508</v>
      </c>
      <c r="N16" s="59">
        <f t="shared" si="10"/>
        <v>830</v>
      </c>
      <c r="O16" s="59">
        <f t="shared" si="10"/>
        <v>1678</v>
      </c>
      <c r="P16" s="59">
        <f t="shared" si="10"/>
        <v>1801</v>
      </c>
      <c r="Q16" s="59">
        <f t="shared" si="10"/>
        <v>583</v>
      </c>
      <c r="R16" s="59">
        <f t="shared" si="10"/>
        <v>1218</v>
      </c>
      <c r="S16" s="821">
        <f t="shared" si="10"/>
        <v>2237</v>
      </c>
      <c r="T16" s="59">
        <f t="shared" si="10"/>
        <v>705</v>
      </c>
      <c r="U16" s="59">
        <f t="shared" si="10"/>
        <v>1532</v>
      </c>
      <c r="V16" s="59">
        <f t="shared" si="10"/>
        <v>6546</v>
      </c>
      <c r="W16" s="59">
        <f t="shared" si="10"/>
        <v>2118</v>
      </c>
      <c r="X16" s="59">
        <f t="shared" si="10"/>
        <v>4428</v>
      </c>
      <c r="Y16" s="59">
        <f t="shared" si="10"/>
        <v>2142.5</v>
      </c>
      <c r="Z16" s="59">
        <f t="shared" si="10"/>
        <v>610.5</v>
      </c>
      <c r="AA16" s="59">
        <f t="shared" si="10"/>
        <v>1532</v>
      </c>
      <c r="AB16" s="59">
        <f t="shared" si="10"/>
        <v>1968.5</v>
      </c>
      <c r="AC16" s="59">
        <f t="shared" si="10"/>
        <v>487.5</v>
      </c>
      <c r="AD16" s="59">
        <f t="shared" si="10"/>
        <v>1481</v>
      </c>
      <c r="AE16" s="59">
        <f t="shared" si="10"/>
        <v>1914</v>
      </c>
      <c r="AF16" s="59">
        <f t="shared" si="10"/>
        <v>491.5</v>
      </c>
      <c r="AG16" s="59">
        <f t="shared" si="10"/>
        <v>1422.5</v>
      </c>
      <c r="AH16" s="59">
        <f t="shared" si="10"/>
        <v>6025</v>
      </c>
      <c r="AI16" s="59">
        <f t="shared" si="10"/>
        <v>1589.5</v>
      </c>
      <c r="AJ16" s="59">
        <f t="shared" si="10"/>
        <v>4435.5</v>
      </c>
      <c r="AK16" s="59">
        <f t="shared" si="10"/>
        <v>1991.5</v>
      </c>
      <c r="AL16" s="59">
        <f t="shared" si="10"/>
        <v>513</v>
      </c>
      <c r="AM16" s="59">
        <f t="shared" si="10"/>
        <v>1478.5</v>
      </c>
      <c r="AN16" s="59">
        <f t="shared" si="10"/>
        <v>1933.5</v>
      </c>
      <c r="AO16" s="59">
        <f t="shared" ref="AO16:BH16" si="11">AO17+AO30+AO44+AO61+AO76+AO91+AO106+AO116+AO126+AO138+AO148+AO165+AO190+AO214+AO242+AO266+AO292</f>
        <v>475</v>
      </c>
      <c r="AP16" s="59">
        <f t="shared" si="11"/>
        <v>1458.5</v>
      </c>
      <c r="AQ16" s="59">
        <f t="shared" si="11"/>
        <v>1704.5</v>
      </c>
      <c r="AR16" s="59">
        <f t="shared" si="11"/>
        <v>522.5</v>
      </c>
      <c r="AS16" s="59">
        <f t="shared" si="11"/>
        <v>1182</v>
      </c>
      <c r="AT16" s="59">
        <f t="shared" si="11"/>
        <v>5629.5</v>
      </c>
      <c r="AU16" s="59">
        <f t="shared" si="11"/>
        <v>1510.5</v>
      </c>
      <c r="AV16" s="59">
        <f t="shared" si="11"/>
        <v>4119</v>
      </c>
      <c r="AW16" s="59">
        <f t="shared" si="11"/>
        <v>1667.5</v>
      </c>
      <c r="AX16" s="59">
        <f t="shared" si="11"/>
        <v>555</v>
      </c>
      <c r="AY16" s="59">
        <f t="shared" si="11"/>
        <v>1112.5</v>
      </c>
      <c r="AZ16" s="59">
        <f t="shared" si="11"/>
        <v>1565</v>
      </c>
      <c r="BA16" s="59">
        <f t="shared" si="11"/>
        <v>525</v>
      </c>
      <c r="BB16" s="59">
        <f t="shared" si="11"/>
        <v>1040</v>
      </c>
      <c r="BC16" s="59">
        <f t="shared" si="11"/>
        <v>1539.5</v>
      </c>
      <c r="BD16" s="59">
        <f t="shared" si="11"/>
        <v>480</v>
      </c>
      <c r="BE16" s="59">
        <f t="shared" si="11"/>
        <v>1059.5</v>
      </c>
      <c r="BF16" s="59">
        <f t="shared" si="11"/>
        <v>4932</v>
      </c>
      <c r="BG16" s="59">
        <f t="shared" si="11"/>
        <v>1610</v>
      </c>
      <c r="BH16" s="59">
        <f t="shared" si="11"/>
        <v>3322</v>
      </c>
      <c r="BI16" s="506"/>
      <c r="BJ16" s="488" t="s">
        <v>145</v>
      </c>
      <c r="BK16" s="212">
        <f t="shared" ref="BK16:BZ16" si="12">BK17+BK30+BK44+BK61+BK76+BK91+BK106+BK116+BK126+BK138+BK148+BK165+BK190+BK214+BK242+BK266+BK292</f>
        <v>24500</v>
      </c>
      <c r="BL16" s="212">
        <f t="shared" si="12"/>
        <v>18500</v>
      </c>
      <c r="BM16" s="212">
        <f t="shared" si="12"/>
        <v>25300</v>
      </c>
      <c r="BN16" s="212">
        <f t="shared" si="12"/>
        <v>67200</v>
      </c>
      <c r="BO16" s="212">
        <f t="shared" si="12"/>
        <v>22800</v>
      </c>
      <c r="BP16" s="212">
        <f t="shared" si="12"/>
        <v>22600</v>
      </c>
      <c r="BQ16" s="212">
        <f t="shared" si="12"/>
        <v>22400</v>
      </c>
      <c r="BR16" s="212">
        <f t="shared" si="12"/>
        <v>66700</v>
      </c>
      <c r="BS16" s="212">
        <f t="shared" si="12"/>
        <v>23000</v>
      </c>
      <c r="BT16" s="212">
        <f t="shared" si="12"/>
        <v>20500</v>
      </c>
      <c r="BU16" s="212">
        <f t="shared" si="12"/>
        <v>17100</v>
      </c>
      <c r="BV16" s="212">
        <f t="shared" si="12"/>
        <v>60200</v>
      </c>
      <c r="BW16" s="212">
        <f t="shared" si="12"/>
        <v>16200</v>
      </c>
      <c r="BX16" s="212">
        <f t="shared" si="12"/>
        <v>15700</v>
      </c>
      <c r="BY16" s="212">
        <f t="shared" si="12"/>
        <v>15000</v>
      </c>
      <c r="BZ16" s="212">
        <f t="shared" si="12"/>
        <v>47000</v>
      </c>
      <c r="CA16" s="354"/>
      <c r="CB16" s="354" t="str">
        <f t="shared" si="3"/>
        <v>X</v>
      </c>
      <c r="CC16" s="351" t="s">
        <v>145</v>
      </c>
      <c r="CD16" s="351" t="s">
        <v>497</v>
      </c>
      <c r="CE16" s="351" t="s">
        <v>498</v>
      </c>
    </row>
    <row r="17" spans="1:86" ht="17.25" x14ac:dyDescent="0.25">
      <c r="A17" s="354" t="e">
        <f>A16</f>
        <v>#REF!</v>
      </c>
      <c r="B17" s="503">
        <v>1</v>
      </c>
      <c r="C17" s="507" t="s">
        <v>443</v>
      </c>
      <c r="D17" s="505"/>
      <c r="E17" s="505"/>
      <c r="F17" s="505"/>
      <c r="G17" s="505"/>
      <c r="H17" s="505"/>
      <c r="I17" s="59">
        <f>SUM(I18:I29)/2</f>
        <v>1001</v>
      </c>
      <c r="J17" s="59">
        <f>SUM(J18:J29)/2</f>
        <v>246</v>
      </c>
      <c r="K17" s="59">
        <f>SUM(K18:K29)/2</f>
        <v>755</v>
      </c>
      <c r="L17" s="63">
        <f>SUM(L18:L27)/2</f>
        <v>8900</v>
      </c>
      <c r="M17" s="209">
        <f>SUM(M18:M29)/2</f>
        <v>160</v>
      </c>
      <c r="N17" s="209">
        <f t="shared" ref="N17:X17" si="13">SUM(N18:N29)/2</f>
        <v>35</v>
      </c>
      <c r="O17" s="209">
        <f t="shared" si="13"/>
        <v>125</v>
      </c>
      <c r="P17" s="209">
        <f t="shared" si="13"/>
        <v>50</v>
      </c>
      <c r="Q17" s="209">
        <f t="shared" si="13"/>
        <v>15</v>
      </c>
      <c r="R17" s="209">
        <f t="shared" si="13"/>
        <v>35</v>
      </c>
      <c r="S17" s="822">
        <f t="shared" si="13"/>
        <v>120</v>
      </c>
      <c r="T17" s="209">
        <f t="shared" si="13"/>
        <v>30</v>
      </c>
      <c r="U17" s="209">
        <f t="shared" si="13"/>
        <v>90</v>
      </c>
      <c r="V17" s="209">
        <f t="shared" si="13"/>
        <v>330</v>
      </c>
      <c r="W17" s="209">
        <f t="shared" si="13"/>
        <v>80</v>
      </c>
      <c r="X17" s="209">
        <f t="shared" si="13"/>
        <v>250</v>
      </c>
      <c r="Y17" s="209">
        <f t="shared" ref="Y17:BH17" si="14">SUM(Y18:Y27)/2</f>
        <v>65</v>
      </c>
      <c r="Z17" s="209">
        <f t="shared" si="14"/>
        <v>18</v>
      </c>
      <c r="AA17" s="209">
        <f t="shared" si="14"/>
        <v>47</v>
      </c>
      <c r="AB17" s="209">
        <f t="shared" si="14"/>
        <v>70</v>
      </c>
      <c r="AC17" s="209">
        <f t="shared" si="14"/>
        <v>20</v>
      </c>
      <c r="AD17" s="209">
        <f t="shared" si="14"/>
        <v>50</v>
      </c>
      <c r="AE17" s="209">
        <f t="shared" si="14"/>
        <v>60</v>
      </c>
      <c r="AF17" s="209">
        <f t="shared" si="14"/>
        <v>18</v>
      </c>
      <c r="AG17" s="209">
        <f t="shared" si="14"/>
        <v>42</v>
      </c>
      <c r="AH17" s="209">
        <f t="shared" si="14"/>
        <v>195</v>
      </c>
      <c r="AI17" s="209">
        <f t="shared" si="14"/>
        <v>56</v>
      </c>
      <c r="AJ17" s="209">
        <f t="shared" si="14"/>
        <v>139</v>
      </c>
      <c r="AK17" s="209">
        <f t="shared" si="14"/>
        <v>121</v>
      </c>
      <c r="AL17" s="209">
        <f t="shared" si="14"/>
        <v>30</v>
      </c>
      <c r="AM17" s="209">
        <f t="shared" si="14"/>
        <v>91</v>
      </c>
      <c r="AN17" s="209">
        <f t="shared" si="14"/>
        <v>55</v>
      </c>
      <c r="AO17" s="209">
        <f t="shared" si="14"/>
        <v>10</v>
      </c>
      <c r="AP17" s="209">
        <f t="shared" si="14"/>
        <v>45</v>
      </c>
      <c r="AQ17" s="209">
        <f t="shared" si="14"/>
        <v>95</v>
      </c>
      <c r="AR17" s="209">
        <f t="shared" si="14"/>
        <v>5</v>
      </c>
      <c r="AS17" s="209">
        <f t="shared" si="14"/>
        <v>90</v>
      </c>
      <c r="AT17" s="209">
        <f t="shared" si="14"/>
        <v>271</v>
      </c>
      <c r="AU17" s="209">
        <f t="shared" si="14"/>
        <v>45</v>
      </c>
      <c r="AV17" s="209">
        <f t="shared" si="14"/>
        <v>226</v>
      </c>
      <c r="AW17" s="209">
        <f t="shared" si="14"/>
        <v>105</v>
      </c>
      <c r="AX17" s="209">
        <f t="shared" si="14"/>
        <v>25</v>
      </c>
      <c r="AY17" s="209">
        <f t="shared" si="14"/>
        <v>80</v>
      </c>
      <c r="AZ17" s="209">
        <f t="shared" si="14"/>
        <v>50</v>
      </c>
      <c r="BA17" s="209">
        <f t="shared" si="14"/>
        <v>10</v>
      </c>
      <c r="BB17" s="209">
        <f t="shared" si="14"/>
        <v>40</v>
      </c>
      <c r="BC17" s="209">
        <f t="shared" si="14"/>
        <v>50</v>
      </c>
      <c r="BD17" s="209">
        <f t="shared" si="14"/>
        <v>30</v>
      </c>
      <c r="BE17" s="209">
        <f t="shared" si="14"/>
        <v>20</v>
      </c>
      <c r="BF17" s="209">
        <f t="shared" si="14"/>
        <v>205</v>
      </c>
      <c r="BG17" s="209">
        <f t="shared" si="14"/>
        <v>65</v>
      </c>
      <c r="BH17" s="209">
        <f t="shared" si="14"/>
        <v>140</v>
      </c>
      <c r="BI17" s="508"/>
      <c r="BJ17" s="488" t="str">
        <f t="shared" ref="BJ17:BJ48" si="15">LEFT(C17,2)</f>
        <v>PX</v>
      </c>
      <c r="BK17" s="222">
        <f>SUM(BK18:BK29)/2</f>
        <v>1300</v>
      </c>
      <c r="BL17" s="222">
        <f t="shared" ref="BL17:BZ17" si="16">SUM(BL18:BL29)/2</f>
        <v>500</v>
      </c>
      <c r="BM17" s="222">
        <f t="shared" si="16"/>
        <v>1100</v>
      </c>
      <c r="BN17" s="222">
        <f t="shared" si="16"/>
        <v>2900</v>
      </c>
      <c r="BO17" s="222">
        <f t="shared" si="16"/>
        <v>600</v>
      </c>
      <c r="BP17" s="222">
        <f t="shared" si="16"/>
        <v>600</v>
      </c>
      <c r="BQ17" s="222">
        <f t="shared" si="16"/>
        <v>600</v>
      </c>
      <c r="BR17" s="222">
        <f t="shared" si="16"/>
        <v>1800</v>
      </c>
      <c r="BS17" s="222">
        <f t="shared" si="16"/>
        <v>1100</v>
      </c>
      <c r="BT17" s="222">
        <f t="shared" si="16"/>
        <v>600</v>
      </c>
      <c r="BU17" s="222">
        <f t="shared" si="16"/>
        <v>1000</v>
      </c>
      <c r="BV17" s="222">
        <f t="shared" si="16"/>
        <v>2700</v>
      </c>
      <c r="BW17" s="222">
        <f t="shared" si="16"/>
        <v>700</v>
      </c>
      <c r="BX17" s="222">
        <f t="shared" si="16"/>
        <v>500</v>
      </c>
      <c r="BY17" s="222">
        <f t="shared" si="16"/>
        <v>300</v>
      </c>
      <c r="BZ17" s="222">
        <f t="shared" si="16"/>
        <v>1500</v>
      </c>
      <c r="CA17" s="354"/>
      <c r="CB17" s="354" t="str">
        <f t="shared" si="3"/>
        <v>X</v>
      </c>
      <c r="CC17" s="355" t="s">
        <v>285</v>
      </c>
      <c r="CD17" s="509" t="str">
        <f>CC17&amp;G17</f>
        <v>KT1.</v>
      </c>
      <c r="CE17" s="351" t="str">
        <f t="shared" ref="CE17:CE48" si="17">LEFT(C17,2)</f>
        <v>PX</v>
      </c>
      <c r="CF17" s="509" t="str">
        <f>CC17&amp;CE17</f>
        <v>KT1.PX</v>
      </c>
    </row>
    <row r="18" spans="1:86" s="358" customFormat="1" ht="19.5" customHeight="1" x14ac:dyDescent="0.25">
      <c r="A18" s="510" t="e">
        <f>#REF!</f>
        <v>#REF!</v>
      </c>
      <c r="B18" s="511" t="s">
        <v>8</v>
      </c>
      <c r="C18" s="512" t="s">
        <v>210</v>
      </c>
      <c r="D18" s="513"/>
      <c r="E18" s="513"/>
      <c r="F18" s="513"/>
      <c r="G18" s="514"/>
      <c r="H18" s="515"/>
      <c r="I18" s="69">
        <f t="shared" ref="I18:AN18" si="18">SUM(I19:I25)</f>
        <v>896</v>
      </c>
      <c r="J18" s="69">
        <f t="shared" si="18"/>
        <v>201</v>
      </c>
      <c r="K18" s="69">
        <f t="shared" si="18"/>
        <v>695</v>
      </c>
      <c r="L18" s="69">
        <f t="shared" si="18"/>
        <v>8700</v>
      </c>
      <c r="M18" s="211">
        <f t="shared" si="18"/>
        <v>120</v>
      </c>
      <c r="N18" s="211">
        <f t="shared" si="18"/>
        <v>25</v>
      </c>
      <c r="O18" s="211">
        <f t="shared" si="18"/>
        <v>95</v>
      </c>
      <c r="P18" s="211">
        <f t="shared" si="18"/>
        <v>50</v>
      </c>
      <c r="Q18" s="211">
        <f t="shared" si="18"/>
        <v>15</v>
      </c>
      <c r="R18" s="211">
        <f t="shared" si="18"/>
        <v>35</v>
      </c>
      <c r="S18" s="823">
        <f t="shared" si="18"/>
        <v>120</v>
      </c>
      <c r="T18" s="211">
        <f t="shared" si="18"/>
        <v>30</v>
      </c>
      <c r="U18" s="211">
        <f t="shared" si="18"/>
        <v>90</v>
      </c>
      <c r="V18" s="808">
        <f t="shared" si="18"/>
        <v>290</v>
      </c>
      <c r="W18" s="69">
        <f t="shared" si="18"/>
        <v>70</v>
      </c>
      <c r="X18" s="69">
        <f t="shared" si="18"/>
        <v>220</v>
      </c>
      <c r="Y18" s="69">
        <f t="shared" si="18"/>
        <v>65</v>
      </c>
      <c r="Z18" s="69">
        <f t="shared" si="18"/>
        <v>18</v>
      </c>
      <c r="AA18" s="69">
        <f t="shared" si="18"/>
        <v>47</v>
      </c>
      <c r="AB18" s="69">
        <f t="shared" si="18"/>
        <v>70</v>
      </c>
      <c r="AC18" s="69">
        <f t="shared" si="18"/>
        <v>20</v>
      </c>
      <c r="AD18" s="69">
        <f t="shared" si="18"/>
        <v>50</v>
      </c>
      <c r="AE18" s="69">
        <f t="shared" si="18"/>
        <v>60</v>
      </c>
      <c r="AF18" s="69">
        <f t="shared" si="18"/>
        <v>18</v>
      </c>
      <c r="AG18" s="69">
        <f t="shared" si="18"/>
        <v>42</v>
      </c>
      <c r="AH18" s="69">
        <f t="shared" si="18"/>
        <v>195</v>
      </c>
      <c r="AI18" s="69">
        <f t="shared" si="18"/>
        <v>56</v>
      </c>
      <c r="AJ18" s="69">
        <f t="shared" si="18"/>
        <v>139</v>
      </c>
      <c r="AK18" s="69">
        <f t="shared" si="18"/>
        <v>121</v>
      </c>
      <c r="AL18" s="69">
        <f t="shared" si="18"/>
        <v>30</v>
      </c>
      <c r="AM18" s="69">
        <f t="shared" si="18"/>
        <v>91</v>
      </c>
      <c r="AN18" s="69">
        <f t="shared" si="18"/>
        <v>55</v>
      </c>
      <c r="AO18" s="69">
        <f t="shared" ref="AO18:BH18" si="19">SUM(AO19:AO25)</f>
        <v>10</v>
      </c>
      <c r="AP18" s="69">
        <f t="shared" si="19"/>
        <v>45</v>
      </c>
      <c r="AQ18" s="69">
        <f t="shared" si="19"/>
        <v>95</v>
      </c>
      <c r="AR18" s="69">
        <f t="shared" si="19"/>
        <v>5</v>
      </c>
      <c r="AS18" s="69">
        <f t="shared" si="19"/>
        <v>90</v>
      </c>
      <c r="AT18" s="69">
        <f t="shared" si="19"/>
        <v>271</v>
      </c>
      <c r="AU18" s="69">
        <f t="shared" si="19"/>
        <v>45</v>
      </c>
      <c r="AV18" s="69">
        <f t="shared" si="19"/>
        <v>226</v>
      </c>
      <c r="AW18" s="69">
        <f t="shared" si="19"/>
        <v>60</v>
      </c>
      <c r="AX18" s="69">
        <f t="shared" si="19"/>
        <v>10</v>
      </c>
      <c r="AY18" s="69">
        <f t="shared" si="19"/>
        <v>50</v>
      </c>
      <c r="AZ18" s="69">
        <f t="shared" si="19"/>
        <v>50</v>
      </c>
      <c r="BA18" s="69">
        <f t="shared" si="19"/>
        <v>10</v>
      </c>
      <c r="BB18" s="69">
        <f t="shared" si="19"/>
        <v>40</v>
      </c>
      <c r="BC18" s="69">
        <f t="shared" si="19"/>
        <v>30</v>
      </c>
      <c r="BD18" s="69">
        <f t="shared" si="19"/>
        <v>10</v>
      </c>
      <c r="BE18" s="69">
        <f t="shared" si="19"/>
        <v>20</v>
      </c>
      <c r="BF18" s="69">
        <f t="shared" si="19"/>
        <v>140</v>
      </c>
      <c r="BG18" s="69">
        <f t="shared" si="19"/>
        <v>30</v>
      </c>
      <c r="BH18" s="69">
        <f t="shared" si="19"/>
        <v>110</v>
      </c>
      <c r="BI18" s="516"/>
      <c r="BJ18" s="488" t="str">
        <f t="shared" si="15"/>
        <v>ĐL</v>
      </c>
      <c r="BK18" s="223">
        <f>SUM(BK19:BK25)</f>
        <v>1200</v>
      </c>
      <c r="BL18" s="223">
        <f t="shared" ref="BL18:BZ18" si="20">SUM(BL19:BL25)</f>
        <v>500</v>
      </c>
      <c r="BM18" s="223">
        <f t="shared" si="20"/>
        <v>1100</v>
      </c>
      <c r="BN18" s="223">
        <f t="shared" si="20"/>
        <v>2800</v>
      </c>
      <c r="BO18" s="223">
        <f t="shared" si="20"/>
        <v>600</v>
      </c>
      <c r="BP18" s="223">
        <f t="shared" si="20"/>
        <v>600</v>
      </c>
      <c r="BQ18" s="223">
        <f t="shared" si="20"/>
        <v>600</v>
      </c>
      <c r="BR18" s="223">
        <f t="shared" si="20"/>
        <v>1800</v>
      </c>
      <c r="BS18" s="223">
        <f t="shared" si="20"/>
        <v>1100</v>
      </c>
      <c r="BT18" s="223">
        <f t="shared" si="20"/>
        <v>600</v>
      </c>
      <c r="BU18" s="223">
        <f t="shared" si="20"/>
        <v>1000</v>
      </c>
      <c r="BV18" s="223">
        <f t="shared" si="20"/>
        <v>2700</v>
      </c>
      <c r="BW18" s="223">
        <f t="shared" si="20"/>
        <v>600</v>
      </c>
      <c r="BX18" s="223">
        <f t="shared" si="20"/>
        <v>500</v>
      </c>
      <c r="BY18" s="223">
        <f t="shared" si="20"/>
        <v>300</v>
      </c>
      <c r="BZ18" s="223">
        <f t="shared" si="20"/>
        <v>1400</v>
      </c>
      <c r="CA18" s="517">
        <f>I18-V18-AH18-AT18-BF18</f>
        <v>0</v>
      </c>
      <c r="CB18" s="510" t="str">
        <f t="shared" si="3"/>
        <v>X</v>
      </c>
      <c r="CC18" s="509" t="str">
        <f>CC17</f>
        <v>KT1.</v>
      </c>
      <c r="CD18" s="509" t="str">
        <f>CC18&amp;G18</f>
        <v>KT1.</v>
      </c>
      <c r="CE18" s="351" t="str">
        <f t="shared" si="17"/>
        <v>ĐL</v>
      </c>
      <c r="CF18" s="509" t="str">
        <f>CC18&amp;CE18</f>
        <v>KT1.ĐL</v>
      </c>
      <c r="CG18" s="509"/>
      <c r="CH18" s="509"/>
    </row>
    <row r="19" spans="1:86" ht="21.75" customHeight="1" outlineLevel="1" x14ac:dyDescent="0.25">
      <c r="A19" s="354" t="e">
        <f>A18</f>
        <v>#REF!</v>
      </c>
      <c r="B19" s="518"/>
      <c r="C19" s="519" t="s">
        <v>629</v>
      </c>
      <c r="D19" s="447" t="s">
        <v>14</v>
      </c>
      <c r="E19" s="447"/>
      <c r="F19" s="447"/>
      <c r="G19" s="520">
        <v>9.5</v>
      </c>
      <c r="H19" s="521">
        <v>0.7</v>
      </c>
      <c r="I19" s="522">
        <f>V19+AH19+AT19+BF19</f>
        <v>361</v>
      </c>
      <c r="J19" s="522">
        <f>W19+AI19+AU19+BG19</f>
        <v>70</v>
      </c>
      <c r="K19" s="522">
        <f>X19+AJ19+AV19+BH19</f>
        <v>291</v>
      </c>
      <c r="L19" s="57">
        <f>BN19+BR19+BV19+BZ19</f>
        <v>3300</v>
      </c>
      <c r="M19" s="60">
        <v>60</v>
      </c>
      <c r="N19" s="60">
        <v>10</v>
      </c>
      <c r="O19" s="60">
        <f>M19-N19</f>
        <v>50</v>
      </c>
      <c r="P19" s="60"/>
      <c r="Q19" s="60"/>
      <c r="R19" s="60">
        <f>P19-Q19</f>
        <v>0</v>
      </c>
      <c r="S19" s="824">
        <v>60</v>
      </c>
      <c r="T19" s="60">
        <v>15</v>
      </c>
      <c r="U19" s="60">
        <f>S19-T19</f>
        <v>45</v>
      </c>
      <c r="V19" s="60">
        <f>W19+X19</f>
        <v>120</v>
      </c>
      <c r="W19" s="60">
        <f t="shared" ref="W19:X21" si="21">N19+Q19+T19</f>
        <v>25</v>
      </c>
      <c r="X19" s="60">
        <f t="shared" si="21"/>
        <v>95</v>
      </c>
      <c r="Y19" s="60"/>
      <c r="Z19" s="60"/>
      <c r="AA19" s="60">
        <f t="shared" ref="AA19:AA25" si="22">Y19-Z19</f>
        <v>0</v>
      </c>
      <c r="AB19" s="60">
        <v>60</v>
      </c>
      <c r="AC19" s="60">
        <v>15</v>
      </c>
      <c r="AD19" s="60">
        <f t="shared" ref="AD19:AD25" si="23">AB19-AC19</f>
        <v>45</v>
      </c>
      <c r="AE19" s="60"/>
      <c r="AF19" s="60"/>
      <c r="AG19" s="60">
        <f t="shared" ref="AG19:AG25" si="24">AE19-AF19</f>
        <v>0</v>
      </c>
      <c r="AH19" s="60">
        <f>Y19+AB19+AE19</f>
        <v>60</v>
      </c>
      <c r="AI19" s="60">
        <f>Z19+AC19+AF19</f>
        <v>15</v>
      </c>
      <c r="AJ19" s="60">
        <f>AA19+AD19+AG19</f>
        <v>45</v>
      </c>
      <c r="AK19" s="60">
        <v>61</v>
      </c>
      <c r="AL19" s="60">
        <v>15</v>
      </c>
      <c r="AM19" s="60">
        <f t="shared" ref="AM19:AM25" si="25">AK19-AL19</f>
        <v>46</v>
      </c>
      <c r="AN19" s="60"/>
      <c r="AO19" s="60"/>
      <c r="AP19" s="60">
        <f t="shared" ref="AP19:AP25" si="26">AN19-AO19</f>
        <v>0</v>
      </c>
      <c r="AQ19" s="60">
        <v>60</v>
      </c>
      <c r="AR19" s="60">
        <v>5</v>
      </c>
      <c r="AS19" s="60">
        <f t="shared" ref="AS19:AS25" si="27">AQ19-AR19</f>
        <v>55</v>
      </c>
      <c r="AT19" s="60">
        <f>AK19+AN19+AQ19</f>
        <v>121</v>
      </c>
      <c r="AU19" s="60">
        <f>AL19+AO19+AR19</f>
        <v>20</v>
      </c>
      <c r="AV19" s="60">
        <f>AM19+AP19+AS19</f>
        <v>101</v>
      </c>
      <c r="AW19" s="60">
        <v>60</v>
      </c>
      <c r="AX19" s="60">
        <v>10</v>
      </c>
      <c r="AY19" s="60">
        <f t="shared" ref="AY19:AY25" si="28">AW19-AX19</f>
        <v>50</v>
      </c>
      <c r="AZ19" s="60"/>
      <c r="BA19" s="60"/>
      <c r="BB19" s="60">
        <f t="shared" ref="BB19:BB25" si="29">AZ19-BA19</f>
        <v>0</v>
      </c>
      <c r="BC19" s="60"/>
      <c r="BD19" s="60"/>
      <c r="BE19" s="60">
        <f t="shared" ref="BE19:BE25" si="30">BC19-BD19</f>
        <v>0</v>
      </c>
      <c r="BF19" s="60">
        <f>AW19+AZ19+BC19</f>
        <v>60</v>
      </c>
      <c r="BG19" s="60">
        <f>AX19+BA19+BD19</f>
        <v>10</v>
      </c>
      <c r="BH19" s="60">
        <f>AY19+BB19+BE19</f>
        <v>50</v>
      </c>
      <c r="BI19" s="508"/>
      <c r="BJ19" s="488" t="str">
        <f t="shared" si="15"/>
        <v>Lò</v>
      </c>
      <c r="BK19" s="523">
        <f t="shared" ref="BK19:BK25" si="31">ROUND(O19*G19*$C$3*$B$5,-2)</f>
        <v>600</v>
      </c>
      <c r="BL19" s="523">
        <f t="shared" ref="BL19:BL25" si="32">ROUND(R19*G19*$C$3*$B$5,-2)</f>
        <v>0</v>
      </c>
      <c r="BM19" s="523">
        <f t="shared" ref="BM19:BM25" si="33">ROUND(U19*G19*$C$3*$B$5,-2)</f>
        <v>500</v>
      </c>
      <c r="BN19" s="523">
        <f t="shared" ref="BN19:BN25" si="34">ROUND(X19*G19*$C$3*$B$5,-2)</f>
        <v>1100</v>
      </c>
      <c r="BO19" s="523">
        <f t="shared" ref="BO19:BO25" si="35">ROUND(AA19*G19*$C$3*$B$5,-2)</f>
        <v>0</v>
      </c>
      <c r="BP19" s="523">
        <f t="shared" ref="BP19:BP25" si="36">ROUND(AD19*G19*$C$3*$B$5,-2)</f>
        <v>500</v>
      </c>
      <c r="BQ19" s="523">
        <f t="shared" ref="BQ19:BQ25" si="37">ROUND(AG19*G19*$C$3*$B$5,-2)</f>
        <v>0</v>
      </c>
      <c r="BR19" s="523">
        <f t="shared" ref="BR19:BR25" si="38">ROUND(AJ19*G19*$B$5*$C$3,-2)</f>
        <v>500</v>
      </c>
      <c r="BS19" s="523">
        <f t="shared" ref="BS19:BS25" si="39">ROUND(AM19*G19*$C$3*$B$5,-2)</f>
        <v>500</v>
      </c>
      <c r="BT19" s="523">
        <f t="shared" ref="BT19:BT25" si="40">ROUND(AP19*G19*$C$3*$B$5,-2)</f>
        <v>0</v>
      </c>
      <c r="BU19" s="523">
        <f t="shared" ref="BU19:BU25" si="41">ROUND(AS19*G19*$C$3*$B$5,-2)</f>
        <v>600</v>
      </c>
      <c r="BV19" s="523">
        <f t="shared" ref="BV19:BV25" si="42">ROUND(AV19*G19*$C$3*$B$5,-2)</f>
        <v>1100</v>
      </c>
      <c r="BW19" s="523">
        <f t="shared" ref="BW19:BW25" si="43">ROUND(AY19*G19*$C$3*$B$5,-2)</f>
        <v>600</v>
      </c>
      <c r="BX19" s="523">
        <f t="shared" ref="BX19:BX25" si="44">ROUND(BB19*G19*$C$3*$B$5,-2)</f>
        <v>0</v>
      </c>
      <c r="BY19" s="523">
        <f t="shared" ref="BY19:BY25" si="45">ROUND(BE19*G19*$C$3*$B$5,-2)</f>
        <v>0</v>
      </c>
      <c r="BZ19" s="523">
        <f t="shared" ref="BZ19:BZ25" si="46">ROUND(BH19*G19*$C$3*$B$5,-2)</f>
        <v>600</v>
      </c>
      <c r="CA19" s="524"/>
      <c r="CB19" s="354" t="str">
        <f t="shared" si="3"/>
        <v>X</v>
      </c>
      <c r="CC19" s="509" t="str">
        <f t="shared" ref="CC19:CC110" si="47">CC18</f>
        <v>KT1.</v>
      </c>
      <c r="CD19" s="509" t="str">
        <f t="shared" ref="CD19:CD110" si="48">CC19&amp;G19</f>
        <v>KT1.9,5</v>
      </c>
      <c r="CE19" s="351" t="str">
        <f t="shared" si="17"/>
        <v>Lò</v>
      </c>
      <c r="CF19" s="509" t="str">
        <f t="shared" ref="CF19:CF110" si="49">CC19&amp;CE19</f>
        <v>KT1.Lò</v>
      </c>
      <c r="CG19" s="509"/>
      <c r="CH19" s="509"/>
    </row>
    <row r="20" spans="1:86" ht="21.75" customHeight="1" outlineLevel="1" x14ac:dyDescent="0.25">
      <c r="A20" s="354" t="e">
        <f>A19</f>
        <v>#REF!</v>
      </c>
      <c r="B20" s="518"/>
      <c r="C20" s="519" t="s">
        <v>630</v>
      </c>
      <c r="D20" s="447" t="s">
        <v>14</v>
      </c>
      <c r="E20" s="447"/>
      <c r="F20" s="447"/>
      <c r="G20" s="520">
        <v>11.2</v>
      </c>
      <c r="H20" s="521">
        <v>0.7</v>
      </c>
      <c r="I20" s="522">
        <f t="shared" ref="I20:I25" si="50">V20+AH20+AT20+BF20</f>
        <v>420</v>
      </c>
      <c r="J20" s="522">
        <f t="shared" ref="J20:J27" si="51">W20+AI20+AU20+BG20</f>
        <v>111</v>
      </c>
      <c r="K20" s="522">
        <f t="shared" ref="K20:K25" si="52">X20+AJ20+AV20+BH20</f>
        <v>309</v>
      </c>
      <c r="L20" s="57">
        <f t="shared" ref="L20:L25" si="53">BN20+BR20+BV20+BZ20</f>
        <v>4200</v>
      </c>
      <c r="M20" s="60">
        <v>60</v>
      </c>
      <c r="N20" s="60">
        <v>15</v>
      </c>
      <c r="O20" s="60">
        <f t="shared" ref="O20:O25" si="54">M20-N20</f>
        <v>45</v>
      </c>
      <c r="P20" s="60">
        <v>50</v>
      </c>
      <c r="Q20" s="60">
        <v>15</v>
      </c>
      <c r="R20" s="60">
        <f t="shared" ref="R20:R25" si="55">P20-Q20</f>
        <v>35</v>
      </c>
      <c r="S20" s="824">
        <v>60</v>
      </c>
      <c r="T20" s="60">
        <v>15</v>
      </c>
      <c r="U20" s="60">
        <f t="shared" ref="U20:U25" si="56">S20-T20</f>
        <v>45</v>
      </c>
      <c r="V20" s="60">
        <f>M20+P20+S20</f>
        <v>170</v>
      </c>
      <c r="W20" s="60">
        <f t="shared" si="21"/>
        <v>45</v>
      </c>
      <c r="X20" s="60">
        <f t="shared" si="21"/>
        <v>125</v>
      </c>
      <c r="Y20" s="60">
        <v>65</v>
      </c>
      <c r="Z20" s="60">
        <v>18</v>
      </c>
      <c r="AA20" s="60">
        <f t="shared" si="22"/>
        <v>47</v>
      </c>
      <c r="AB20" s="60">
        <v>10</v>
      </c>
      <c r="AC20" s="60">
        <v>5</v>
      </c>
      <c r="AD20" s="60">
        <f t="shared" si="23"/>
        <v>5</v>
      </c>
      <c r="AE20" s="60">
        <v>60</v>
      </c>
      <c r="AF20" s="60">
        <v>18</v>
      </c>
      <c r="AG20" s="60">
        <f t="shared" si="24"/>
        <v>42</v>
      </c>
      <c r="AH20" s="60">
        <f t="shared" ref="AH20:AH25" si="57">Y20+AB20+AE20</f>
        <v>135</v>
      </c>
      <c r="AI20" s="60">
        <f t="shared" ref="AI20:AI25" si="58">Z20+AC20+AF20</f>
        <v>41</v>
      </c>
      <c r="AJ20" s="60">
        <f t="shared" ref="AJ20:AJ25" si="59">AA20+AD20+AG20</f>
        <v>94</v>
      </c>
      <c r="AK20" s="60">
        <v>60</v>
      </c>
      <c r="AL20" s="60">
        <v>15</v>
      </c>
      <c r="AM20" s="60">
        <f t="shared" si="25"/>
        <v>45</v>
      </c>
      <c r="AN20" s="60">
        <v>55</v>
      </c>
      <c r="AO20" s="60">
        <v>10</v>
      </c>
      <c r="AP20" s="60">
        <f t="shared" si="26"/>
        <v>45</v>
      </c>
      <c r="AQ20" s="60"/>
      <c r="AR20" s="60"/>
      <c r="AS20" s="60">
        <f t="shared" si="27"/>
        <v>0</v>
      </c>
      <c r="AT20" s="60">
        <f t="shared" ref="AT20:AT25" si="60">AK20+AN20+AQ20</f>
        <v>115</v>
      </c>
      <c r="AU20" s="60">
        <f t="shared" ref="AU20:AU25" si="61">AL20+AO20+AR20</f>
        <v>25</v>
      </c>
      <c r="AV20" s="60">
        <f t="shared" ref="AV20:AV25" si="62">AM20+AP20+AS20</f>
        <v>90</v>
      </c>
      <c r="AW20" s="60"/>
      <c r="AX20" s="60"/>
      <c r="AY20" s="60">
        <f t="shared" si="28"/>
        <v>0</v>
      </c>
      <c r="AZ20" s="60"/>
      <c r="BA20" s="60"/>
      <c r="BB20" s="60">
        <f t="shared" si="29"/>
        <v>0</v>
      </c>
      <c r="BC20" s="60"/>
      <c r="BD20" s="60"/>
      <c r="BE20" s="60">
        <f t="shared" si="30"/>
        <v>0</v>
      </c>
      <c r="BF20" s="60">
        <f t="shared" ref="BF20:BF25" si="63">AW20+AZ20+BC20</f>
        <v>0</v>
      </c>
      <c r="BG20" s="60">
        <f t="shared" ref="BG20:BG25" si="64">AX20+BA20+BD20</f>
        <v>0</v>
      </c>
      <c r="BH20" s="60">
        <f t="shared" ref="BH20:BH25" si="65">AY20+BB20+BE20</f>
        <v>0</v>
      </c>
      <c r="BI20" s="508"/>
      <c r="BJ20" s="488" t="str">
        <f t="shared" si="15"/>
        <v>Lò</v>
      </c>
      <c r="BK20" s="523">
        <f t="shared" si="31"/>
        <v>600</v>
      </c>
      <c r="BL20" s="523">
        <f t="shared" si="32"/>
        <v>500</v>
      </c>
      <c r="BM20" s="523">
        <f t="shared" si="33"/>
        <v>600</v>
      </c>
      <c r="BN20" s="523">
        <f t="shared" si="34"/>
        <v>1700</v>
      </c>
      <c r="BO20" s="523">
        <f t="shared" si="35"/>
        <v>600</v>
      </c>
      <c r="BP20" s="523">
        <f t="shared" si="36"/>
        <v>100</v>
      </c>
      <c r="BQ20" s="523">
        <f t="shared" si="37"/>
        <v>600</v>
      </c>
      <c r="BR20" s="523">
        <f t="shared" si="38"/>
        <v>1300</v>
      </c>
      <c r="BS20" s="523">
        <f t="shared" si="39"/>
        <v>600</v>
      </c>
      <c r="BT20" s="523">
        <f t="shared" si="40"/>
        <v>600</v>
      </c>
      <c r="BU20" s="523">
        <f t="shared" si="41"/>
        <v>0</v>
      </c>
      <c r="BV20" s="523">
        <f t="shared" si="42"/>
        <v>1200</v>
      </c>
      <c r="BW20" s="523">
        <f t="shared" si="43"/>
        <v>0</v>
      </c>
      <c r="BX20" s="523">
        <f t="shared" si="44"/>
        <v>0</v>
      </c>
      <c r="BY20" s="523">
        <f t="shared" si="45"/>
        <v>0</v>
      </c>
      <c r="BZ20" s="523">
        <f t="shared" si="46"/>
        <v>0</v>
      </c>
      <c r="CA20" s="354"/>
      <c r="CB20" s="354" t="str">
        <f t="shared" si="3"/>
        <v>X</v>
      </c>
      <c r="CC20" s="509" t="str">
        <f t="shared" si="47"/>
        <v>KT1.</v>
      </c>
      <c r="CD20" s="509" t="str">
        <f t="shared" si="48"/>
        <v>KT1.11,2</v>
      </c>
      <c r="CE20" s="351" t="str">
        <f t="shared" si="17"/>
        <v>Lò</v>
      </c>
      <c r="CF20" s="509" t="str">
        <f t="shared" si="49"/>
        <v>KT1.Lò</v>
      </c>
      <c r="CG20" s="509"/>
      <c r="CH20" s="509"/>
    </row>
    <row r="21" spans="1:86" ht="24" customHeight="1" outlineLevel="1" x14ac:dyDescent="0.25">
      <c r="A21" s="354" t="e">
        <f>A20</f>
        <v>#REF!</v>
      </c>
      <c r="B21" s="518"/>
      <c r="C21" s="519" t="s">
        <v>633</v>
      </c>
      <c r="D21" s="447" t="s">
        <v>14</v>
      </c>
      <c r="E21" s="447"/>
      <c r="F21" s="447"/>
      <c r="G21" s="520">
        <v>11.2</v>
      </c>
      <c r="H21" s="521">
        <v>0.7</v>
      </c>
      <c r="I21" s="522">
        <f t="shared" si="50"/>
        <v>15</v>
      </c>
      <c r="J21" s="522">
        <f t="shared" si="51"/>
        <v>10</v>
      </c>
      <c r="K21" s="522">
        <f t="shared" si="52"/>
        <v>5</v>
      </c>
      <c r="L21" s="57">
        <f t="shared" si="53"/>
        <v>100</v>
      </c>
      <c r="M21" s="60"/>
      <c r="N21" s="60"/>
      <c r="O21" s="60">
        <f t="shared" si="54"/>
        <v>0</v>
      </c>
      <c r="P21" s="60"/>
      <c r="Q21" s="60"/>
      <c r="R21" s="60">
        <f t="shared" si="55"/>
        <v>0</v>
      </c>
      <c r="S21" s="824"/>
      <c r="T21" s="60"/>
      <c r="U21" s="60">
        <f t="shared" si="56"/>
        <v>0</v>
      </c>
      <c r="V21" s="60">
        <f>M21+P21+S21</f>
        <v>0</v>
      </c>
      <c r="W21" s="60">
        <f t="shared" si="21"/>
        <v>0</v>
      </c>
      <c r="X21" s="60">
        <f t="shared" si="21"/>
        <v>0</v>
      </c>
      <c r="Y21" s="60"/>
      <c r="Z21" s="60"/>
      <c r="AA21" s="60">
        <f t="shared" si="22"/>
        <v>0</v>
      </c>
      <c r="AB21" s="60"/>
      <c r="AC21" s="60"/>
      <c r="AD21" s="60">
        <f t="shared" si="23"/>
        <v>0</v>
      </c>
      <c r="AE21" s="60"/>
      <c r="AF21" s="60"/>
      <c r="AG21" s="60">
        <f t="shared" si="24"/>
        <v>0</v>
      </c>
      <c r="AH21" s="60">
        <f t="shared" si="57"/>
        <v>0</v>
      </c>
      <c r="AI21" s="60">
        <f t="shared" si="58"/>
        <v>0</v>
      </c>
      <c r="AJ21" s="60">
        <f t="shared" si="59"/>
        <v>0</v>
      </c>
      <c r="AK21" s="60"/>
      <c r="AL21" s="60"/>
      <c r="AM21" s="60">
        <f t="shared" si="25"/>
        <v>0</v>
      </c>
      <c r="AN21" s="60"/>
      <c r="AO21" s="60"/>
      <c r="AP21" s="60">
        <f t="shared" si="26"/>
        <v>0</v>
      </c>
      <c r="AQ21" s="60"/>
      <c r="AR21" s="60"/>
      <c r="AS21" s="60">
        <f t="shared" si="27"/>
        <v>0</v>
      </c>
      <c r="AT21" s="60">
        <f t="shared" si="60"/>
        <v>0</v>
      </c>
      <c r="AU21" s="60">
        <f t="shared" si="61"/>
        <v>0</v>
      </c>
      <c r="AV21" s="60">
        <f t="shared" si="62"/>
        <v>0</v>
      </c>
      <c r="AW21" s="60"/>
      <c r="AX21" s="60"/>
      <c r="AY21" s="60">
        <f t="shared" si="28"/>
        <v>0</v>
      </c>
      <c r="AZ21" s="60"/>
      <c r="BA21" s="60"/>
      <c r="BB21" s="60">
        <f t="shared" si="29"/>
        <v>0</v>
      </c>
      <c r="BC21" s="60">
        <v>15</v>
      </c>
      <c r="BD21" s="60">
        <v>10</v>
      </c>
      <c r="BE21" s="60">
        <f t="shared" si="30"/>
        <v>5</v>
      </c>
      <c r="BF21" s="60">
        <f t="shared" si="63"/>
        <v>15</v>
      </c>
      <c r="BG21" s="60">
        <f t="shared" si="64"/>
        <v>10</v>
      </c>
      <c r="BH21" s="60">
        <f t="shared" si="65"/>
        <v>5</v>
      </c>
      <c r="BI21" s="508"/>
      <c r="BJ21" s="488" t="str">
        <f t="shared" si="15"/>
        <v>Lò</v>
      </c>
      <c r="BK21" s="523">
        <f t="shared" si="31"/>
        <v>0</v>
      </c>
      <c r="BL21" s="523">
        <f t="shared" si="32"/>
        <v>0</v>
      </c>
      <c r="BM21" s="523">
        <f t="shared" si="33"/>
        <v>0</v>
      </c>
      <c r="BN21" s="523">
        <f t="shared" si="34"/>
        <v>0</v>
      </c>
      <c r="BO21" s="523">
        <f t="shared" si="35"/>
        <v>0</v>
      </c>
      <c r="BP21" s="523">
        <f t="shared" si="36"/>
        <v>0</v>
      </c>
      <c r="BQ21" s="523">
        <f t="shared" si="37"/>
        <v>0</v>
      </c>
      <c r="BR21" s="523">
        <f t="shared" si="38"/>
        <v>0</v>
      </c>
      <c r="BS21" s="523">
        <f t="shared" si="39"/>
        <v>0</v>
      </c>
      <c r="BT21" s="523">
        <f t="shared" si="40"/>
        <v>0</v>
      </c>
      <c r="BU21" s="523">
        <f t="shared" si="41"/>
        <v>0</v>
      </c>
      <c r="BV21" s="523">
        <f t="shared" si="42"/>
        <v>0</v>
      </c>
      <c r="BW21" s="523">
        <f t="shared" si="43"/>
        <v>0</v>
      </c>
      <c r="BX21" s="523">
        <f t="shared" si="44"/>
        <v>0</v>
      </c>
      <c r="BY21" s="523">
        <f t="shared" si="45"/>
        <v>100</v>
      </c>
      <c r="BZ21" s="523">
        <f t="shared" si="46"/>
        <v>100</v>
      </c>
      <c r="CA21" s="354"/>
      <c r="CB21" s="354" t="str">
        <f t="shared" si="3"/>
        <v>X</v>
      </c>
      <c r="CC21" s="509" t="str">
        <f t="shared" si="47"/>
        <v>KT1.</v>
      </c>
      <c r="CD21" s="509" t="str">
        <f t="shared" si="48"/>
        <v>KT1.11,2</v>
      </c>
      <c r="CE21" s="351" t="str">
        <f t="shared" si="17"/>
        <v>Lò</v>
      </c>
      <c r="CF21" s="509" t="str">
        <f t="shared" si="49"/>
        <v>KT1.Lò</v>
      </c>
      <c r="CG21" s="509"/>
      <c r="CH21" s="509"/>
    </row>
    <row r="22" spans="1:86" ht="24" customHeight="1" outlineLevel="1" x14ac:dyDescent="0.25">
      <c r="A22" s="354" t="e">
        <f>A20</f>
        <v>#REF!</v>
      </c>
      <c r="B22" s="518"/>
      <c r="C22" s="519" t="s">
        <v>534</v>
      </c>
      <c r="D22" s="447" t="s">
        <v>206</v>
      </c>
      <c r="E22" s="447"/>
      <c r="F22" s="447"/>
      <c r="G22" s="520">
        <v>5.4</v>
      </c>
      <c r="H22" s="521">
        <v>0.7</v>
      </c>
      <c r="I22" s="522">
        <f t="shared" si="50"/>
        <v>0</v>
      </c>
      <c r="J22" s="522">
        <f t="shared" si="51"/>
        <v>0</v>
      </c>
      <c r="K22" s="522">
        <f t="shared" si="52"/>
        <v>0</v>
      </c>
      <c r="L22" s="57">
        <f t="shared" si="53"/>
        <v>0</v>
      </c>
      <c r="M22" s="60"/>
      <c r="N22" s="60"/>
      <c r="O22" s="60">
        <f t="shared" si="54"/>
        <v>0</v>
      </c>
      <c r="P22" s="60"/>
      <c r="Q22" s="60"/>
      <c r="R22" s="60">
        <f t="shared" si="55"/>
        <v>0</v>
      </c>
      <c r="S22" s="824"/>
      <c r="T22" s="60"/>
      <c r="U22" s="60">
        <f t="shared" si="56"/>
        <v>0</v>
      </c>
      <c r="V22" s="60"/>
      <c r="W22" s="60"/>
      <c r="X22" s="60">
        <f>V22-W22</f>
        <v>0</v>
      </c>
      <c r="Y22" s="60"/>
      <c r="Z22" s="60"/>
      <c r="AA22" s="60">
        <f t="shared" si="22"/>
        <v>0</v>
      </c>
      <c r="AB22" s="60"/>
      <c r="AC22" s="60"/>
      <c r="AD22" s="60">
        <f t="shared" si="23"/>
        <v>0</v>
      </c>
      <c r="AE22" s="60"/>
      <c r="AF22" s="60"/>
      <c r="AG22" s="60">
        <f t="shared" si="24"/>
        <v>0</v>
      </c>
      <c r="AH22" s="60">
        <f t="shared" ref="AH22:AJ24" si="66">Y22+AB22+AE22</f>
        <v>0</v>
      </c>
      <c r="AI22" s="60">
        <f t="shared" si="66"/>
        <v>0</v>
      </c>
      <c r="AJ22" s="60">
        <f t="shared" si="66"/>
        <v>0</v>
      </c>
      <c r="AK22" s="60"/>
      <c r="AL22" s="60"/>
      <c r="AM22" s="60">
        <f t="shared" si="25"/>
        <v>0</v>
      </c>
      <c r="AN22" s="60"/>
      <c r="AO22" s="60"/>
      <c r="AP22" s="60">
        <f t="shared" si="26"/>
        <v>0</v>
      </c>
      <c r="AQ22" s="60"/>
      <c r="AR22" s="60"/>
      <c r="AS22" s="60">
        <f t="shared" si="27"/>
        <v>0</v>
      </c>
      <c r="AT22" s="60">
        <f t="shared" si="60"/>
        <v>0</v>
      </c>
      <c r="AU22" s="60">
        <f t="shared" si="61"/>
        <v>0</v>
      </c>
      <c r="AV22" s="60">
        <f t="shared" si="62"/>
        <v>0</v>
      </c>
      <c r="AW22" s="60"/>
      <c r="AX22" s="60"/>
      <c r="AY22" s="60">
        <f t="shared" si="28"/>
        <v>0</v>
      </c>
      <c r="AZ22" s="60"/>
      <c r="BA22" s="60"/>
      <c r="BB22" s="60">
        <f t="shared" si="29"/>
        <v>0</v>
      </c>
      <c r="BC22" s="60"/>
      <c r="BD22" s="60"/>
      <c r="BE22" s="60">
        <f t="shared" si="30"/>
        <v>0</v>
      </c>
      <c r="BF22" s="60">
        <f t="shared" si="63"/>
        <v>0</v>
      </c>
      <c r="BG22" s="60">
        <f t="shared" si="64"/>
        <v>0</v>
      </c>
      <c r="BH22" s="60">
        <f t="shared" si="65"/>
        <v>0</v>
      </c>
      <c r="BI22" s="508"/>
      <c r="BJ22" s="488" t="str">
        <f t="shared" si="15"/>
        <v>Lò</v>
      </c>
      <c r="BK22" s="523">
        <f t="shared" si="31"/>
        <v>0</v>
      </c>
      <c r="BL22" s="523">
        <f t="shared" si="32"/>
        <v>0</v>
      </c>
      <c r="BM22" s="523">
        <f t="shared" si="33"/>
        <v>0</v>
      </c>
      <c r="BN22" s="523">
        <f t="shared" si="34"/>
        <v>0</v>
      </c>
      <c r="BO22" s="523">
        <f t="shared" si="35"/>
        <v>0</v>
      </c>
      <c r="BP22" s="523">
        <f t="shared" si="36"/>
        <v>0</v>
      </c>
      <c r="BQ22" s="523">
        <f t="shared" si="37"/>
        <v>0</v>
      </c>
      <c r="BR22" s="523">
        <f t="shared" si="38"/>
        <v>0</v>
      </c>
      <c r="BS22" s="523">
        <f t="shared" si="39"/>
        <v>0</v>
      </c>
      <c r="BT22" s="523">
        <f t="shared" si="40"/>
        <v>0</v>
      </c>
      <c r="BU22" s="523">
        <f t="shared" si="41"/>
        <v>0</v>
      </c>
      <c r="BV22" s="523">
        <f t="shared" si="42"/>
        <v>0</v>
      </c>
      <c r="BW22" s="523">
        <f t="shared" si="43"/>
        <v>0</v>
      </c>
      <c r="BX22" s="523">
        <f t="shared" si="44"/>
        <v>0</v>
      </c>
      <c r="BY22" s="523">
        <f t="shared" si="45"/>
        <v>0</v>
      </c>
      <c r="BZ22" s="523">
        <f t="shared" si="46"/>
        <v>0</v>
      </c>
      <c r="CA22" s="354"/>
      <c r="CB22" s="354" t="b">
        <f t="shared" si="3"/>
        <v>0</v>
      </c>
      <c r="CC22" s="509" t="str">
        <f t="shared" si="47"/>
        <v>KT1.</v>
      </c>
      <c r="CD22" s="509" t="str">
        <f t="shared" si="48"/>
        <v>KT1.5,4</v>
      </c>
      <c r="CE22" s="351" t="str">
        <f t="shared" si="17"/>
        <v>Lò</v>
      </c>
      <c r="CF22" s="509" t="str">
        <f t="shared" si="49"/>
        <v>KT1.Lò</v>
      </c>
      <c r="CG22" s="509"/>
      <c r="CH22" s="509"/>
    </row>
    <row r="23" spans="1:86" ht="24" customHeight="1" outlineLevel="1" x14ac:dyDescent="0.25">
      <c r="A23" s="354" t="e">
        <f>A21</f>
        <v>#REF!</v>
      </c>
      <c r="B23" s="518"/>
      <c r="C23" s="519" t="s">
        <v>533</v>
      </c>
      <c r="D23" s="447" t="s">
        <v>206</v>
      </c>
      <c r="E23" s="447"/>
      <c r="F23" s="447"/>
      <c r="G23" s="520">
        <v>5.4</v>
      </c>
      <c r="H23" s="521">
        <v>0.7</v>
      </c>
      <c r="I23" s="522">
        <f t="shared" ref="I23:K24" si="67">V23+AH23+AT23+BF23</f>
        <v>0</v>
      </c>
      <c r="J23" s="522">
        <f t="shared" si="67"/>
        <v>0</v>
      </c>
      <c r="K23" s="522">
        <f t="shared" si="67"/>
        <v>0</v>
      </c>
      <c r="L23" s="57">
        <f>BN23+BR23+BV23+BZ23</f>
        <v>0</v>
      </c>
      <c r="M23" s="60"/>
      <c r="N23" s="60"/>
      <c r="O23" s="60">
        <f t="shared" si="54"/>
        <v>0</v>
      </c>
      <c r="P23" s="60"/>
      <c r="Q23" s="60"/>
      <c r="R23" s="60">
        <f t="shared" si="55"/>
        <v>0</v>
      </c>
      <c r="S23" s="824"/>
      <c r="T23" s="60"/>
      <c r="U23" s="60">
        <f t="shared" si="56"/>
        <v>0</v>
      </c>
      <c r="V23" s="60"/>
      <c r="W23" s="60"/>
      <c r="X23" s="60">
        <f>V23-W23</f>
        <v>0</v>
      </c>
      <c r="Y23" s="60"/>
      <c r="Z23" s="60"/>
      <c r="AA23" s="60">
        <f t="shared" si="22"/>
        <v>0</v>
      </c>
      <c r="AB23" s="60"/>
      <c r="AC23" s="60"/>
      <c r="AD23" s="60">
        <f t="shared" si="23"/>
        <v>0</v>
      </c>
      <c r="AE23" s="60"/>
      <c r="AF23" s="60"/>
      <c r="AG23" s="60">
        <f t="shared" si="24"/>
        <v>0</v>
      </c>
      <c r="AH23" s="60">
        <f t="shared" si="66"/>
        <v>0</v>
      </c>
      <c r="AI23" s="60">
        <f t="shared" si="66"/>
        <v>0</v>
      </c>
      <c r="AJ23" s="60">
        <f t="shared" si="66"/>
        <v>0</v>
      </c>
      <c r="AK23" s="60"/>
      <c r="AL23" s="60"/>
      <c r="AM23" s="60">
        <f t="shared" si="25"/>
        <v>0</v>
      </c>
      <c r="AN23" s="60"/>
      <c r="AO23" s="60"/>
      <c r="AP23" s="60">
        <f t="shared" si="26"/>
        <v>0</v>
      </c>
      <c r="AQ23" s="60"/>
      <c r="AR23" s="60"/>
      <c r="AS23" s="60">
        <f t="shared" si="27"/>
        <v>0</v>
      </c>
      <c r="AT23" s="60">
        <f t="shared" ref="AT23:AV24" si="68">AK23+AN23+AQ23</f>
        <v>0</v>
      </c>
      <c r="AU23" s="60">
        <f t="shared" si="68"/>
        <v>0</v>
      </c>
      <c r="AV23" s="60">
        <f t="shared" si="68"/>
        <v>0</v>
      </c>
      <c r="AW23" s="60"/>
      <c r="AX23" s="60"/>
      <c r="AY23" s="60">
        <f t="shared" si="28"/>
        <v>0</v>
      </c>
      <c r="AZ23" s="60"/>
      <c r="BA23" s="60"/>
      <c r="BB23" s="60">
        <f t="shared" si="29"/>
        <v>0</v>
      </c>
      <c r="BC23" s="60"/>
      <c r="BD23" s="60"/>
      <c r="BE23" s="60">
        <f t="shared" si="30"/>
        <v>0</v>
      </c>
      <c r="BF23" s="60">
        <f t="shared" ref="BF23:BH24" si="69">AW23+AZ23+BC23</f>
        <v>0</v>
      </c>
      <c r="BG23" s="60">
        <f t="shared" si="69"/>
        <v>0</v>
      </c>
      <c r="BH23" s="60">
        <f t="shared" si="69"/>
        <v>0</v>
      </c>
      <c r="BI23" s="508"/>
      <c r="BJ23" s="488" t="str">
        <f t="shared" si="15"/>
        <v>Lò</v>
      </c>
      <c r="BK23" s="523">
        <f t="shared" si="31"/>
        <v>0</v>
      </c>
      <c r="BL23" s="523">
        <f t="shared" si="32"/>
        <v>0</v>
      </c>
      <c r="BM23" s="523">
        <f t="shared" si="33"/>
        <v>0</v>
      </c>
      <c r="BN23" s="523">
        <f t="shared" si="34"/>
        <v>0</v>
      </c>
      <c r="BO23" s="523">
        <f t="shared" si="35"/>
        <v>0</v>
      </c>
      <c r="BP23" s="523">
        <f t="shared" si="36"/>
        <v>0</v>
      </c>
      <c r="BQ23" s="523">
        <f t="shared" si="37"/>
        <v>0</v>
      </c>
      <c r="BR23" s="523">
        <f t="shared" si="38"/>
        <v>0</v>
      </c>
      <c r="BS23" s="523">
        <f t="shared" si="39"/>
        <v>0</v>
      </c>
      <c r="BT23" s="523">
        <f t="shared" si="40"/>
        <v>0</v>
      </c>
      <c r="BU23" s="523">
        <f t="shared" si="41"/>
        <v>0</v>
      </c>
      <c r="BV23" s="523">
        <f t="shared" si="42"/>
        <v>0</v>
      </c>
      <c r="BW23" s="523">
        <f t="shared" si="43"/>
        <v>0</v>
      </c>
      <c r="BX23" s="523">
        <f t="shared" si="44"/>
        <v>0</v>
      </c>
      <c r="BY23" s="523">
        <f t="shared" si="45"/>
        <v>0</v>
      </c>
      <c r="BZ23" s="523">
        <f t="shared" si="46"/>
        <v>0</v>
      </c>
      <c r="CA23" s="354"/>
      <c r="CB23" s="354" t="b">
        <f>IF(SUM(I23:L23)&lt;&gt;0,"X")</f>
        <v>0</v>
      </c>
      <c r="CC23" s="509" t="str">
        <f t="shared" si="47"/>
        <v>KT1.</v>
      </c>
      <c r="CD23" s="509" t="str">
        <f>CC23&amp;G23</f>
        <v>KT1.5,4</v>
      </c>
      <c r="CE23" s="351" t="str">
        <f t="shared" si="17"/>
        <v>Lò</v>
      </c>
      <c r="CF23" s="509" t="str">
        <f>CC23&amp;CE23</f>
        <v>KT1.Lò</v>
      </c>
      <c r="CG23" s="509"/>
      <c r="CH23" s="509"/>
    </row>
    <row r="24" spans="1:86" ht="21.75" customHeight="1" outlineLevel="1" x14ac:dyDescent="0.25">
      <c r="A24" s="354" t="e">
        <f>A23</f>
        <v>#REF!</v>
      </c>
      <c r="B24" s="518"/>
      <c r="C24" s="519" t="s">
        <v>631</v>
      </c>
      <c r="D24" s="447" t="s">
        <v>14</v>
      </c>
      <c r="E24" s="447"/>
      <c r="F24" s="447"/>
      <c r="G24" s="520">
        <v>8.5</v>
      </c>
      <c r="H24" s="521">
        <v>0.7</v>
      </c>
      <c r="I24" s="522">
        <f t="shared" si="67"/>
        <v>35</v>
      </c>
      <c r="J24" s="522">
        <f t="shared" si="67"/>
        <v>0</v>
      </c>
      <c r="K24" s="522">
        <f t="shared" si="67"/>
        <v>35</v>
      </c>
      <c r="L24" s="57">
        <f>BN24+BR24+BV24+BZ24</f>
        <v>400</v>
      </c>
      <c r="M24" s="60"/>
      <c r="N24" s="60"/>
      <c r="O24" s="60">
        <f t="shared" si="54"/>
        <v>0</v>
      </c>
      <c r="P24" s="60"/>
      <c r="Q24" s="60"/>
      <c r="R24" s="60">
        <f t="shared" si="55"/>
        <v>0</v>
      </c>
      <c r="S24" s="824"/>
      <c r="T24" s="60"/>
      <c r="U24" s="60">
        <f t="shared" si="56"/>
        <v>0</v>
      </c>
      <c r="V24" s="60"/>
      <c r="W24" s="60"/>
      <c r="X24" s="60">
        <f>V24-W24</f>
        <v>0</v>
      </c>
      <c r="Y24" s="60"/>
      <c r="Z24" s="60"/>
      <c r="AA24" s="60">
        <f t="shared" si="22"/>
        <v>0</v>
      </c>
      <c r="AB24" s="60"/>
      <c r="AC24" s="60"/>
      <c r="AD24" s="60">
        <f t="shared" si="23"/>
        <v>0</v>
      </c>
      <c r="AE24" s="60"/>
      <c r="AF24" s="60"/>
      <c r="AG24" s="60">
        <f t="shared" si="24"/>
        <v>0</v>
      </c>
      <c r="AH24" s="60">
        <f t="shared" si="66"/>
        <v>0</v>
      </c>
      <c r="AI24" s="60">
        <f t="shared" si="66"/>
        <v>0</v>
      </c>
      <c r="AJ24" s="60">
        <f t="shared" si="66"/>
        <v>0</v>
      </c>
      <c r="AK24" s="60"/>
      <c r="AL24" s="60"/>
      <c r="AM24" s="60">
        <f t="shared" si="25"/>
        <v>0</v>
      </c>
      <c r="AN24" s="60"/>
      <c r="AO24" s="60"/>
      <c r="AP24" s="60">
        <f t="shared" si="26"/>
        <v>0</v>
      </c>
      <c r="AQ24" s="60">
        <v>35</v>
      </c>
      <c r="AR24" s="60"/>
      <c r="AS24" s="60">
        <f t="shared" si="27"/>
        <v>35</v>
      </c>
      <c r="AT24" s="60">
        <f t="shared" si="68"/>
        <v>35</v>
      </c>
      <c r="AU24" s="60">
        <f t="shared" si="68"/>
        <v>0</v>
      </c>
      <c r="AV24" s="60">
        <f t="shared" si="68"/>
        <v>35</v>
      </c>
      <c r="AW24" s="60"/>
      <c r="AX24" s="60"/>
      <c r="AY24" s="60">
        <f t="shared" si="28"/>
        <v>0</v>
      </c>
      <c r="AZ24" s="60"/>
      <c r="BA24" s="60"/>
      <c r="BB24" s="60">
        <f t="shared" si="29"/>
        <v>0</v>
      </c>
      <c r="BC24" s="60"/>
      <c r="BD24" s="60"/>
      <c r="BE24" s="60">
        <f t="shared" si="30"/>
        <v>0</v>
      </c>
      <c r="BF24" s="60">
        <f t="shared" si="69"/>
        <v>0</v>
      </c>
      <c r="BG24" s="60">
        <f t="shared" si="69"/>
        <v>0</v>
      </c>
      <c r="BH24" s="60">
        <f t="shared" si="69"/>
        <v>0</v>
      </c>
      <c r="BI24" s="508"/>
      <c r="BJ24" s="488" t="str">
        <f t="shared" si="15"/>
        <v>Lò</v>
      </c>
      <c r="BK24" s="523">
        <f t="shared" si="31"/>
        <v>0</v>
      </c>
      <c r="BL24" s="523">
        <f t="shared" si="32"/>
        <v>0</v>
      </c>
      <c r="BM24" s="523">
        <f t="shared" si="33"/>
        <v>0</v>
      </c>
      <c r="BN24" s="523">
        <f t="shared" si="34"/>
        <v>0</v>
      </c>
      <c r="BO24" s="523">
        <f t="shared" si="35"/>
        <v>0</v>
      </c>
      <c r="BP24" s="523">
        <f t="shared" si="36"/>
        <v>0</v>
      </c>
      <c r="BQ24" s="523">
        <f t="shared" si="37"/>
        <v>0</v>
      </c>
      <c r="BR24" s="523">
        <f t="shared" si="38"/>
        <v>0</v>
      </c>
      <c r="BS24" s="523">
        <f t="shared" si="39"/>
        <v>0</v>
      </c>
      <c r="BT24" s="523">
        <f t="shared" si="40"/>
        <v>0</v>
      </c>
      <c r="BU24" s="523">
        <f t="shared" si="41"/>
        <v>400</v>
      </c>
      <c r="BV24" s="523">
        <f t="shared" si="42"/>
        <v>400</v>
      </c>
      <c r="BW24" s="523">
        <f t="shared" si="43"/>
        <v>0</v>
      </c>
      <c r="BX24" s="523">
        <f t="shared" si="44"/>
        <v>0</v>
      </c>
      <c r="BY24" s="523">
        <f t="shared" si="45"/>
        <v>0</v>
      </c>
      <c r="BZ24" s="523">
        <f t="shared" si="46"/>
        <v>0</v>
      </c>
      <c r="CA24" s="354"/>
      <c r="CB24" s="354" t="str">
        <f>IF(SUM(I24:L24)&lt;&gt;0,"X")</f>
        <v>X</v>
      </c>
      <c r="CC24" s="509" t="str">
        <f t="shared" si="47"/>
        <v>KT1.</v>
      </c>
      <c r="CD24" s="509" t="str">
        <f>CC24&amp;G24</f>
        <v>KT1.8,5</v>
      </c>
      <c r="CE24" s="351" t="str">
        <f t="shared" si="17"/>
        <v>Lò</v>
      </c>
      <c r="CF24" s="509" t="str">
        <f>CC24&amp;CE24</f>
        <v>KT1.Lò</v>
      </c>
      <c r="CG24" s="509"/>
      <c r="CH24" s="509"/>
    </row>
    <row r="25" spans="1:86" ht="21.75" customHeight="1" outlineLevel="1" x14ac:dyDescent="0.25">
      <c r="A25" s="354" t="e">
        <f>A20</f>
        <v>#REF!</v>
      </c>
      <c r="B25" s="518"/>
      <c r="C25" s="519" t="s">
        <v>833</v>
      </c>
      <c r="D25" s="447" t="s">
        <v>14</v>
      </c>
      <c r="E25" s="447"/>
      <c r="F25" s="447"/>
      <c r="G25" s="520">
        <v>11.2</v>
      </c>
      <c r="H25" s="521">
        <v>0.7</v>
      </c>
      <c r="I25" s="522">
        <f t="shared" si="50"/>
        <v>65</v>
      </c>
      <c r="J25" s="522">
        <f t="shared" si="51"/>
        <v>10</v>
      </c>
      <c r="K25" s="522">
        <f t="shared" si="52"/>
        <v>55</v>
      </c>
      <c r="L25" s="57">
        <f t="shared" si="53"/>
        <v>700</v>
      </c>
      <c r="M25" s="60"/>
      <c r="N25" s="60"/>
      <c r="O25" s="60">
        <f t="shared" si="54"/>
        <v>0</v>
      </c>
      <c r="P25" s="60"/>
      <c r="Q25" s="60"/>
      <c r="R25" s="60">
        <f t="shared" si="55"/>
        <v>0</v>
      </c>
      <c r="S25" s="824"/>
      <c r="T25" s="60"/>
      <c r="U25" s="60">
        <f t="shared" si="56"/>
        <v>0</v>
      </c>
      <c r="V25" s="60"/>
      <c r="W25" s="60"/>
      <c r="X25" s="60">
        <f>V25-W25</f>
        <v>0</v>
      </c>
      <c r="Y25" s="60"/>
      <c r="Z25" s="60"/>
      <c r="AA25" s="60">
        <f t="shared" si="22"/>
        <v>0</v>
      </c>
      <c r="AB25" s="60"/>
      <c r="AC25" s="60"/>
      <c r="AD25" s="60">
        <f t="shared" si="23"/>
        <v>0</v>
      </c>
      <c r="AE25" s="60"/>
      <c r="AF25" s="60"/>
      <c r="AG25" s="60">
        <f t="shared" si="24"/>
        <v>0</v>
      </c>
      <c r="AH25" s="60">
        <f t="shared" si="57"/>
        <v>0</v>
      </c>
      <c r="AI25" s="60">
        <f t="shared" si="58"/>
        <v>0</v>
      </c>
      <c r="AJ25" s="60">
        <f t="shared" si="59"/>
        <v>0</v>
      </c>
      <c r="AK25" s="60"/>
      <c r="AL25" s="60"/>
      <c r="AM25" s="60">
        <f t="shared" si="25"/>
        <v>0</v>
      </c>
      <c r="AN25" s="60"/>
      <c r="AO25" s="60"/>
      <c r="AP25" s="60">
        <f t="shared" si="26"/>
        <v>0</v>
      </c>
      <c r="AQ25" s="60"/>
      <c r="AR25" s="60"/>
      <c r="AS25" s="60">
        <f t="shared" si="27"/>
        <v>0</v>
      </c>
      <c r="AT25" s="60">
        <f t="shared" si="60"/>
        <v>0</v>
      </c>
      <c r="AU25" s="60">
        <f t="shared" si="61"/>
        <v>0</v>
      </c>
      <c r="AV25" s="60">
        <f t="shared" si="62"/>
        <v>0</v>
      </c>
      <c r="AW25" s="60"/>
      <c r="AX25" s="60"/>
      <c r="AY25" s="60">
        <f t="shared" si="28"/>
        <v>0</v>
      </c>
      <c r="AZ25" s="60">
        <v>50</v>
      </c>
      <c r="BA25" s="60">
        <v>10</v>
      </c>
      <c r="BB25" s="60">
        <f t="shared" si="29"/>
        <v>40</v>
      </c>
      <c r="BC25" s="60">
        <v>15</v>
      </c>
      <c r="BD25" s="60"/>
      <c r="BE25" s="60">
        <f t="shared" si="30"/>
        <v>15</v>
      </c>
      <c r="BF25" s="60">
        <f t="shared" si="63"/>
        <v>65</v>
      </c>
      <c r="BG25" s="60">
        <f t="shared" si="64"/>
        <v>10</v>
      </c>
      <c r="BH25" s="60">
        <f t="shared" si="65"/>
        <v>55</v>
      </c>
      <c r="BI25" s="508"/>
      <c r="BJ25" s="488" t="str">
        <f t="shared" si="15"/>
        <v>Lò</v>
      </c>
      <c r="BK25" s="523">
        <f t="shared" si="31"/>
        <v>0</v>
      </c>
      <c r="BL25" s="523">
        <f t="shared" si="32"/>
        <v>0</v>
      </c>
      <c r="BM25" s="523">
        <f t="shared" si="33"/>
        <v>0</v>
      </c>
      <c r="BN25" s="523">
        <f t="shared" si="34"/>
        <v>0</v>
      </c>
      <c r="BO25" s="523">
        <f t="shared" si="35"/>
        <v>0</v>
      </c>
      <c r="BP25" s="523">
        <f t="shared" si="36"/>
        <v>0</v>
      </c>
      <c r="BQ25" s="523">
        <f t="shared" si="37"/>
        <v>0</v>
      </c>
      <c r="BR25" s="523">
        <f t="shared" si="38"/>
        <v>0</v>
      </c>
      <c r="BS25" s="523">
        <f t="shared" si="39"/>
        <v>0</v>
      </c>
      <c r="BT25" s="523">
        <f t="shared" si="40"/>
        <v>0</v>
      </c>
      <c r="BU25" s="523">
        <f t="shared" si="41"/>
        <v>0</v>
      </c>
      <c r="BV25" s="523">
        <f t="shared" si="42"/>
        <v>0</v>
      </c>
      <c r="BW25" s="523">
        <f t="shared" si="43"/>
        <v>0</v>
      </c>
      <c r="BX25" s="523">
        <f t="shared" si="44"/>
        <v>500</v>
      </c>
      <c r="BY25" s="523">
        <f t="shared" si="45"/>
        <v>200</v>
      </c>
      <c r="BZ25" s="523">
        <f t="shared" si="46"/>
        <v>700</v>
      </c>
      <c r="CA25" s="354"/>
      <c r="CB25" s="354" t="str">
        <f t="shared" si="3"/>
        <v>X</v>
      </c>
      <c r="CC25" s="509" t="str">
        <f>CC22</f>
        <v>KT1.</v>
      </c>
      <c r="CD25" s="509" t="str">
        <f t="shared" si="48"/>
        <v>KT1.11,2</v>
      </c>
      <c r="CE25" s="351" t="str">
        <f t="shared" si="17"/>
        <v>Lò</v>
      </c>
      <c r="CF25" s="509" t="str">
        <f t="shared" si="49"/>
        <v>KT1.Lò</v>
      </c>
      <c r="CG25" s="509"/>
      <c r="CH25" s="509"/>
    </row>
    <row r="26" spans="1:86" s="359" customFormat="1" ht="21.75" customHeight="1" x14ac:dyDescent="0.3">
      <c r="A26" s="354" t="e">
        <f>A25</f>
        <v>#REF!</v>
      </c>
      <c r="B26" s="525" t="s">
        <v>37</v>
      </c>
      <c r="C26" s="526" t="s">
        <v>211</v>
      </c>
      <c r="D26" s="527"/>
      <c r="E26" s="527"/>
      <c r="F26" s="527"/>
      <c r="G26" s="528"/>
      <c r="H26" s="529"/>
      <c r="I26" s="70">
        <f>SUM(I27:I29)</f>
        <v>105</v>
      </c>
      <c r="J26" s="70">
        <f>SUM(J27:J29)</f>
        <v>45</v>
      </c>
      <c r="K26" s="70">
        <f>SUM(K27:K29)</f>
        <v>60</v>
      </c>
      <c r="L26" s="70">
        <f>SUM(L27:L29)</f>
        <v>200</v>
      </c>
      <c r="M26" s="224">
        <f>SUM(M27:M29)</f>
        <v>40</v>
      </c>
      <c r="N26" s="224">
        <f t="shared" ref="N26:X26" si="70">SUM(N27:N29)</f>
        <v>10</v>
      </c>
      <c r="O26" s="224">
        <f t="shared" si="70"/>
        <v>30</v>
      </c>
      <c r="P26" s="224">
        <f t="shared" si="70"/>
        <v>0</v>
      </c>
      <c r="Q26" s="224">
        <f t="shared" si="70"/>
        <v>0</v>
      </c>
      <c r="R26" s="224">
        <f t="shared" si="70"/>
        <v>0</v>
      </c>
      <c r="S26" s="825">
        <f t="shared" si="70"/>
        <v>0</v>
      </c>
      <c r="T26" s="224">
        <f t="shared" si="70"/>
        <v>0</v>
      </c>
      <c r="U26" s="224">
        <f t="shared" si="70"/>
        <v>0</v>
      </c>
      <c r="V26" s="224">
        <f t="shared" si="70"/>
        <v>40</v>
      </c>
      <c r="W26" s="224">
        <f t="shared" si="70"/>
        <v>10</v>
      </c>
      <c r="X26" s="224">
        <f t="shared" si="70"/>
        <v>30</v>
      </c>
      <c r="Y26" s="224">
        <f t="shared" ref="Y26:BH26" si="71">SUM(Y27:Y29)</f>
        <v>0</v>
      </c>
      <c r="Z26" s="224">
        <f t="shared" si="71"/>
        <v>0</v>
      </c>
      <c r="AA26" s="224">
        <f t="shared" si="71"/>
        <v>0</v>
      </c>
      <c r="AB26" s="224">
        <f t="shared" si="71"/>
        <v>0</v>
      </c>
      <c r="AC26" s="224">
        <f t="shared" si="71"/>
        <v>0</v>
      </c>
      <c r="AD26" s="224">
        <f t="shared" si="71"/>
        <v>0</v>
      </c>
      <c r="AE26" s="224">
        <f t="shared" si="71"/>
        <v>0</v>
      </c>
      <c r="AF26" s="224">
        <f t="shared" si="71"/>
        <v>0</v>
      </c>
      <c r="AG26" s="224">
        <f t="shared" si="71"/>
        <v>0</v>
      </c>
      <c r="AH26" s="224">
        <f t="shared" si="71"/>
        <v>0</v>
      </c>
      <c r="AI26" s="224">
        <f t="shared" si="71"/>
        <v>0</v>
      </c>
      <c r="AJ26" s="224">
        <f t="shared" si="71"/>
        <v>0</v>
      </c>
      <c r="AK26" s="224">
        <f t="shared" si="71"/>
        <v>0</v>
      </c>
      <c r="AL26" s="224">
        <f t="shared" si="71"/>
        <v>0</v>
      </c>
      <c r="AM26" s="224">
        <f t="shared" si="71"/>
        <v>0</v>
      </c>
      <c r="AN26" s="224">
        <f t="shared" si="71"/>
        <v>0</v>
      </c>
      <c r="AO26" s="224">
        <f t="shared" si="71"/>
        <v>0</v>
      </c>
      <c r="AP26" s="224">
        <f t="shared" si="71"/>
        <v>0</v>
      </c>
      <c r="AQ26" s="224">
        <f t="shared" si="71"/>
        <v>0</v>
      </c>
      <c r="AR26" s="224">
        <f t="shared" si="71"/>
        <v>0</v>
      </c>
      <c r="AS26" s="224">
        <f t="shared" si="71"/>
        <v>0</v>
      </c>
      <c r="AT26" s="224">
        <f t="shared" si="71"/>
        <v>0</v>
      </c>
      <c r="AU26" s="224">
        <f t="shared" si="71"/>
        <v>0</v>
      </c>
      <c r="AV26" s="224">
        <f t="shared" si="71"/>
        <v>0</v>
      </c>
      <c r="AW26" s="224">
        <f t="shared" si="71"/>
        <v>45</v>
      </c>
      <c r="AX26" s="224">
        <f t="shared" si="71"/>
        <v>15</v>
      </c>
      <c r="AY26" s="224">
        <f t="shared" si="71"/>
        <v>30</v>
      </c>
      <c r="AZ26" s="224">
        <f t="shared" si="71"/>
        <v>0</v>
      </c>
      <c r="BA26" s="224">
        <f t="shared" si="71"/>
        <v>0</v>
      </c>
      <c r="BB26" s="224">
        <f t="shared" si="71"/>
        <v>0</v>
      </c>
      <c r="BC26" s="224">
        <f t="shared" si="71"/>
        <v>20</v>
      </c>
      <c r="BD26" s="224">
        <f t="shared" si="71"/>
        <v>20</v>
      </c>
      <c r="BE26" s="224">
        <f t="shared" si="71"/>
        <v>0</v>
      </c>
      <c r="BF26" s="224">
        <f t="shared" si="71"/>
        <v>65</v>
      </c>
      <c r="BG26" s="224">
        <f t="shared" si="71"/>
        <v>35</v>
      </c>
      <c r="BH26" s="224">
        <f t="shared" si="71"/>
        <v>30</v>
      </c>
      <c r="BI26" s="530"/>
      <c r="BJ26" s="488" t="str">
        <f t="shared" si="15"/>
        <v>XL</v>
      </c>
      <c r="BK26" s="225">
        <f t="shared" ref="BK26:BZ26" si="72">SUM(BK27:BK29)</f>
        <v>100</v>
      </c>
      <c r="BL26" s="225">
        <f t="shared" si="72"/>
        <v>0</v>
      </c>
      <c r="BM26" s="225">
        <f t="shared" si="72"/>
        <v>0</v>
      </c>
      <c r="BN26" s="225">
        <f t="shared" si="72"/>
        <v>100</v>
      </c>
      <c r="BO26" s="225">
        <f t="shared" si="72"/>
        <v>0</v>
      </c>
      <c r="BP26" s="225">
        <f t="shared" si="72"/>
        <v>0</v>
      </c>
      <c r="BQ26" s="225">
        <f t="shared" si="72"/>
        <v>0</v>
      </c>
      <c r="BR26" s="225">
        <f t="shared" si="72"/>
        <v>0</v>
      </c>
      <c r="BS26" s="225">
        <f t="shared" si="72"/>
        <v>0</v>
      </c>
      <c r="BT26" s="225">
        <f t="shared" si="72"/>
        <v>0</v>
      </c>
      <c r="BU26" s="225">
        <f t="shared" si="72"/>
        <v>0</v>
      </c>
      <c r="BV26" s="225">
        <f t="shared" si="72"/>
        <v>0</v>
      </c>
      <c r="BW26" s="225">
        <f t="shared" si="72"/>
        <v>100</v>
      </c>
      <c r="BX26" s="225">
        <f t="shared" si="72"/>
        <v>0</v>
      </c>
      <c r="BY26" s="225">
        <f t="shared" si="72"/>
        <v>0</v>
      </c>
      <c r="BZ26" s="225">
        <f t="shared" si="72"/>
        <v>100</v>
      </c>
      <c r="CA26" s="510"/>
      <c r="CB26" s="354" t="str">
        <f t="shared" si="3"/>
        <v>X</v>
      </c>
      <c r="CC26" s="509" t="str">
        <f t="shared" si="47"/>
        <v>KT1.</v>
      </c>
      <c r="CD26" s="509" t="str">
        <f t="shared" si="48"/>
        <v>KT1.</v>
      </c>
      <c r="CE26" s="351" t="str">
        <f t="shared" si="17"/>
        <v>XL</v>
      </c>
      <c r="CF26" s="509" t="str">
        <f t="shared" si="49"/>
        <v>KT1.XL</v>
      </c>
      <c r="CG26" s="509"/>
      <c r="CH26" s="509"/>
    </row>
    <row r="27" spans="1:86" ht="22.5" customHeight="1" outlineLevel="1" x14ac:dyDescent="0.25">
      <c r="A27" s="354" t="e">
        <f>A26</f>
        <v>#REF!</v>
      </c>
      <c r="B27" s="484"/>
      <c r="C27" s="531" t="s">
        <v>632</v>
      </c>
      <c r="D27" s="447" t="s">
        <v>14</v>
      </c>
      <c r="E27" s="447"/>
      <c r="F27" s="447"/>
      <c r="G27" s="520">
        <v>11.2</v>
      </c>
      <c r="H27" s="521">
        <v>0.7</v>
      </c>
      <c r="I27" s="522">
        <f t="shared" ref="I27:K29" si="73">V27+AH27+AT27+BF27</f>
        <v>105</v>
      </c>
      <c r="J27" s="522">
        <f t="shared" si="51"/>
        <v>45</v>
      </c>
      <c r="K27" s="522">
        <f t="shared" si="73"/>
        <v>60</v>
      </c>
      <c r="L27" s="57">
        <f>BN27+BR27+BV27+BZ27</f>
        <v>200</v>
      </c>
      <c r="M27" s="60">
        <v>40</v>
      </c>
      <c r="N27" s="60">
        <v>10</v>
      </c>
      <c r="O27" s="60">
        <f>M27-N27</f>
        <v>30</v>
      </c>
      <c r="P27" s="60"/>
      <c r="Q27" s="60"/>
      <c r="R27" s="60">
        <f>P27-Q27</f>
        <v>0</v>
      </c>
      <c r="S27" s="824"/>
      <c r="T27" s="60"/>
      <c r="U27" s="60">
        <f>S27-T27</f>
        <v>0</v>
      </c>
      <c r="V27" s="60">
        <f t="shared" ref="V27:X29" si="74">M27+P27+S27</f>
        <v>40</v>
      </c>
      <c r="W27" s="60">
        <f t="shared" si="74"/>
        <v>10</v>
      </c>
      <c r="X27" s="60">
        <f t="shared" si="74"/>
        <v>30</v>
      </c>
      <c r="Y27" s="60"/>
      <c r="Z27" s="60"/>
      <c r="AA27" s="60">
        <f>Y27-Z27</f>
        <v>0</v>
      </c>
      <c r="AB27" s="60"/>
      <c r="AC27" s="60"/>
      <c r="AD27" s="60">
        <f>AB27-AC27</f>
        <v>0</v>
      </c>
      <c r="AE27" s="60"/>
      <c r="AF27" s="60"/>
      <c r="AG27" s="60">
        <f>AE27-AF27</f>
        <v>0</v>
      </c>
      <c r="AH27" s="60">
        <f t="shared" ref="AH27:AJ29" si="75">Y27+AB27+AE27</f>
        <v>0</v>
      </c>
      <c r="AI27" s="60">
        <f t="shared" si="75"/>
        <v>0</v>
      </c>
      <c r="AJ27" s="60">
        <f t="shared" si="75"/>
        <v>0</v>
      </c>
      <c r="AK27" s="60"/>
      <c r="AL27" s="60"/>
      <c r="AM27" s="60">
        <f>AK27-AL27</f>
        <v>0</v>
      </c>
      <c r="AN27" s="60"/>
      <c r="AO27" s="60"/>
      <c r="AP27" s="60">
        <f>AN27-AO27</f>
        <v>0</v>
      </c>
      <c r="AQ27" s="60"/>
      <c r="AR27" s="60"/>
      <c r="AS27" s="60">
        <f>AQ27-AR27</f>
        <v>0</v>
      </c>
      <c r="AT27" s="60">
        <f>AK27+AN27+AQ27</f>
        <v>0</v>
      </c>
      <c r="AU27" s="60">
        <f>AL27+AO27+AR27</f>
        <v>0</v>
      </c>
      <c r="AV27" s="60">
        <f>AM27+AP27+AS27</f>
        <v>0</v>
      </c>
      <c r="AW27" s="60">
        <v>45</v>
      </c>
      <c r="AX27" s="60">
        <v>15</v>
      </c>
      <c r="AY27" s="60">
        <f>AW27-AX27</f>
        <v>30</v>
      </c>
      <c r="AZ27" s="60"/>
      <c r="BA27" s="60"/>
      <c r="BB27" s="60">
        <f>AZ27-BA27</f>
        <v>0</v>
      </c>
      <c r="BC27" s="60">
        <v>20</v>
      </c>
      <c r="BD27" s="60">
        <v>20</v>
      </c>
      <c r="BE27" s="60">
        <f>BC27-BD27</f>
        <v>0</v>
      </c>
      <c r="BF27" s="60">
        <f>AW27+AZ27+BC27</f>
        <v>65</v>
      </c>
      <c r="BG27" s="60">
        <f>AX27+BA27+BD27</f>
        <v>35</v>
      </c>
      <c r="BH27" s="60">
        <f>AY27+BB27+BE27</f>
        <v>30</v>
      </c>
      <c r="BI27" s="508"/>
      <c r="BJ27" s="488" t="str">
        <f t="shared" si="15"/>
        <v>Xé</v>
      </c>
      <c r="BK27" s="523">
        <f>ROUND(O27*G27*$B$6,-2)</f>
        <v>100</v>
      </c>
      <c r="BL27" s="523">
        <f>ROUND(R27*G27*$B$6,-2)</f>
        <v>0</v>
      </c>
      <c r="BM27" s="523">
        <f>ROUND(U27*G27*$B$6,-2)</f>
        <v>0</v>
      </c>
      <c r="BN27" s="523">
        <f>ROUND(X27*G27*$B$6,-2)</f>
        <v>100</v>
      </c>
      <c r="BO27" s="523">
        <f>ROUND(AA27*G27*$B$6,-2)</f>
        <v>0</v>
      </c>
      <c r="BP27" s="523">
        <f>ROUND(AD27*G27*$B$6,-2)</f>
        <v>0</v>
      </c>
      <c r="BQ27" s="523">
        <f>ROUND(AG27*G27*$B$6,-2)</f>
        <v>0</v>
      </c>
      <c r="BR27" s="523">
        <f>ROUND(AJ27*G27*$B$6,-2)</f>
        <v>0</v>
      </c>
      <c r="BS27" s="523">
        <f>ROUND(AM27*G27*$B$6,-2)</f>
        <v>0</v>
      </c>
      <c r="BT27" s="523">
        <f>ROUND(AP27*G27*$B$6,-2)</f>
        <v>0</v>
      </c>
      <c r="BU27" s="523">
        <f>ROUND(AS27*G27*$B$6,-2)</f>
        <v>0</v>
      </c>
      <c r="BV27" s="523">
        <f>ROUND(AV27*G27*$B$6,-2)</f>
        <v>0</v>
      </c>
      <c r="BW27" s="523">
        <f>ROUND(AY27*G27*$B$6,-2)</f>
        <v>100</v>
      </c>
      <c r="BX27" s="523">
        <f>ROUND(BB27*G27*$B$6,-2)</f>
        <v>0</v>
      </c>
      <c r="BY27" s="523">
        <f>ROUND(BE27*G27*$B$6,-2)</f>
        <v>0</v>
      </c>
      <c r="BZ27" s="523">
        <f>ROUND(BH27*G27*$B$6,-2)</f>
        <v>100</v>
      </c>
      <c r="CA27" s="354"/>
      <c r="CB27" s="354" t="str">
        <f t="shared" si="3"/>
        <v>X</v>
      </c>
      <c r="CC27" s="509" t="str">
        <f>CC26</f>
        <v>KT1.</v>
      </c>
      <c r="CD27" s="509" t="str">
        <f t="shared" si="48"/>
        <v>KT1.11,2</v>
      </c>
      <c r="CE27" s="351" t="str">
        <f t="shared" si="17"/>
        <v>Xé</v>
      </c>
      <c r="CF27" s="509" t="str">
        <f t="shared" si="49"/>
        <v>KT1.Xé</v>
      </c>
      <c r="CG27" s="509"/>
      <c r="CH27" s="509"/>
    </row>
    <row r="28" spans="1:86" ht="22.5" customHeight="1" outlineLevel="1" x14ac:dyDescent="0.25">
      <c r="A28" s="354" t="e">
        <f>A26</f>
        <v>#REF!</v>
      </c>
      <c r="B28" s="484"/>
      <c r="C28" s="531" t="s">
        <v>591</v>
      </c>
      <c r="D28" s="447" t="s">
        <v>14</v>
      </c>
      <c r="E28" s="447"/>
      <c r="F28" s="447"/>
      <c r="G28" s="520">
        <v>11.2</v>
      </c>
      <c r="H28" s="521">
        <v>0.7</v>
      </c>
      <c r="I28" s="522">
        <f t="shared" si="73"/>
        <v>0</v>
      </c>
      <c r="J28" s="522">
        <f t="shared" si="73"/>
        <v>0</v>
      </c>
      <c r="K28" s="522">
        <f t="shared" si="73"/>
        <v>0</v>
      </c>
      <c r="L28" s="57">
        <f>BN28+BR28+BV28+BZ28</f>
        <v>0</v>
      </c>
      <c r="M28" s="60"/>
      <c r="N28" s="60"/>
      <c r="O28" s="60">
        <f>M28-N28</f>
        <v>0</v>
      </c>
      <c r="P28" s="60"/>
      <c r="Q28" s="60"/>
      <c r="R28" s="60">
        <f>P28-Q28</f>
        <v>0</v>
      </c>
      <c r="S28" s="824"/>
      <c r="T28" s="60"/>
      <c r="U28" s="60">
        <f>S28-T28</f>
        <v>0</v>
      </c>
      <c r="V28" s="60">
        <f t="shared" si="74"/>
        <v>0</v>
      </c>
      <c r="W28" s="60">
        <f t="shared" si="74"/>
        <v>0</v>
      </c>
      <c r="X28" s="60">
        <f t="shared" si="74"/>
        <v>0</v>
      </c>
      <c r="Y28" s="60"/>
      <c r="Z28" s="60"/>
      <c r="AA28" s="60">
        <f>Y28-Z28</f>
        <v>0</v>
      </c>
      <c r="AB28" s="60"/>
      <c r="AC28" s="60"/>
      <c r="AD28" s="60">
        <f>AB28-AC28</f>
        <v>0</v>
      </c>
      <c r="AE28" s="60"/>
      <c r="AF28" s="60"/>
      <c r="AG28" s="60">
        <f>AE28-AF28</f>
        <v>0</v>
      </c>
      <c r="AH28" s="60">
        <f t="shared" si="75"/>
        <v>0</v>
      </c>
      <c r="AI28" s="60">
        <f t="shared" si="75"/>
        <v>0</v>
      </c>
      <c r="AJ28" s="60">
        <f t="shared" si="75"/>
        <v>0</v>
      </c>
      <c r="AK28" s="60"/>
      <c r="AL28" s="60"/>
      <c r="AM28" s="60">
        <f>AK28-AL28</f>
        <v>0</v>
      </c>
      <c r="AN28" s="60"/>
      <c r="AO28" s="60"/>
      <c r="AP28" s="60">
        <f>AN28-AO28</f>
        <v>0</v>
      </c>
      <c r="AQ28" s="60"/>
      <c r="AR28" s="60"/>
      <c r="AS28" s="60">
        <f>AQ28-AR28</f>
        <v>0</v>
      </c>
      <c r="AT28" s="60">
        <f t="shared" ref="AT28:AV29" si="76">AK28+AN28+AQ28</f>
        <v>0</v>
      </c>
      <c r="AU28" s="60">
        <f t="shared" si="76"/>
        <v>0</v>
      </c>
      <c r="AV28" s="60">
        <f t="shared" si="76"/>
        <v>0</v>
      </c>
      <c r="AW28" s="60"/>
      <c r="AX28" s="60"/>
      <c r="AY28" s="60">
        <f>AW28-AX28</f>
        <v>0</v>
      </c>
      <c r="AZ28" s="60"/>
      <c r="BA28" s="60"/>
      <c r="BB28" s="60">
        <f>AZ28-BA28</f>
        <v>0</v>
      </c>
      <c r="BC28" s="60"/>
      <c r="BD28" s="60"/>
      <c r="BE28" s="60">
        <f>BC28-BD28</f>
        <v>0</v>
      </c>
      <c r="BF28" s="60">
        <f t="shared" ref="BF28:BH29" si="77">AW28+AZ28+BC28</f>
        <v>0</v>
      </c>
      <c r="BG28" s="60">
        <f t="shared" si="77"/>
        <v>0</v>
      </c>
      <c r="BH28" s="60">
        <f t="shared" si="77"/>
        <v>0</v>
      </c>
      <c r="BI28" s="508"/>
      <c r="BJ28" s="488" t="str">
        <f t="shared" si="15"/>
        <v>Xé</v>
      </c>
      <c r="BK28" s="523">
        <f>ROUND(O28*G28*$B$6,-2)</f>
        <v>0</v>
      </c>
      <c r="BL28" s="523">
        <f>ROUND(R28*G28*$B$6,-2)</f>
        <v>0</v>
      </c>
      <c r="BM28" s="523">
        <f>ROUND(U28*G28*$B$6,-2)</f>
        <v>0</v>
      </c>
      <c r="BN28" s="523">
        <f>ROUND(X28*G28*$B$6,-2)</f>
        <v>0</v>
      </c>
      <c r="BO28" s="523">
        <f>ROUND(AA28*G28*$B$6,-2)</f>
        <v>0</v>
      </c>
      <c r="BP28" s="523">
        <f>ROUND(AD28*G28*$B$6,-2)</f>
        <v>0</v>
      </c>
      <c r="BQ28" s="523">
        <f>ROUND(AG28*G28*$B$6,-2)</f>
        <v>0</v>
      </c>
      <c r="BR28" s="523">
        <f>ROUND(AJ28*G28*$B$6,-2)</f>
        <v>0</v>
      </c>
      <c r="BS28" s="523">
        <f>ROUND(AM28*G28*$B$6,-2)</f>
        <v>0</v>
      </c>
      <c r="BT28" s="523">
        <f>ROUND(AP28*G28*$B$6,-2)</f>
        <v>0</v>
      </c>
      <c r="BU28" s="523">
        <f>ROUND(AS28*G28*$B$6,-2)</f>
        <v>0</v>
      </c>
      <c r="BV28" s="523">
        <f>ROUND(AV28*G28*$B$6,-2)</f>
        <v>0</v>
      </c>
      <c r="BW28" s="523">
        <f>ROUND(AY28*G28*$B$6,-2)</f>
        <v>0</v>
      </c>
      <c r="BX28" s="523">
        <f>ROUND(BB28*G28*$B$6,-2)</f>
        <v>0</v>
      </c>
      <c r="BY28" s="523">
        <f>ROUND(BE28*G28*$B$6,-2)</f>
        <v>0</v>
      </c>
      <c r="BZ28" s="523">
        <f>ROUND(BH28*G28*$B$6,-2)</f>
        <v>0</v>
      </c>
      <c r="CA28" s="354"/>
      <c r="CB28" s="354" t="b">
        <f>IF(SUM(I28:L28)&lt;&gt;0,"X")</f>
        <v>0</v>
      </c>
      <c r="CC28" s="509" t="str">
        <f t="shared" si="47"/>
        <v>KT1.</v>
      </c>
      <c r="CD28" s="509" t="str">
        <f t="shared" si="48"/>
        <v>KT1.11,2</v>
      </c>
      <c r="CE28" s="351" t="str">
        <f t="shared" si="17"/>
        <v>Xé</v>
      </c>
      <c r="CF28" s="509" t="str">
        <f t="shared" si="49"/>
        <v>KT1.Xé</v>
      </c>
      <c r="CG28" s="509"/>
      <c r="CH28" s="509"/>
    </row>
    <row r="29" spans="1:86" ht="22.5" customHeight="1" outlineLevel="1" x14ac:dyDescent="0.25">
      <c r="A29" s="354" t="e">
        <f>A27</f>
        <v>#REF!</v>
      </c>
      <c r="B29" s="484"/>
      <c r="C29" s="531" t="s">
        <v>205</v>
      </c>
      <c r="D29" s="447" t="s">
        <v>14</v>
      </c>
      <c r="E29" s="447"/>
      <c r="F29" s="447"/>
      <c r="G29" s="520">
        <v>13.1</v>
      </c>
      <c r="H29" s="521">
        <v>0.7</v>
      </c>
      <c r="I29" s="522">
        <f t="shared" si="73"/>
        <v>0</v>
      </c>
      <c r="J29" s="522">
        <f t="shared" si="73"/>
        <v>0</v>
      </c>
      <c r="K29" s="522">
        <f t="shared" si="73"/>
        <v>0</v>
      </c>
      <c r="L29" s="57">
        <f>BN29+BR29+BV29+BZ29</f>
        <v>0</v>
      </c>
      <c r="M29" s="60"/>
      <c r="N29" s="60"/>
      <c r="O29" s="60">
        <f>M29-N29</f>
        <v>0</v>
      </c>
      <c r="P29" s="60"/>
      <c r="Q29" s="60"/>
      <c r="R29" s="60">
        <f>P29-Q29</f>
        <v>0</v>
      </c>
      <c r="S29" s="824"/>
      <c r="T29" s="60"/>
      <c r="U29" s="60">
        <f>S29-T29</f>
        <v>0</v>
      </c>
      <c r="V29" s="60">
        <f t="shared" si="74"/>
        <v>0</v>
      </c>
      <c r="W29" s="60">
        <f t="shared" si="74"/>
        <v>0</v>
      </c>
      <c r="X29" s="60">
        <f t="shared" si="74"/>
        <v>0</v>
      </c>
      <c r="Y29" s="60"/>
      <c r="Z29" s="60"/>
      <c r="AA29" s="60">
        <f>Y29-Z29</f>
        <v>0</v>
      </c>
      <c r="AB29" s="60"/>
      <c r="AC29" s="60"/>
      <c r="AD29" s="60">
        <f>AB29-AC29</f>
        <v>0</v>
      </c>
      <c r="AE29" s="60"/>
      <c r="AF29" s="60"/>
      <c r="AG29" s="60">
        <f>AE29-AF29</f>
        <v>0</v>
      </c>
      <c r="AH29" s="60">
        <f t="shared" si="75"/>
        <v>0</v>
      </c>
      <c r="AI29" s="60">
        <f t="shared" si="75"/>
        <v>0</v>
      </c>
      <c r="AJ29" s="60">
        <f t="shared" si="75"/>
        <v>0</v>
      </c>
      <c r="AK29" s="60"/>
      <c r="AL29" s="60"/>
      <c r="AM29" s="60">
        <f>AK29-AL29</f>
        <v>0</v>
      </c>
      <c r="AN29" s="60"/>
      <c r="AO29" s="60"/>
      <c r="AP29" s="60">
        <f>AN29-AO29</f>
        <v>0</v>
      </c>
      <c r="AQ29" s="60"/>
      <c r="AR29" s="60"/>
      <c r="AS29" s="60">
        <f>AQ29-AR29</f>
        <v>0</v>
      </c>
      <c r="AT29" s="60">
        <f t="shared" si="76"/>
        <v>0</v>
      </c>
      <c r="AU29" s="60">
        <f t="shared" si="76"/>
        <v>0</v>
      </c>
      <c r="AV29" s="60">
        <f t="shared" si="76"/>
        <v>0</v>
      </c>
      <c r="AW29" s="60"/>
      <c r="AX29" s="60"/>
      <c r="AY29" s="60">
        <f>AW29-AX29</f>
        <v>0</v>
      </c>
      <c r="AZ29" s="60"/>
      <c r="BA29" s="60"/>
      <c r="BB29" s="60">
        <f>AZ29-BA29</f>
        <v>0</v>
      </c>
      <c r="BC29" s="60"/>
      <c r="BD29" s="60"/>
      <c r="BE29" s="60">
        <f>BC29-BD29</f>
        <v>0</v>
      </c>
      <c r="BF29" s="60">
        <f t="shared" si="77"/>
        <v>0</v>
      </c>
      <c r="BG29" s="60">
        <f t="shared" si="77"/>
        <v>0</v>
      </c>
      <c r="BH29" s="60">
        <f t="shared" si="77"/>
        <v>0</v>
      </c>
      <c r="BI29" s="508"/>
      <c r="BJ29" s="488" t="str">
        <f t="shared" si="15"/>
        <v>Xé</v>
      </c>
      <c r="BK29" s="523">
        <f>ROUND(O29*G29*$B$6,-2)</f>
        <v>0</v>
      </c>
      <c r="BL29" s="523">
        <f>ROUND(R29*G29*$B$6,-2)</f>
        <v>0</v>
      </c>
      <c r="BM29" s="523">
        <f>ROUND(U29*G29*$B$6,-2)</f>
        <v>0</v>
      </c>
      <c r="BN29" s="523">
        <f>ROUND(X29*G29*$B$6,-2)</f>
        <v>0</v>
      </c>
      <c r="BO29" s="523">
        <f>ROUND(AA29*G29*$B$6,-2)</f>
        <v>0</v>
      </c>
      <c r="BP29" s="523">
        <f>ROUND(AD29*G29*$B$6,-2)</f>
        <v>0</v>
      </c>
      <c r="BQ29" s="523">
        <f>ROUND(AG29*G29*$B$6,-2)</f>
        <v>0</v>
      </c>
      <c r="BR29" s="523">
        <f>ROUND(AJ29*G29*$B$6,-2)</f>
        <v>0</v>
      </c>
      <c r="BS29" s="523">
        <f>ROUND(AM29*G29*$B$6,-2)</f>
        <v>0</v>
      </c>
      <c r="BT29" s="523">
        <f>ROUND(AP29*G29*$B$6,-2)</f>
        <v>0</v>
      </c>
      <c r="BU29" s="523">
        <f>ROUND(AS29*G29*$B$6,-2)</f>
        <v>0</v>
      </c>
      <c r="BV29" s="523">
        <f>ROUND(AV29*G29*$B$6,-2)</f>
        <v>0</v>
      </c>
      <c r="BW29" s="523">
        <f>ROUND(AY29*G29*$B$6,-2)</f>
        <v>0</v>
      </c>
      <c r="BX29" s="523">
        <f>ROUND(BB29*G29*$B$6,-2)</f>
        <v>0</v>
      </c>
      <c r="BY29" s="523">
        <f>ROUND(BE29*G29*$B$6,-2)</f>
        <v>0</v>
      </c>
      <c r="BZ29" s="523">
        <f>ROUND(BH29*G29*$B$6,-2)</f>
        <v>0</v>
      </c>
      <c r="CA29" s="354"/>
      <c r="CB29" s="354" t="b">
        <f t="shared" si="3"/>
        <v>0</v>
      </c>
      <c r="CC29" s="509" t="str">
        <f t="shared" si="47"/>
        <v>KT1.</v>
      </c>
      <c r="CD29" s="509" t="str">
        <f t="shared" si="48"/>
        <v>KT1.13,1</v>
      </c>
      <c r="CE29" s="351" t="str">
        <f t="shared" si="17"/>
        <v>Xé</v>
      </c>
      <c r="CF29" s="509" t="str">
        <f t="shared" si="49"/>
        <v>KT1.Xé</v>
      </c>
      <c r="CG29" s="509"/>
      <c r="CH29" s="509"/>
    </row>
    <row r="30" spans="1:86" ht="17.25" x14ac:dyDescent="0.3">
      <c r="A30" s="354" t="e">
        <f>#REF!</f>
        <v>#REF!</v>
      </c>
      <c r="B30" s="503">
        <v>2</v>
      </c>
      <c r="C30" s="507" t="s">
        <v>444</v>
      </c>
      <c r="D30" s="505"/>
      <c r="E30" s="505"/>
      <c r="F30" s="505"/>
      <c r="G30" s="505"/>
      <c r="H30" s="505"/>
      <c r="I30" s="532">
        <f>SUM(I31:I43)/2</f>
        <v>550</v>
      </c>
      <c r="J30" s="532">
        <f>SUM(J31:J43)/2</f>
        <v>175</v>
      </c>
      <c r="K30" s="532">
        <f>SUM(K31:K43)/2</f>
        <v>375</v>
      </c>
      <c r="L30" s="533">
        <f>SUM(L31:L43)/2</f>
        <v>2800</v>
      </c>
      <c r="M30" s="209">
        <f>SUM(M31:M43)/2</f>
        <v>123</v>
      </c>
      <c r="N30" s="209">
        <f t="shared" ref="N30:X30" si="78">SUM(N31:N43)/2</f>
        <v>30</v>
      </c>
      <c r="O30" s="209">
        <f t="shared" si="78"/>
        <v>93</v>
      </c>
      <c r="P30" s="209">
        <f t="shared" si="78"/>
        <v>42</v>
      </c>
      <c r="Q30" s="209">
        <f t="shared" si="78"/>
        <v>5</v>
      </c>
      <c r="R30" s="209">
        <f t="shared" si="78"/>
        <v>37</v>
      </c>
      <c r="S30" s="822">
        <f t="shared" si="78"/>
        <v>45</v>
      </c>
      <c r="T30" s="209">
        <f t="shared" si="78"/>
        <v>0</v>
      </c>
      <c r="U30" s="209">
        <f t="shared" si="78"/>
        <v>45</v>
      </c>
      <c r="V30" s="209">
        <f t="shared" si="78"/>
        <v>210</v>
      </c>
      <c r="W30" s="209">
        <f t="shared" si="78"/>
        <v>35</v>
      </c>
      <c r="X30" s="209">
        <f t="shared" si="78"/>
        <v>175</v>
      </c>
      <c r="Y30" s="209">
        <f t="shared" ref="Y30:BH30" si="79">SUM(Y31:Y40)/2</f>
        <v>112.5</v>
      </c>
      <c r="Z30" s="209">
        <f t="shared" si="79"/>
        <v>7.5</v>
      </c>
      <c r="AA30" s="209">
        <f t="shared" si="79"/>
        <v>105</v>
      </c>
      <c r="AB30" s="209">
        <f t="shared" si="79"/>
        <v>12.5</v>
      </c>
      <c r="AC30" s="209">
        <f t="shared" si="79"/>
        <v>7.5</v>
      </c>
      <c r="AD30" s="209">
        <f t="shared" si="79"/>
        <v>5</v>
      </c>
      <c r="AE30" s="209">
        <f t="shared" si="79"/>
        <v>20</v>
      </c>
      <c r="AF30" s="209">
        <f t="shared" si="79"/>
        <v>7.5</v>
      </c>
      <c r="AG30" s="209">
        <f t="shared" si="79"/>
        <v>12.5</v>
      </c>
      <c r="AH30" s="209">
        <f t="shared" si="79"/>
        <v>145</v>
      </c>
      <c r="AI30" s="209">
        <f t="shared" si="79"/>
        <v>22.5</v>
      </c>
      <c r="AJ30" s="209">
        <f t="shared" si="79"/>
        <v>122.5</v>
      </c>
      <c r="AK30" s="209">
        <f t="shared" si="79"/>
        <v>12.5</v>
      </c>
      <c r="AL30" s="209">
        <f t="shared" si="79"/>
        <v>5</v>
      </c>
      <c r="AM30" s="209">
        <f t="shared" si="79"/>
        <v>7.5</v>
      </c>
      <c r="AN30" s="209">
        <f t="shared" si="79"/>
        <v>12.5</v>
      </c>
      <c r="AO30" s="209">
        <f t="shared" si="79"/>
        <v>5</v>
      </c>
      <c r="AP30" s="209">
        <f t="shared" si="79"/>
        <v>7.5</v>
      </c>
      <c r="AQ30" s="209">
        <f t="shared" si="79"/>
        <v>12.5</v>
      </c>
      <c r="AR30" s="209">
        <f t="shared" si="79"/>
        <v>7.5</v>
      </c>
      <c r="AS30" s="209">
        <f t="shared" si="79"/>
        <v>5</v>
      </c>
      <c r="AT30" s="209">
        <f t="shared" si="79"/>
        <v>37.5</v>
      </c>
      <c r="AU30" s="209">
        <f t="shared" si="79"/>
        <v>17.5</v>
      </c>
      <c r="AV30" s="209">
        <f t="shared" si="79"/>
        <v>20</v>
      </c>
      <c r="AW30" s="209">
        <f t="shared" si="79"/>
        <v>12.5</v>
      </c>
      <c r="AX30" s="209">
        <f t="shared" si="79"/>
        <v>10</v>
      </c>
      <c r="AY30" s="209">
        <f t="shared" si="79"/>
        <v>2.5</v>
      </c>
      <c r="AZ30" s="209">
        <f t="shared" si="79"/>
        <v>12.5</v>
      </c>
      <c r="BA30" s="209">
        <f t="shared" si="79"/>
        <v>10</v>
      </c>
      <c r="BB30" s="209">
        <f t="shared" si="79"/>
        <v>2.5</v>
      </c>
      <c r="BC30" s="209">
        <f t="shared" si="79"/>
        <v>12.5</v>
      </c>
      <c r="BD30" s="209">
        <f t="shared" si="79"/>
        <v>10</v>
      </c>
      <c r="BE30" s="209">
        <f t="shared" si="79"/>
        <v>2.5</v>
      </c>
      <c r="BF30" s="209">
        <f t="shared" si="79"/>
        <v>37.5</v>
      </c>
      <c r="BG30" s="209">
        <f t="shared" si="79"/>
        <v>30</v>
      </c>
      <c r="BH30" s="209">
        <f t="shared" si="79"/>
        <v>7.5</v>
      </c>
      <c r="BI30" s="508"/>
      <c r="BJ30" s="488" t="str">
        <f t="shared" si="15"/>
        <v>PX</v>
      </c>
      <c r="BK30" s="222">
        <f>SUM(BK31:BK43)/2</f>
        <v>1000</v>
      </c>
      <c r="BL30" s="222">
        <f t="shared" ref="BL30:BZ30" si="80">SUM(BL31:BL43)/2</f>
        <v>400</v>
      </c>
      <c r="BM30" s="222">
        <f t="shared" si="80"/>
        <v>600</v>
      </c>
      <c r="BN30" s="222">
        <f t="shared" si="80"/>
        <v>2000</v>
      </c>
      <c r="BO30" s="222">
        <f t="shared" si="80"/>
        <v>600</v>
      </c>
      <c r="BP30" s="222">
        <f t="shared" si="80"/>
        <v>0</v>
      </c>
      <c r="BQ30" s="222">
        <f t="shared" si="80"/>
        <v>100</v>
      </c>
      <c r="BR30" s="222">
        <f t="shared" si="80"/>
        <v>700</v>
      </c>
      <c r="BS30" s="222">
        <f t="shared" si="80"/>
        <v>0</v>
      </c>
      <c r="BT30" s="222">
        <f t="shared" si="80"/>
        <v>0</v>
      </c>
      <c r="BU30" s="222">
        <f t="shared" si="80"/>
        <v>0</v>
      </c>
      <c r="BV30" s="222">
        <f t="shared" si="80"/>
        <v>100</v>
      </c>
      <c r="BW30" s="222">
        <f t="shared" si="80"/>
        <v>0</v>
      </c>
      <c r="BX30" s="222">
        <f t="shared" si="80"/>
        <v>0</v>
      </c>
      <c r="BY30" s="222">
        <f t="shared" si="80"/>
        <v>0</v>
      </c>
      <c r="BZ30" s="222">
        <f t="shared" si="80"/>
        <v>0</v>
      </c>
      <c r="CA30" s="354"/>
      <c r="CB30" s="354" t="str">
        <f t="shared" si="3"/>
        <v>X</v>
      </c>
      <c r="CC30" s="534" t="s">
        <v>286</v>
      </c>
      <c r="CD30" s="509" t="str">
        <f t="shared" si="48"/>
        <v>KT2.</v>
      </c>
      <c r="CE30" s="351" t="str">
        <f t="shared" si="17"/>
        <v>PX</v>
      </c>
      <c r="CF30" s="509" t="str">
        <f t="shared" si="49"/>
        <v>KT2.PX</v>
      </c>
      <c r="CG30" s="509"/>
      <c r="CH30" s="509"/>
    </row>
    <row r="31" spans="1:86" s="358" customFormat="1" ht="19.5" customHeight="1" x14ac:dyDescent="0.25">
      <c r="A31" s="510" t="e">
        <f>#REF!</f>
        <v>#REF!</v>
      </c>
      <c r="B31" s="511" t="s">
        <v>8</v>
      </c>
      <c r="C31" s="512" t="s">
        <v>177</v>
      </c>
      <c r="D31" s="513"/>
      <c r="E31" s="513"/>
      <c r="F31" s="513"/>
      <c r="G31" s="514"/>
      <c r="H31" s="515"/>
      <c r="I31" s="211">
        <f t="shared" ref="I31:BH31" si="81">SUM(I32:I38)</f>
        <v>267</v>
      </c>
      <c r="J31" s="211">
        <f t="shared" si="81"/>
        <v>20</v>
      </c>
      <c r="K31" s="211">
        <f t="shared" si="81"/>
        <v>247</v>
      </c>
      <c r="L31" s="211">
        <f t="shared" si="81"/>
        <v>2500</v>
      </c>
      <c r="M31" s="211">
        <f t="shared" si="81"/>
        <v>80</v>
      </c>
      <c r="N31" s="211">
        <f t="shared" si="81"/>
        <v>15</v>
      </c>
      <c r="O31" s="211">
        <f t="shared" si="81"/>
        <v>65</v>
      </c>
      <c r="P31" s="211">
        <f t="shared" si="81"/>
        <v>42</v>
      </c>
      <c r="Q31" s="211">
        <f t="shared" si="81"/>
        <v>5</v>
      </c>
      <c r="R31" s="211">
        <f t="shared" si="81"/>
        <v>37</v>
      </c>
      <c r="S31" s="823">
        <f t="shared" si="81"/>
        <v>45</v>
      </c>
      <c r="T31" s="211">
        <f t="shared" si="81"/>
        <v>0</v>
      </c>
      <c r="U31" s="211">
        <f t="shared" si="81"/>
        <v>45</v>
      </c>
      <c r="V31" s="211">
        <f t="shared" si="81"/>
        <v>167</v>
      </c>
      <c r="W31" s="211">
        <f t="shared" si="81"/>
        <v>20</v>
      </c>
      <c r="X31" s="211">
        <f t="shared" si="81"/>
        <v>147</v>
      </c>
      <c r="Y31" s="211">
        <f t="shared" si="81"/>
        <v>100</v>
      </c>
      <c r="Z31" s="211">
        <f t="shared" si="81"/>
        <v>0</v>
      </c>
      <c r="AA31" s="211">
        <f t="shared" si="81"/>
        <v>100</v>
      </c>
      <c r="AB31" s="211">
        <f t="shared" si="81"/>
        <v>0</v>
      </c>
      <c r="AC31" s="211">
        <f t="shared" si="81"/>
        <v>0</v>
      </c>
      <c r="AD31" s="211">
        <f t="shared" si="81"/>
        <v>0</v>
      </c>
      <c r="AE31" s="211">
        <f t="shared" si="81"/>
        <v>0</v>
      </c>
      <c r="AF31" s="211">
        <f t="shared" si="81"/>
        <v>0</v>
      </c>
      <c r="AG31" s="211">
        <f t="shared" si="81"/>
        <v>0</v>
      </c>
      <c r="AH31" s="211">
        <f t="shared" si="81"/>
        <v>100</v>
      </c>
      <c r="AI31" s="211">
        <f t="shared" si="81"/>
        <v>0</v>
      </c>
      <c r="AJ31" s="211">
        <f t="shared" si="81"/>
        <v>100</v>
      </c>
      <c r="AK31" s="211">
        <f t="shared" si="81"/>
        <v>0</v>
      </c>
      <c r="AL31" s="211">
        <f t="shared" si="81"/>
        <v>0</v>
      </c>
      <c r="AM31" s="211">
        <f t="shared" si="81"/>
        <v>0</v>
      </c>
      <c r="AN31" s="211">
        <f t="shared" si="81"/>
        <v>0</v>
      </c>
      <c r="AO31" s="211">
        <f t="shared" si="81"/>
        <v>0</v>
      </c>
      <c r="AP31" s="211">
        <f t="shared" si="81"/>
        <v>0</v>
      </c>
      <c r="AQ31" s="211">
        <f t="shared" si="81"/>
        <v>0</v>
      </c>
      <c r="AR31" s="211">
        <f t="shared" si="81"/>
        <v>0</v>
      </c>
      <c r="AS31" s="211">
        <f t="shared" si="81"/>
        <v>0</v>
      </c>
      <c r="AT31" s="211">
        <f t="shared" si="81"/>
        <v>0</v>
      </c>
      <c r="AU31" s="211">
        <f t="shared" si="81"/>
        <v>0</v>
      </c>
      <c r="AV31" s="211">
        <f t="shared" si="81"/>
        <v>0</v>
      </c>
      <c r="AW31" s="211">
        <f t="shared" si="81"/>
        <v>0</v>
      </c>
      <c r="AX31" s="211">
        <f t="shared" si="81"/>
        <v>0</v>
      </c>
      <c r="AY31" s="211">
        <f t="shared" si="81"/>
        <v>0</v>
      </c>
      <c r="AZ31" s="211">
        <f t="shared" si="81"/>
        <v>0</v>
      </c>
      <c r="BA31" s="211">
        <f t="shared" si="81"/>
        <v>0</v>
      </c>
      <c r="BB31" s="211">
        <f t="shared" si="81"/>
        <v>0</v>
      </c>
      <c r="BC31" s="211">
        <f t="shared" si="81"/>
        <v>0</v>
      </c>
      <c r="BD31" s="211">
        <f t="shared" si="81"/>
        <v>0</v>
      </c>
      <c r="BE31" s="211">
        <f t="shared" si="81"/>
        <v>0</v>
      </c>
      <c r="BF31" s="211">
        <f t="shared" si="81"/>
        <v>0</v>
      </c>
      <c r="BG31" s="211">
        <f t="shared" si="81"/>
        <v>0</v>
      </c>
      <c r="BH31" s="211">
        <f t="shared" si="81"/>
        <v>0</v>
      </c>
      <c r="BI31" s="516"/>
      <c r="BJ31" s="488" t="str">
        <f t="shared" si="15"/>
        <v>ĐL</v>
      </c>
      <c r="BK31" s="225">
        <f>SUM(BK32:BK38)</f>
        <v>900</v>
      </c>
      <c r="BL31" s="225">
        <f t="shared" ref="BL31:BZ31" si="82">SUM(BL32:BL38)</f>
        <v>400</v>
      </c>
      <c r="BM31" s="225">
        <f t="shared" si="82"/>
        <v>600</v>
      </c>
      <c r="BN31" s="225">
        <f t="shared" si="82"/>
        <v>1900</v>
      </c>
      <c r="BO31" s="225">
        <f t="shared" si="82"/>
        <v>600</v>
      </c>
      <c r="BP31" s="225">
        <f t="shared" si="82"/>
        <v>0</v>
      </c>
      <c r="BQ31" s="225">
        <f t="shared" si="82"/>
        <v>0</v>
      </c>
      <c r="BR31" s="225">
        <f t="shared" si="82"/>
        <v>600</v>
      </c>
      <c r="BS31" s="225">
        <f t="shared" si="82"/>
        <v>0</v>
      </c>
      <c r="BT31" s="225">
        <f t="shared" si="82"/>
        <v>0</v>
      </c>
      <c r="BU31" s="225">
        <f t="shared" si="82"/>
        <v>0</v>
      </c>
      <c r="BV31" s="225">
        <f t="shared" si="82"/>
        <v>0</v>
      </c>
      <c r="BW31" s="225">
        <f t="shared" si="82"/>
        <v>0</v>
      </c>
      <c r="BX31" s="225">
        <f t="shared" si="82"/>
        <v>0</v>
      </c>
      <c r="BY31" s="225">
        <f t="shared" si="82"/>
        <v>0</v>
      </c>
      <c r="BZ31" s="225">
        <f t="shared" si="82"/>
        <v>0</v>
      </c>
      <c r="CA31" s="517">
        <f>I31-V31-AH31-AT31-BF31</f>
        <v>0</v>
      </c>
      <c r="CB31" s="510" t="str">
        <f t="shared" si="3"/>
        <v>X</v>
      </c>
      <c r="CC31" s="509" t="str">
        <f t="shared" si="47"/>
        <v>KT2.</v>
      </c>
      <c r="CD31" s="509" t="str">
        <f t="shared" si="48"/>
        <v>KT2.</v>
      </c>
      <c r="CE31" s="351" t="str">
        <f t="shared" si="17"/>
        <v>ĐL</v>
      </c>
      <c r="CF31" s="509" t="str">
        <f t="shared" si="49"/>
        <v>KT2.ĐL</v>
      </c>
      <c r="CG31" s="509"/>
      <c r="CH31" s="509"/>
    </row>
    <row r="32" spans="1:86" ht="21.75" customHeight="1" x14ac:dyDescent="0.25">
      <c r="A32" s="354" t="e">
        <f>A31</f>
        <v>#REF!</v>
      </c>
      <c r="B32" s="484"/>
      <c r="C32" s="531" t="s">
        <v>637</v>
      </c>
      <c r="D32" s="447" t="s">
        <v>14</v>
      </c>
      <c r="E32" s="447"/>
      <c r="F32" s="447"/>
      <c r="G32" s="520">
        <v>11.2</v>
      </c>
      <c r="H32" s="521">
        <v>0.7</v>
      </c>
      <c r="I32" s="522">
        <f t="shared" ref="I32:I38" si="83">V32+AH32+AT32+BF32</f>
        <v>50</v>
      </c>
      <c r="J32" s="522">
        <f t="shared" ref="J32:J38" si="84">W32+AI32+AU32+BG32</f>
        <v>15</v>
      </c>
      <c r="K32" s="522">
        <f t="shared" ref="K32:K38" si="85">X32+AJ32+AV32+BH32</f>
        <v>35</v>
      </c>
      <c r="L32" s="57">
        <f t="shared" ref="L32:L38" si="86">BN32+BR32+BV32+BZ32</f>
        <v>500</v>
      </c>
      <c r="M32" s="60">
        <v>50</v>
      </c>
      <c r="N32" s="60">
        <v>15</v>
      </c>
      <c r="O32" s="60">
        <f t="shared" ref="O32:O38" si="87">M32-N32</f>
        <v>35</v>
      </c>
      <c r="P32" s="60"/>
      <c r="Q32" s="60"/>
      <c r="R32" s="60">
        <f t="shared" ref="R32:R38" si="88">P32-Q32</f>
        <v>0</v>
      </c>
      <c r="S32" s="824"/>
      <c r="T32" s="60"/>
      <c r="U32" s="60">
        <f t="shared" ref="U32:U38" si="89">S32-T32</f>
        <v>0</v>
      </c>
      <c r="V32" s="60">
        <f t="shared" ref="V32:X35" si="90">M32+P32+S32</f>
        <v>50</v>
      </c>
      <c r="W32" s="60">
        <f t="shared" si="90"/>
        <v>15</v>
      </c>
      <c r="X32" s="60">
        <f t="shared" si="90"/>
        <v>35</v>
      </c>
      <c r="Y32" s="60"/>
      <c r="Z32" s="60"/>
      <c r="AA32" s="60">
        <f t="shared" ref="AA32:AA38" si="91">Y32-Z32</f>
        <v>0</v>
      </c>
      <c r="AB32" s="60"/>
      <c r="AC32" s="60"/>
      <c r="AD32" s="60">
        <f t="shared" ref="AD32:AD38" si="92">AB32-AC32</f>
        <v>0</v>
      </c>
      <c r="AE32" s="60"/>
      <c r="AF32" s="60"/>
      <c r="AG32" s="60">
        <f t="shared" ref="AG32:AG38" si="93">AE32-AF32</f>
        <v>0</v>
      </c>
      <c r="AH32" s="60">
        <f>Y32+AB32+AE32</f>
        <v>0</v>
      </c>
      <c r="AI32" s="60">
        <f>Z32+AC32+AF32</f>
        <v>0</v>
      </c>
      <c r="AJ32" s="60">
        <f>AA32+AD32+AG32</f>
        <v>0</v>
      </c>
      <c r="AK32" s="60"/>
      <c r="AL32" s="60"/>
      <c r="AM32" s="60">
        <f t="shared" ref="AM32:AM38" si="94">AK32-AL32</f>
        <v>0</v>
      </c>
      <c r="AN32" s="60"/>
      <c r="AO32" s="60"/>
      <c r="AP32" s="60">
        <f t="shared" ref="AP32:AP38" si="95">AN32-AO32</f>
        <v>0</v>
      </c>
      <c r="AQ32" s="60"/>
      <c r="AR32" s="60"/>
      <c r="AS32" s="60">
        <f t="shared" ref="AS32:AS38" si="96">AQ32-AR32</f>
        <v>0</v>
      </c>
      <c r="AT32" s="60">
        <f>AK32+AN32+AQ32</f>
        <v>0</v>
      </c>
      <c r="AU32" s="60">
        <f>AL32+AO32+AR32</f>
        <v>0</v>
      </c>
      <c r="AV32" s="60">
        <f>AM32+AP32+AS32</f>
        <v>0</v>
      </c>
      <c r="AW32" s="60"/>
      <c r="AX32" s="60"/>
      <c r="AY32" s="60">
        <f t="shared" ref="AY32:AY38" si="97">AW32-AX32</f>
        <v>0</v>
      </c>
      <c r="AZ32" s="60"/>
      <c r="BA32" s="60"/>
      <c r="BB32" s="60">
        <f t="shared" ref="BB32:BB38" si="98">AZ32-BA32</f>
        <v>0</v>
      </c>
      <c r="BC32" s="60"/>
      <c r="BD32" s="60"/>
      <c r="BE32" s="60">
        <f t="shared" ref="BE32:BE38" si="99">BC32-BD32</f>
        <v>0</v>
      </c>
      <c r="BF32" s="60">
        <f t="shared" ref="BF32:BF38" si="100">AW32+AZ32+BC32</f>
        <v>0</v>
      </c>
      <c r="BG32" s="60">
        <f t="shared" ref="BG32:BG38" si="101">AX32+BA32+BD32</f>
        <v>0</v>
      </c>
      <c r="BH32" s="60">
        <f t="shared" ref="BH32:BH38" si="102">AY32+BB32+BE32</f>
        <v>0</v>
      </c>
      <c r="BI32" s="508"/>
      <c r="BJ32" s="488" t="str">
        <f t="shared" si="15"/>
        <v>Lò</v>
      </c>
      <c r="BK32" s="523">
        <f t="shared" ref="BK32:BK38" si="103">ROUND(O32*G32*$C$3*$B$5,-2)</f>
        <v>500</v>
      </c>
      <c r="BL32" s="523">
        <f t="shared" ref="BL32:BL38" si="104">ROUND(R32*G32*$C$3*$B$5,-2)</f>
        <v>0</v>
      </c>
      <c r="BM32" s="523">
        <f t="shared" ref="BM32:BM38" si="105">ROUND(U32*G32*$C$3*$B$5,-2)</f>
        <v>0</v>
      </c>
      <c r="BN32" s="523">
        <f t="shared" ref="BN32:BN38" si="106">ROUND(X32*G32*$C$3*$B$5,-2)</f>
        <v>500</v>
      </c>
      <c r="BO32" s="523">
        <f t="shared" ref="BO32:BO38" si="107">ROUND(AA32*G32*$C$3*$B$5,-2)</f>
        <v>0</v>
      </c>
      <c r="BP32" s="523">
        <f t="shared" ref="BP32:BP38" si="108">ROUND(AD32*G32*$C$3*$B$5,-2)</f>
        <v>0</v>
      </c>
      <c r="BQ32" s="523">
        <f t="shared" ref="BQ32:BQ38" si="109">ROUND(AG32*G32*$C$3*$B$5,-2)</f>
        <v>0</v>
      </c>
      <c r="BR32" s="523">
        <f t="shared" ref="BR32:BR38" si="110">ROUND(AJ32*G32*$B$5*$C$3,-2)</f>
        <v>0</v>
      </c>
      <c r="BS32" s="523">
        <f t="shared" ref="BS32:BS38" si="111">ROUND(AM32*G32*$C$3*$B$5,-2)</f>
        <v>0</v>
      </c>
      <c r="BT32" s="523">
        <f t="shared" ref="BT32:BT38" si="112">ROUND(AP32*G32*$C$3*$B$5,-2)</f>
        <v>0</v>
      </c>
      <c r="BU32" s="523">
        <f t="shared" ref="BU32:BU38" si="113">ROUND(AS32*G32*$C$3*$B$5,-2)</f>
        <v>0</v>
      </c>
      <c r="BV32" s="523">
        <f t="shared" ref="BV32:BV38" si="114">ROUND(AV32*G32*$C$3*$B$5,-2)</f>
        <v>0</v>
      </c>
      <c r="BW32" s="523">
        <f t="shared" ref="BW32:BW38" si="115">ROUND(AY32*G32*$C$3*$B$5,-2)</f>
        <v>0</v>
      </c>
      <c r="BX32" s="523">
        <f t="shared" ref="BX32:BX38" si="116">ROUND(BB32*G32*$C$3*$B$5,-2)</f>
        <v>0</v>
      </c>
      <c r="BY32" s="523">
        <f t="shared" ref="BY32:BY38" si="117">ROUND(BE32*G32*$C$3*$B$5,-2)</f>
        <v>0</v>
      </c>
      <c r="BZ32" s="523">
        <f t="shared" ref="BZ32:BZ38" si="118">ROUND(BH32*G32*$C$3*$B$5,-2)</f>
        <v>0</v>
      </c>
      <c r="CA32" s="354"/>
      <c r="CB32" s="354" t="str">
        <f t="shared" si="3"/>
        <v>X</v>
      </c>
      <c r="CC32" s="509" t="str">
        <f t="shared" si="47"/>
        <v>KT2.</v>
      </c>
      <c r="CD32" s="509" t="str">
        <f t="shared" si="48"/>
        <v>KT2.11,2</v>
      </c>
      <c r="CE32" s="351" t="str">
        <f t="shared" si="17"/>
        <v>Lò</v>
      </c>
      <c r="CF32" s="509" t="str">
        <f t="shared" si="49"/>
        <v>KT2.Lò</v>
      </c>
      <c r="CG32" s="509"/>
      <c r="CH32" s="509"/>
    </row>
    <row r="33" spans="1:86" ht="24" customHeight="1" x14ac:dyDescent="0.25">
      <c r="A33" s="354" t="e">
        <f>A32</f>
        <v>#REF!</v>
      </c>
      <c r="B33" s="518"/>
      <c r="C33" s="519" t="s">
        <v>635</v>
      </c>
      <c r="D33" s="447" t="s">
        <v>14</v>
      </c>
      <c r="E33" s="447"/>
      <c r="F33" s="447"/>
      <c r="G33" s="520">
        <v>8.5</v>
      </c>
      <c r="H33" s="521">
        <v>0.7</v>
      </c>
      <c r="I33" s="522">
        <f t="shared" si="83"/>
        <v>22</v>
      </c>
      <c r="J33" s="522">
        <f t="shared" si="84"/>
        <v>0</v>
      </c>
      <c r="K33" s="522">
        <f t="shared" si="85"/>
        <v>22</v>
      </c>
      <c r="L33" s="57">
        <f t="shared" si="86"/>
        <v>200</v>
      </c>
      <c r="M33" s="60"/>
      <c r="N33" s="60"/>
      <c r="O33" s="60">
        <f t="shared" si="87"/>
        <v>0</v>
      </c>
      <c r="P33" s="60">
        <v>22</v>
      </c>
      <c r="Q33" s="60">
        <v>0</v>
      </c>
      <c r="R33" s="60">
        <f t="shared" si="88"/>
        <v>22</v>
      </c>
      <c r="S33" s="824"/>
      <c r="T33" s="60"/>
      <c r="U33" s="60">
        <f t="shared" si="89"/>
        <v>0</v>
      </c>
      <c r="V33" s="60">
        <f t="shared" si="90"/>
        <v>22</v>
      </c>
      <c r="W33" s="60">
        <f t="shared" si="90"/>
        <v>0</v>
      </c>
      <c r="X33" s="60">
        <f t="shared" si="90"/>
        <v>22</v>
      </c>
      <c r="Y33" s="60"/>
      <c r="Z33" s="60"/>
      <c r="AA33" s="60">
        <f t="shared" si="91"/>
        <v>0</v>
      </c>
      <c r="AB33" s="60"/>
      <c r="AC33" s="60"/>
      <c r="AD33" s="60">
        <f t="shared" si="92"/>
        <v>0</v>
      </c>
      <c r="AE33" s="60"/>
      <c r="AF33" s="60"/>
      <c r="AG33" s="60">
        <f t="shared" si="93"/>
        <v>0</v>
      </c>
      <c r="AH33" s="60">
        <f t="shared" ref="AH33:AH38" si="119">Y33+AB33+AE33</f>
        <v>0</v>
      </c>
      <c r="AI33" s="60">
        <f t="shared" ref="AI33:AI38" si="120">Z33+AC33+AF33</f>
        <v>0</v>
      </c>
      <c r="AJ33" s="60">
        <f t="shared" ref="AJ33:AJ38" si="121">AA33+AD33+AG33</f>
        <v>0</v>
      </c>
      <c r="AK33" s="60"/>
      <c r="AL33" s="60"/>
      <c r="AM33" s="60">
        <f t="shared" si="94"/>
        <v>0</v>
      </c>
      <c r="AN33" s="60"/>
      <c r="AO33" s="60"/>
      <c r="AP33" s="60">
        <f t="shared" si="95"/>
        <v>0</v>
      </c>
      <c r="AQ33" s="60"/>
      <c r="AR33" s="60"/>
      <c r="AS33" s="60">
        <f t="shared" si="96"/>
        <v>0</v>
      </c>
      <c r="AT33" s="60">
        <f t="shared" ref="AT33:AT38" si="122">AK33+AN33+AQ33</f>
        <v>0</v>
      </c>
      <c r="AU33" s="60">
        <f t="shared" ref="AU33:AU38" si="123">AL33+AO33+AR33</f>
        <v>0</v>
      </c>
      <c r="AV33" s="60">
        <f t="shared" ref="AV33:AV38" si="124">AM33+AP33+AS33</f>
        <v>0</v>
      </c>
      <c r="AW33" s="60"/>
      <c r="AX33" s="60"/>
      <c r="AY33" s="60">
        <f t="shared" si="97"/>
        <v>0</v>
      </c>
      <c r="AZ33" s="60"/>
      <c r="BA33" s="60"/>
      <c r="BB33" s="60">
        <f t="shared" si="98"/>
        <v>0</v>
      </c>
      <c r="BC33" s="60"/>
      <c r="BD33" s="60"/>
      <c r="BE33" s="60">
        <f t="shared" si="99"/>
        <v>0</v>
      </c>
      <c r="BF33" s="60">
        <f>AW33+AZ33+BC33</f>
        <v>0</v>
      </c>
      <c r="BG33" s="60">
        <f>AX33+BA33+BD33</f>
        <v>0</v>
      </c>
      <c r="BH33" s="60">
        <f>AY33+BB33+BE33</f>
        <v>0</v>
      </c>
      <c r="BI33" s="508"/>
      <c r="BJ33" s="488" t="str">
        <f t="shared" si="15"/>
        <v>Lò</v>
      </c>
      <c r="BK33" s="523">
        <f t="shared" si="103"/>
        <v>0</v>
      </c>
      <c r="BL33" s="523">
        <f t="shared" si="104"/>
        <v>200</v>
      </c>
      <c r="BM33" s="523">
        <f t="shared" si="105"/>
        <v>0</v>
      </c>
      <c r="BN33" s="523">
        <f t="shared" si="106"/>
        <v>200</v>
      </c>
      <c r="BO33" s="523">
        <f t="shared" si="107"/>
        <v>0</v>
      </c>
      <c r="BP33" s="523">
        <f t="shared" si="108"/>
        <v>0</v>
      </c>
      <c r="BQ33" s="523">
        <f t="shared" si="109"/>
        <v>0</v>
      </c>
      <c r="BR33" s="523">
        <f t="shared" si="110"/>
        <v>0</v>
      </c>
      <c r="BS33" s="523">
        <f t="shared" si="111"/>
        <v>0</v>
      </c>
      <c r="BT33" s="523">
        <f t="shared" si="112"/>
        <v>0</v>
      </c>
      <c r="BU33" s="523">
        <f t="shared" si="113"/>
        <v>0</v>
      </c>
      <c r="BV33" s="523">
        <f t="shared" si="114"/>
        <v>0</v>
      </c>
      <c r="BW33" s="523">
        <f t="shared" si="115"/>
        <v>0</v>
      </c>
      <c r="BX33" s="523">
        <f t="shared" si="116"/>
        <v>0</v>
      </c>
      <c r="BY33" s="523">
        <f t="shared" si="117"/>
        <v>0</v>
      </c>
      <c r="BZ33" s="523">
        <f t="shared" si="118"/>
        <v>0</v>
      </c>
      <c r="CA33" s="354"/>
      <c r="CB33" s="354" t="str">
        <f t="shared" si="3"/>
        <v>X</v>
      </c>
      <c r="CC33" s="509" t="str">
        <f t="shared" si="47"/>
        <v>KT2.</v>
      </c>
      <c r="CD33" s="509" t="str">
        <f t="shared" si="48"/>
        <v>KT2.8,5</v>
      </c>
      <c r="CE33" s="351" t="str">
        <f t="shared" si="17"/>
        <v>Lò</v>
      </c>
      <c r="CF33" s="509" t="str">
        <f t="shared" si="49"/>
        <v>KT2.Lò</v>
      </c>
      <c r="CG33" s="509"/>
      <c r="CH33" s="509"/>
    </row>
    <row r="34" spans="1:86" ht="24" customHeight="1" x14ac:dyDescent="0.25">
      <c r="A34" s="354" t="e">
        <f>A31</f>
        <v>#REF!</v>
      </c>
      <c r="B34" s="518"/>
      <c r="C34" s="519" t="s">
        <v>638</v>
      </c>
      <c r="D34" s="447" t="s">
        <v>14</v>
      </c>
      <c r="E34" s="447"/>
      <c r="F34" s="447"/>
      <c r="G34" s="520">
        <v>11.2</v>
      </c>
      <c r="H34" s="521">
        <v>0.7</v>
      </c>
      <c r="I34" s="522">
        <f t="shared" si="83"/>
        <v>0</v>
      </c>
      <c r="J34" s="522">
        <f t="shared" si="84"/>
        <v>0</v>
      </c>
      <c r="K34" s="522">
        <f t="shared" si="85"/>
        <v>0</v>
      </c>
      <c r="L34" s="57">
        <f t="shared" si="86"/>
        <v>0</v>
      </c>
      <c r="M34" s="60"/>
      <c r="N34" s="60"/>
      <c r="O34" s="60">
        <f t="shared" si="87"/>
        <v>0</v>
      </c>
      <c r="P34" s="60"/>
      <c r="Q34" s="60"/>
      <c r="R34" s="60">
        <f t="shared" si="88"/>
        <v>0</v>
      </c>
      <c r="S34" s="824"/>
      <c r="T34" s="60"/>
      <c r="U34" s="60">
        <f t="shared" si="89"/>
        <v>0</v>
      </c>
      <c r="V34" s="60">
        <f t="shared" si="90"/>
        <v>0</v>
      </c>
      <c r="W34" s="60">
        <f t="shared" si="90"/>
        <v>0</v>
      </c>
      <c r="X34" s="60">
        <f t="shared" si="90"/>
        <v>0</v>
      </c>
      <c r="Y34" s="60"/>
      <c r="Z34" s="60"/>
      <c r="AA34" s="60">
        <f t="shared" si="91"/>
        <v>0</v>
      </c>
      <c r="AB34" s="60"/>
      <c r="AC34" s="60"/>
      <c r="AD34" s="60">
        <f t="shared" si="92"/>
        <v>0</v>
      </c>
      <c r="AE34" s="60"/>
      <c r="AF34" s="60"/>
      <c r="AG34" s="60">
        <f t="shared" si="93"/>
        <v>0</v>
      </c>
      <c r="AH34" s="60">
        <f t="shared" si="119"/>
        <v>0</v>
      </c>
      <c r="AI34" s="60">
        <f t="shared" si="120"/>
        <v>0</v>
      </c>
      <c r="AJ34" s="60">
        <f t="shared" si="121"/>
        <v>0</v>
      </c>
      <c r="AK34" s="60"/>
      <c r="AL34" s="60"/>
      <c r="AM34" s="60">
        <f t="shared" si="94"/>
        <v>0</v>
      </c>
      <c r="AN34" s="60"/>
      <c r="AO34" s="60"/>
      <c r="AP34" s="60">
        <f t="shared" si="95"/>
        <v>0</v>
      </c>
      <c r="AQ34" s="60"/>
      <c r="AR34" s="60"/>
      <c r="AS34" s="60">
        <f t="shared" si="96"/>
        <v>0</v>
      </c>
      <c r="AT34" s="60">
        <f t="shared" si="122"/>
        <v>0</v>
      </c>
      <c r="AU34" s="60">
        <f t="shared" si="123"/>
        <v>0</v>
      </c>
      <c r="AV34" s="60">
        <f t="shared" si="124"/>
        <v>0</v>
      </c>
      <c r="AW34" s="60"/>
      <c r="AX34" s="60"/>
      <c r="AY34" s="60">
        <f t="shared" si="97"/>
        <v>0</v>
      </c>
      <c r="AZ34" s="60"/>
      <c r="BA34" s="60"/>
      <c r="BB34" s="60">
        <f t="shared" si="98"/>
        <v>0</v>
      </c>
      <c r="BC34" s="60"/>
      <c r="BD34" s="60"/>
      <c r="BE34" s="60">
        <f t="shared" si="99"/>
        <v>0</v>
      </c>
      <c r="BF34" s="60">
        <f t="shared" si="100"/>
        <v>0</v>
      </c>
      <c r="BG34" s="60">
        <f t="shared" si="101"/>
        <v>0</v>
      </c>
      <c r="BH34" s="60">
        <f t="shared" si="102"/>
        <v>0</v>
      </c>
      <c r="BI34" s="508"/>
      <c r="BJ34" s="488" t="str">
        <f t="shared" si="15"/>
        <v>BS</v>
      </c>
      <c r="BK34" s="523">
        <f t="shared" si="103"/>
        <v>0</v>
      </c>
      <c r="BL34" s="523">
        <f t="shared" si="104"/>
        <v>0</v>
      </c>
      <c r="BM34" s="523">
        <f t="shared" si="105"/>
        <v>0</v>
      </c>
      <c r="BN34" s="523">
        <f t="shared" si="106"/>
        <v>0</v>
      </c>
      <c r="BO34" s="523">
        <f t="shared" si="107"/>
        <v>0</v>
      </c>
      <c r="BP34" s="523">
        <f t="shared" si="108"/>
        <v>0</v>
      </c>
      <c r="BQ34" s="523">
        <f t="shared" si="109"/>
        <v>0</v>
      </c>
      <c r="BR34" s="523">
        <f t="shared" si="110"/>
        <v>0</v>
      </c>
      <c r="BS34" s="523">
        <f t="shared" si="111"/>
        <v>0</v>
      </c>
      <c r="BT34" s="523">
        <f t="shared" si="112"/>
        <v>0</v>
      </c>
      <c r="BU34" s="523">
        <f t="shared" si="113"/>
        <v>0</v>
      </c>
      <c r="BV34" s="523">
        <f t="shared" si="114"/>
        <v>0</v>
      </c>
      <c r="BW34" s="523">
        <f t="shared" si="115"/>
        <v>0</v>
      </c>
      <c r="BX34" s="523">
        <f t="shared" si="116"/>
        <v>0</v>
      </c>
      <c r="BY34" s="523">
        <f t="shared" si="117"/>
        <v>0</v>
      </c>
      <c r="BZ34" s="523">
        <f t="shared" si="118"/>
        <v>0</v>
      </c>
      <c r="CA34" s="354"/>
      <c r="CB34" s="354" t="b">
        <f t="shared" si="3"/>
        <v>0</v>
      </c>
      <c r="CC34" s="509" t="str">
        <f>CC31</f>
        <v>KT2.</v>
      </c>
      <c r="CD34" s="509" t="str">
        <f t="shared" si="48"/>
        <v>KT2.11,2</v>
      </c>
      <c r="CE34" s="351" t="str">
        <f t="shared" si="17"/>
        <v>BS</v>
      </c>
      <c r="CF34" s="509" t="str">
        <f t="shared" si="49"/>
        <v>KT2.BS</v>
      </c>
      <c r="CG34" s="509"/>
      <c r="CH34" s="509"/>
    </row>
    <row r="35" spans="1:86" ht="24" customHeight="1" x14ac:dyDescent="0.25">
      <c r="A35" s="354" t="e">
        <f>A32</f>
        <v>#REF!</v>
      </c>
      <c r="B35" s="518"/>
      <c r="C35" s="519" t="s">
        <v>636</v>
      </c>
      <c r="D35" s="447" t="s">
        <v>206</v>
      </c>
      <c r="E35" s="447"/>
      <c r="F35" s="447"/>
      <c r="G35" s="520">
        <v>5.4</v>
      </c>
      <c r="H35" s="521">
        <v>0.7</v>
      </c>
      <c r="I35" s="522">
        <f t="shared" ref="I35:K36" si="125">V35+AH35+AT35+BF35</f>
        <v>100</v>
      </c>
      <c r="J35" s="522">
        <f t="shared" si="125"/>
        <v>0</v>
      </c>
      <c r="K35" s="522">
        <f t="shared" si="125"/>
        <v>100</v>
      </c>
      <c r="L35" s="57">
        <f>BN35+BR35+BV35+BZ35</f>
        <v>600</v>
      </c>
      <c r="M35" s="60"/>
      <c r="N35" s="60"/>
      <c r="O35" s="60">
        <f t="shared" si="87"/>
        <v>0</v>
      </c>
      <c r="P35" s="60"/>
      <c r="Q35" s="60"/>
      <c r="R35" s="60">
        <f t="shared" si="88"/>
        <v>0</v>
      </c>
      <c r="S35" s="824"/>
      <c r="T35" s="60"/>
      <c r="U35" s="60">
        <f t="shared" si="89"/>
        <v>0</v>
      </c>
      <c r="V35" s="60">
        <f t="shared" si="90"/>
        <v>0</v>
      </c>
      <c r="W35" s="60">
        <f t="shared" si="90"/>
        <v>0</v>
      </c>
      <c r="X35" s="60">
        <f t="shared" si="90"/>
        <v>0</v>
      </c>
      <c r="Y35" s="60">
        <v>100</v>
      </c>
      <c r="Z35" s="60"/>
      <c r="AA35" s="60">
        <f t="shared" si="91"/>
        <v>100</v>
      </c>
      <c r="AB35" s="60"/>
      <c r="AC35" s="60"/>
      <c r="AD35" s="60">
        <f t="shared" si="92"/>
        <v>0</v>
      </c>
      <c r="AE35" s="60"/>
      <c r="AF35" s="60"/>
      <c r="AG35" s="60">
        <f t="shared" si="93"/>
        <v>0</v>
      </c>
      <c r="AH35" s="60">
        <f t="shared" ref="AH35:AJ36" si="126">Y35+AB35+AE35</f>
        <v>100</v>
      </c>
      <c r="AI35" s="60">
        <f t="shared" si="126"/>
        <v>0</v>
      </c>
      <c r="AJ35" s="60">
        <f t="shared" si="126"/>
        <v>100</v>
      </c>
      <c r="AK35" s="60"/>
      <c r="AL35" s="60"/>
      <c r="AM35" s="60">
        <f t="shared" si="94"/>
        <v>0</v>
      </c>
      <c r="AN35" s="60"/>
      <c r="AO35" s="60"/>
      <c r="AP35" s="60">
        <f t="shared" si="95"/>
        <v>0</v>
      </c>
      <c r="AQ35" s="60"/>
      <c r="AR35" s="60"/>
      <c r="AS35" s="60">
        <f t="shared" si="96"/>
        <v>0</v>
      </c>
      <c r="AT35" s="60">
        <f t="shared" ref="AT35:AV36" si="127">AK35+AN35+AQ35</f>
        <v>0</v>
      </c>
      <c r="AU35" s="60">
        <f t="shared" si="127"/>
        <v>0</v>
      </c>
      <c r="AV35" s="60">
        <f t="shared" si="127"/>
        <v>0</v>
      </c>
      <c r="AW35" s="60"/>
      <c r="AX35" s="60"/>
      <c r="AY35" s="60">
        <f t="shared" si="97"/>
        <v>0</v>
      </c>
      <c r="AZ35" s="60"/>
      <c r="BA35" s="60"/>
      <c r="BB35" s="60">
        <f t="shared" si="98"/>
        <v>0</v>
      </c>
      <c r="BC35" s="60"/>
      <c r="BD35" s="60"/>
      <c r="BE35" s="60">
        <f t="shared" si="99"/>
        <v>0</v>
      </c>
      <c r="BF35" s="60">
        <f t="shared" ref="BF35:BH36" si="128">AW35+AZ35+BC35</f>
        <v>0</v>
      </c>
      <c r="BG35" s="60">
        <f t="shared" si="128"/>
        <v>0</v>
      </c>
      <c r="BH35" s="60">
        <f t="shared" si="128"/>
        <v>0</v>
      </c>
      <c r="BI35" s="508"/>
      <c r="BJ35" s="488" t="str">
        <f t="shared" si="15"/>
        <v>Lò</v>
      </c>
      <c r="BK35" s="523">
        <f t="shared" si="103"/>
        <v>0</v>
      </c>
      <c r="BL35" s="523">
        <f t="shared" si="104"/>
        <v>0</v>
      </c>
      <c r="BM35" s="523">
        <f t="shared" si="105"/>
        <v>0</v>
      </c>
      <c r="BN35" s="523">
        <f t="shared" si="106"/>
        <v>0</v>
      </c>
      <c r="BO35" s="523">
        <f t="shared" si="107"/>
        <v>600</v>
      </c>
      <c r="BP35" s="523">
        <f t="shared" si="108"/>
        <v>0</v>
      </c>
      <c r="BQ35" s="523">
        <f t="shared" si="109"/>
        <v>0</v>
      </c>
      <c r="BR35" s="523">
        <f t="shared" si="110"/>
        <v>600</v>
      </c>
      <c r="BS35" s="523">
        <f t="shared" si="111"/>
        <v>0</v>
      </c>
      <c r="BT35" s="523">
        <f t="shared" si="112"/>
        <v>0</v>
      </c>
      <c r="BU35" s="523">
        <f t="shared" si="113"/>
        <v>0</v>
      </c>
      <c r="BV35" s="523">
        <f t="shared" si="114"/>
        <v>0</v>
      </c>
      <c r="BW35" s="523">
        <f t="shared" si="115"/>
        <v>0</v>
      </c>
      <c r="BX35" s="523">
        <f t="shared" si="116"/>
        <v>0</v>
      </c>
      <c r="BY35" s="523">
        <f t="shared" si="117"/>
        <v>0</v>
      </c>
      <c r="BZ35" s="523">
        <f t="shared" si="118"/>
        <v>0</v>
      </c>
      <c r="CA35" s="354"/>
      <c r="CB35" s="354" t="str">
        <f>IF(SUM(I35:L35)&lt;&gt;0,"X")</f>
        <v>X</v>
      </c>
      <c r="CC35" s="509" t="str">
        <f>CC32</f>
        <v>KT2.</v>
      </c>
      <c r="CD35" s="509" t="str">
        <f>CC35&amp;G35</f>
        <v>KT2.5,4</v>
      </c>
      <c r="CE35" s="351" t="str">
        <f t="shared" si="17"/>
        <v>Lò</v>
      </c>
      <c r="CF35" s="509" t="str">
        <f>CC35&amp;CE35</f>
        <v>KT2.Lò</v>
      </c>
      <c r="CG35" s="509"/>
      <c r="CH35" s="509"/>
    </row>
    <row r="36" spans="1:86" ht="24" customHeight="1" x14ac:dyDescent="0.25">
      <c r="A36" s="354" t="e">
        <f>A32</f>
        <v>#REF!</v>
      </c>
      <c r="B36" s="518"/>
      <c r="C36" s="519" t="s">
        <v>634</v>
      </c>
      <c r="D36" s="447" t="s">
        <v>14</v>
      </c>
      <c r="E36" s="447"/>
      <c r="F36" s="447"/>
      <c r="G36" s="520">
        <v>11.2</v>
      </c>
      <c r="H36" s="521">
        <v>0.7</v>
      </c>
      <c r="I36" s="522">
        <f t="shared" si="125"/>
        <v>20</v>
      </c>
      <c r="J36" s="522">
        <f t="shared" si="125"/>
        <v>5</v>
      </c>
      <c r="K36" s="522">
        <f t="shared" si="125"/>
        <v>15</v>
      </c>
      <c r="L36" s="57">
        <f>BN36+BR36+BV36+BZ36</f>
        <v>200</v>
      </c>
      <c r="M36" s="60"/>
      <c r="N36" s="60"/>
      <c r="O36" s="60">
        <f t="shared" si="87"/>
        <v>0</v>
      </c>
      <c r="P36" s="60">
        <v>20</v>
      </c>
      <c r="Q36" s="60">
        <v>5</v>
      </c>
      <c r="R36" s="60">
        <f t="shared" si="88"/>
        <v>15</v>
      </c>
      <c r="S36" s="824"/>
      <c r="T36" s="60"/>
      <c r="U36" s="60">
        <f t="shared" si="89"/>
        <v>0</v>
      </c>
      <c r="V36" s="60">
        <f t="shared" ref="V36:X38" si="129">M36+P36+S36</f>
        <v>20</v>
      </c>
      <c r="W36" s="60">
        <f t="shared" si="129"/>
        <v>5</v>
      </c>
      <c r="X36" s="60">
        <f t="shared" si="129"/>
        <v>15</v>
      </c>
      <c r="Y36" s="60"/>
      <c r="Z36" s="60"/>
      <c r="AA36" s="60">
        <f t="shared" si="91"/>
        <v>0</v>
      </c>
      <c r="AB36" s="60"/>
      <c r="AC36" s="60"/>
      <c r="AD36" s="60">
        <f t="shared" si="92"/>
        <v>0</v>
      </c>
      <c r="AE36" s="60"/>
      <c r="AF36" s="60"/>
      <c r="AG36" s="60">
        <f t="shared" si="93"/>
        <v>0</v>
      </c>
      <c r="AH36" s="60">
        <f t="shared" si="126"/>
        <v>0</v>
      </c>
      <c r="AI36" s="60">
        <f t="shared" si="126"/>
        <v>0</v>
      </c>
      <c r="AJ36" s="60">
        <f t="shared" si="126"/>
        <v>0</v>
      </c>
      <c r="AK36" s="60"/>
      <c r="AL36" s="60"/>
      <c r="AM36" s="60">
        <f t="shared" si="94"/>
        <v>0</v>
      </c>
      <c r="AN36" s="60"/>
      <c r="AO36" s="60"/>
      <c r="AP36" s="60">
        <f t="shared" si="95"/>
        <v>0</v>
      </c>
      <c r="AQ36" s="60"/>
      <c r="AR36" s="60"/>
      <c r="AS36" s="60">
        <f t="shared" si="96"/>
        <v>0</v>
      </c>
      <c r="AT36" s="60">
        <f t="shared" si="127"/>
        <v>0</v>
      </c>
      <c r="AU36" s="60">
        <f t="shared" si="127"/>
        <v>0</v>
      </c>
      <c r="AV36" s="60">
        <f t="shared" si="127"/>
        <v>0</v>
      </c>
      <c r="AW36" s="60"/>
      <c r="AX36" s="60"/>
      <c r="AY36" s="60">
        <f t="shared" si="97"/>
        <v>0</v>
      </c>
      <c r="AZ36" s="60"/>
      <c r="BA36" s="60"/>
      <c r="BB36" s="60">
        <f t="shared" si="98"/>
        <v>0</v>
      </c>
      <c r="BC36" s="60"/>
      <c r="BD36" s="60"/>
      <c r="BE36" s="60">
        <f t="shared" si="99"/>
        <v>0</v>
      </c>
      <c r="BF36" s="60">
        <f t="shared" si="128"/>
        <v>0</v>
      </c>
      <c r="BG36" s="60">
        <f t="shared" si="128"/>
        <v>0</v>
      </c>
      <c r="BH36" s="60">
        <f t="shared" si="128"/>
        <v>0</v>
      </c>
      <c r="BI36" s="508"/>
      <c r="BJ36" s="488" t="str">
        <f t="shared" si="15"/>
        <v>Lò</v>
      </c>
      <c r="BK36" s="523">
        <f t="shared" si="103"/>
        <v>0</v>
      </c>
      <c r="BL36" s="523">
        <f t="shared" si="104"/>
        <v>200</v>
      </c>
      <c r="BM36" s="523">
        <f t="shared" si="105"/>
        <v>0</v>
      </c>
      <c r="BN36" s="523">
        <f t="shared" si="106"/>
        <v>200</v>
      </c>
      <c r="BO36" s="523">
        <f t="shared" si="107"/>
        <v>0</v>
      </c>
      <c r="BP36" s="523">
        <f t="shared" si="108"/>
        <v>0</v>
      </c>
      <c r="BQ36" s="523">
        <f t="shared" si="109"/>
        <v>0</v>
      </c>
      <c r="BR36" s="523">
        <f t="shared" si="110"/>
        <v>0</v>
      </c>
      <c r="BS36" s="523">
        <f t="shared" si="111"/>
        <v>0</v>
      </c>
      <c r="BT36" s="523">
        <f t="shared" si="112"/>
        <v>0</v>
      </c>
      <c r="BU36" s="523">
        <f t="shared" si="113"/>
        <v>0</v>
      </c>
      <c r="BV36" s="523">
        <f t="shared" si="114"/>
        <v>0</v>
      </c>
      <c r="BW36" s="523">
        <f t="shared" si="115"/>
        <v>0</v>
      </c>
      <c r="BX36" s="523">
        <f t="shared" si="116"/>
        <v>0</v>
      </c>
      <c r="BY36" s="523">
        <f t="shared" si="117"/>
        <v>0</v>
      </c>
      <c r="BZ36" s="523">
        <f t="shared" si="118"/>
        <v>0</v>
      </c>
      <c r="CA36" s="354"/>
      <c r="CB36" s="354" t="str">
        <f>IF(SUM(I36:L36)&lt;&gt;0,"X")</f>
        <v>X</v>
      </c>
      <c r="CC36" s="509" t="str">
        <f>CC32</f>
        <v>KT2.</v>
      </c>
      <c r="CD36" s="509" t="str">
        <f>CC36&amp;G36</f>
        <v>KT2.11,2</v>
      </c>
      <c r="CE36" s="351" t="str">
        <f t="shared" si="17"/>
        <v>Lò</v>
      </c>
      <c r="CF36" s="509" t="str">
        <f>CC36&amp;CE36</f>
        <v>KT2.Lò</v>
      </c>
      <c r="CG36" s="509"/>
      <c r="CH36" s="509"/>
    </row>
    <row r="37" spans="1:86" ht="24" customHeight="1" x14ac:dyDescent="0.25">
      <c r="A37" s="354" t="e">
        <f>A33</f>
        <v>#REF!</v>
      </c>
      <c r="B37" s="518"/>
      <c r="C37" s="519" t="s">
        <v>834</v>
      </c>
      <c r="D37" s="447" t="s">
        <v>14</v>
      </c>
      <c r="E37" s="447"/>
      <c r="F37" s="447"/>
      <c r="G37" s="520">
        <v>11.2</v>
      </c>
      <c r="H37" s="521">
        <v>0.7</v>
      </c>
      <c r="I37" s="522">
        <f t="shared" si="83"/>
        <v>75</v>
      </c>
      <c r="J37" s="522">
        <f t="shared" si="84"/>
        <v>0</v>
      </c>
      <c r="K37" s="522">
        <f t="shared" si="85"/>
        <v>75</v>
      </c>
      <c r="L37" s="57">
        <f t="shared" si="86"/>
        <v>1000</v>
      </c>
      <c r="M37" s="60">
        <v>30</v>
      </c>
      <c r="N37" s="60"/>
      <c r="O37" s="60">
        <f t="shared" si="87"/>
        <v>30</v>
      </c>
      <c r="P37" s="60"/>
      <c r="Q37" s="60"/>
      <c r="R37" s="60">
        <f t="shared" si="88"/>
        <v>0</v>
      </c>
      <c r="S37" s="824">
        <v>45</v>
      </c>
      <c r="T37" s="60"/>
      <c r="U37" s="60">
        <f t="shared" si="89"/>
        <v>45</v>
      </c>
      <c r="V37" s="60">
        <f t="shared" si="129"/>
        <v>75</v>
      </c>
      <c r="W37" s="60">
        <f t="shared" si="129"/>
        <v>0</v>
      </c>
      <c r="X37" s="60">
        <f t="shared" si="129"/>
        <v>75</v>
      </c>
      <c r="Y37" s="60"/>
      <c r="Z37" s="60"/>
      <c r="AA37" s="60">
        <f t="shared" si="91"/>
        <v>0</v>
      </c>
      <c r="AB37" s="60"/>
      <c r="AC37" s="60"/>
      <c r="AD37" s="60">
        <f t="shared" si="92"/>
        <v>0</v>
      </c>
      <c r="AE37" s="60"/>
      <c r="AF37" s="60"/>
      <c r="AG37" s="60">
        <f t="shared" si="93"/>
        <v>0</v>
      </c>
      <c r="AH37" s="60">
        <f t="shared" si="119"/>
        <v>0</v>
      </c>
      <c r="AI37" s="60">
        <f t="shared" si="120"/>
        <v>0</v>
      </c>
      <c r="AJ37" s="60">
        <f t="shared" si="121"/>
        <v>0</v>
      </c>
      <c r="AK37" s="60"/>
      <c r="AL37" s="60"/>
      <c r="AM37" s="60">
        <f t="shared" si="94"/>
        <v>0</v>
      </c>
      <c r="AN37" s="60"/>
      <c r="AO37" s="60"/>
      <c r="AP37" s="60">
        <f t="shared" si="95"/>
        <v>0</v>
      </c>
      <c r="AQ37" s="60"/>
      <c r="AR37" s="60"/>
      <c r="AS37" s="60">
        <f t="shared" si="96"/>
        <v>0</v>
      </c>
      <c r="AT37" s="60">
        <f t="shared" si="122"/>
        <v>0</v>
      </c>
      <c r="AU37" s="60">
        <f t="shared" si="123"/>
        <v>0</v>
      </c>
      <c r="AV37" s="60">
        <f t="shared" si="124"/>
        <v>0</v>
      </c>
      <c r="AW37" s="60"/>
      <c r="AX37" s="60"/>
      <c r="AY37" s="60">
        <f t="shared" si="97"/>
        <v>0</v>
      </c>
      <c r="AZ37" s="60"/>
      <c r="BA37" s="60"/>
      <c r="BB37" s="60">
        <f t="shared" si="98"/>
        <v>0</v>
      </c>
      <c r="BC37" s="60"/>
      <c r="BD37" s="60"/>
      <c r="BE37" s="60">
        <f t="shared" si="99"/>
        <v>0</v>
      </c>
      <c r="BF37" s="60">
        <f t="shared" si="100"/>
        <v>0</v>
      </c>
      <c r="BG37" s="60">
        <f t="shared" si="101"/>
        <v>0</v>
      </c>
      <c r="BH37" s="60">
        <f t="shared" si="102"/>
        <v>0</v>
      </c>
      <c r="BI37" s="508"/>
      <c r="BJ37" s="488" t="str">
        <f t="shared" si="15"/>
        <v>Lò</v>
      </c>
      <c r="BK37" s="523">
        <f t="shared" si="103"/>
        <v>400</v>
      </c>
      <c r="BL37" s="523">
        <f t="shared" si="104"/>
        <v>0</v>
      </c>
      <c r="BM37" s="523">
        <f t="shared" si="105"/>
        <v>600</v>
      </c>
      <c r="BN37" s="523">
        <f t="shared" si="106"/>
        <v>1000</v>
      </c>
      <c r="BO37" s="523">
        <f t="shared" si="107"/>
        <v>0</v>
      </c>
      <c r="BP37" s="523">
        <f t="shared" si="108"/>
        <v>0</v>
      </c>
      <c r="BQ37" s="523">
        <f t="shared" si="109"/>
        <v>0</v>
      </c>
      <c r="BR37" s="523">
        <f t="shared" si="110"/>
        <v>0</v>
      </c>
      <c r="BS37" s="523">
        <f t="shared" si="111"/>
        <v>0</v>
      </c>
      <c r="BT37" s="523">
        <f t="shared" si="112"/>
        <v>0</v>
      </c>
      <c r="BU37" s="523">
        <f t="shared" si="113"/>
        <v>0</v>
      </c>
      <c r="BV37" s="523">
        <f t="shared" si="114"/>
        <v>0</v>
      </c>
      <c r="BW37" s="523">
        <f t="shared" si="115"/>
        <v>0</v>
      </c>
      <c r="BX37" s="523">
        <f t="shared" si="116"/>
        <v>0</v>
      </c>
      <c r="BY37" s="523">
        <f t="shared" si="117"/>
        <v>0</v>
      </c>
      <c r="BZ37" s="523">
        <f t="shared" si="118"/>
        <v>0</v>
      </c>
      <c r="CA37" s="354"/>
      <c r="CB37" s="354" t="str">
        <f t="shared" si="3"/>
        <v>X</v>
      </c>
      <c r="CC37" s="509" t="str">
        <f>CC33</f>
        <v>KT2.</v>
      </c>
      <c r="CD37" s="509" t="str">
        <f t="shared" si="48"/>
        <v>KT2.11,2</v>
      </c>
      <c r="CE37" s="351" t="str">
        <f t="shared" si="17"/>
        <v>Lò</v>
      </c>
      <c r="CF37" s="509" t="str">
        <f t="shared" si="49"/>
        <v>KT2.Lò</v>
      </c>
      <c r="CG37" s="509"/>
      <c r="CH37" s="509"/>
    </row>
    <row r="38" spans="1:86" ht="24" customHeight="1" x14ac:dyDescent="0.25">
      <c r="A38" s="354" t="e">
        <f>A37</f>
        <v>#REF!</v>
      </c>
      <c r="B38" s="518"/>
      <c r="C38" s="519" t="s">
        <v>204</v>
      </c>
      <c r="D38" s="447" t="s">
        <v>14</v>
      </c>
      <c r="E38" s="447"/>
      <c r="F38" s="447"/>
      <c r="G38" s="520">
        <v>11.2</v>
      </c>
      <c r="H38" s="521">
        <v>0.7</v>
      </c>
      <c r="I38" s="522">
        <f t="shared" si="83"/>
        <v>0</v>
      </c>
      <c r="J38" s="522">
        <f t="shared" si="84"/>
        <v>0</v>
      </c>
      <c r="K38" s="522">
        <f t="shared" si="85"/>
        <v>0</v>
      </c>
      <c r="L38" s="57">
        <f t="shared" si="86"/>
        <v>0</v>
      </c>
      <c r="M38" s="60"/>
      <c r="N38" s="60"/>
      <c r="O38" s="60">
        <f t="shared" si="87"/>
        <v>0</v>
      </c>
      <c r="P38" s="60"/>
      <c r="Q38" s="60"/>
      <c r="R38" s="60">
        <f t="shared" si="88"/>
        <v>0</v>
      </c>
      <c r="S38" s="824"/>
      <c r="T38" s="60"/>
      <c r="U38" s="60">
        <f t="shared" si="89"/>
        <v>0</v>
      </c>
      <c r="V38" s="60">
        <f t="shared" si="129"/>
        <v>0</v>
      </c>
      <c r="W38" s="60">
        <f t="shared" si="129"/>
        <v>0</v>
      </c>
      <c r="X38" s="60">
        <f t="shared" si="129"/>
        <v>0</v>
      </c>
      <c r="Y38" s="60"/>
      <c r="Z38" s="60"/>
      <c r="AA38" s="60">
        <f t="shared" si="91"/>
        <v>0</v>
      </c>
      <c r="AB38" s="60"/>
      <c r="AC38" s="60"/>
      <c r="AD38" s="60">
        <f t="shared" si="92"/>
        <v>0</v>
      </c>
      <c r="AE38" s="60"/>
      <c r="AF38" s="60"/>
      <c r="AG38" s="60">
        <f t="shared" si="93"/>
        <v>0</v>
      </c>
      <c r="AH38" s="60">
        <f t="shared" si="119"/>
        <v>0</v>
      </c>
      <c r="AI38" s="60">
        <f t="shared" si="120"/>
        <v>0</v>
      </c>
      <c r="AJ38" s="60">
        <f t="shared" si="121"/>
        <v>0</v>
      </c>
      <c r="AK38" s="60"/>
      <c r="AL38" s="60"/>
      <c r="AM38" s="60">
        <f t="shared" si="94"/>
        <v>0</v>
      </c>
      <c r="AN38" s="60"/>
      <c r="AO38" s="60"/>
      <c r="AP38" s="60">
        <f t="shared" si="95"/>
        <v>0</v>
      </c>
      <c r="AQ38" s="60"/>
      <c r="AR38" s="60"/>
      <c r="AS38" s="60">
        <f t="shared" si="96"/>
        <v>0</v>
      </c>
      <c r="AT38" s="60">
        <f t="shared" si="122"/>
        <v>0</v>
      </c>
      <c r="AU38" s="60">
        <f t="shared" si="123"/>
        <v>0</v>
      </c>
      <c r="AV38" s="60">
        <f t="shared" si="124"/>
        <v>0</v>
      </c>
      <c r="AW38" s="60"/>
      <c r="AX38" s="60"/>
      <c r="AY38" s="60">
        <f t="shared" si="97"/>
        <v>0</v>
      </c>
      <c r="AZ38" s="60"/>
      <c r="BA38" s="60"/>
      <c r="BB38" s="60">
        <f t="shared" si="98"/>
        <v>0</v>
      </c>
      <c r="BC38" s="60"/>
      <c r="BD38" s="60"/>
      <c r="BE38" s="60">
        <f t="shared" si="99"/>
        <v>0</v>
      </c>
      <c r="BF38" s="60">
        <f t="shared" si="100"/>
        <v>0</v>
      </c>
      <c r="BG38" s="60">
        <f t="shared" si="101"/>
        <v>0</v>
      </c>
      <c r="BH38" s="60">
        <f t="shared" si="102"/>
        <v>0</v>
      </c>
      <c r="BI38" s="508"/>
      <c r="BJ38" s="488" t="str">
        <f t="shared" si="15"/>
        <v>Lò</v>
      </c>
      <c r="BK38" s="523">
        <f t="shared" si="103"/>
        <v>0</v>
      </c>
      <c r="BL38" s="523">
        <f t="shared" si="104"/>
        <v>0</v>
      </c>
      <c r="BM38" s="523">
        <f t="shared" si="105"/>
        <v>0</v>
      </c>
      <c r="BN38" s="523">
        <f t="shared" si="106"/>
        <v>0</v>
      </c>
      <c r="BO38" s="523">
        <f t="shared" si="107"/>
        <v>0</v>
      </c>
      <c r="BP38" s="523">
        <f t="shared" si="108"/>
        <v>0</v>
      </c>
      <c r="BQ38" s="523">
        <f t="shared" si="109"/>
        <v>0</v>
      </c>
      <c r="BR38" s="523">
        <f t="shared" si="110"/>
        <v>0</v>
      </c>
      <c r="BS38" s="523">
        <f t="shared" si="111"/>
        <v>0</v>
      </c>
      <c r="BT38" s="523">
        <f t="shared" si="112"/>
        <v>0</v>
      </c>
      <c r="BU38" s="523">
        <f t="shared" si="113"/>
        <v>0</v>
      </c>
      <c r="BV38" s="523">
        <f t="shared" si="114"/>
        <v>0</v>
      </c>
      <c r="BW38" s="523">
        <f t="shared" si="115"/>
        <v>0</v>
      </c>
      <c r="BX38" s="523">
        <f t="shared" si="116"/>
        <v>0</v>
      </c>
      <c r="BY38" s="523">
        <f t="shared" si="117"/>
        <v>0</v>
      </c>
      <c r="BZ38" s="523">
        <f t="shared" si="118"/>
        <v>0</v>
      </c>
      <c r="CA38" s="354"/>
      <c r="CB38" s="354" t="b">
        <f t="shared" si="3"/>
        <v>0</v>
      </c>
      <c r="CC38" s="509" t="str">
        <f t="shared" si="47"/>
        <v>KT2.</v>
      </c>
      <c r="CD38" s="509" t="str">
        <f t="shared" si="48"/>
        <v>KT2.11,2</v>
      </c>
      <c r="CE38" s="351" t="str">
        <f t="shared" si="17"/>
        <v>Lò</v>
      </c>
      <c r="CF38" s="509" t="str">
        <f t="shared" si="49"/>
        <v>KT2.Lò</v>
      </c>
      <c r="CG38" s="509"/>
      <c r="CH38" s="509"/>
    </row>
    <row r="39" spans="1:86" s="359" customFormat="1" ht="21.75" customHeight="1" x14ac:dyDescent="0.3">
      <c r="A39" s="510" t="e">
        <f>A38</f>
        <v>#REF!</v>
      </c>
      <c r="B39" s="525" t="s">
        <v>37</v>
      </c>
      <c r="C39" s="526" t="s">
        <v>178</v>
      </c>
      <c r="D39" s="527"/>
      <c r="E39" s="527"/>
      <c r="F39" s="527"/>
      <c r="G39" s="528"/>
      <c r="H39" s="529"/>
      <c r="I39" s="70">
        <f t="shared" ref="I39:AN39" si="130">SUM(I40:I43)</f>
        <v>283</v>
      </c>
      <c r="J39" s="70">
        <f t="shared" si="130"/>
        <v>155</v>
      </c>
      <c r="K39" s="70">
        <f t="shared" si="130"/>
        <v>128</v>
      </c>
      <c r="L39" s="70">
        <f t="shared" si="130"/>
        <v>300</v>
      </c>
      <c r="M39" s="224">
        <f t="shared" si="130"/>
        <v>43</v>
      </c>
      <c r="N39" s="224">
        <f t="shared" si="130"/>
        <v>15</v>
      </c>
      <c r="O39" s="224">
        <f t="shared" si="130"/>
        <v>28</v>
      </c>
      <c r="P39" s="224">
        <f t="shared" si="130"/>
        <v>0</v>
      </c>
      <c r="Q39" s="224">
        <f t="shared" si="130"/>
        <v>0</v>
      </c>
      <c r="R39" s="224">
        <f t="shared" si="130"/>
        <v>0</v>
      </c>
      <c r="S39" s="825">
        <f t="shared" si="130"/>
        <v>0</v>
      </c>
      <c r="T39" s="224">
        <f t="shared" si="130"/>
        <v>0</v>
      </c>
      <c r="U39" s="224">
        <f t="shared" si="130"/>
        <v>0</v>
      </c>
      <c r="V39" s="224">
        <f t="shared" si="130"/>
        <v>43</v>
      </c>
      <c r="W39" s="224">
        <f t="shared" si="130"/>
        <v>15</v>
      </c>
      <c r="X39" s="224">
        <f t="shared" si="130"/>
        <v>28</v>
      </c>
      <c r="Y39" s="224">
        <f t="shared" si="130"/>
        <v>25</v>
      </c>
      <c r="Z39" s="224">
        <f t="shared" si="130"/>
        <v>15</v>
      </c>
      <c r="AA39" s="224">
        <f t="shared" si="130"/>
        <v>10</v>
      </c>
      <c r="AB39" s="224">
        <f t="shared" si="130"/>
        <v>25</v>
      </c>
      <c r="AC39" s="224">
        <f t="shared" si="130"/>
        <v>15</v>
      </c>
      <c r="AD39" s="224">
        <f t="shared" si="130"/>
        <v>10</v>
      </c>
      <c r="AE39" s="224">
        <f t="shared" si="130"/>
        <v>40</v>
      </c>
      <c r="AF39" s="224">
        <f t="shared" si="130"/>
        <v>15</v>
      </c>
      <c r="AG39" s="224">
        <f t="shared" si="130"/>
        <v>25</v>
      </c>
      <c r="AH39" s="224">
        <f t="shared" si="130"/>
        <v>90</v>
      </c>
      <c r="AI39" s="224">
        <f t="shared" si="130"/>
        <v>45</v>
      </c>
      <c r="AJ39" s="224">
        <f t="shared" si="130"/>
        <v>45</v>
      </c>
      <c r="AK39" s="224">
        <f t="shared" si="130"/>
        <v>25</v>
      </c>
      <c r="AL39" s="224">
        <f t="shared" si="130"/>
        <v>10</v>
      </c>
      <c r="AM39" s="224">
        <f t="shared" si="130"/>
        <v>15</v>
      </c>
      <c r="AN39" s="224">
        <f t="shared" si="130"/>
        <v>25</v>
      </c>
      <c r="AO39" s="224">
        <f t="shared" ref="AO39:BH39" si="131">SUM(AO40:AO43)</f>
        <v>10</v>
      </c>
      <c r="AP39" s="224">
        <f t="shared" si="131"/>
        <v>15</v>
      </c>
      <c r="AQ39" s="224">
        <f t="shared" si="131"/>
        <v>25</v>
      </c>
      <c r="AR39" s="224">
        <f t="shared" si="131"/>
        <v>15</v>
      </c>
      <c r="AS39" s="224">
        <f t="shared" si="131"/>
        <v>10</v>
      </c>
      <c r="AT39" s="224">
        <f t="shared" si="131"/>
        <v>75</v>
      </c>
      <c r="AU39" s="224">
        <f t="shared" si="131"/>
        <v>35</v>
      </c>
      <c r="AV39" s="224">
        <f t="shared" si="131"/>
        <v>40</v>
      </c>
      <c r="AW39" s="224">
        <f t="shared" si="131"/>
        <v>25</v>
      </c>
      <c r="AX39" s="224">
        <f t="shared" si="131"/>
        <v>20</v>
      </c>
      <c r="AY39" s="224">
        <f t="shared" si="131"/>
        <v>5</v>
      </c>
      <c r="AZ39" s="224">
        <f t="shared" si="131"/>
        <v>25</v>
      </c>
      <c r="BA39" s="224">
        <f t="shared" si="131"/>
        <v>20</v>
      </c>
      <c r="BB39" s="224">
        <f t="shared" si="131"/>
        <v>5</v>
      </c>
      <c r="BC39" s="224">
        <f t="shared" si="131"/>
        <v>25</v>
      </c>
      <c r="BD39" s="224">
        <f t="shared" si="131"/>
        <v>20</v>
      </c>
      <c r="BE39" s="224">
        <f t="shared" si="131"/>
        <v>5</v>
      </c>
      <c r="BF39" s="224">
        <f t="shared" si="131"/>
        <v>75</v>
      </c>
      <c r="BG39" s="224">
        <f t="shared" si="131"/>
        <v>60</v>
      </c>
      <c r="BH39" s="224">
        <f t="shared" si="131"/>
        <v>15</v>
      </c>
      <c r="BI39" s="530"/>
      <c r="BJ39" s="488" t="str">
        <f t="shared" si="15"/>
        <v>XL</v>
      </c>
      <c r="BK39" s="225">
        <f t="shared" ref="BK39:BZ39" si="132">SUM(BK40:BK43)</f>
        <v>100</v>
      </c>
      <c r="BL39" s="225">
        <f t="shared" si="132"/>
        <v>0</v>
      </c>
      <c r="BM39" s="225">
        <f t="shared" si="132"/>
        <v>0</v>
      </c>
      <c r="BN39" s="225">
        <f t="shared" si="132"/>
        <v>100</v>
      </c>
      <c r="BO39" s="225">
        <f t="shared" si="132"/>
        <v>0</v>
      </c>
      <c r="BP39" s="225">
        <f t="shared" si="132"/>
        <v>0</v>
      </c>
      <c r="BQ39" s="225">
        <f t="shared" si="132"/>
        <v>100</v>
      </c>
      <c r="BR39" s="225">
        <f t="shared" si="132"/>
        <v>100</v>
      </c>
      <c r="BS39" s="225">
        <f t="shared" si="132"/>
        <v>0</v>
      </c>
      <c r="BT39" s="225">
        <f t="shared" si="132"/>
        <v>0</v>
      </c>
      <c r="BU39" s="225">
        <f t="shared" si="132"/>
        <v>0</v>
      </c>
      <c r="BV39" s="225">
        <f t="shared" si="132"/>
        <v>100</v>
      </c>
      <c r="BW39" s="225">
        <f t="shared" si="132"/>
        <v>0</v>
      </c>
      <c r="BX39" s="225">
        <f t="shared" si="132"/>
        <v>0</v>
      </c>
      <c r="BY39" s="225">
        <f t="shared" si="132"/>
        <v>0</v>
      </c>
      <c r="BZ39" s="225">
        <f t="shared" si="132"/>
        <v>0</v>
      </c>
      <c r="CA39" s="510"/>
      <c r="CB39" s="510" t="str">
        <f t="shared" si="3"/>
        <v>X</v>
      </c>
      <c r="CC39" s="509" t="str">
        <f t="shared" si="47"/>
        <v>KT2.</v>
      </c>
      <c r="CD39" s="509" t="str">
        <f t="shared" si="48"/>
        <v>KT2.</v>
      </c>
      <c r="CE39" s="351" t="str">
        <f t="shared" si="17"/>
        <v>XL</v>
      </c>
      <c r="CF39" s="509" t="str">
        <f t="shared" si="49"/>
        <v>KT2.XL</v>
      </c>
      <c r="CG39" s="509"/>
      <c r="CH39" s="509"/>
    </row>
    <row r="40" spans="1:86" ht="21" customHeight="1" x14ac:dyDescent="0.25">
      <c r="A40" s="354" t="e">
        <f>A39</f>
        <v>#REF!</v>
      </c>
      <c r="B40" s="484"/>
      <c r="C40" s="531" t="s">
        <v>558</v>
      </c>
      <c r="D40" s="447" t="s">
        <v>14</v>
      </c>
      <c r="E40" s="447"/>
      <c r="F40" s="447"/>
      <c r="G40" s="520">
        <v>13.1</v>
      </c>
      <c r="H40" s="521">
        <v>0.7</v>
      </c>
      <c r="I40" s="522">
        <f t="shared" ref="I40:K43" si="133">V40+AH40+AT40+BF40</f>
        <v>0</v>
      </c>
      <c r="J40" s="522">
        <f t="shared" si="133"/>
        <v>0</v>
      </c>
      <c r="K40" s="522">
        <f t="shared" si="133"/>
        <v>0</v>
      </c>
      <c r="L40" s="57">
        <f>BN40+BR40+BV40+BZ40</f>
        <v>0</v>
      </c>
      <c r="M40" s="60"/>
      <c r="N40" s="60"/>
      <c r="O40" s="60">
        <f>M40-N40</f>
        <v>0</v>
      </c>
      <c r="P40" s="60"/>
      <c r="Q40" s="60"/>
      <c r="R40" s="60">
        <f>P40-Q40</f>
        <v>0</v>
      </c>
      <c r="S40" s="824"/>
      <c r="T40" s="60"/>
      <c r="U40" s="60">
        <f>S40-T40</f>
        <v>0</v>
      </c>
      <c r="V40" s="60">
        <f t="shared" ref="V40:X43" si="134">M40+P40+S40</f>
        <v>0</v>
      </c>
      <c r="W40" s="60">
        <f t="shared" si="134"/>
        <v>0</v>
      </c>
      <c r="X40" s="60">
        <f t="shared" si="134"/>
        <v>0</v>
      </c>
      <c r="Y40" s="60"/>
      <c r="Z40" s="60"/>
      <c r="AA40" s="60">
        <f>Y40-Z40</f>
        <v>0</v>
      </c>
      <c r="AB40" s="60"/>
      <c r="AC40" s="60"/>
      <c r="AD40" s="60">
        <f>AB40-AC40</f>
        <v>0</v>
      </c>
      <c r="AE40" s="60"/>
      <c r="AF40" s="60"/>
      <c r="AG40" s="60">
        <f>AE40-AF40</f>
        <v>0</v>
      </c>
      <c r="AH40" s="60">
        <f t="shared" ref="AH40:AJ41" si="135">Y40+AB40+AE40</f>
        <v>0</v>
      </c>
      <c r="AI40" s="60">
        <f t="shared" si="135"/>
        <v>0</v>
      </c>
      <c r="AJ40" s="60">
        <f t="shared" si="135"/>
        <v>0</v>
      </c>
      <c r="AK40" s="60"/>
      <c r="AL40" s="60"/>
      <c r="AM40" s="60">
        <f>AK40-AL40</f>
        <v>0</v>
      </c>
      <c r="AN40" s="60"/>
      <c r="AO40" s="60"/>
      <c r="AP40" s="60">
        <f>AN40-AO40</f>
        <v>0</v>
      </c>
      <c r="AQ40" s="60"/>
      <c r="AR40" s="60"/>
      <c r="AS40" s="60">
        <f>AQ40-AR40</f>
        <v>0</v>
      </c>
      <c r="AT40" s="60">
        <f t="shared" ref="AT40:AV41" si="136">AK40+AN40+AQ40</f>
        <v>0</v>
      </c>
      <c r="AU40" s="60">
        <f t="shared" si="136"/>
        <v>0</v>
      </c>
      <c r="AV40" s="60">
        <f t="shared" si="136"/>
        <v>0</v>
      </c>
      <c r="AW40" s="60"/>
      <c r="AX40" s="60"/>
      <c r="AY40" s="60">
        <f>AW40-AX40</f>
        <v>0</v>
      </c>
      <c r="AZ40" s="60"/>
      <c r="BA40" s="60"/>
      <c r="BB40" s="60">
        <f>AZ40-BA40</f>
        <v>0</v>
      </c>
      <c r="BC40" s="60"/>
      <c r="BD40" s="60"/>
      <c r="BE40" s="60">
        <f>BC40-BD40</f>
        <v>0</v>
      </c>
      <c r="BF40" s="60">
        <f t="shared" ref="BF40:BH41" si="137">AW40+AZ40+BC40</f>
        <v>0</v>
      </c>
      <c r="BG40" s="60">
        <f t="shared" si="137"/>
        <v>0</v>
      </c>
      <c r="BH40" s="60">
        <f t="shared" si="137"/>
        <v>0</v>
      </c>
      <c r="BI40" s="508"/>
      <c r="BJ40" s="488" t="str">
        <f t="shared" si="15"/>
        <v>Xé</v>
      </c>
      <c r="BK40" s="523">
        <f>ROUND(O40*G40*$B$6,-2)</f>
        <v>0</v>
      </c>
      <c r="BL40" s="523">
        <f>ROUND(R40*G40*$B$6,-2)</f>
        <v>0</v>
      </c>
      <c r="BM40" s="523">
        <f>ROUND(U40*G40*$B$6,-2)</f>
        <v>0</v>
      </c>
      <c r="BN40" s="523">
        <f>ROUND(X40*G40*$B$6,-2)</f>
        <v>0</v>
      </c>
      <c r="BO40" s="523">
        <f>ROUND(AA40*G40*$B$6,-2)</f>
        <v>0</v>
      </c>
      <c r="BP40" s="523">
        <f>ROUND(AD40*G40*$B$6,-2)</f>
        <v>0</v>
      </c>
      <c r="BQ40" s="523">
        <f>ROUND(AG40*G40*$B$6,-2)</f>
        <v>0</v>
      </c>
      <c r="BR40" s="523">
        <f>ROUND(AJ40*G40*$B$6,-2)</f>
        <v>0</v>
      </c>
      <c r="BS40" s="523">
        <f>ROUND(AM40*G40*$B$6,-2)</f>
        <v>0</v>
      </c>
      <c r="BT40" s="523">
        <f>ROUND(AP40*G40*$B$6,-2)</f>
        <v>0</v>
      </c>
      <c r="BU40" s="523">
        <f>ROUND(AS40*G40*$B$6,-2)</f>
        <v>0</v>
      </c>
      <c r="BV40" s="523">
        <f>ROUND(AV40*G40*$B$6,-2)</f>
        <v>0</v>
      </c>
      <c r="BW40" s="523">
        <f>ROUND(AY40*G40*$B$6,-2)</f>
        <v>0</v>
      </c>
      <c r="BX40" s="523">
        <f>ROUND(BB40*G40*$B$6,-2)</f>
        <v>0</v>
      </c>
      <c r="BY40" s="523">
        <f>ROUND(BE40*G40*$B$6,-2)</f>
        <v>0</v>
      </c>
      <c r="BZ40" s="523">
        <f>ROUND(BH40*G40*$B$6,-2)</f>
        <v>0</v>
      </c>
      <c r="CA40" s="354"/>
      <c r="CB40" s="354" t="b">
        <f t="shared" si="3"/>
        <v>0</v>
      </c>
      <c r="CC40" s="509" t="str">
        <f t="shared" si="47"/>
        <v>KT2.</v>
      </c>
      <c r="CD40" s="509" t="str">
        <f t="shared" si="48"/>
        <v>KT2.13,1</v>
      </c>
      <c r="CE40" s="351" t="str">
        <f t="shared" si="17"/>
        <v>Xé</v>
      </c>
      <c r="CF40" s="509" t="str">
        <f t="shared" si="49"/>
        <v>KT2.Xé</v>
      </c>
      <c r="CG40" s="509"/>
      <c r="CH40" s="509"/>
    </row>
    <row r="41" spans="1:86" ht="21" customHeight="1" x14ac:dyDescent="0.25">
      <c r="A41" s="354" t="e">
        <f>A38</f>
        <v>#REF!</v>
      </c>
      <c r="B41" s="484"/>
      <c r="C41" s="531" t="s">
        <v>559</v>
      </c>
      <c r="D41" s="447" t="s">
        <v>14</v>
      </c>
      <c r="E41" s="447"/>
      <c r="F41" s="447"/>
      <c r="G41" s="520">
        <v>11.2</v>
      </c>
      <c r="H41" s="521">
        <v>0.7</v>
      </c>
      <c r="I41" s="522">
        <f t="shared" si="133"/>
        <v>115</v>
      </c>
      <c r="J41" s="522">
        <f t="shared" si="133"/>
        <v>55</v>
      </c>
      <c r="K41" s="522">
        <f t="shared" si="133"/>
        <v>60</v>
      </c>
      <c r="L41" s="57">
        <f>BN41+BR41+BV41+BZ41</f>
        <v>100</v>
      </c>
      <c r="M41" s="60"/>
      <c r="N41" s="60"/>
      <c r="O41" s="60">
        <f>M41-N41</f>
        <v>0</v>
      </c>
      <c r="P41" s="60"/>
      <c r="Q41" s="60"/>
      <c r="R41" s="60">
        <f>P41-Q41</f>
        <v>0</v>
      </c>
      <c r="S41" s="824"/>
      <c r="T41" s="60"/>
      <c r="U41" s="60">
        <f>S41-T41</f>
        <v>0</v>
      </c>
      <c r="V41" s="60">
        <f t="shared" si="134"/>
        <v>0</v>
      </c>
      <c r="W41" s="60">
        <f t="shared" si="134"/>
        <v>0</v>
      </c>
      <c r="X41" s="60">
        <f t="shared" si="134"/>
        <v>0</v>
      </c>
      <c r="Y41" s="60">
        <v>25</v>
      </c>
      <c r="Z41" s="60">
        <v>15</v>
      </c>
      <c r="AA41" s="60">
        <f>Y41-Z41</f>
        <v>10</v>
      </c>
      <c r="AB41" s="60">
        <v>25</v>
      </c>
      <c r="AC41" s="60">
        <v>15</v>
      </c>
      <c r="AD41" s="60">
        <f>AB41-AC41</f>
        <v>10</v>
      </c>
      <c r="AE41" s="60">
        <v>40</v>
      </c>
      <c r="AF41" s="60">
        <v>15</v>
      </c>
      <c r="AG41" s="60">
        <f>AE41-AF41</f>
        <v>25</v>
      </c>
      <c r="AH41" s="60">
        <f t="shared" si="135"/>
        <v>90</v>
      </c>
      <c r="AI41" s="60">
        <f t="shared" si="135"/>
        <v>45</v>
      </c>
      <c r="AJ41" s="60">
        <f t="shared" si="135"/>
        <v>45</v>
      </c>
      <c r="AK41" s="60">
        <v>25</v>
      </c>
      <c r="AL41" s="60">
        <v>10</v>
      </c>
      <c r="AM41" s="60">
        <f>AK41-AL41</f>
        <v>15</v>
      </c>
      <c r="AN41" s="60"/>
      <c r="AO41" s="60"/>
      <c r="AP41" s="60">
        <f>AN41-AO41</f>
        <v>0</v>
      </c>
      <c r="AQ41" s="60"/>
      <c r="AR41" s="60"/>
      <c r="AS41" s="60">
        <f>AQ41-AR41</f>
        <v>0</v>
      </c>
      <c r="AT41" s="60">
        <f t="shared" si="136"/>
        <v>25</v>
      </c>
      <c r="AU41" s="60">
        <f t="shared" si="136"/>
        <v>10</v>
      </c>
      <c r="AV41" s="60">
        <f t="shared" si="136"/>
        <v>15</v>
      </c>
      <c r="AW41" s="60"/>
      <c r="AX41" s="60"/>
      <c r="AY41" s="60">
        <f>AW41-AX41</f>
        <v>0</v>
      </c>
      <c r="AZ41" s="60"/>
      <c r="BA41" s="60"/>
      <c r="BB41" s="60">
        <f>AZ41-BA41</f>
        <v>0</v>
      </c>
      <c r="BC41" s="60"/>
      <c r="BD41" s="60"/>
      <c r="BE41" s="60">
        <f>BC41-BD41</f>
        <v>0</v>
      </c>
      <c r="BF41" s="60">
        <f t="shared" si="137"/>
        <v>0</v>
      </c>
      <c r="BG41" s="60">
        <f t="shared" si="137"/>
        <v>0</v>
      </c>
      <c r="BH41" s="60">
        <f t="shared" si="137"/>
        <v>0</v>
      </c>
      <c r="BI41" s="508"/>
      <c r="BJ41" s="488" t="str">
        <f t="shared" si="15"/>
        <v>Xé</v>
      </c>
      <c r="BK41" s="523">
        <f>ROUND(O41*G41*$B$6,-2)</f>
        <v>0</v>
      </c>
      <c r="BL41" s="523">
        <f>ROUND(R41*G41*$B$6,-2)</f>
        <v>0</v>
      </c>
      <c r="BM41" s="523">
        <f>ROUND(U41*G41*$B$6,-2)</f>
        <v>0</v>
      </c>
      <c r="BN41" s="523">
        <f>ROUND(X41*G41*$B$6,-2)</f>
        <v>0</v>
      </c>
      <c r="BO41" s="523">
        <f>ROUND(AA41*G41*$B$6,-2)</f>
        <v>0</v>
      </c>
      <c r="BP41" s="523">
        <f>ROUND(AD41*G41*$B$6,-2)</f>
        <v>0</v>
      </c>
      <c r="BQ41" s="523">
        <f>ROUND(AG41*G41*$B$6,-2)</f>
        <v>100</v>
      </c>
      <c r="BR41" s="523">
        <f>ROUND(AJ41*G41*$B$6,-2)</f>
        <v>100</v>
      </c>
      <c r="BS41" s="523">
        <f>ROUND(AM41*G41*$B$6,-2)</f>
        <v>0</v>
      </c>
      <c r="BT41" s="523">
        <f>ROUND(AP41*G41*$B$6,-1)</f>
        <v>0</v>
      </c>
      <c r="BU41" s="523">
        <f>ROUND(AS41*G41*$B$6,-1)</f>
        <v>0</v>
      </c>
      <c r="BV41" s="523">
        <f>ROUND(AV41*G41*$B$6,-2)</f>
        <v>0</v>
      </c>
      <c r="BW41" s="523">
        <f>ROUND(AY41*G41*$B$6,-2)</f>
        <v>0</v>
      </c>
      <c r="BX41" s="523">
        <f>ROUND(BB41*G41*$B$6,-2)</f>
        <v>0</v>
      </c>
      <c r="BY41" s="523">
        <f>ROUND(BE41*G41*$B$6,-2)</f>
        <v>0</v>
      </c>
      <c r="BZ41" s="523">
        <f>ROUND(BH41*G41*$B$6,-2)</f>
        <v>0</v>
      </c>
      <c r="CA41" s="354"/>
      <c r="CB41" s="354" t="str">
        <f t="shared" si="3"/>
        <v>X</v>
      </c>
      <c r="CC41" s="509" t="str">
        <f>CC38</f>
        <v>KT2.</v>
      </c>
      <c r="CD41" s="509" t="str">
        <f t="shared" si="48"/>
        <v>KT2.11,2</v>
      </c>
      <c r="CE41" s="351" t="str">
        <f t="shared" si="17"/>
        <v>Xé</v>
      </c>
      <c r="CF41" s="509" t="str">
        <f t="shared" si="49"/>
        <v>KT2.Xé</v>
      </c>
      <c r="CG41" s="509"/>
      <c r="CH41" s="509"/>
    </row>
    <row r="42" spans="1:86" ht="27.75" customHeight="1" x14ac:dyDescent="0.25">
      <c r="A42" s="354" t="e">
        <f>A39</f>
        <v>#REF!</v>
      </c>
      <c r="B42" s="484"/>
      <c r="C42" s="531" t="s">
        <v>639</v>
      </c>
      <c r="D42" s="447" t="s">
        <v>14</v>
      </c>
      <c r="E42" s="447"/>
      <c r="F42" s="447"/>
      <c r="G42" s="520">
        <v>11.2</v>
      </c>
      <c r="H42" s="521">
        <v>0.7</v>
      </c>
      <c r="I42" s="522">
        <f t="shared" si="133"/>
        <v>168</v>
      </c>
      <c r="J42" s="522">
        <f t="shared" si="133"/>
        <v>100</v>
      </c>
      <c r="K42" s="522">
        <f t="shared" si="133"/>
        <v>68</v>
      </c>
      <c r="L42" s="57">
        <f>BN42+BR42+BV42+BZ42</f>
        <v>200</v>
      </c>
      <c r="M42" s="60">
        <v>43</v>
      </c>
      <c r="N42" s="60">
        <v>15</v>
      </c>
      <c r="O42" s="60">
        <f>M42-N42</f>
        <v>28</v>
      </c>
      <c r="P42" s="60"/>
      <c r="Q42" s="60"/>
      <c r="R42" s="60">
        <f>P42-Q42</f>
        <v>0</v>
      </c>
      <c r="S42" s="824"/>
      <c r="T42" s="60"/>
      <c r="U42" s="60">
        <f>S42-T42</f>
        <v>0</v>
      </c>
      <c r="V42" s="60">
        <f t="shared" si="134"/>
        <v>43</v>
      </c>
      <c r="W42" s="60">
        <f t="shared" si="134"/>
        <v>15</v>
      </c>
      <c r="X42" s="60">
        <f t="shared" si="134"/>
        <v>28</v>
      </c>
      <c r="Y42" s="60"/>
      <c r="Z42" s="60"/>
      <c r="AA42" s="60">
        <f>Y42-Z42</f>
        <v>0</v>
      </c>
      <c r="AB42" s="60"/>
      <c r="AC42" s="60"/>
      <c r="AD42" s="60">
        <f>AB42-AC42</f>
        <v>0</v>
      </c>
      <c r="AE42" s="60"/>
      <c r="AF42" s="60"/>
      <c r="AG42" s="60">
        <f>AE42-AF42</f>
        <v>0</v>
      </c>
      <c r="AH42" s="60">
        <f t="shared" ref="AH42:AJ43" si="138">Y42+AB42+AE42</f>
        <v>0</v>
      </c>
      <c r="AI42" s="60">
        <f t="shared" si="138"/>
        <v>0</v>
      </c>
      <c r="AJ42" s="60">
        <f t="shared" si="138"/>
        <v>0</v>
      </c>
      <c r="AK42" s="60"/>
      <c r="AL42" s="60"/>
      <c r="AM42" s="60">
        <f>AK42-AL42</f>
        <v>0</v>
      </c>
      <c r="AN42" s="60">
        <v>25</v>
      </c>
      <c r="AO42" s="60">
        <v>10</v>
      </c>
      <c r="AP42" s="60">
        <f>AN42-AO42</f>
        <v>15</v>
      </c>
      <c r="AQ42" s="60">
        <v>25</v>
      </c>
      <c r="AR42" s="60">
        <v>15</v>
      </c>
      <c r="AS42" s="60">
        <f>AQ42-AR42</f>
        <v>10</v>
      </c>
      <c r="AT42" s="60">
        <f t="shared" ref="AT42:AV43" si="139">AK42+AN42+AQ42</f>
        <v>50</v>
      </c>
      <c r="AU42" s="60">
        <f>AL42+AO42+AR42</f>
        <v>25</v>
      </c>
      <c r="AV42" s="60">
        <f t="shared" si="139"/>
        <v>25</v>
      </c>
      <c r="AW42" s="60">
        <v>25</v>
      </c>
      <c r="AX42" s="60">
        <v>20</v>
      </c>
      <c r="AY42" s="60">
        <f>AW42-AX42</f>
        <v>5</v>
      </c>
      <c r="AZ42" s="60">
        <v>25</v>
      </c>
      <c r="BA42" s="60">
        <v>20</v>
      </c>
      <c r="BB42" s="60">
        <f>AZ42-BA42</f>
        <v>5</v>
      </c>
      <c r="BC42" s="60">
        <v>25</v>
      </c>
      <c r="BD42" s="60">
        <v>20</v>
      </c>
      <c r="BE42" s="60">
        <f>BC42-BD42</f>
        <v>5</v>
      </c>
      <c r="BF42" s="60">
        <f t="shared" ref="BF42:BH43" si="140">AW42+AZ42+BC42</f>
        <v>75</v>
      </c>
      <c r="BG42" s="60">
        <f t="shared" si="140"/>
        <v>60</v>
      </c>
      <c r="BH42" s="60">
        <f t="shared" si="140"/>
        <v>15</v>
      </c>
      <c r="BI42" s="508"/>
      <c r="BJ42" s="488" t="str">
        <f t="shared" si="15"/>
        <v>Xé</v>
      </c>
      <c r="BK42" s="523">
        <f>ROUND(O42*G42*$B$6,-2)</f>
        <v>100</v>
      </c>
      <c r="BL42" s="523">
        <f>ROUND(R42*G42*$B$6,-2)</f>
        <v>0</v>
      </c>
      <c r="BM42" s="523">
        <f>ROUND(U42*G42*$B$6,-2)</f>
        <v>0</v>
      </c>
      <c r="BN42" s="523">
        <f>ROUND(X42*G42*$B$6,-2)</f>
        <v>100</v>
      </c>
      <c r="BO42" s="523">
        <f>ROUND(AA42*G42*$B$6,-1)</f>
        <v>0</v>
      </c>
      <c r="BP42" s="523">
        <f>ROUND(AB42*H42*$B$6,-1)</f>
        <v>0</v>
      </c>
      <c r="BQ42" s="523">
        <f>ROUND(AC42*I42*$B$6,-1)</f>
        <v>0</v>
      </c>
      <c r="BR42" s="523">
        <f>ROUND(AJ42*G42*$B$6,-2)</f>
        <v>0</v>
      </c>
      <c r="BS42" s="523">
        <f>ROUND(AM42*G42*$B$6,-1)</f>
        <v>0</v>
      </c>
      <c r="BT42" s="523">
        <f>ROUND(AP42*G42*$B$6,-2)</f>
        <v>0</v>
      </c>
      <c r="BU42" s="523">
        <f>ROUND(AS42*G42*$B$6,-2)</f>
        <v>0</v>
      </c>
      <c r="BV42" s="523">
        <f>ROUND(AV42*G42*$B$6,-2)</f>
        <v>100</v>
      </c>
      <c r="BW42" s="523">
        <f>ROUND(AY42*G42*$B$6,-2)</f>
        <v>0</v>
      </c>
      <c r="BX42" s="523">
        <f>ROUND(BB42*G42*$B$6,-2)</f>
        <v>0</v>
      </c>
      <c r="BY42" s="523">
        <f>ROUND(BE42*G42*$B$6,-2)</f>
        <v>0</v>
      </c>
      <c r="BZ42" s="523">
        <f>ROUND(BH42*G42*$B$6,-2)</f>
        <v>0</v>
      </c>
      <c r="CA42" s="354"/>
      <c r="CB42" s="354" t="str">
        <f>IF(SUM(I42:L42)&lt;&gt;0,"X")</f>
        <v>X</v>
      </c>
      <c r="CC42" s="509" t="str">
        <f>CC39</f>
        <v>KT2.</v>
      </c>
      <c r="CD42" s="509" t="str">
        <f>CC42&amp;G42</f>
        <v>KT2.11,2</v>
      </c>
      <c r="CE42" s="351" t="str">
        <f t="shared" si="17"/>
        <v>Xé</v>
      </c>
      <c r="CF42" s="509" t="str">
        <f>CC42&amp;CE42</f>
        <v>KT2.Xé</v>
      </c>
      <c r="CG42" s="509"/>
      <c r="CH42" s="509"/>
    </row>
    <row r="43" spans="1:86" ht="21" customHeight="1" x14ac:dyDescent="0.25">
      <c r="A43" s="354" t="e">
        <f>A40</f>
        <v>#REF!</v>
      </c>
      <c r="B43" s="484"/>
      <c r="C43" s="531" t="s">
        <v>205</v>
      </c>
      <c r="D43" s="447" t="s">
        <v>14</v>
      </c>
      <c r="E43" s="447"/>
      <c r="F43" s="447"/>
      <c r="G43" s="520">
        <v>13.1</v>
      </c>
      <c r="H43" s="521">
        <v>0.7</v>
      </c>
      <c r="I43" s="522">
        <f t="shared" si="133"/>
        <v>0</v>
      </c>
      <c r="J43" s="522">
        <f t="shared" si="133"/>
        <v>0</v>
      </c>
      <c r="K43" s="522">
        <f t="shared" si="133"/>
        <v>0</v>
      </c>
      <c r="L43" s="57">
        <f>BN43+BR43+BV43+BZ43</f>
        <v>0</v>
      </c>
      <c r="M43" s="60"/>
      <c r="N43" s="60"/>
      <c r="O43" s="60">
        <f>M43-N43</f>
        <v>0</v>
      </c>
      <c r="P43" s="60"/>
      <c r="Q43" s="60"/>
      <c r="R43" s="60">
        <f>P43-Q43</f>
        <v>0</v>
      </c>
      <c r="S43" s="824"/>
      <c r="T43" s="60"/>
      <c r="U43" s="60">
        <f>S43-T43</f>
        <v>0</v>
      </c>
      <c r="V43" s="60">
        <f t="shared" si="134"/>
        <v>0</v>
      </c>
      <c r="W43" s="60">
        <f t="shared" si="134"/>
        <v>0</v>
      </c>
      <c r="X43" s="60">
        <f t="shared" si="134"/>
        <v>0</v>
      </c>
      <c r="Y43" s="60"/>
      <c r="Z43" s="60"/>
      <c r="AA43" s="60">
        <f>Y43-Z43</f>
        <v>0</v>
      </c>
      <c r="AB43" s="60"/>
      <c r="AC43" s="60"/>
      <c r="AD43" s="60">
        <f>AB43-AC43</f>
        <v>0</v>
      </c>
      <c r="AE43" s="60"/>
      <c r="AF43" s="60"/>
      <c r="AG43" s="60">
        <f>AE43-AF43</f>
        <v>0</v>
      </c>
      <c r="AH43" s="60">
        <f t="shared" si="138"/>
        <v>0</v>
      </c>
      <c r="AI43" s="60">
        <f t="shared" si="138"/>
        <v>0</v>
      </c>
      <c r="AJ43" s="60">
        <f t="shared" si="138"/>
        <v>0</v>
      </c>
      <c r="AK43" s="60"/>
      <c r="AL43" s="60"/>
      <c r="AM43" s="60">
        <f>AK43-AL43</f>
        <v>0</v>
      </c>
      <c r="AN43" s="60"/>
      <c r="AO43" s="60"/>
      <c r="AP43" s="60">
        <f>AN43-AO43</f>
        <v>0</v>
      </c>
      <c r="AQ43" s="60"/>
      <c r="AR43" s="60"/>
      <c r="AS43" s="60">
        <f>AQ43-AR43</f>
        <v>0</v>
      </c>
      <c r="AT43" s="60">
        <f t="shared" si="139"/>
        <v>0</v>
      </c>
      <c r="AU43" s="60">
        <f t="shared" si="139"/>
        <v>0</v>
      </c>
      <c r="AV43" s="60">
        <f t="shared" si="139"/>
        <v>0</v>
      </c>
      <c r="AW43" s="60"/>
      <c r="AX43" s="60"/>
      <c r="AY43" s="60">
        <f>AW43-AX43</f>
        <v>0</v>
      </c>
      <c r="AZ43" s="60"/>
      <c r="BA43" s="60"/>
      <c r="BB43" s="60">
        <f>AZ43-BA43</f>
        <v>0</v>
      </c>
      <c r="BC43" s="60"/>
      <c r="BD43" s="60"/>
      <c r="BE43" s="60">
        <f>BC43-BD43</f>
        <v>0</v>
      </c>
      <c r="BF43" s="60">
        <f t="shared" si="140"/>
        <v>0</v>
      </c>
      <c r="BG43" s="60">
        <f t="shared" si="140"/>
        <v>0</v>
      </c>
      <c r="BH43" s="60">
        <f t="shared" si="140"/>
        <v>0</v>
      </c>
      <c r="BI43" s="508"/>
      <c r="BJ43" s="488" t="str">
        <f t="shared" si="15"/>
        <v>Xé</v>
      </c>
      <c r="BK43" s="523">
        <f>ROUND(O43*G43*$B$6,-2)</f>
        <v>0</v>
      </c>
      <c r="BL43" s="523">
        <f>ROUND(R43*G43*$B$6,-2)</f>
        <v>0</v>
      </c>
      <c r="BM43" s="523">
        <f>ROUND(U43*G43*$B$6,-2)</f>
        <v>0</v>
      </c>
      <c r="BN43" s="523">
        <f>ROUND(X43*G43*$B$6,-2)</f>
        <v>0</v>
      </c>
      <c r="BO43" s="523">
        <f>ROUND(AA43*G43*$B$6,-2)</f>
        <v>0</v>
      </c>
      <c r="BP43" s="523">
        <f>ROUND(AD43*G43*$B$6,-2)</f>
        <v>0</v>
      </c>
      <c r="BQ43" s="523">
        <f>ROUND(AG43*G43*$B$6,-2)</f>
        <v>0</v>
      </c>
      <c r="BR43" s="523">
        <f>ROUND(AJ43*G43*$B$6,-2)</f>
        <v>0</v>
      </c>
      <c r="BS43" s="523">
        <f>ROUND(AM43*G43*$B$6,-2)</f>
        <v>0</v>
      </c>
      <c r="BT43" s="523">
        <f>ROUND(AP43*G43*$B$6,-2)</f>
        <v>0</v>
      </c>
      <c r="BU43" s="523">
        <f>ROUND(AS43*G43*$B$6,-2)</f>
        <v>0</v>
      </c>
      <c r="BV43" s="523">
        <f>ROUND(AV43*G43*$B$6,-2)</f>
        <v>0</v>
      </c>
      <c r="BW43" s="523">
        <f>ROUND(AY43*G43*$B$6,-2)</f>
        <v>0</v>
      </c>
      <c r="BX43" s="523">
        <f>ROUND(BB43*G43*$B$6,-2)</f>
        <v>0</v>
      </c>
      <c r="BY43" s="523">
        <f>ROUND(BE43*G43*$B$6,-2)</f>
        <v>0</v>
      </c>
      <c r="BZ43" s="523">
        <f>ROUND(BH43*G43*$B$6,-2)</f>
        <v>0</v>
      </c>
      <c r="CA43" s="354"/>
      <c r="CB43" s="354" t="b">
        <f t="shared" si="3"/>
        <v>0</v>
      </c>
      <c r="CC43" s="509" t="str">
        <f>CC40</f>
        <v>KT2.</v>
      </c>
      <c r="CD43" s="509" t="str">
        <f t="shared" si="48"/>
        <v>KT2.13,1</v>
      </c>
      <c r="CE43" s="351" t="str">
        <f t="shared" si="17"/>
        <v>Xé</v>
      </c>
      <c r="CF43" s="509" t="str">
        <f t="shared" si="49"/>
        <v>KT2.Xé</v>
      </c>
      <c r="CG43" s="509"/>
      <c r="CH43" s="509"/>
    </row>
    <row r="44" spans="1:86" ht="19.149999999999999" customHeight="1" x14ac:dyDescent="0.3">
      <c r="A44" s="354" t="e">
        <f>#REF!</f>
        <v>#REF!</v>
      </c>
      <c r="B44" s="503">
        <v>3</v>
      </c>
      <c r="C44" s="507" t="s">
        <v>445</v>
      </c>
      <c r="D44" s="505"/>
      <c r="E44" s="505"/>
      <c r="F44" s="505"/>
      <c r="G44" s="505"/>
      <c r="H44" s="505"/>
      <c r="I44" s="532">
        <f>SUM(I45:I59)/2</f>
        <v>1069.5</v>
      </c>
      <c r="J44" s="532">
        <f>SUM(J45:J59)/2</f>
        <v>212.5</v>
      </c>
      <c r="K44" s="532">
        <f>SUM(K45:K59)/2</f>
        <v>857</v>
      </c>
      <c r="L44" s="533">
        <f>SUM(L45:L51)/2</f>
        <v>7000</v>
      </c>
      <c r="M44" s="209">
        <f t="shared" ref="M44:BH44" si="141">SUM(M45:M59)/2</f>
        <v>139</v>
      </c>
      <c r="N44" s="209">
        <f t="shared" ref="N44:X44" si="142">SUM(N45:N59)/2</f>
        <v>15</v>
      </c>
      <c r="O44" s="209">
        <f t="shared" si="142"/>
        <v>124</v>
      </c>
      <c r="P44" s="209">
        <f t="shared" si="142"/>
        <v>155</v>
      </c>
      <c r="Q44" s="209">
        <f t="shared" si="142"/>
        <v>30</v>
      </c>
      <c r="R44" s="209">
        <f t="shared" si="142"/>
        <v>125</v>
      </c>
      <c r="S44" s="822">
        <f t="shared" si="142"/>
        <v>240</v>
      </c>
      <c r="T44" s="209">
        <f t="shared" si="142"/>
        <v>70</v>
      </c>
      <c r="U44" s="209">
        <f t="shared" si="142"/>
        <v>170</v>
      </c>
      <c r="V44" s="209">
        <f t="shared" si="142"/>
        <v>534</v>
      </c>
      <c r="W44" s="209">
        <f t="shared" si="142"/>
        <v>115</v>
      </c>
      <c r="X44" s="209">
        <f t="shared" si="142"/>
        <v>419</v>
      </c>
      <c r="Y44" s="209">
        <f t="shared" si="141"/>
        <v>120</v>
      </c>
      <c r="Z44" s="209">
        <f t="shared" si="141"/>
        <v>30</v>
      </c>
      <c r="AA44" s="209">
        <f t="shared" si="141"/>
        <v>90</v>
      </c>
      <c r="AB44" s="209">
        <f t="shared" si="141"/>
        <v>120</v>
      </c>
      <c r="AC44" s="209">
        <f t="shared" si="141"/>
        <v>15</v>
      </c>
      <c r="AD44" s="209">
        <f t="shared" si="141"/>
        <v>105</v>
      </c>
      <c r="AE44" s="209">
        <f t="shared" si="141"/>
        <v>50</v>
      </c>
      <c r="AF44" s="209">
        <f t="shared" si="141"/>
        <v>10</v>
      </c>
      <c r="AG44" s="209">
        <f t="shared" si="141"/>
        <v>40</v>
      </c>
      <c r="AH44" s="209">
        <f t="shared" si="141"/>
        <v>290</v>
      </c>
      <c r="AI44" s="209">
        <f t="shared" si="141"/>
        <v>55</v>
      </c>
      <c r="AJ44" s="209">
        <f t="shared" si="141"/>
        <v>235</v>
      </c>
      <c r="AK44" s="209">
        <f t="shared" si="141"/>
        <v>50</v>
      </c>
      <c r="AL44" s="209">
        <f t="shared" si="141"/>
        <v>5</v>
      </c>
      <c r="AM44" s="209">
        <f t="shared" si="141"/>
        <v>45</v>
      </c>
      <c r="AN44" s="209">
        <f t="shared" si="141"/>
        <v>68</v>
      </c>
      <c r="AO44" s="209">
        <f t="shared" si="141"/>
        <v>0</v>
      </c>
      <c r="AP44" s="209">
        <f t="shared" si="141"/>
        <v>68</v>
      </c>
      <c r="AQ44" s="209">
        <f t="shared" si="141"/>
        <v>75</v>
      </c>
      <c r="AR44" s="209">
        <f t="shared" si="141"/>
        <v>15</v>
      </c>
      <c r="AS44" s="209">
        <f t="shared" si="141"/>
        <v>60</v>
      </c>
      <c r="AT44" s="209">
        <f t="shared" si="141"/>
        <v>193</v>
      </c>
      <c r="AU44" s="209">
        <f t="shared" si="141"/>
        <v>20</v>
      </c>
      <c r="AV44" s="209">
        <f t="shared" si="141"/>
        <v>173</v>
      </c>
      <c r="AW44" s="209">
        <f t="shared" si="141"/>
        <v>15</v>
      </c>
      <c r="AX44" s="209">
        <f t="shared" si="141"/>
        <v>5</v>
      </c>
      <c r="AY44" s="209">
        <f t="shared" si="141"/>
        <v>10</v>
      </c>
      <c r="AZ44" s="209">
        <f t="shared" si="141"/>
        <v>0</v>
      </c>
      <c r="BA44" s="209">
        <f t="shared" si="141"/>
        <v>0</v>
      </c>
      <c r="BB44" s="209">
        <f t="shared" si="141"/>
        <v>0</v>
      </c>
      <c r="BC44" s="209">
        <f t="shared" si="141"/>
        <v>0</v>
      </c>
      <c r="BD44" s="209">
        <f t="shared" si="141"/>
        <v>0</v>
      </c>
      <c r="BE44" s="209">
        <f t="shared" si="141"/>
        <v>0</v>
      </c>
      <c r="BF44" s="209">
        <f t="shared" si="141"/>
        <v>15</v>
      </c>
      <c r="BG44" s="209">
        <f t="shared" si="141"/>
        <v>5</v>
      </c>
      <c r="BH44" s="209">
        <f t="shared" si="141"/>
        <v>10</v>
      </c>
      <c r="BI44" s="508"/>
      <c r="BJ44" s="488" t="str">
        <f t="shared" si="15"/>
        <v>PX</v>
      </c>
      <c r="BK44" s="222">
        <f>SUM(BK45:BK60)/2</f>
        <v>1400</v>
      </c>
      <c r="BL44" s="222">
        <f t="shared" ref="BL44:BZ44" si="143">SUM(BL45:BL60)/2</f>
        <v>1200</v>
      </c>
      <c r="BM44" s="222">
        <f t="shared" si="143"/>
        <v>2100</v>
      </c>
      <c r="BN44" s="222">
        <f t="shared" si="143"/>
        <v>4800</v>
      </c>
      <c r="BO44" s="222">
        <f t="shared" si="143"/>
        <v>1100</v>
      </c>
      <c r="BP44" s="222">
        <f t="shared" si="143"/>
        <v>1000</v>
      </c>
      <c r="BQ44" s="222">
        <f t="shared" si="143"/>
        <v>500</v>
      </c>
      <c r="BR44" s="222">
        <f t="shared" si="143"/>
        <v>2600</v>
      </c>
      <c r="BS44" s="222">
        <f t="shared" si="143"/>
        <v>600</v>
      </c>
      <c r="BT44" s="222">
        <f t="shared" si="143"/>
        <v>900</v>
      </c>
      <c r="BU44" s="222">
        <f t="shared" si="143"/>
        <v>700</v>
      </c>
      <c r="BV44" s="222">
        <f t="shared" si="143"/>
        <v>2200</v>
      </c>
      <c r="BW44" s="222">
        <f t="shared" si="143"/>
        <v>100</v>
      </c>
      <c r="BX44" s="222">
        <f t="shared" si="143"/>
        <v>100</v>
      </c>
      <c r="BY44" s="222">
        <f t="shared" si="143"/>
        <v>0</v>
      </c>
      <c r="BZ44" s="222">
        <f t="shared" si="143"/>
        <v>200</v>
      </c>
      <c r="CA44" s="354"/>
      <c r="CB44" s="354" t="str">
        <f t="shared" si="3"/>
        <v>X</v>
      </c>
      <c r="CC44" s="534" t="s">
        <v>287</v>
      </c>
      <c r="CD44" s="509" t="str">
        <f t="shared" si="48"/>
        <v>KT3.</v>
      </c>
      <c r="CE44" s="351" t="str">
        <f t="shared" si="17"/>
        <v>PX</v>
      </c>
      <c r="CF44" s="509" t="str">
        <f t="shared" si="49"/>
        <v>KT3.PX</v>
      </c>
      <c r="CG44" s="509"/>
      <c r="CH44" s="509"/>
    </row>
    <row r="45" spans="1:86" s="358" customFormat="1" ht="19.5" customHeight="1" x14ac:dyDescent="0.25">
      <c r="A45" s="510" t="e">
        <f>#REF!</f>
        <v>#REF!</v>
      </c>
      <c r="B45" s="511" t="s">
        <v>8</v>
      </c>
      <c r="C45" s="512" t="s">
        <v>177</v>
      </c>
      <c r="D45" s="513"/>
      <c r="E45" s="513"/>
      <c r="F45" s="513"/>
      <c r="G45" s="514"/>
      <c r="H45" s="515"/>
      <c r="I45" s="69">
        <f>SUM(I46:I55)</f>
        <v>957</v>
      </c>
      <c r="J45" s="69">
        <f>SUM(J46:J55)</f>
        <v>165</v>
      </c>
      <c r="K45" s="69">
        <f>SUM(K46:K55)</f>
        <v>792</v>
      </c>
      <c r="L45" s="69">
        <f>SUM(L46:L55)</f>
        <v>9600</v>
      </c>
      <c r="M45" s="69">
        <f>SUM(M46:M55)</f>
        <v>139</v>
      </c>
      <c r="N45" s="69">
        <f t="shared" ref="N45:U45" si="144">SUM(N46:N55)</f>
        <v>15</v>
      </c>
      <c r="O45" s="69">
        <f t="shared" si="144"/>
        <v>124</v>
      </c>
      <c r="P45" s="69">
        <f t="shared" si="144"/>
        <v>105</v>
      </c>
      <c r="Q45" s="69">
        <f t="shared" si="144"/>
        <v>20</v>
      </c>
      <c r="R45" s="69">
        <f t="shared" si="144"/>
        <v>85</v>
      </c>
      <c r="S45" s="826">
        <f t="shared" si="144"/>
        <v>215</v>
      </c>
      <c r="T45" s="69">
        <f t="shared" si="144"/>
        <v>50</v>
      </c>
      <c r="U45" s="69">
        <f t="shared" si="144"/>
        <v>165</v>
      </c>
      <c r="V45" s="69">
        <f t="shared" ref="V45:BH45" si="145">SUM(V46:V55)</f>
        <v>459</v>
      </c>
      <c r="W45" s="69">
        <f t="shared" si="145"/>
        <v>85</v>
      </c>
      <c r="X45" s="69">
        <f t="shared" si="145"/>
        <v>374</v>
      </c>
      <c r="Y45" s="69">
        <f t="shared" si="145"/>
        <v>120</v>
      </c>
      <c r="Z45" s="69">
        <f t="shared" si="145"/>
        <v>30</v>
      </c>
      <c r="AA45" s="69">
        <f t="shared" si="145"/>
        <v>90</v>
      </c>
      <c r="AB45" s="69">
        <f t="shared" si="145"/>
        <v>120</v>
      </c>
      <c r="AC45" s="69">
        <f t="shared" si="145"/>
        <v>15</v>
      </c>
      <c r="AD45" s="69">
        <f t="shared" si="145"/>
        <v>105</v>
      </c>
      <c r="AE45" s="69">
        <f t="shared" si="145"/>
        <v>50</v>
      </c>
      <c r="AF45" s="69">
        <f t="shared" si="145"/>
        <v>10</v>
      </c>
      <c r="AG45" s="69">
        <f t="shared" si="145"/>
        <v>40</v>
      </c>
      <c r="AH45" s="69">
        <f t="shared" si="145"/>
        <v>290</v>
      </c>
      <c r="AI45" s="69">
        <f t="shared" si="145"/>
        <v>55</v>
      </c>
      <c r="AJ45" s="69">
        <f t="shared" si="145"/>
        <v>235</v>
      </c>
      <c r="AK45" s="69">
        <f t="shared" si="145"/>
        <v>50</v>
      </c>
      <c r="AL45" s="69">
        <f t="shared" si="145"/>
        <v>5</v>
      </c>
      <c r="AM45" s="69">
        <f t="shared" si="145"/>
        <v>45</v>
      </c>
      <c r="AN45" s="69">
        <f t="shared" si="145"/>
        <v>68</v>
      </c>
      <c r="AO45" s="69">
        <f t="shared" si="145"/>
        <v>0</v>
      </c>
      <c r="AP45" s="69">
        <f t="shared" si="145"/>
        <v>68</v>
      </c>
      <c r="AQ45" s="69">
        <f t="shared" si="145"/>
        <v>75</v>
      </c>
      <c r="AR45" s="69">
        <f t="shared" si="145"/>
        <v>15</v>
      </c>
      <c r="AS45" s="69">
        <f t="shared" si="145"/>
        <v>60</v>
      </c>
      <c r="AT45" s="69">
        <f t="shared" si="145"/>
        <v>193</v>
      </c>
      <c r="AU45" s="69">
        <f t="shared" si="145"/>
        <v>20</v>
      </c>
      <c r="AV45" s="69">
        <f t="shared" si="145"/>
        <v>173</v>
      </c>
      <c r="AW45" s="69">
        <f t="shared" si="145"/>
        <v>15</v>
      </c>
      <c r="AX45" s="69">
        <f t="shared" si="145"/>
        <v>5</v>
      </c>
      <c r="AY45" s="69">
        <f t="shared" si="145"/>
        <v>10</v>
      </c>
      <c r="AZ45" s="69">
        <f t="shared" si="145"/>
        <v>0</v>
      </c>
      <c r="BA45" s="69">
        <f t="shared" si="145"/>
        <v>0</v>
      </c>
      <c r="BB45" s="69">
        <f t="shared" si="145"/>
        <v>0</v>
      </c>
      <c r="BC45" s="69">
        <f t="shared" si="145"/>
        <v>0</v>
      </c>
      <c r="BD45" s="69">
        <f t="shared" si="145"/>
        <v>0</v>
      </c>
      <c r="BE45" s="69">
        <f t="shared" si="145"/>
        <v>0</v>
      </c>
      <c r="BF45" s="69">
        <f t="shared" si="145"/>
        <v>15</v>
      </c>
      <c r="BG45" s="69">
        <f t="shared" si="145"/>
        <v>5</v>
      </c>
      <c r="BH45" s="69">
        <f t="shared" si="145"/>
        <v>10</v>
      </c>
      <c r="BI45" s="516"/>
      <c r="BJ45" s="488" t="str">
        <f t="shared" si="15"/>
        <v>ĐL</v>
      </c>
      <c r="BK45" s="226">
        <f>SUM(BK46:BK55)</f>
        <v>1400</v>
      </c>
      <c r="BL45" s="226">
        <f t="shared" ref="BL45:BZ45" si="146">SUM(BL46:BL55)</f>
        <v>1100</v>
      </c>
      <c r="BM45" s="226">
        <f t="shared" si="146"/>
        <v>2100</v>
      </c>
      <c r="BN45" s="226">
        <f t="shared" si="146"/>
        <v>4700</v>
      </c>
      <c r="BO45" s="226">
        <f t="shared" si="146"/>
        <v>1100</v>
      </c>
      <c r="BP45" s="226">
        <f t="shared" si="146"/>
        <v>1000</v>
      </c>
      <c r="BQ45" s="226">
        <f t="shared" si="146"/>
        <v>500</v>
      </c>
      <c r="BR45" s="226">
        <f t="shared" si="146"/>
        <v>2600</v>
      </c>
      <c r="BS45" s="226">
        <f t="shared" si="146"/>
        <v>600</v>
      </c>
      <c r="BT45" s="226">
        <f t="shared" si="146"/>
        <v>900</v>
      </c>
      <c r="BU45" s="226">
        <f t="shared" si="146"/>
        <v>700</v>
      </c>
      <c r="BV45" s="226">
        <f t="shared" si="146"/>
        <v>2200</v>
      </c>
      <c r="BW45" s="226">
        <f t="shared" si="146"/>
        <v>100</v>
      </c>
      <c r="BX45" s="226">
        <f t="shared" si="146"/>
        <v>0</v>
      </c>
      <c r="BY45" s="226">
        <f t="shared" si="146"/>
        <v>0</v>
      </c>
      <c r="BZ45" s="226">
        <f t="shared" si="146"/>
        <v>100</v>
      </c>
      <c r="CA45" s="517">
        <f>I45-V45-AH45-AT45-BF45</f>
        <v>0</v>
      </c>
      <c r="CB45" s="510" t="str">
        <f t="shared" si="3"/>
        <v>X</v>
      </c>
      <c r="CC45" s="509" t="str">
        <f t="shared" si="47"/>
        <v>KT3.</v>
      </c>
      <c r="CD45" s="509" t="str">
        <f t="shared" si="48"/>
        <v>KT3.</v>
      </c>
      <c r="CE45" s="351" t="str">
        <f t="shared" si="17"/>
        <v>ĐL</v>
      </c>
      <c r="CF45" s="509" t="str">
        <f t="shared" si="49"/>
        <v>KT3.ĐL</v>
      </c>
      <c r="CG45" s="509"/>
      <c r="CH45" s="509"/>
    </row>
    <row r="46" spans="1:86" ht="24" customHeight="1" x14ac:dyDescent="0.25">
      <c r="A46" s="354" t="e">
        <f>A45</f>
        <v>#REF!</v>
      </c>
      <c r="B46" s="518"/>
      <c r="C46" s="519" t="s">
        <v>886</v>
      </c>
      <c r="D46" s="447" t="s">
        <v>14</v>
      </c>
      <c r="E46" s="447"/>
      <c r="F46" s="447"/>
      <c r="G46" s="520">
        <v>11.2</v>
      </c>
      <c r="H46" s="521">
        <v>0.7</v>
      </c>
      <c r="I46" s="522">
        <f t="shared" ref="I46:I51" si="147">V46+AH46+AT46+BF46</f>
        <v>30</v>
      </c>
      <c r="J46" s="522">
        <f t="shared" ref="J46:J51" si="148">W46+AI46+AU46+BG46</f>
        <v>0</v>
      </c>
      <c r="K46" s="522">
        <f t="shared" ref="K46:K51" si="149">X46+AJ46+AV46+BH46</f>
        <v>30</v>
      </c>
      <c r="L46" s="57">
        <f t="shared" ref="L46:L51" si="150">BN46+BR46+BV46+BZ46</f>
        <v>400</v>
      </c>
      <c r="M46" s="60">
        <v>30</v>
      </c>
      <c r="N46" s="60"/>
      <c r="O46" s="60">
        <f t="shared" ref="O46:O55" si="151">M46-N46</f>
        <v>30</v>
      </c>
      <c r="P46" s="60"/>
      <c r="Q46" s="60"/>
      <c r="R46" s="60">
        <f t="shared" ref="R46:R55" si="152">P46-Q46</f>
        <v>0</v>
      </c>
      <c r="S46" s="824"/>
      <c r="T46" s="60"/>
      <c r="U46" s="60">
        <f t="shared" ref="U46:U55" si="153">S46-T46</f>
        <v>0</v>
      </c>
      <c r="V46" s="60">
        <f t="shared" ref="V46:V55" si="154">M46+P46+S46</f>
        <v>30</v>
      </c>
      <c r="W46" s="60">
        <f t="shared" ref="W46:W55" si="155">N46+Q46+T46</f>
        <v>0</v>
      </c>
      <c r="X46" s="60">
        <f t="shared" ref="X46:X55" si="156">O46+R46+U46</f>
        <v>30</v>
      </c>
      <c r="Y46" s="60"/>
      <c r="Z46" s="60"/>
      <c r="AA46" s="60">
        <f t="shared" ref="AA46:AA55" si="157">Y46-Z46</f>
        <v>0</v>
      </c>
      <c r="AB46" s="60"/>
      <c r="AC46" s="60"/>
      <c r="AD46" s="60">
        <f t="shared" ref="AD46:AD55" si="158">AB46-AC46</f>
        <v>0</v>
      </c>
      <c r="AE46" s="60"/>
      <c r="AF46" s="60"/>
      <c r="AG46" s="60">
        <f t="shared" ref="AG46:AG55" si="159">AE46-AF46</f>
        <v>0</v>
      </c>
      <c r="AH46" s="60">
        <f t="shared" ref="AH46:AJ50" si="160">Y46+AB46+AE46</f>
        <v>0</v>
      </c>
      <c r="AI46" s="60">
        <f t="shared" si="160"/>
        <v>0</v>
      </c>
      <c r="AJ46" s="60">
        <f t="shared" si="160"/>
        <v>0</v>
      </c>
      <c r="AK46" s="60"/>
      <c r="AL46" s="60"/>
      <c r="AM46" s="60">
        <f t="shared" ref="AM46:AM51" si="161">AK46-AL46</f>
        <v>0</v>
      </c>
      <c r="AN46" s="60"/>
      <c r="AO46" s="60"/>
      <c r="AP46" s="60">
        <f t="shared" ref="AP46:AP55" si="162">AN46-AO46</f>
        <v>0</v>
      </c>
      <c r="AQ46" s="60"/>
      <c r="AR46" s="60"/>
      <c r="AS46" s="60">
        <f t="shared" ref="AS46:AS55" si="163">AQ46-AR46</f>
        <v>0</v>
      </c>
      <c r="AT46" s="60">
        <f>AK46+AN46+AQ46</f>
        <v>0</v>
      </c>
      <c r="AU46" s="60">
        <f>AL46+AO46+AR46</f>
        <v>0</v>
      </c>
      <c r="AV46" s="60">
        <f>AM46+AP46+AS46</f>
        <v>0</v>
      </c>
      <c r="AW46" s="60"/>
      <c r="AX46" s="60"/>
      <c r="AY46" s="60">
        <f t="shared" ref="AY46:AY55" si="164">AW46-AX46</f>
        <v>0</v>
      </c>
      <c r="AZ46" s="60"/>
      <c r="BA46" s="60"/>
      <c r="BB46" s="60">
        <f t="shared" ref="BB46:BB51" si="165">AZ46-BA46</f>
        <v>0</v>
      </c>
      <c r="BC46" s="60"/>
      <c r="BD46" s="60"/>
      <c r="BE46" s="60">
        <f t="shared" ref="BE46:BE51" si="166">BC46-BD46</f>
        <v>0</v>
      </c>
      <c r="BF46" s="60">
        <f t="shared" ref="BF46:BH48" si="167">AW46+AZ46+BC46</f>
        <v>0</v>
      </c>
      <c r="BG46" s="60">
        <f t="shared" si="167"/>
        <v>0</v>
      </c>
      <c r="BH46" s="60">
        <f t="shared" si="167"/>
        <v>0</v>
      </c>
      <c r="BI46" s="508"/>
      <c r="BJ46" s="488" t="str">
        <f t="shared" si="15"/>
        <v>Lò</v>
      </c>
      <c r="BK46" s="523">
        <f t="shared" ref="BK46:BK51" si="168">ROUND(O46*G46*$C$3*$B$5,-2)</f>
        <v>400</v>
      </c>
      <c r="BL46" s="523">
        <f t="shared" ref="BL46:BL51" si="169">ROUND(R46*G46*$C$3*$B$5,-2)</f>
        <v>0</v>
      </c>
      <c r="BM46" s="523">
        <f t="shared" ref="BM46:BM51" si="170">ROUND(U46*G46*$C$3*$B$5,-2)</f>
        <v>0</v>
      </c>
      <c r="BN46" s="523">
        <f t="shared" ref="BN46:BN51" si="171">ROUND(X46*G46*$C$3*$B$5,-2)</f>
        <v>400</v>
      </c>
      <c r="BO46" s="523">
        <f t="shared" ref="BO46:BO51" si="172">ROUND(AA46*G46*$C$3*$B$5,-2)</f>
        <v>0</v>
      </c>
      <c r="BP46" s="523">
        <f t="shared" ref="BP46:BP51" si="173">ROUND(AD46*G46*$C$3*$B$5,-2)</f>
        <v>0</v>
      </c>
      <c r="BQ46" s="523">
        <f t="shared" ref="BQ46:BQ51" si="174">ROUND(AG46*G46*$C$3*$B$5,-2)</f>
        <v>0</v>
      </c>
      <c r="BR46" s="523">
        <f t="shared" ref="BR46:BR51" si="175">ROUND(AJ46*G46*$B$5*$C$3,-2)</f>
        <v>0</v>
      </c>
      <c r="BS46" s="523">
        <f t="shared" ref="BS46:BS51" si="176">ROUND(AM46*G46*$C$3*$B$5,-2)</f>
        <v>0</v>
      </c>
      <c r="BT46" s="523">
        <f t="shared" ref="BT46:BT51" si="177">ROUND(AP46*G46*$C$3*$B$5,-2)</f>
        <v>0</v>
      </c>
      <c r="BU46" s="523">
        <f t="shared" ref="BU46:BU51" si="178">ROUND(AS46*G46*$C$3*$B$5,-2)</f>
        <v>0</v>
      </c>
      <c r="BV46" s="523">
        <f t="shared" ref="BV46:BV51" si="179">ROUND(AV46*G46*$C$3*$B$5,-2)</f>
        <v>0</v>
      </c>
      <c r="BW46" s="523">
        <f t="shared" ref="BW46:BW51" si="180">ROUND(AY46*G46*$C$3*$B$5,-2)</f>
        <v>0</v>
      </c>
      <c r="BX46" s="523">
        <f t="shared" ref="BX46:BX51" si="181">ROUND(BB46*G46*$C$3*$B$5,-2)</f>
        <v>0</v>
      </c>
      <c r="BY46" s="523">
        <f t="shared" ref="BY46:BY51" si="182">ROUND(BE46*G46*$C$3*$B$5,-2)</f>
        <v>0</v>
      </c>
      <c r="BZ46" s="523">
        <f t="shared" ref="BZ46:BZ51" si="183">ROUND(BH46*G46*$C$3*$B$5,-2)</f>
        <v>0</v>
      </c>
      <c r="CA46" s="354"/>
      <c r="CB46" s="354" t="str">
        <f t="shared" si="3"/>
        <v>X</v>
      </c>
      <c r="CC46" s="509" t="str">
        <f t="shared" si="47"/>
        <v>KT3.</v>
      </c>
      <c r="CD46" s="509" t="str">
        <f t="shared" si="48"/>
        <v>KT3.11,2</v>
      </c>
      <c r="CE46" s="351" t="str">
        <f t="shared" si="17"/>
        <v>Lò</v>
      </c>
      <c r="CF46" s="509" t="str">
        <f t="shared" si="49"/>
        <v>KT3.Lò</v>
      </c>
      <c r="CG46" s="509"/>
      <c r="CH46" s="509"/>
    </row>
    <row r="47" spans="1:86" ht="24" customHeight="1" x14ac:dyDescent="0.25">
      <c r="A47" s="354" t="e">
        <f>A46</f>
        <v>#REF!</v>
      </c>
      <c r="B47" s="518"/>
      <c r="C47" s="519" t="s">
        <v>560</v>
      </c>
      <c r="D47" s="447" t="s">
        <v>14</v>
      </c>
      <c r="E47" s="447"/>
      <c r="F47" s="447"/>
      <c r="G47" s="520">
        <v>8.5</v>
      </c>
      <c r="H47" s="521">
        <v>0.7</v>
      </c>
      <c r="I47" s="522">
        <f>V47+AH47+AT47+BF47</f>
        <v>80</v>
      </c>
      <c r="J47" s="522">
        <f>W47+AI47+AU47+BG47</f>
        <v>0</v>
      </c>
      <c r="K47" s="522">
        <f>X47+AJ47+AV47+BH47</f>
        <v>80</v>
      </c>
      <c r="L47" s="57">
        <f>BN47+BR47+BV47+BZ47</f>
        <v>800</v>
      </c>
      <c r="M47" s="60">
        <v>80</v>
      </c>
      <c r="N47" s="60"/>
      <c r="O47" s="60">
        <f t="shared" si="151"/>
        <v>80</v>
      </c>
      <c r="P47" s="60"/>
      <c r="Q47" s="60"/>
      <c r="R47" s="60">
        <f t="shared" si="152"/>
        <v>0</v>
      </c>
      <c r="S47" s="824"/>
      <c r="T47" s="60"/>
      <c r="U47" s="60">
        <f t="shared" si="153"/>
        <v>0</v>
      </c>
      <c r="V47" s="60">
        <f t="shared" si="154"/>
        <v>80</v>
      </c>
      <c r="W47" s="60">
        <f t="shared" si="155"/>
        <v>0</v>
      </c>
      <c r="X47" s="60">
        <f t="shared" si="156"/>
        <v>80</v>
      </c>
      <c r="Y47" s="60"/>
      <c r="Z47" s="60"/>
      <c r="AA47" s="60">
        <f t="shared" si="157"/>
        <v>0</v>
      </c>
      <c r="AB47" s="60"/>
      <c r="AC47" s="60"/>
      <c r="AD47" s="60">
        <f t="shared" si="158"/>
        <v>0</v>
      </c>
      <c r="AE47" s="60"/>
      <c r="AF47" s="60"/>
      <c r="AG47" s="60">
        <f t="shared" si="159"/>
        <v>0</v>
      </c>
      <c r="AH47" s="60">
        <f t="shared" si="160"/>
        <v>0</v>
      </c>
      <c r="AI47" s="60">
        <f t="shared" si="160"/>
        <v>0</v>
      </c>
      <c r="AJ47" s="60">
        <f t="shared" si="160"/>
        <v>0</v>
      </c>
      <c r="AK47" s="60"/>
      <c r="AL47" s="60"/>
      <c r="AM47" s="60">
        <f t="shared" si="161"/>
        <v>0</v>
      </c>
      <c r="AN47" s="60"/>
      <c r="AO47" s="60"/>
      <c r="AP47" s="60">
        <f t="shared" si="162"/>
        <v>0</v>
      </c>
      <c r="AQ47" s="60"/>
      <c r="AR47" s="60"/>
      <c r="AS47" s="60">
        <f t="shared" si="163"/>
        <v>0</v>
      </c>
      <c r="AT47" s="60">
        <f t="shared" ref="AT47:AV51" si="184">AK47+AN47+AQ47</f>
        <v>0</v>
      </c>
      <c r="AU47" s="60">
        <f t="shared" si="184"/>
        <v>0</v>
      </c>
      <c r="AV47" s="60">
        <f t="shared" si="184"/>
        <v>0</v>
      </c>
      <c r="AW47" s="60"/>
      <c r="AX47" s="60"/>
      <c r="AY47" s="60">
        <f t="shared" si="164"/>
        <v>0</v>
      </c>
      <c r="AZ47" s="60"/>
      <c r="BA47" s="60"/>
      <c r="BB47" s="60">
        <f t="shared" si="165"/>
        <v>0</v>
      </c>
      <c r="BC47" s="60"/>
      <c r="BD47" s="60"/>
      <c r="BE47" s="60">
        <f t="shared" si="166"/>
        <v>0</v>
      </c>
      <c r="BF47" s="60">
        <f t="shared" si="167"/>
        <v>0</v>
      </c>
      <c r="BG47" s="60">
        <f t="shared" si="167"/>
        <v>0</v>
      </c>
      <c r="BH47" s="60">
        <f t="shared" si="167"/>
        <v>0</v>
      </c>
      <c r="BI47" s="508"/>
      <c r="BJ47" s="488" t="str">
        <f t="shared" si="15"/>
        <v>Lò</v>
      </c>
      <c r="BK47" s="523">
        <f t="shared" si="168"/>
        <v>800</v>
      </c>
      <c r="BL47" s="523">
        <f t="shared" si="169"/>
        <v>0</v>
      </c>
      <c r="BM47" s="523">
        <f t="shared" si="170"/>
        <v>0</v>
      </c>
      <c r="BN47" s="523">
        <f t="shared" si="171"/>
        <v>800</v>
      </c>
      <c r="BO47" s="523">
        <f t="shared" si="172"/>
        <v>0</v>
      </c>
      <c r="BP47" s="523">
        <f t="shared" si="173"/>
        <v>0</v>
      </c>
      <c r="BQ47" s="523">
        <f t="shared" si="174"/>
        <v>0</v>
      </c>
      <c r="BR47" s="523">
        <f t="shared" si="175"/>
        <v>0</v>
      </c>
      <c r="BS47" s="523">
        <f t="shared" si="176"/>
        <v>0</v>
      </c>
      <c r="BT47" s="523">
        <f t="shared" si="177"/>
        <v>0</v>
      </c>
      <c r="BU47" s="523">
        <f t="shared" si="178"/>
        <v>0</v>
      </c>
      <c r="BV47" s="523">
        <f t="shared" si="179"/>
        <v>0</v>
      </c>
      <c r="BW47" s="523">
        <f t="shared" si="180"/>
        <v>0</v>
      </c>
      <c r="BX47" s="523">
        <f t="shared" si="181"/>
        <v>0</v>
      </c>
      <c r="BY47" s="523">
        <f t="shared" si="182"/>
        <v>0</v>
      </c>
      <c r="BZ47" s="523">
        <f t="shared" si="183"/>
        <v>0</v>
      </c>
      <c r="CA47" s="354"/>
      <c r="CB47" s="354" t="str">
        <f>IF(SUM(I47:L47)&lt;&gt;0,"X")</f>
        <v>X</v>
      </c>
      <c r="CC47" s="509" t="str">
        <f t="shared" si="47"/>
        <v>KT3.</v>
      </c>
      <c r="CD47" s="509" t="str">
        <f>CC47&amp;G47</f>
        <v>KT3.8,5</v>
      </c>
      <c r="CE47" s="351" t="str">
        <f t="shared" si="17"/>
        <v>Lò</v>
      </c>
      <c r="CF47" s="509" t="str">
        <f>CC47&amp;CE47</f>
        <v>KT3.Lò</v>
      </c>
      <c r="CG47" s="509"/>
      <c r="CH47" s="509"/>
    </row>
    <row r="48" spans="1:86" ht="24" customHeight="1" x14ac:dyDescent="0.25">
      <c r="A48" s="354" t="e">
        <f>A46</f>
        <v>#REF!</v>
      </c>
      <c r="B48" s="518"/>
      <c r="C48" s="519" t="s">
        <v>640</v>
      </c>
      <c r="D48" s="447" t="s">
        <v>14</v>
      </c>
      <c r="E48" s="447"/>
      <c r="F48" s="447"/>
      <c r="G48" s="520">
        <v>11.2</v>
      </c>
      <c r="H48" s="521">
        <v>0.7</v>
      </c>
      <c r="I48" s="522">
        <f t="shared" si="147"/>
        <v>150</v>
      </c>
      <c r="J48" s="522">
        <f t="shared" si="148"/>
        <v>35</v>
      </c>
      <c r="K48" s="522">
        <f t="shared" si="149"/>
        <v>115</v>
      </c>
      <c r="L48" s="57">
        <f t="shared" si="150"/>
        <v>1500</v>
      </c>
      <c r="M48" s="60"/>
      <c r="N48" s="60"/>
      <c r="O48" s="60">
        <f t="shared" si="151"/>
        <v>0</v>
      </c>
      <c r="P48" s="60">
        <v>45</v>
      </c>
      <c r="Q48" s="60">
        <v>10</v>
      </c>
      <c r="R48" s="60">
        <f t="shared" si="152"/>
        <v>35</v>
      </c>
      <c r="S48" s="824">
        <v>75</v>
      </c>
      <c r="T48" s="60">
        <v>20</v>
      </c>
      <c r="U48" s="60">
        <f t="shared" si="153"/>
        <v>55</v>
      </c>
      <c r="V48" s="60">
        <f t="shared" si="154"/>
        <v>120</v>
      </c>
      <c r="W48" s="60">
        <f t="shared" si="155"/>
        <v>30</v>
      </c>
      <c r="X48" s="60">
        <f t="shared" si="156"/>
        <v>90</v>
      </c>
      <c r="Y48" s="60">
        <v>30</v>
      </c>
      <c r="Z48" s="60">
        <v>5</v>
      </c>
      <c r="AA48" s="60">
        <f t="shared" si="157"/>
        <v>25</v>
      </c>
      <c r="AB48" s="60"/>
      <c r="AC48" s="60"/>
      <c r="AD48" s="60">
        <f t="shared" si="158"/>
        <v>0</v>
      </c>
      <c r="AE48" s="60"/>
      <c r="AF48" s="60"/>
      <c r="AG48" s="60">
        <f t="shared" si="159"/>
        <v>0</v>
      </c>
      <c r="AH48" s="60">
        <f t="shared" si="160"/>
        <v>30</v>
      </c>
      <c r="AI48" s="60">
        <f t="shared" si="160"/>
        <v>5</v>
      </c>
      <c r="AJ48" s="60">
        <f t="shared" si="160"/>
        <v>25</v>
      </c>
      <c r="AK48" s="60"/>
      <c r="AL48" s="60"/>
      <c r="AM48" s="60">
        <f t="shared" si="161"/>
        <v>0</v>
      </c>
      <c r="AN48" s="60"/>
      <c r="AO48" s="60"/>
      <c r="AP48" s="60">
        <f t="shared" si="162"/>
        <v>0</v>
      </c>
      <c r="AQ48" s="60"/>
      <c r="AR48" s="60"/>
      <c r="AS48" s="60">
        <f t="shared" si="163"/>
        <v>0</v>
      </c>
      <c r="AT48" s="60">
        <f t="shared" si="184"/>
        <v>0</v>
      </c>
      <c r="AU48" s="60">
        <f t="shared" si="184"/>
        <v>0</v>
      </c>
      <c r="AV48" s="60">
        <f t="shared" si="184"/>
        <v>0</v>
      </c>
      <c r="AW48" s="60"/>
      <c r="AX48" s="60"/>
      <c r="AY48" s="60">
        <f t="shared" si="164"/>
        <v>0</v>
      </c>
      <c r="AZ48" s="60"/>
      <c r="BA48" s="60"/>
      <c r="BB48" s="60">
        <f t="shared" si="165"/>
        <v>0</v>
      </c>
      <c r="BC48" s="60"/>
      <c r="BD48" s="60"/>
      <c r="BE48" s="60">
        <f t="shared" si="166"/>
        <v>0</v>
      </c>
      <c r="BF48" s="60">
        <f t="shared" si="167"/>
        <v>0</v>
      </c>
      <c r="BG48" s="60">
        <f t="shared" si="167"/>
        <v>0</v>
      </c>
      <c r="BH48" s="60">
        <f t="shared" si="167"/>
        <v>0</v>
      </c>
      <c r="BI48" s="508"/>
      <c r="BJ48" s="488" t="str">
        <f t="shared" si="15"/>
        <v>Lò</v>
      </c>
      <c r="BK48" s="523">
        <f t="shared" si="168"/>
        <v>0</v>
      </c>
      <c r="BL48" s="523">
        <f t="shared" si="169"/>
        <v>500</v>
      </c>
      <c r="BM48" s="523">
        <f t="shared" si="170"/>
        <v>700</v>
      </c>
      <c r="BN48" s="523">
        <f t="shared" si="171"/>
        <v>1200</v>
      </c>
      <c r="BO48" s="523">
        <f t="shared" si="172"/>
        <v>300</v>
      </c>
      <c r="BP48" s="523">
        <f t="shared" si="173"/>
        <v>0</v>
      </c>
      <c r="BQ48" s="523">
        <f t="shared" si="174"/>
        <v>0</v>
      </c>
      <c r="BR48" s="523">
        <f t="shared" si="175"/>
        <v>300</v>
      </c>
      <c r="BS48" s="523">
        <f t="shared" si="176"/>
        <v>0</v>
      </c>
      <c r="BT48" s="523">
        <f t="shared" si="177"/>
        <v>0</v>
      </c>
      <c r="BU48" s="523">
        <f t="shared" si="178"/>
        <v>0</v>
      </c>
      <c r="BV48" s="523">
        <f t="shared" si="179"/>
        <v>0</v>
      </c>
      <c r="BW48" s="523">
        <f t="shared" si="180"/>
        <v>0</v>
      </c>
      <c r="BX48" s="523">
        <f t="shared" si="181"/>
        <v>0</v>
      </c>
      <c r="BY48" s="523">
        <f t="shared" si="182"/>
        <v>0</v>
      </c>
      <c r="BZ48" s="523">
        <f t="shared" si="183"/>
        <v>0</v>
      </c>
      <c r="CA48" s="354"/>
      <c r="CB48" s="354" t="str">
        <f t="shared" si="3"/>
        <v>X</v>
      </c>
      <c r="CC48" s="509" t="str">
        <f>CC46</f>
        <v>KT3.</v>
      </c>
      <c r="CD48" s="509" t="str">
        <f t="shared" si="48"/>
        <v>KT3.11,2</v>
      </c>
      <c r="CE48" s="351" t="str">
        <f t="shared" si="17"/>
        <v>Lò</v>
      </c>
      <c r="CF48" s="509" t="str">
        <f t="shared" si="49"/>
        <v>KT3.Lò</v>
      </c>
      <c r="CG48" s="509"/>
      <c r="CH48" s="509"/>
    </row>
    <row r="49" spans="1:86" ht="24" customHeight="1" x14ac:dyDescent="0.25">
      <c r="A49" s="354" t="e">
        <f>A48</f>
        <v>#REF!</v>
      </c>
      <c r="B49" s="518"/>
      <c r="C49" s="519" t="s">
        <v>641</v>
      </c>
      <c r="D49" s="447" t="s">
        <v>14</v>
      </c>
      <c r="E49" s="447"/>
      <c r="F49" s="447"/>
      <c r="G49" s="520">
        <v>8.5</v>
      </c>
      <c r="H49" s="521">
        <v>0.7</v>
      </c>
      <c r="I49" s="522">
        <f t="shared" si="147"/>
        <v>40</v>
      </c>
      <c r="J49" s="522">
        <f t="shared" si="148"/>
        <v>10</v>
      </c>
      <c r="K49" s="522">
        <f t="shared" si="149"/>
        <v>30</v>
      </c>
      <c r="L49" s="57">
        <f t="shared" si="150"/>
        <v>300</v>
      </c>
      <c r="M49" s="60"/>
      <c r="N49" s="60"/>
      <c r="O49" s="60">
        <f t="shared" si="151"/>
        <v>0</v>
      </c>
      <c r="P49" s="60"/>
      <c r="Q49" s="60"/>
      <c r="R49" s="60">
        <f t="shared" si="152"/>
        <v>0</v>
      </c>
      <c r="S49" s="824"/>
      <c r="T49" s="60"/>
      <c r="U49" s="60">
        <f t="shared" si="153"/>
        <v>0</v>
      </c>
      <c r="V49" s="60">
        <f t="shared" si="154"/>
        <v>0</v>
      </c>
      <c r="W49" s="60">
        <f t="shared" si="155"/>
        <v>0</v>
      </c>
      <c r="X49" s="60">
        <f t="shared" si="156"/>
        <v>0</v>
      </c>
      <c r="Y49" s="60">
        <v>40</v>
      </c>
      <c r="Z49" s="60">
        <v>10</v>
      </c>
      <c r="AA49" s="60">
        <f t="shared" si="157"/>
        <v>30</v>
      </c>
      <c r="AB49" s="60"/>
      <c r="AC49" s="60"/>
      <c r="AD49" s="60">
        <f t="shared" si="158"/>
        <v>0</v>
      </c>
      <c r="AE49" s="60"/>
      <c r="AF49" s="60"/>
      <c r="AG49" s="60">
        <f t="shared" si="159"/>
        <v>0</v>
      </c>
      <c r="AH49" s="60">
        <f t="shared" si="160"/>
        <v>40</v>
      </c>
      <c r="AI49" s="60">
        <f t="shared" si="160"/>
        <v>10</v>
      </c>
      <c r="AJ49" s="60">
        <f t="shared" si="160"/>
        <v>30</v>
      </c>
      <c r="AK49" s="60"/>
      <c r="AL49" s="60"/>
      <c r="AM49" s="60">
        <f t="shared" si="161"/>
        <v>0</v>
      </c>
      <c r="AN49" s="60"/>
      <c r="AO49" s="60"/>
      <c r="AP49" s="60">
        <f t="shared" si="162"/>
        <v>0</v>
      </c>
      <c r="AQ49" s="60"/>
      <c r="AR49" s="60"/>
      <c r="AS49" s="60">
        <f t="shared" si="163"/>
        <v>0</v>
      </c>
      <c r="AT49" s="60">
        <f t="shared" si="184"/>
        <v>0</v>
      </c>
      <c r="AU49" s="60">
        <f t="shared" si="184"/>
        <v>0</v>
      </c>
      <c r="AV49" s="60">
        <f t="shared" si="184"/>
        <v>0</v>
      </c>
      <c r="AW49" s="60"/>
      <c r="AX49" s="60"/>
      <c r="AY49" s="60">
        <f t="shared" si="164"/>
        <v>0</v>
      </c>
      <c r="AZ49" s="60"/>
      <c r="BA49" s="60"/>
      <c r="BB49" s="60">
        <f t="shared" si="165"/>
        <v>0</v>
      </c>
      <c r="BC49" s="60"/>
      <c r="BD49" s="60"/>
      <c r="BE49" s="60">
        <f t="shared" si="166"/>
        <v>0</v>
      </c>
      <c r="BF49" s="60">
        <f t="shared" ref="BF49:BH51" si="185">AW49+AZ49+BC49</f>
        <v>0</v>
      </c>
      <c r="BG49" s="60">
        <f t="shared" si="185"/>
        <v>0</v>
      </c>
      <c r="BH49" s="60">
        <f t="shared" si="185"/>
        <v>0</v>
      </c>
      <c r="BI49" s="508"/>
      <c r="BJ49" s="488" t="str">
        <f t="shared" ref="BJ49:BJ80" si="186">LEFT(C49,2)</f>
        <v>Lò</v>
      </c>
      <c r="BK49" s="523">
        <f t="shared" si="168"/>
        <v>0</v>
      </c>
      <c r="BL49" s="523">
        <f t="shared" si="169"/>
        <v>0</v>
      </c>
      <c r="BM49" s="523">
        <f t="shared" si="170"/>
        <v>0</v>
      </c>
      <c r="BN49" s="523">
        <f t="shared" si="171"/>
        <v>0</v>
      </c>
      <c r="BO49" s="523">
        <f t="shared" si="172"/>
        <v>300</v>
      </c>
      <c r="BP49" s="523">
        <f t="shared" si="173"/>
        <v>0</v>
      </c>
      <c r="BQ49" s="523">
        <f t="shared" si="174"/>
        <v>0</v>
      </c>
      <c r="BR49" s="523">
        <f t="shared" si="175"/>
        <v>300</v>
      </c>
      <c r="BS49" s="523">
        <f t="shared" si="176"/>
        <v>0</v>
      </c>
      <c r="BT49" s="523">
        <f t="shared" si="177"/>
        <v>0</v>
      </c>
      <c r="BU49" s="523">
        <f t="shared" si="178"/>
        <v>0</v>
      </c>
      <c r="BV49" s="523">
        <f t="shared" si="179"/>
        <v>0</v>
      </c>
      <c r="BW49" s="523">
        <f t="shared" si="180"/>
        <v>0</v>
      </c>
      <c r="BX49" s="523">
        <f t="shared" si="181"/>
        <v>0</v>
      </c>
      <c r="BY49" s="523">
        <f t="shared" si="182"/>
        <v>0</v>
      </c>
      <c r="BZ49" s="523">
        <f t="shared" si="183"/>
        <v>0</v>
      </c>
      <c r="CA49" s="354"/>
      <c r="CB49" s="354" t="str">
        <f t="shared" si="3"/>
        <v>X</v>
      </c>
      <c r="CC49" s="509" t="str">
        <f t="shared" si="47"/>
        <v>KT3.</v>
      </c>
      <c r="CD49" s="509" t="str">
        <f t="shared" si="48"/>
        <v>KT3.8,5</v>
      </c>
      <c r="CE49" s="351" t="str">
        <f t="shared" ref="CE49:CE80" si="187">LEFT(C49,2)</f>
        <v>Lò</v>
      </c>
      <c r="CF49" s="509" t="str">
        <f t="shared" si="49"/>
        <v>KT3.Lò</v>
      </c>
      <c r="CG49" s="509"/>
      <c r="CH49" s="509"/>
    </row>
    <row r="50" spans="1:86" ht="24" customHeight="1" x14ac:dyDescent="0.25">
      <c r="A50" s="354" t="e">
        <f>A48</f>
        <v>#REF!</v>
      </c>
      <c r="B50" s="518"/>
      <c r="C50" s="519" t="s">
        <v>642</v>
      </c>
      <c r="D50" s="447" t="s">
        <v>14</v>
      </c>
      <c r="E50" s="447"/>
      <c r="F50" s="447"/>
      <c r="G50" s="520">
        <v>8.5</v>
      </c>
      <c r="H50" s="521">
        <v>0.7</v>
      </c>
      <c r="I50" s="522">
        <f>V50+AH50+AT50+BF50</f>
        <v>30</v>
      </c>
      <c r="J50" s="522">
        <f>W50+AI50+AU50+BG50</f>
        <v>5</v>
      </c>
      <c r="K50" s="522">
        <f>X50+AJ50+AV50+BH50</f>
        <v>25</v>
      </c>
      <c r="L50" s="57">
        <f>BN50+BR50+BV50+BZ50</f>
        <v>300</v>
      </c>
      <c r="M50" s="60"/>
      <c r="N50" s="60"/>
      <c r="O50" s="60">
        <f t="shared" si="151"/>
        <v>0</v>
      </c>
      <c r="P50" s="60">
        <v>30</v>
      </c>
      <c r="Q50" s="60">
        <v>5</v>
      </c>
      <c r="R50" s="60">
        <f t="shared" si="152"/>
        <v>25</v>
      </c>
      <c r="S50" s="824"/>
      <c r="T50" s="60"/>
      <c r="U50" s="60">
        <f t="shared" si="153"/>
        <v>0</v>
      </c>
      <c r="V50" s="60">
        <f t="shared" si="154"/>
        <v>30</v>
      </c>
      <c r="W50" s="60">
        <f t="shared" si="155"/>
        <v>5</v>
      </c>
      <c r="X50" s="60">
        <f t="shared" si="156"/>
        <v>25</v>
      </c>
      <c r="Y50" s="60"/>
      <c r="Z50" s="60"/>
      <c r="AA50" s="60">
        <f t="shared" si="157"/>
        <v>0</v>
      </c>
      <c r="AB50" s="60"/>
      <c r="AC50" s="60"/>
      <c r="AD50" s="60">
        <f t="shared" si="158"/>
        <v>0</v>
      </c>
      <c r="AE50" s="60"/>
      <c r="AF50" s="60"/>
      <c r="AG50" s="60">
        <f t="shared" si="159"/>
        <v>0</v>
      </c>
      <c r="AH50" s="60">
        <f t="shared" si="160"/>
        <v>0</v>
      </c>
      <c r="AI50" s="60">
        <f t="shared" si="160"/>
        <v>0</v>
      </c>
      <c r="AJ50" s="60">
        <f t="shared" si="160"/>
        <v>0</v>
      </c>
      <c r="AK50" s="60"/>
      <c r="AL50" s="60"/>
      <c r="AM50" s="60">
        <f t="shared" si="161"/>
        <v>0</v>
      </c>
      <c r="AN50" s="60"/>
      <c r="AO50" s="60"/>
      <c r="AP50" s="60">
        <f t="shared" si="162"/>
        <v>0</v>
      </c>
      <c r="AQ50" s="60"/>
      <c r="AR50" s="60"/>
      <c r="AS50" s="60">
        <f t="shared" si="163"/>
        <v>0</v>
      </c>
      <c r="AT50" s="60">
        <f t="shared" si="184"/>
        <v>0</v>
      </c>
      <c r="AU50" s="60">
        <f t="shared" si="184"/>
        <v>0</v>
      </c>
      <c r="AV50" s="60">
        <f t="shared" si="184"/>
        <v>0</v>
      </c>
      <c r="AW50" s="60"/>
      <c r="AX50" s="60"/>
      <c r="AY50" s="60">
        <f t="shared" si="164"/>
        <v>0</v>
      </c>
      <c r="AZ50" s="60"/>
      <c r="BA50" s="60"/>
      <c r="BB50" s="60">
        <f t="shared" si="165"/>
        <v>0</v>
      </c>
      <c r="BC50" s="60"/>
      <c r="BD50" s="60"/>
      <c r="BE50" s="60">
        <f t="shared" si="166"/>
        <v>0</v>
      </c>
      <c r="BF50" s="60">
        <f t="shared" si="185"/>
        <v>0</v>
      </c>
      <c r="BG50" s="60">
        <f t="shared" si="185"/>
        <v>0</v>
      </c>
      <c r="BH50" s="60">
        <f t="shared" si="185"/>
        <v>0</v>
      </c>
      <c r="BI50" s="508"/>
      <c r="BJ50" s="488" t="str">
        <f t="shared" si="186"/>
        <v>Lò</v>
      </c>
      <c r="BK50" s="523">
        <f t="shared" si="168"/>
        <v>0</v>
      </c>
      <c r="BL50" s="523">
        <f t="shared" si="169"/>
        <v>300</v>
      </c>
      <c r="BM50" s="523">
        <f t="shared" si="170"/>
        <v>0</v>
      </c>
      <c r="BN50" s="523">
        <f t="shared" si="171"/>
        <v>300</v>
      </c>
      <c r="BO50" s="523">
        <f t="shared" si="172"/>
        <v>0</v>
      </c>
      <c r="BP50" s="523">
        <f t="shared" si="173"/>
        <v>0</v>
      </c>
      <c r="BQ50" s="523">
        <f t="shared" si="174"/>
        <v>0</v>
      </c>
      <c r="BR50" s="523">
        <f t="shared" si="175"/>
        <v>0</v>
      </c>
      <c r="BS50" s="523">
        <f t="shared" si="176"/>
        <v>0</v>
      </c>
      <c r="BT50" s="523">
        <f t="shared" si="177"/>
        <v>0</v>
      </c>
      <c r="BU50" s="523">
        <f t="shared" si="178"/>
        <v>0</v>
      </c>
      <c r="BV50" s="523">
        <f t="shared" si="179"/>
        <v>0</v>
      </c>
      <c r="BW50" s="523">
        <f t="shared" si="180"/>
        <v>0</v>
      </c>
      <c r="BX50" s="523">
        <f t="shared" si="181"/>
        <v>0</v>
      </c>
      <c r="BY50" s="523">
        <f t="shared" si="182"/>
        <v>0</v>
      </c>
      <c r="BZ50" s="523">
        <f t="shared" si="183"/>
        <v>0</v>
      </c>
      <c r="CA50" s="354"/>
      <c r="CB50" s="354" t="str">
        <f>IF(SUM(I50:L50)&lt;&gt;0,"X")</f>
        <v>X</v>
      </c>
      <c r="CC50" s="509" t="str">
        <f t="shared" ref="CC50:CC55" si="188">CC48</f>
        <v>KT3.</v>
      </c>
      <c r="CD50" s="509" t="str">
        <f>CC50&amp;G50</f>
        <v>KT3.8,5</v>
      </c>
      <c r="CE50" s="351" t="str">
        <f t="shared" si="187"/>
        <v>Lò</v>
      </c>
      <c r="CF50" s="509" t="str">
        <f>CC50&amp;CE50</f>
        <v>KT3.Lò</v>
      </c>
      <c r="CG50" s="509"/>
      <c r="CH50" s="509"/>
    </row>
    <row r="51" spans="1:86" ht="24" customHeight="1" x14ac:dyDescent="0.25">
      <c r="A51" s="354" t="e">
        <f>A49</f>
        <v>#REF!</v>
      </c>
      <c r="B51" s="518"/>
      <c r="C51" s="519" t="s">
        <v>643</v>
      </c>
      <c r="D51" s="447" t="s">
        <v>14</v>
      </c>
      <c r="E51" s="447"/>
      <c r="F51" s="447"/>
      <c r="G51" s="520">
        <v>11.2</v>
      </c>
      <c r="H51" s="521">
        <v>0.7</v>
      </c>
      <c r="I51" s="522">
        <f t="shared" si="147"/>
        <v>100</v>
      </c>
      <c r="J51" s="522">
        <f t="shared" si="148"/>
        <v>20</v>
      </c>
      <c r="K51" s="522">
        <f t="shared" si="149"/>
        <v>80</v>
      </c>
      <c r="L51" s="57">
        <f t="shared" si="150"/>
        <v>1100</v>
      </c>
      <c r="M51" s="60"/>
      <c r="N51" s="60"/>
      <c r="O51" s="60">
        <f t="shared" si="151"/>
        <v>0</v>
      </c>
      <c r="P51" s="60">
        <v>10</v>
      </c>
      <c r="Q51" s="60"/>
      <c r="R51" s="60">
        <f t="shared" si="152"/>
        <v>10</v>
      </c>
      <c r="S51" s="824">
        <v>90</v>
      </c>
      <c r="T51" s="60">
        <v>20</v>
      </c>
      <c r="U51" s="60">
        <f t="shared" si="153"/>
        <v>70</v>
      </c>
      <c r="V51" s="60">
        <f t="shared" si="154"/>
        <v>100</v>
      </c>
      <c r="W51" s="60">
        <f t="shared" si="155"/>
        <v>20</v>
      </c>
      <c r="X51" s="60">
        <f t="shared" si="156"/>
        <v>80</v>
      </c>
      <c r="Y51" s="60"/>
      <c r="Z51" s="60"/>
      <c r="AA51" s="60">
        <f t="shared" si="157"/>
        <v>0</v>
      </c>
      <c r="AB51" s="60"/>
      <c r="AC51" s="60"/>
      <c r="AD51" s="60">
        <f t="shared" si="158"/>
        <v>0</v>
      </c>
      <c r="AE51" s="60"/>
      <c r="AF51" s="60"/>
      <c r="AG51" s="60">
        <f t="shared" si="159"/>
        <v>0</v>
      </c>
      <c r="AH51" s="60">
        <f t="shared" ref="AH51:AJ55" si="189">Y51+AB51+AE51</f>
        <v>0</v>
      </c>
      <c r="AI51" s="60">
        <f t="shared" si="189"/>
        <v>0</v>
      </c>
      <c r="AJ51" s="60">
        <f t="shared" si="189"/>
        <v>0</v>
      </c>
      <c r="AK51" s="60"/>
      <c r="AL51" s="60"/>
      <c r="AM51" s="60">
        <f t="shared" si="161"/>
        <v>0</v>
      </c>
      <c r="AN51" s="60"/>
      <c r="AO51" s="60"/>
      <c r="AP51" s="60">
        <f t="shared" si="162"/>
        <v>0</v>
      </c>
      <c r="AQ51" s="60"/>
      <c r="AR51" s="60"/>
      <c r="AS51" s="60">
        <f t="shared" si="163"/>
        <v>0</v>
      </c>
      <c r="AT51" s="60">
        <f t="shared" si="184"/>
        <v>0</v>
      </c>
      <c r="AU51" s="60">
        <f t="shared" si="184"/>
        <v>0</v>
      </c>
      <c r="AV51" s="60">
        <f t="shared" si="184"/>
        <v>0</v>
      </c>
      <c r="AW51" s="60"/>
      <c r="AX51" s="60"/>
      <c r="AY51" s="60">
        <f t="shared" si="164"/>
        <v>0</v>
      </c>
      <c r="AZ51" s="60"/>
      <c r="BA51" s="60"/>
      <c r="BB51" s="60">
        <f t="shared" si="165"/>
        <v>0</v>
      </c>
      <c r="BC51" s="60"/>
      <c r="BD51" s="60"/>
      <c r="BE51" s="60">
        <f t="shared" si="166"/>
        <v>0</v>
      </c>
      <c r="BF51" s="60">
        <f t="shared" si="185"/>
        <v>0</v>
      </c>
      <c r="BG51" s="60">
        <f t="shared" si="185"/>
        <v>0</v>
      </c>
      <c r="BH51" s="60">
        <f t="shared" si="185"/>
        <v>0</v>
      </c>
      <c r="BI51" s="508"/>
      <c r="BJ51" s="488" t="str">
        <f t="shared" si="186"/>
        <v>Lò</v>
      </c>
      <c r="BK51" s="523">
        <f t="shared" si="168"/>
        <v>0</v>
      </c>
      <c r="BL51" s="523">
        <f t="shared" si="169"/>
        <v>100</v>
      </c>
      <c r="BM51" s="523">
        <f t="shared" si="170"/>
        <v>900</v>
      </c>
      <c r="BN51" s="523">
        <f t="shared" si="171"/>
        <v>1100</v>
      </c>
      <c r="BO51" s="523">
        <f t="shared" si="172"/>
        <v>0</v>
      </c>
      <c r="BP51" s="523">
        <f t="shared" si="173"/>
        <v>0</v>
      </c>
      <c r="BQ51" s="523">
        <f t="shared" si="174"/>
        <v>0</v>
      </c>
      <c r="BR51" s="523">
        <f t="shared" si="175"/>
        <v>0</v>
      </c>
      <c r="BS51" s="523">
        <f t="shared" si="176"/>
        <v>0</v>
      </c>
      <c r="BT51" s="523">
        <f t="shared" si="177"/>
        <v>0</v>
      </c>
      <c r="BU51" s="523">
        <f t="shared" si="178"/>
        <v>0</v>
      </c>
      <c r="BV51" s="523">
        <f t="shared" si="179"/>
        <v>0</v>
      </c>
      <c r="BW51" s="523">
        <f t="shared" si="180"/>
        <v>0</v>
      </c>
      <c r="BX51" s="523">
        <f t="shared" si="181"/>
        <v>0</v>
      </c>
      <c r="BY51" s="523">
        <f t="shared" si="182"/>
        <v>0</v>
      </c>
      <c r="BZ51" s="523">
        <f t="shared" si="183"/>
        <v>0</v>
      </c>
      <c r="CA51" s="354"/>
      <c r="CB51" s="354" t="str">
        <f t="shared" si="3"/>
        <v>X</v>
      </c>
      <c r="CC51" s="509" t="str">
        <f t="shared" si="188"/>
        <v>KT3.</v>
      </c>
      <c r="CD51" s="509" t="str">
        <f t="shared" si="48"/>
        <v>KT3.11,2</v>
      </c>
      <c r="CE51" s="351" t="str">
        <f t="shared" si="187"/>
        <v>Lò</v>
      </c>
      <c r="CF51" s="509" t="str">
        <f t="shared" si="49"/>
        <v>KT3.Lò</v>
      </c>
      <c r="CG51" s="509"/>
      <c r="CH51" s="509"/>
    </row>
    <row r="52" spans="1:86" ht="24" customHeight="1" x14ac:dyDescent="0.25">
      <c r="A52" s="354"/>
      <c r="B52" s="518"/>
      <c r="C52" s="519" t="s">
        <v>644</v>
      </c>
      <c r="D52" s="447" t="s">
        <v>206</v>
      </c>
      <c r="E52" s="447"/>
      <c r="F52" s="447"/>
      <c r="G52" s="520">
        <v>5.4</v>
      </c>
      <c r="H52" s="521">
        <v>0.7</v>
      </c>
      <c r="I52" s="522">
        <f t="shared" ref="I52:K55" si="190">V52+AH52+AT52+BF52</f>
        <v>70</v>
      </c>
      <c r="J52" s="522">
        <f t="shared" si="190"/>
        <v>10</v>
      </c>
      <c r="K52" s="522">
        <f t="shared" si="190"/>
        <v>60</v>
      </c>
      <c r="L52" s="57">
        <f>BN52+BR52+BV52+BZ52</f>
        <v>400</v>
      </c>
      <c r="M52" s="60"/>
      <c r="N52" s="60"/>
      <c r="O52" s="60">
        <f t="shared" si="151"/>
        <v>0</v>
      </c>
      <c r="P52" s="60"/>
      <c r="Q52" s="60"/>
      <c r="R52" s="60">
        <f t="shared" si="152"/>
        <v>0</v>
      </c>
      <c r="S52" s="824"/>
      <c r="T52" s="60"/>
      <c r="U52" s="60">
        <f t="shared" si="153"/>
        <v>0</v>
      </c>
      <c r="V52" s="60">
        <f t="shared" si="154"/>
        <v>0</v>
      </c>
      <c r="W52" s="60">
        <f t="shared" si="155"/>
        <v>0</v>
      </c>
      <c r="X52" s="60">
        <f t="shared" si="156"/>
        <v>0</v>
      </c>
      <c r="Y52" s="60"/>
      <c r="Z52" s="60"/>
      <c r="AA52" s="60">
        <f t="shared" si="157"/>
        <v>0</v>
      </c>
      <c r="AB52" s="60">
        <v>70</v>
      </c>
      <c r="AC52" s="60">
        <v>10</v>
      </c>
      <c r="AD52" s="60">
        <f t="shared" si="158"/>
        <v>60</v>
      </c>
      <c r="AE52" s="60"/>
      <c r="AF52" s="60"/>
      <c r="AG52" s="60">
        <f t="shared" si="159"/>
        <v>0</v>
      </c>
      <c r="AH52" s="60">
        <f t="shared" si="189"/>
        <v>70</v>
      </c>
      <c r="AI52" s="60">
        <f t="shared" si="189"/>
        <v>10</v>
      </c>
      <c r="AJ52" s="60">
        <f t="shared" si="189"/>
        <v>60</v>
      </c>
      <c r="AK52" s="211"/>
      <c r="AL52" s="211"/>
      <c r="AM52" s="211"/>
      <c r="AN52" s="60"/>
      <c r="AO52" s="60"/>
      <c r="AP52" s="60">
        <f t="shared" si="162"/>
        <v>0</v>
      </c>
      <c r="AQ52" s="60"/>
      <c r="AR52" s="60"/>
      <c r="AS52" s="60">
        <f t="shared" si="163"/>
        <v>0</v>
      </c>
      <c r="AT52" s="60">
        <f t="shared" ref="AT52:AV55" si="191">AK52+AN52+AQ52</f>
        <v>0</v>
      </c>
      <c r="AU52" s="60">
        <f t="shared" si="191"/>
        <v>0</v>
      </c>
      <c r="AV52" s="60">
        <f t="shared" si="191"/>
        <v>0</v>
      </c>
      <c r="AW52" s="60"/>
      <c r="AX52" s="60"/>
      <c r="AY52" s="60">
        <f t="shared" si="164"/>
        <v>0</v>
      </c>
      <c r="AZ52" s="60"/>
      <c r="BA52" s="60"/>
      <c r="BB52" s="60"/>
      <c r="BC52" s="60"/>
      <c r="BD52" s="60"/>
      <c r="BE52" s="60"/>
      <c r="BF52" s="60"/>
      <c r="BG52" s="60"/>
      <c r="BH52" s="60"/>
      <c r="BI52" s="508"/>
      <c r="BJ52" s="488" t="str">
        <f t="shared" si="186"/>
        <v>Lò</v>
      </c>
      <c r="BK52" s="523">
        <f>ROUND(O52*G52*$C$3*$B$5,-2)</f>
        <v>0</v>
      </c>
      <c r="BL52" s="523">
        <f>ROUND(R52*G52*$C$3*$B$5,-2)</f>
        <v>0</v>
      </c>
      <c r="BM52" s="523">
        <f>ROUND(U52*G52*$C$3*$B$5,-2)</f>
        <v>0</v>
      </c>
      <c r="BN52" s="523">
        <f>ROUND(X52*G52*$C$3*$B$5,-2)</f>
        <v>0</v>
      </c>
      <c r="BO52" s="523">
        <f>ROUND(AA52*G52*$C$3*$B$5,-2)</f>
        <v>0</v>
      </c>
      <c r="BP52" s="523">
        <f>ROUND(AD52*G52*$C$3*$B$5,-2)</f>
        <v>400</v>
      </c>
      <c r="BQ52" s="523">
        <f>ROUND(AG52*G52*$C$3*$B$5,-2)</f>
        <v>0</v>
      </c>
      <c r="BR52" s="523">
        <f>ROUND(AJ52*G52*$B$5*$C$3,-2)</f>
        <v>400</v>
      </c>
      <c r="BS52" s="523">
        <f>ROUND(AM52*G52*$C$3*$B$5,-2)</f>
        <v>0</v>
      </c>
      <c r="BT52" s="523">
        <f>ROUND(AP52*G52*$C$3*$B$5,-2)</f>
        <v>0</v>
      </c>
      <c r="BU52" s="523">
        <f>ROUND(AS52*G52*$C$3*$B$5,-2)</f>
        <v>0</v>
      </c>
      <c r="BV52" s="523">
        <f>ROUND(AV52*G52*$C$3*$B$5,-2)</f>
        <v>0</v>
      </c>
      <c r="BW52" s="523">
        <f>ROUND(AY52*G52*$C$3*$B$5,-2)</f>
        <v>0</v>
      </c>
      <c r="BX52" s="523">
        <f>ROUND(BB52*G52*$C$3*$B$5,-2)</f>
        <v>0</v>
      </c>
      <c r="BY52" s="523">
        <f>ROUND(BE52*G52*$C$3*$B$5,-2)</f>
        <v>0</v>
      </c>
      <c r="BZ52" s="523">
        <f>ROUND(BH52*G52*$C$3*$B$5,-2)</f>
        <v>0</v>
      </c>
      <c r="CA52" s="354"/>
      <c r="CB52" s="354" t="str">
        <f>IF(SUM(I52:L52)&lt;&gt;0,"X")</f>
        <v>X</v>
      </c>
      <c r="CC52" s="509" t="str">
        <f t="shared" si="188"/>
        <v>KT3.</v>
      </c>
      <c r="CD52" s="509" t="str">
        <f>CC52&amp;G52</f>
        <v>KT3.5,4</v>
      </c>
      <c r="CE52" s="351" t="str">
        <f t="shared" si="187"/>
        <v>Lò</v>
      </c>
      <c r="CF52" s="509" t="str">
        <f>CC52&amp;CE52</f>
        <v>KT3.Lò</v>
      </c>
      <c r="CG52" s="509"/>
      <c r="CH52" s="509"/>
    </row>
    <row r="53" spans="1:86" ht="24" customHeight="1" x14ac:dyDescent="0.25">
      <c r="A53" s="354"/>
      <c r="B53" s="518"/>
      <c r="C53" s="519" t="s">
        <v>645</v>
      </c>
      <c r="D53" s="447" t="s">
        <v>14</v>
      </c>
      <c r="E53" s="447"/>
      <c r="F53" s="447"/>
      <c r="G53" s="520">
        <v>11.2</v>
      </c>
      <c r="H53" s="521">
        <v>0.7</v>
      </c>
      <c r="I53" s="522">
        <f t="shared" si="190"/>
        <v>367</v>
      </c>
      <c r="J53" s="522">
        <f t="shared" si="190"/>
        <v>65</v>
      </c>
      <c r="K53" s="522">
        <f t="shared" si="190"/>
        <v>302</v>
      </c>
      <c r="L53" s="57">
        <f>BN53+BR53+BV53+BZ53</f>
        <v>4000</v>
      </c>
      <c r="M53" s="60">
        <v>29</v>
      </c>
      <c r="N53" s="60">
        <v>15</v>
      </c>
      <c r="O53" s="60">
        <f t="shared" si="151"/>
        <v>14</v>
      </c>
      <c r="P53" s="60">
        <v>20</v>
      </c>
      <c r="Q53" s="60">
        <v>5</v>
      </c>
      <c r="R53" s="60">
        <f t="shared" si="152"/>
        <v>15</v>
      </c>
      <c r="S53" s="824">
        <v>50</v>
      </c>
      <c r="T53" s="60">
        <v>10</v>
      </c>
      <c r="U53" s="60">
        <f t="shared" si="153"/>
        <v>40</v>
      </c>
      <c r="V53" s="60">
        <f t="shared" si="154"/>
        <v>99</v>
      </c>
      <c r="W53" s="60">
        <f t="shared" si="155"/>
        <v>30</v>
      </c>
      <c r="X53" s="60">
        <f t="shared" si="156"/>
        <v>69</v>
      </c>
      <c r="Y53" s="60">
        <v>50</v>
      </c>
      <c r="Z53" s="60">
        <v>15</v>
      </c>
      <c r="AA53" s="60">
        <f t="shared" si="157"/>
        <v>35</v>
      </c>
      <c r="AB53" s="60">
        <v>50</v>
      </c>
      <c r="AC53" s="60">
        <v>5</v>
      </c>
      <c r="AD53" s="60">
        <f t="shared" si="158"/>
        <v>45</v>
      </c>
      <c r="AE53" s="60">
        <v>50</v>
      </c>
      <c r="AF53" s="60">
        <v>10</v>
      </c>
      <c r="AG53" s="60">
        <f t="shared" si="159"/>
        <v>40</v>
      </c>
      <c r="AH53" s="60">
        <f t="shared" si="189"/>
        <v>150</v>
      </c>
      <c r="AI53" s="60">
        <f t="shared" si="189"/>
        <v>30</v>
      </c>
      <c r="AJ53" s="60">
        <f t="shared" si="189"/>
        <v>120</v>
      </c>
      <c r="AK53" s="60">
        <v>50</v>
      </c>
      <c r="AL53" s="60">
        <v>5</v>
      </c>
      <c r="AM53" s="60">
        <f>AK53-AL53</f>
        <v>45</v>
      </c>
      <c r="AN53" s="60">
        <v>68</v>
      </c>
      <c r="AO53" s="60"/>
      <c r="AP53" s="60">
        <f t="shared" si="162"/>
        <v>68</v>
      </c>
      <c r="AQ53" s="60"/>
      <c r="AR53" s="60"/>
      <c r="AS53" s="60">
        <f t="shared" si="163"/>
        <v>0</v>
      </c>
      <c r="AT53" s="60">
        <f t="shared" si="191"/>
        <v>118</v>
      </c>
      <c r="AU53" s="60">
        <f t="shared" si="191"/>
        <v>5</v>
      </c>
      <c r="AV53" s="60">
        <f t="shared" si="191"/>
        <v>113</v>
      </c>
      <c r="AW53" s="60"/>
      <c r="AX53" s="60"/>
      <c r="AY53" s="60">
        <f t="shared" si="164"/>
        <v>0</v>
      </c>
      <c r="AZ53" s="60"/>
      <c r="BA53" s="60"/>
      <c r="BB53" s="60"/>
      <c r="BC53" s="60"/>
      <c r="BD53" s="60"/>
      <c r="BE53" s="60"/>
      <c r="BF53" s="60"/>
      <c r="BG53" s="60"/>
      <c r="BH53" s="60"/>
      <c r="BI53" s="508"/>
      <c r="BJ53" s="488" t="str">
        <f t="shared" si="186"/>
        <v>Lò</v>
      </c>
      <c r="BK53" s="523">
        <f>ROUND(O53*G53*$C$3*$B$5,-2)</f>
        <v>200</v>
      </c>
      <c r="BL53" s="523">
        <f>ROUND(R53*G53*$C$3*$B$5,-2)</f>
        <v>200</v>
      </c>
      <c r="BM53" s="523">
        <f>ROUND(U53*G53*$C$3*$B$5,-2)</f>
        <v>500</v>
      </c>
      <c r="BN53" s="523">
        <f>ROUND(X53*G53*$C$3*$B$5,-2)</f>
        <v>900</v>
      </c>
      <c r="BO53" s="523">
        <f>ROUND(AA53*G53*$C$3*$B$5,-2)</f>
        <v>500</v>
      </c>
      <c r="BP53" s="523">
        <f>ROUND(AD53*G53*$C$3*$B$5,-2)</f>
        <v>600</v>
      </c>
      <c r="BQ53" s="523">
        <f>ROUND(AG53*G53*$C$3*$B$5,-2)</f>
        <v>500</v>
      </c>
      <c r="BR53" s="523">
        <f>ROUND(AJ53*G53*$B$5*$C$3,-2)</f>
        <v>1600</v>
      </c>
      <c r="BS53" s="523">
        <f>ROUND(AM53*G53*$C$3*$B$5,-2)</f>
        <v>600</v>
      </c>
      <c r="BT53" s="523">
        <f>ROUND(AP53*G53*$C$3*$B$5,-2)</f>
        <v>900</v>
      </c>
      <c r="BU53" s="523">
        <f>ROUND(AS53*G53*$C$3*$B$5,-2)</f>
        <v>0</v>
      </c>
      <c r="BV53" s="523">
        <f>ROUND(AV53*G53*$C$3*$B$5,-2)</f>
        <v>1500</v>
      </c>
      <c r="BW53" s="523">
        <f>ROUND(AY53*G53*$C$3*$B$5,-2)</f>
        <v>0</v>
      </c>
      <c r="BX53" s="523">
        <f>ROUND(BB53*G53*$C$3*$B$5,-2)</f>
        <v>0</v>
      </c>
      <c r="BY53" s="523">
        <f>ROUND(BE53*G53*$C$3*$B$5,-2)</f>
        <v>0</v>
      </c>
      <c r="BZ53" s="523">
        <f>ROUND(BH53*G53*$C$3*$B$5,-2)</f>
        <v>0</v>
      </c>
      <c r="CA53" s="354"/>
      <c r="CB53" s="354" t="str">
        <f>IF(SUM(I53:L53)&lt;&gt;0,"X")</f>
        <v>X</v>
      </c>
      <c r="CC53" s="509" t="str">
        <f t="shared" si="188"/>
        <v>KT3.</v>
      </c>
      <c r="CD53" s="509" t="str">
        <f>CC53&amp;G53</f>
        <v>KT3.11,2</v>
      </c>
      <c r="CE53" s="351" t="str">
        <f t="shared" si="187"/>
        <v>Lò</v>
      </c>
      <c r="CF53" s="509" t="str">
        <f>CC53&amp;CE53</f>
        <v>KT3.Lò</v>
      </c>
      <c r="CG53" s="509"/>
      <c r="CH53" s="509"/>
    </row>
    <row r="54" spans="1:86" ht="24" customHeight="1" x14ac:dyDescent="0.25">
      <c r="A54" s="354"/>
      <c r="B54" s="518"/>
      <c r="C54" s="519" t="s">
        <v>646</v>
      </c>
      <c r="D54" s="447" t="s">
        <v>14</v>
      </c>
      <c r="E54" s="447"/>
      <c r="F54" s="447"/>
      <c r="G54" s="520">
        <v>8.5</v>
      </c>
      <c r="H54" s="521">
        <v>0.7</v>
      </c>
      <c r="I54" s="522">
        <f t="shared" si="190"/>
        <v>30</v>
      </c>
      <c r="J54" s="522">
        <f t="shared" si="190"/>
        <v>0</v>
      </c>
      <c r="K54" s="522">
        <f t="shared" si="190"/>
        <v>30</v>
      </c>
      <c r="L54" s="57">
        <f>BN54+BR54+BV54+BZ54</f>
        <v>300</v>
      </c>
      <c r="M54" s="60"/>
      <c r="N54" s="60"/>
      <c r="O54" s="60">
        <f t="shared" si="151"/>
        <v>0</v>
      </c>
      <c r="P54" s="60"/>
      <c r="Q54" s="60"/>
      <c r="R54" s="60">
        <f t="shared" si="152"/>
        <v>0</v>
      </c>
      <c r="S54" s="824"/>
      <c r="T54" s="60"/>
      <c r="U54" s="60">
        <f t="shared" si="153"/>
        <v>0</v>
      </c>
      <c r="V54" s="60">
        <f t="shared" si="154"/>
        <v>0</v>
      </c>
      <c r="W54" s="60">
        <f t="shared" si="155"/>
        <v>0</v>
      </c>
      <c r="X54" s="60">
        <f t="shared" si="156"/>
        <v>0</v>
      </c>
      <c r="Y54" s="60"/>
      <c r="Z54" s="60"/>
      <c r="AA54" s="60">
        <f t="shared" si="157"/>
        <v>0</v>
      </c>
      <c r="AB54" s="60"/>
      <c r="AC54" s="60"/>
      <c r="AD54" s="60">
        <f t="shared" si="158"/>
        <v>0</v>
      </c>
      <c r="AE54" s="60"/>
      <c r="AF54" s="60"/>
      <c r="AG54" s="60">
        <f t="shared" si="159"/>
        <v>0</v>
      </c>
      <c r="AH54" s="60">
        <f t="shared" si="189"/>
        <v>0</v>
      </c>
      <c r="AI54" s="60">
        <f t="shared" si="189"/>
        <v>0</v>
      </c>
      <c r="AJ54" s="60">
        <f t="shared" si="189"/>
        <v>0</v>
      </c>
      <c r="AK54" s="60"/>
      <c r="AL54" s="60"/>
      <c r="AM54" s="60"/>
      <c r="AN54" s="60"/>
      <c r="AO54" s="60"/>
      <c r="AP54" s="60">
        <f t="shared" si="162"/>
        <v>0</v>
      </c>
      <c r="AQ54" s="60">
        <v>30</v>
      </c>
      <c r="AR54" s="60"/>
      <c r="AS54" s="60">
        <f t="shared" si="163"/>
        <v>30</v>
      </c>
      <c r="AT54" s="60">
        <f t="shared" si="191"/>
        <v>30</v>
      </c>
      <c r="AU54" s="60">
        <f t="shared" si="191"/>
        <v>0</v>
      </c>
      <c r="AV54" s="60">
        <f t="shared" si="191"/>
        <v>30</v>
      </c>
      <c r="AW54" s="60"/>
      <c r="AX54" s="60"/>
      <c r="AY54" s="60">
        <f t="shared" si="164"/>
        <v>0</v>
      </c>
      <c r="AZ54" s="60"/>
      <c r="BA54" s="60"/>
      <c r="BB54" s="60"/>
      <c r="BC54" s="60"/>
      <c r="BD54" s="60"/>
      <c r="BE54" s="60"/>
      <c r="BF54" s="60"/>
      <c r="BG54" s="60"/>
      <c r="BH54" s="60"/>
      <c r="BI54" s="508"/>
      <c r="BJ54" s="488" t="str">
        <f t="shared" si="186"/>
        <v>Lò</v>
      </c>
      <c r="BK54" s="523">
        <f>ROUND(O54*G54*$C$3*$B$5,-2)</f>
        <v>0</v>
      </c>
      <c r="BL54" s="523">
        <f>ROUND(R54*G54*$C$3*$B$5,-2)</f>
        <v>0</v>
      </c>
      <c r="BM54" s="523">
        <f>ROUND(U54*G54*$C$3*$B$5,-2)</f>
        <v>0</v>
      </c>
      <c r="BN54" s="523">
        <f>ROUND(X54*G54*$C$3*$B$5,-2)</f>
        <v>0</v>
      </c>
      <c r="BO54" s="523">
        <f>ROUND(AA54*G54*$C$3*$B$5,-2)</f>
        <v>0</v>
      </c>
      <c r="BP54" s="523">
        <f>ROUND(AD54*G54*$C$3*$B$5,-2)</f>
        <v>0</v>
      </c>
      <c r="BQ54" s="523">
        <f>ROUND(AG54*G54*$C$3*$B$5,-2)</f>
        <v>0</v>
      </c>
      <c r="BR54" s="523">
        <f>ROUND(AJ54*G54*$B$5*$C$3,-2)</f>
        <v>0</v>
      </c>
      <c r="BS54" s="523">
        <f>ROUND(AM54*G54*$C$3*$B$5,-2)</f>
        <v>0</v>
      </c>
      <c r="BT54" s="523">
        <f>ROUND(AP54*G54*$C$3*$B$5,-2)</f>
        <v>0</v>
      </c>
      <c r="BU54" s="523">
        <f>ROUND(AS54*G54*$C$3*$B$5,-2)</f>
        <v>300</v>
      </c>
      <c r="BV54" s="523">
        <f>ROUND(AV54*G54*$C$3*$B$5,-2)</f>
        <v>300</v>
      </c>
      <c r="BW54" s="523">
        <f>ROUND(AY54*G54*$C$3*$B$5,-2)</f>
        <v>0</v>
      </c>
      <c r="BX54" s="523">
        <f>ROUND(BB54*G54*$C$3*$B$5,-2)</f>
        <v>0</v>
      </c>
      <c r="BY54" s="523">
        <f>ROUND(BE54*G54*$C$3*$B$5,-2)</f>
        <v>0</v>
      </c>
      <c r="BZ54" s="523">
        <f>ROUND(BH54*G54*$C$3*$B$5,-2)</f>
        <v>0</v>
      </c>
      <c r="CA54" s="354"/>
      <c r="CB54" s="354" t="str">
        <f>IF(SUM(I54:L54)&lt;&gt;0,"X")</f>
        <v>X</v>
      </c>
      <c r="CC54" s="509" t="str">
        <f t="shared" si="188"/>
        <v>KT3.</v>
      </c>
      <c r="CD54" s="509" t="str">
        <f>CC54&amp;G54</f>
        <v>KT3.8,5</v>
      </c>
      <c r="CE54" s="351" t="str">
        <f t="shared" si="187"/>
        <v>Lò</v>
      </c>
      <c r="CF54" s="509" t="str">
        <f>CC54&amp;CE54</f>
        <v>KT3.Lò</v>
      </c>
      <c r="CG54" s="509"/>
      <c r="CH54" s="509"/>
    </row>
    <row r="55" spans="1:86" ht="24" customHeight="1" x14ac:dyDescent="0.25">
      <c r="A55" s="354"/>
      <c r="B55" s="518"/>
      <c r="C55" s="519" t="s">
        <v>837</v>
      </c>
      <c r="D55" s="447" t="s">
        <v>14</v>
      </c>
      <c r="E55" s="447"/>
      <c r="F55" s="447"/>
      <c r="G55" s="520">
        <v>11.2</v>
      </c>
      <c r="H55" s="521">
        <v>0.7</v>
      </c>
      <c r="I55" s="522">
        <f t="shared" si="190"/>
        <v>60</v>
      </c>
      <c r="J55" s="522">
        <f t="shared" si="190"/>
        <v>20</v>
      </c>
      <c r="K55" s="522">
        <f t="shared" si="190"/>
        <v>40</v>
      </c>
      <c r="L55" s="57">
        <f>BN55+BR55+BV55+BZ55</f>
        <v>500</v>
      </c>
      <c r="M55" s="60"/>
      <c r="N55" s="60"/>
      <c r="O55" s="60">
        <f t="shared" si="151"/>
        <v>0</v>
      </c>
      <c r="P55" s="60"/>
      <c r="Q55" s="60"/>
      <c r="R55" s="60">
        <f t="shared" si="152"/>
        <v>0</v>
      </c>
      <c r="S55" s="824"/>
      <c r="T55" s="60"/>
      <c r="U55" s="60">
        <f t="shared" si="153"/>
        <v>0</v>
      </c>
      <c r="V55" s="60">
        <f t="shared" si="154"/>
        <v>0</v>
      </c>
      <c r="W55" s="60">
        <f t="shared" si="155"/>
        <v>0</v>
      </c>
      <c r="X55" s="60">
        <f t="shared" si="156"/>
        <v>0</v>
      </c>
      <c r="Y55" s="60"/>
      <c r="Z55" s="60"/>
      <c r="AA55" s="60">
        <f t="shared" si="157"/>
        <v>0</v>
      </c>
      <c r="AB55" s="60"/>
      <c r="AC55" s="60"/>
      <c r="AD55" s="60">
        <f t="shared" si="158"/>
        <v>0</v>
      </c>
      <c r="AE55" s="60"/>
      <c r="AF55" s="60"/>
      <c r="AG55" s="60">
        <f t="shared" si="159"/>
        <v>0</v>
      </c>
      <c r="AH55" s="60">
        <f t="shared" si="189"/>
        <v>0</v>
      </c>
      <c r="AI55" s="60">
        <f t="shared" si="189"/>
        <v>0</v>
      </c>
      <c r="AJ55" s="60">
        <f t="shared" si="189"/>
        <v>0</v>
      </c>
      <c r="AK55" s="60"/>
      <c r="AL55" s="60"/>
      <c r="AM55" s="60"/>
      <c r="AN55" s="60"/>
      <c r="AO55" s="60"/>
      <c r="AP55" s="60">
        <f t="shared" si="162"/>
        <v>0</v>
      </c>
      <c r="AQ55" s="60">
        <v>45</v>
      </c>
      <c r="AR55" s="60">
        <v>15</v>
      </c>
      <c r="AS55" s="60">
        <f t="shared" si="163"/>
        <v>30</v>
      </c>
      <c r="AT55" s="60">
        <f t="shared" si="191"/>
        <v>45</v>
      </c>
      <c r="AU55" s="60">
        <f t="shared" si="191"/>
        <v>15</v>
      </c>
      <c r="AV55" s="60">
        <f t="shared" si="191"/>
        <v>30</v>
      </c>
      <c r="AW55" s="60">
        <v>15</v>
      </c>
      <c r="AX55" s="60">
        <v>5</v>
      </c>
      <c r="AY55" s="60">
        <f t="shared" si="164"/>
        <v>10</v>
      </c>
      <c r="AZ55" s="60"/>
      <c r="BA55" s="60"/>
      <c r="BB55" s="60"/>
      <c r="BC55" s="60"/>
      <c r="BD55" s="60"/>
      <c r="BE55" s="60"/>
      <c r="BF55" s="60">
        <f>AW55+AZ55+BC55</f>
        <v>15</v>
      </c>
      <c r="BG55" s="60">
        <f>AX55+BA55+BD55</f>
        <v>5</v>
      </c>
      <c r="BH55" s="60">
        <f>AY55+BB55+BE55</f>
        <v>10</v>
      </c>
      <c r="BI55" s="508"/>
      <c r="BJ55" s="488" t="str">
        <f t="shared" si="186"/>
        <v>Lò</v>
      </c>
      <c r="BK55" s="523">
        <f>ROUND(O55*G55*$C$3*$B$5,-2)</f>
        <v>0</v>
      </c>
      <c r="BL55" s="523">
        <f>ROUND(R55*G55*$C$3*$B$5,-2)</f>
        <v>0</v>
      </c>
      <c r="BM55" s="523">
        <f>ROUND(U55*G55*$C$3*$B$5,-2)</f>
        <v>0</v>
      </c>
      <c r="BN55" s="523">
        <f>ROUND(X55*G55*$C$3*$B$5,-2)</f>
        <v>0</v>
      </c>
      <c r="BO55" s="523">
        <f>ROUND(AA55*G55*$C$3*$B$5,-2)</f>
        <v>0</v>
      </c>
      <c r="BP55" s="523">
        <f>ROUND(AD55*G55*$C$3*$B$5,-2)</f>
        <v>0</v>
      </c>
      <c r="BQ55" s="523">
        <f>ROUND(AG55*G55*$C$3*$B$5,-2)</f>
        <v>0</v>
      </c>
      <c r="BR55" s="523">
        <f>ROUND(AJ55*G55*$B$5*$C$3,-2)</f>
        <v>0</v>
      </c>
      <c r="BS55" s="523">
        <f>ROUND(AM55*G55*$C$3*$B$5,-2)</f>
        <v>0</v>
      </c>
      <c r="BT55" s="523">
        <f>ROUND(AP55*G55*$C$3*$B$5,-2)</f>
        <v>0</v>
      </c>
      <c r="BU55" s="523">
        <f>ROUND(AS55*G55*$C$3*$B$5,-2)</f>
        <v>400</v>
      </c>
      <c r="BV55" s="523">
        <f>ROUND(AV55*G55*$C$3*$B$5,-2)</f>
        <v>400</v>
      </c>
      <c r="BW55" s="523">
        <f>ROUND(AY55*G55*$C$3*$B$5,-2)</f>
        <v>100</v>
      </c>
      <c r="BX55" s="523">
        <f>ROUND(BB55*G55*$C$3*$B$5,-2)</f>
        <v>0</v>
      </c>
      <c r="BY55" s="523">
        <f>ROUND(BE55*G55*$C$3*$B$5,-2)</f>
        <v>0</v>
      </c>
      <c r="BZ55" s="523">
        <f>ROUND(BH55*G55*$C$3*$B$5,-2)</f>
        <v>100</v>
      </c>
      <c r="CA55" s="354"/>
      <c r="CB55" s="354" t="str">
        <f>IF(SUM(I55:L55)&lt;&gt;0,"X")</f>
        <v>X</v>
      </c>
      <c r="CC55" s="509" t="str">
        <f t="shared" si="188"/>
        <v>KT3.</v>
      </c>
      <c r="CD55" s="509" t="str">
        <f>CC55&amp;G55</f>
        <v>KT3.11,2</v>
      </c>
      <c r="CE55" s="351" t="str">
        <f t="shared" si="187"/>
        <v>Lò</v>
      </c>
      <c r="CF55" s="509" t="str">
        <f>CC55&amp;CE55</f>
        <v>KT3.Lò</v>
      </c>
      <c r="CG55" s="509"/>
      <c r="CH55" s="509"/>
    </row>
    <row r="56" spans="1:86" s="359" customFormat="1" ht="21.75" customHeight="1" x14ac:dyDescent="0.3">
      <c r="A56" s="510" t="e">
        <f>A51</f>
        <v>#REF!</v>
      </c>
      <c r="B56" s="525" t="s">
        <v>37</v>
      </c>
      <c r="C56" s="526" t="s">
        <v>178</v>
      </c>
      <c r="D56" s="527"/>
      <c r="E56" s="527"/>
      <c r="F56" s="527"/>
      <c r="G56" s="528"/>
      <c r="H56" s="529"/>
      <c r="I56" s="70">
        <f>SUM(I57:I60)</f>
        <v>150</v>
      </c>
      <c r="J56" s="70">
        <f>SUM(J57:J60)</f>
        <v>65</v>
      </c>
      <c r="K56" s="70">
        <f>SUM(K57:K60)</f>
        <v>85</v>
      </c>
      <c r="L56" s="70">
        <f t="shared" ref="L56:BH56" si="192">SUM(L57:L59)</f>
        <v>100</v>
      </c>
      <c r="M56" s="70">
        <f t="shared" si="192"/>
        <v>0</v>
      </c>
      <c r="N56" s="70">
        <f t="shared" si="192"/>
        <v>0</v>
      </c>
      <c r="O56" s="70">
        <f t="shared" si="192"/>
        <v>0</v>
      </c>
      <c r="P56" s="70">
        <f t="shared" si="192"/>
        <v>50</v>
      </c>
      <c r="Q56" s="70">
        <f t="shared" si="192"/>
        <v>10</v>
      </c>
      <c r="R56" s="70">
        <f t="shared" si="192"/>
        <v>40</v>
      </c>
      <c r="S56" s="827">
        <f t="shared" si="192"/>
        <v>25</v>
      </c>
      <c r="T56" s="70">
        <f t="shared" si="192"/>
        <v>20</v>
      </c>
      <c r="U56" s="70">
        <f t="shared" si="192"/>
        <v>5</v>
      </c>
      <c r="V56" s="70">
        <f t="shared" si="192"/>
        <v>75</v>
      </c>
      <c r="W56" s="70">
        <f t="shared" si="192"/>
        <v>30</v>
      </c>
      <c r="X56" s="70">
        <f t="shared" si="192"/>
        <v>45</v>
      </c>
      <c r="Y56" s="70">
        <f t="shared" si="192"/>
        <v>0</v>
      </c>
      <c r="Z56" s="70">
        <f t="shared" si="192"/>
        <v>0</v>
      </c>
      <c r="AA56" s="70">
        <f t="shared" si="192"/>
        <v>0</v>
      </c>
      <c r="AB56" s="70">
        <f t="shared" si="192"/>
        <v>0</v>
      </c>
      <c r="AC56" s="70">
        <f t="shared" si="192"/>
        <v>0</v>
      </c>
      <c r="AD56" s="70">
        <f t="shared" si="192"/>
        <v>0</v>
      </c>
      <c r="AE56" s="70">
        <f t="shared" si="192"/>
        <v>0</v>
      </c>
      <c r="AF56" s="70">
        <f t="shared" si="192"/>
        <v>0</v>
      </c>
      <c r="AG56" s="70">
        <f t="shared" si="192"/>
        <v>0</v>
      </c>
      <c r="AH56" s="70">
        <f t="shared" si="192"/>
        <v>0</v>
      </c>
      <c r="AI56" s="70">
        <f t="shared" si="192"/>
        <v>0</v>
      </c>
      <c r="AJ56" s="70">
        <f t="shared" si="192"/>
        <v>0</v>
      </c>
      <c r="AK56" s="70">
        <f t="shared" si="192"/>
        <v>0</v>
      </c>
      <c r="AL56" s="70">
        <f t="shared" si="192"/>
        <v>0</v>
      </c>
      <c r="AM56" s="70">
        <f t="shared" si="192"/>
        <v>0</v>
      </c>
      <c r="AN56" s="70">
        <f t="shared" si="192"/>
        <v>0</v>
      </c>
      <c r="AO56" s="70">
        <f t="shared" si="192"/>
        <v>0</v>
      </c>
      <c r="AP56" s="70">
        <f t="shared" si="192"/>
        <v>0</v>
      </c>
      <c r="AQ56" s="70">
        <f t="shared" si="192"/>
        <v>0</v>
      </c>
      <c r="AR56" s="70">
        <f t="shared" si="192"/>
        <v>0</v>
      </c>
      <c r="AS56" s="70">
        <f t="shared" si="192"/>
        <v>0</v>
      </c>
      <c r="AT56" s="70">
        <f t="shared" si="192"/>
        <v>0</v>
      </c>
      <c r="AU56" s="70">
        <f t="shared" si="192"/>
        <v>0</v>
      </c>
      <c r="AV56" s="70">
        <f t="shared" si="192"/>
        <v>0</v>
      </c>
      <c r="AW56" s="70">
        <f t="shared" si="192"/>
        <v>0</v>
      </c>
      <c r="AX56" s="70">
        <f t="shared" si="192"/>
        <v>0</v>
      </c>
      <c r="AY56" s="70">
        <f t="shared" si="192"/>
        <v>0</v>
      </c>
      <c r="AZ56" s="70">
        <f t="shared" si="192"/>
        <v>0</v>
      </c>
      <c r="BA56" s="70">
        <f t="shared" si="192"/>
        <v>0</v>
      </c>
      <c r="BB56" s="70">
        <f t="shared" si="192"/>
        <v>0</v>
      </c>
      <c r="BC56" s="70">
        <f t="shared" si="192"/>
        <v>0</v>
      </c>
      <c r="BD56" s="70">
        <f t="shared" si="192"/>
        <v>0</v>
      </c>
      <c r="BE56" s="70">
        <f t="shared" si="192"/>
        <v>0</v>
      </c>
      <c r="BF56" s="70">
        <f t="shared" si="192"/>
        <v>0</v>
      </c>
      <c r="BG56" s="70">
        <f t="shared" si="192"/>
        <v>0</v>
      </c>
      <c r="BH56" s="70">
        <f t="shared" si="192"/>
        <v>0</v>
      </c>
      <c r="BI56" s="530"/>
      <c r="BJ56" s="488" t="str">
        <f t="shared" si="186"/>
        <v>XL</v>
      </c>
      <c r="BK56" s="225">
        <f>SUM(BK57:BK60)</f>
        <v>0</v>
      </c>
      <c r="BL56" s="225">
        <f t="shared" ref="BL56:BZ56" si="193">SUM(BL57:BL60)</f>
        <v>100</v>
      </c>
      <c r="BM56" s="225">
        <f t="shared" si="193"/>
        <v>0</v>
      </c>
      <c r="BN56" s="225">
        <f t="shared" si="193"/>
        <v>100</v>
      </c>
      <c r="BO56" s="225">
        <f t="shared" si="193"/>
        <v>0</v>
      </c>
      <c r="BP56" s="225">
        <f t="shared" si="193"/>
        <v>0</v>
      </c>
      <c r="BQ56" s="225">
        <f t="shared" si="193"/>
        <v>0</v>
      </c>
      <c r="BR56" s="225">
        <f t="shared" si="193"/>
        <v>0</v>
      </c>
      <c r="BS56" s="225">
        <f t="shared" si="193"/>
        <v>0</v>
      </c>
      <c r="BT56" s="225">
        <f t="shared" si="193"/>
        <v>0</v>
      </c>
      <c r="BU56" s="225">
        <f t="shared" si="193"/>
        <v>0</v>
      </c>
      <c r="BV56" s="225">
        <f t="shared" si="193"/>
        <v>0</v>
      </c>
      <c r="BW56" s="225">
        <f t="shared" si="193"/>
        <v>0</v>
      </c>
      <c r="BX56" s="225">
        <f t="shared" si="193"/>
        <v>100</v>
      </c>
      <c r="BY56" s="225">
        <f t="shared" si="193"/>
        <v>0</v>
      </c>
      <c r="BZ56" s="225">
        <f t="shared" si="193"/>
        <v>100</v>
      </c>
      <c r="CA56" s="510"/>
      <c r="CB56" s="510" t="str">
        <f t="shared" si="3"/>
        <v>X</v>
      </c>
      <c r="CC56" s="509" t="str">
        <f>CC51</f>
        <v>KT3.</v>
      </c>
      <c r="CD56" s="509" t="str">
        <f t="shared" si="48"/>
        <v>KT3.</v>
      </c>
      <c r="CE56" s="351" t="str">
        <f t="shared" si="187"/>
        <v>XL</v>
      </c>
      <c r="CF56" s="509" t="str">
        <f t="shared" si="49"/>
        <v>KT3.XL</v>
      </c>
      <c r="CG56" s="509"/>
      <c r="CH56" s="509"/>
    </row>
    <row r="57" spans="1:86" ht="23.25" customHeight="1" x14ac:dyDescent="0.25">
      <c r="A57" s="354" t="e">
        <f>A56</f>
        <v>#REF!</v>
      </c>
      <c r="B57" s="484"/>
      <c r="C57" s="531" t="s">
        <v>568</v>
      </c>
      <c r="D57" s="447" t="s">
        <v>14</v>
      </c>
      <c r="E57" s="447"/>
      <c r="F57" s="447"/>
      <c r="G57" s="520">
        <v>13.1</v>
      </c>
      <c r="H57" s="521">
        <v>0.7</v>
      </c>
      <c r="I57" s="522">
        <f t="shared" ref="I57:K59" si="194">V57+AH57+AT57+BF57</f>
        <v>0</v>
      </c>
      <c r="J57" s="522">
        <f t="shared" si="194"/>
        <v>0</v>
      </c>
      <c r="K57" s="522">
        <f t="shared" si="194"/>
        <v>0</v>
      </c>
      <c r="L57" s="57">
        <f>BN57+BR57+BV57+BZ57</f>
        <v>0</v>
      </c>
      <c r="M57" s="60"/>
      <c r="N57" s="60"/>
      <c r="O57" s="60">
        <f>M57-N57</f>
        <v>0</v>
      </c>
      <c r="P57" s="60"/>
      <c r="Q57" s="60"/>
      <c r="R57" s="60">
        <f>P57-Q57</f>
        <v>0</v>
      </c>
      <c r="S57" s="824"/>
      <c r="T57" s="60"/>
      <c r="U57" s="60">
        <f>S57-T57</f>
        <v>0</v>
      </c>
      <c r="V57" s="60">
        <f t="shared" ref="V57:X60" si="195">M57+P57+S57</f>
        <v>0</v>
      </c>
      <c r="W57" s="60">
        <f t="shared" si="195"/>
        <v>0</v>
      </c>
      <c r="X57" s="60">
        <f t="shared" si="195"/>
        <v>0</v>
      </c>
      <c r="Y57" s="60"/>
      <c r="Z57" s="60"/>
      <c r="AA57" s="60">
        <f>Y57-Z57</f>
        <v>0</v>
      </c>
      <c r="AB57" s="60"/>
      <c r="AC57" s="60"/>
      <c r="AD57" s="60">
        <f>AB57-AC57</f>
        <v>0</v>
      </c>
      <c r="AE57" s="60"/>
      <c r="AF57" s="60"/>
      <c r="AG57" s="60">
        <f>AE57-AF57</f>
        <v>0</v>
      </c>
      <c r="AH57" s="60">
        <f t="shared" ref="AH57:AJ60" si="196">Y57+AB57+AE57</f>
        <v>0</v>
      </c>
      <c r="AI57" s="60">
        <f t="shared" si="196"/>
        <v>0</v>
      </c>
      <c r="AJ57" s="60">
        <f t="shared" si="196"/>
        <v>0</v>
      </c>
      <c r="AK57" s="60"/>
      <c r="AL57" s="60"/>
      <c r="AM57" s="60">
        <f>AK57-AL57</f>
        <v>0</v>
      </c>
      <c r="AN57" s="60"/>
      <c r="AO57" s="60"/>
      <c r="AP57" s="60">
        <f>AN57-AO57</f>
        <v>0</v>
      </c>
      <c r="AQ57" s="60"/>
      <c r="AR57" s="60"/>
      <c r="AS57" s="60">
        <f>AQ57-AR57</f>
        <v>0</v>
      </c>
      <c r="AT57" s="60"/>
      <c r="AU57" s="60"/>
      <c r="AV57" s="60">
        <f>AT57-AU57</f>
        <v>0</v>
      </c>
      <c r="AW57" s="60"/>
      <c r="AX57" s="60"/>
      <c r="AY57" s="60">
        <f>AW57-AX57</f>
        <v>0</v>
      </c>
      <c r="AZ57" s="60"/>
      <c r="BA57" s="60"/>
      <c r="BB57" s="60">
        <f>AZ57-BA57</f>
        <v>0</v>
      </c>
      <c r="BC57" s="60"/>
      <c r="BD57" s="60"/>
      <c r="BE57" s="60">
        <f>BC57-BD57</f>
        <v>0</v>
      </c>
      <c r="BF57" s="60"/>
      <c r="BG57" s="60"/>
      <c r="BH57" s="60">
        <f>BF57-BG57</f>
        <v>0</v>
      </c>
      <c r="BI57" s="508"/>
      <c r="BJ57" s="488" t="str">
        <f t="shared" si="186"/>
        <v>Xé</v>
      </c>
      <c r="BK57" s="523">
        <f>ROUND(O57*G57*$B$6,-2)</f>
        <v>0</v>
      </c>
      <c r="BL57" s="523">
        <f>ROUND(R57*G57*$B$6,-2)</f>
        <v>0</v>
      </c>
      <c r="BM57" s="523">
        <f>ROUND(U57*G57*$B$6,-2)</f>
        <v>0</v>
      </c>
      <c r="BN57" s="523">
        <f>ROUND(X57*G57*$B$6,-2)</f>
        <v>0</v>
      </c>
      <c r="BO57" s="523">
        <f>ROUND(AA57*G57*$B$6,-2)</f>
        <v>0</v>
      </c>
      <c r="BP57" s="523">
        <f>ROUND(AD57*G57*$B$6,-2)</f>
        <v>0</v>
      </c>
      <c r="BQ57" s="523">
        <f>ROUND(AG57*G57*$B$6,-2)</f>
        <v>0</v>
      </c>
      <c r="BR57" s="523">
        <f>ROUND(AJ57*G57*$B$6,-2)</f>
        <v>0</v>
      </c>
      <c r="BS57" s="523">
        <f>ROUND(AM57*G57*$B$6,-2)</f>
        <v>0</v>
      </c>
      <c r="BT57" s="523">
        <f>ROUND(AP57*G57*$B$6,-2)</f>
        <v>0</v>
      </c>
      <c r="BU57" s="523">
        <f>ROUND(AS57*G57*$B$6,-2)</f>
        <v>0</v>
      </c>
      <c r="BV57" s="523">
        <f>ROUND(AV57*G57*$B$6,-2)</f>
        <v>0</v>
      </c>
      <c r="BW57" s="523">
        <f>ROUND(AY57*G57*$B$6,-2)</f>
        <v>0</v>
      </c>
      <c r="BX57" s="523">
        <f>ROUND(BB57*G57*$B$6,-2)</f>
        <v>0</v>
      </c>
      <c r="BY57" s="523">
        <f>ROUND(BE57*G57*$B$6,-2)</f>
        <v>0</v>
      </c>
      <c r="BZ57" s="523">
        <f>ROUND(BH57*G57*$B$6,-2)</f>
        <v>0</v>
      </c>
      <c r="CA57" s="354"/>
      <c r="CB57" s="354" t="b">
        <f t="shared" si="3"/>
        <v>0</v>
      </c>
      <c r="CC57" s="509" t="str">
        <f t="shared" si="47"/>
        <v>KT3.</v>
      </c>
      <c r="CD57" s="509" t="str">
        <f t="shared" si="48"/>
        <v>KT3.13,1</v>
      </c>
      <c r="CE57" s="351" t="str">
        <f t="shared" si="187"/>
        <v>Xé</v>
      </c>
      <c r="CF57" s="509" t="str">
        <f t="shared" si="49"/>
        <v>KT3.Xé</v>
      </c>
      <c r="CG57" s="509"/>
      <c r="CH57" s="509"/>
    </row>
    <row r="58" spans="1:86" ht="23.25" customHeight="1" x14ac:dyDescent="0.25">
      <c r="A58" s="354" t="e">
        <f>A56</f>
        <v>#REF!</v>
      </c>
      <c r="B58" s="484"/>
      <c r="C58" s="531" t="s">
        <v>569</v>
      </c>
      <c r="D58" s="447" t="s">
        <v>14</v>
      </c>
      <c r="E58" s="447"/>
      <c r="F58" s="447"/>
      <c r="G58" s="520">
        <v>13.1</v>
      </c>
      <c r="H58" s="521">
        <v>0.7</v>
      </c>
      <c r="I58" s="522">
        <f t="shared" si="194"/>
        <v>0</v>
      </c>
      <c r="J58" s="522">
        <f t="shared" si="194"/>
        <v>0</v>
      </c>
      <c r="K58" s="522">
        <f t="shared" si="194"/>
        <v>0</v>
      </c>
      <c r="L58" s="57">
        <f>BN58+BR58+BV58+BZ58</f>
        <v>0</v>
      </c>
      <c r="M58" s="60"/>
      <c r="N58" s="60"/>
      <c r="O58" s="60">
        <f>M58-N58</f>
        <v>0</v>
      </c>
      <c r="P58" s="60"/>
      <c r="Q58" s="60"/>
      <c r="R58" s="60">
        <f>P58-Q58</f>
        <v>0</v>
      </c>
      <c r="S58" s="824"/>
      <c r="T58" s="60"/>
      <c r="U58" s="60">
        <f>S58-T58</f>
        <v>0</v>
      </c>
      <c r="V58" s="60">
        <f t="shared" si="195"/>
        <v>0</v>
      </c>
      <c r="W58" s="60">
        <f t="shared" si="195"/>
        <v>0</v>
      </c>
      <c r="X58" s="60">
        <f t="shared" si="195"/>
        <v>0</v>
      </c>
      <c r="Y58" s="60"/>
      <c r="Z58" s="60"/>
      <c r="AA58" s="60">
        <f>Y58-Z58</f>
        <v>0</v>
      </c>
      <c r="AB58" s="60"/>
      <c r="AC58" s="60"/>
      <c r="AD58" s="60">
        <f>AB58-AC58</f>
        <v>0</v>
      </c>
      <c r="AE58" s="60"/>
      <c r="AF58" s="60"/>
      <c r="AG58" s="60">
        <f>AE58-AF58</f>
        <v>0</v>
      </c>
      <c r="AH58" s="60">
        <f t="shared" si="196"/>
        <v>0</v>
      </c>
      <c r="AI58" s="60">
        <f t="shared" si="196"/>
        <v>0</v>
      </c>
      <c r="AJ58" s="60">
        <f t="shared" si="196"/>
        <v>0</v>
      </c>
      <c r="AK58" s="60"/>
      <c r="AL58" s="60"/>
      <c r="AM58" s="60">
        <f>AK58-AL58</f>
        <v>0</v>
      </c>
      <c r="AN58" s="60"/>
      <c r="AO58" s="60"/>
      <c r="AP58" s="60">
        <f>AN58-AO58</f>
        <v>0</v>
      </c>
      <c r="AQ58" s="60"/>
      <c r="AR58" s="60"/>
      <c r="AS58" s="60">
        <f>AQ58-AR58</f>
        <v>0</v>
      </c>
      <c r="AT58" s="60"/>
      <c r="AU58" s="60"/>
      <c r="AV58" s="60">
        <f>AT58-AU58</f>
        <v>0</v>
      </c>
      <c r="AW58" s="60"/>
      <c r="AX58" s="60"/>
      <c r="AY58" s="60">
        <f>AW58-AX58</f>
        <v>0</v>
      </c>
      <c r="AZ58" s="60"/>
      <c r="BA58" s="60"/>
      <c r="BB58" s="60">
        <f>AZ58-BA58</f>
        <v>0</v>
      </c>
      <c r="BC58" s="60"/>
      <c r="BD58" s="60"/>
      <c r="BE58" s="60">
        <f>BC58-BD58</f>
        <v>0</v>
      </c>
      <c r="BF58" s="60"/>
      <c r="BG58" s="60"/>
      <c r="BH58" s="60">
        <f>BF58-BG58</f>
        <v>0</v>
      </c>
      <c r="BI58" s="508"/>
      <c r="BJ58" s="488" t="str">
        <f t="shared" si="186"/>
        <v>Xé</v>
      </c>
      <c r="BK58" s="523">
        <f>ROUND(O58*G58*$B$6,-2)</f>
        <v>0</v>
      </c>
      <c r="BL58" s="523">
        <f>ROUND(R58*G58*$B$6,-2)</f>
        <v>0</v>
      </c>
      <c r="BM58" s="523">
        <f>ROUND(U58*G58*$B$6,-2)</f>
        <v>0</v>
      </c>
      <c r="BN58" s="523">
        <f>ROUND(X58*G58*$B$6,-2)</f>
        <v>0</v>
      </c>
      <c r="BO58" s="523">
        <f>ROUND(AA58*G58*$B$6,-2)</f>
        <v>0</v>
      </c>
      <c r="BP58" s="523">
        <f>ROUND(AD58*G58*$B$6,-2)</f>
        <v>0</v>
      </c>
      <c r="BQ58" s="523">
        <f>ROUND(AG58*G58*$B$6,-2)</f>
        <v>0</v>
      </c>
      <c r="BR58" s="523">
        <f>ROUND(AJ58*G58*$B$6,-2)</f>
        <v>0</v>
      </c>
      <c r="BS58" s="523">
        <f>ROUND(AM58*G58*$B$6,-2)</f>
        <v>0</v>
      </c>
      <c r="BT58" s="523">
        <f>ROUND(AP58*G58*$B$6,-2)</f>
        <v>0</v>
      </c>
      <c r="BU58" s="523">
        <f>ROUND(AS58*G58*$B$6,-2)</f>
        <v>0</v>
      </c>
      <c r="BV58" s="523">
        <f>ROUND(AV58*G58*$B$6,-2)</f>
        <v>0</v>
      </c>
      <c r="BW58" s="523">
        <f>ROUND(AY58*G58*$B$6,-2)</f>
        <v>0</v>
      </c>
      <c r="BX58" s="523">
        <f>ROUND(BB58*G58*$B$6,-2)</f>
        <v>0</v>
      </c>
      <c r="BY58" s="523">
        <f>ROUND(BE58*G58*$B$6,-2)</f>
        <v>0</v>
      </c>
      <c r="BZ58" s="523">
        <f>ROUND(BH58*G58*$B$6,-2)</f>
        <v>0</v>
      </c>
      <c r="CA58" s="354"/>
      <c r="CB58" s="354" t="b">
        <f>IF(SUM(I58:L58)&lt;&gt;0,"X")</f>
        <v>0</v>
      </c>
      <c r="CC58" s="509" t="str">
        <f t="shared" si="47"/>
        <v>KT3.</v>
      </c>
      <c r="CD58" s="509" t="str">
        <f t="shared" si="48"/>
        <v>KT3.13,1</v>
      </c>
      <c r="CE58" s="351" t="str">
        <f t="shared" si="187"/>
        <v>Xé</v>
      </c>
      <c r="CF58" s="509" t="str">
        <f t="shared" si="49"/>
        <v>KT3.Xé</v>
      </c>
      <c r="CG58" s="509"/>
      <c r="CH58" s="509"/>
    </row>
    <row r="59" spans="1:86" ht="23.25" customHeight="1" x14ac:dyDescent="0.25">
      <c r="A59" s="354" t="e">
        <f>A57</f>
        <v>#REF!</v>
      </c>
      <c r="B59" s="484"/>
      <c r="C59" s="531" t="s">
        <v>569</v>
      </c>
      <c r="D59" s="447" t="s">
        <v>14</v>
      </c>
      <c r="E59" s="447"/>
      <c r="F59" s="447"/>
      <c r="G59" s="520">
        <v>11.2</v>
      </c>
      <c r="H59" s="521">
        <v>0.7</v>
      </c>
      <c r="I59" s="522">
        <f t="shared" si="194"/>
        <v>75</v>
      </c>
      <c r="J59" s="522">
        <f t="shared" si="194"/>
        <v>30</v>
      </c>
      <c r="K59" s="522">
        <f t="shared" si="194"/>
        <v>45</v>
      </c>
      <c r="L59" s="57">
        <f>BN59+BR59+BV59+BZ59</f>
        <v>100</v>
      </c>
      <c r="M59" s="60"/>
      <c r="N59" s="60"/>
      <c r="O59" s="60">
        <f>M59-N59</f>
        <v>0</v>
      </c>
      <c r="P59" s="60">
        <v>50</v>
      </c>
      <c r="Q59" s="60">
        <v>10</v>
      </c>
      <c r="R59" s="60">
        <f>P59-Q59</f>
        <v>40</v>
      </c>
      <c r="S59" s="824">
        <v>25</v>
      </c>
      <c r="T59" s="60">
        <v>20</v>
      </c>
      <c r="U59" s="60">
        <f>S59-T59</f>
        <v>5</v>
      </c>
      <c r="V59" s="60">
        <f t="shared" si="195"/>
        <v>75</v>
      </c>
      <c r="W59" s="60">
        <f t="shared" si="195"/>
        <v>30</v>
      </c>
      <c r="X59" s="60">
        <f t="shared" si="195"/>
        <v>45</v>
      </c>
      <c r="Y59" s="60"/>
      <c r="Z59" s="60"/>
      <c r="AA59" s="60">
        <f>Y59-Z59</f>
        <v>0</v>
      </c>
      <c r="AB59" s="60"/>
      <c r="AC59" s="60"/>
      <c r="AD59" s="60">
        <f>AB59-AC59</f>
        <v>0</v>
      </c>
      <c r="AE59" s="60"/>
      <c r="AF59" s="60"/>
      <c r="AG59" s="60">
        <f>AE59-AF59</f>
        <v>0</v>
      </c>
      <c r="AH59" s="60">
        <f t="shared" si="196"/>
        <v>0</v>
      </c>
      <c r="AI59" s="60">
        <f t="shared" si="196"/>
        <v>0</v>
      </c>
      <c r="AJ59" s="60">
        <f t="shared" si="196"/>
        <v>0</v>
      </c>
      <c r="AK59" s="60"/>
      <c r="AL59" s="60"/>
      <c r="AM59" s="60">
        <f>AK59-AL59</f>
        <v>0</v>
      </c>
      <c r="AN59" s="60"/>
      <c r="AO59" s="60"/>
      <c r="AP59" s="60">
        <f>AN59-AO59</f>
        <v>0</v>
      </c>
      <c r="AQ59" s="60"/>
      <c r="AR59" s="60"/>
      <c r="AS59" s="60">
        <f>AQ59-AR59</f>
        <v>0</v>
      </c>
      <c r="AT59" s="60">
        <f t="shared" ref="AT59:AV60" si="197">AK59+AN59+AQ59</f>
        <v>0</v>
      </c>
      <c r="AU59" s="60">
        <f t="shared" si="197"/>
        <v>0</v>
      </c>
      <c r="AV59" s="60">
        <f t="shared" si="197"/>
        <v>0</v>
      </c>
      <c r="AW59" s="60"/>
      <c r="AX59" s="60"/>
      <c r="AY59" s="60">
        <f>AW59-AX59</f>
        <v>0</v>
      </c>
      <c r="AZ59" s="60"/>
      <c r="BA59" s="60"/>
      <c r="BB59" s="60">
        <f>AZ59-BA59</f>
        <v>0</v>
      </c>
      <c r="BC59" s="60"/>
      <c r="BD59" s="60"/>
      <c r="BE59" s="60">
        <f>BC59-BD59</f>
        <v>0</v>
      </c>
      <c r="BF59" s="60">
        <f t="shared" ref="BF59:BH60" si="198">AW59+AZ59+BC59</f>
        <v>0</v>
      </c>
      <c r="BG59" s="60">
        <f t="shared" si="198"/>
        <v>0</v>
      </c>
      <c r="BH59" s="60">
        <f t="shared" si="198"/>
        <v>0</v>
      </c>
      <c r="BI59" s="508"/>
      <c r="BJ59" s="488" t="str">
        <f t="shared" si="186"/>
        <v>Xé</v>
      </c>
      <c r="BK59" s="523">
        <f>ROUND(O59*G59*$B$6,-2)</f>
        <v>0</v>
      </c>
      <c r="BL59" s="523">
        <f>ROUND(R59*G59*$B$6,-2)</f>
        <v>100</v>
      </c>
      <c r="BM59" s="523">
        <f>ROUND(U59*G59*$B$6,-2)</f>
        <v>0</v>
      </c>
      <c r="BN59" s="523">
        <f>ROUND(X59*G59*$B$6,-2)</f>
        <v>100</v>
      </c>
      <c r="BO59" s="523">
        <f>ROUND(AA59*G59*$B$6,-2)</f>
        <v>0</v>
      </c>
      <c r="BP59" s="523">
        <f>ROUND(AD59*G59*$B$6,-2)</f>
        <v>0</v>
      </c>
      <c r="BQ59" s="523">
        <f>ROUND(AG59*G59*$B$6,-2)</f>
        <v>0</v>
      </c>
      <c r="BR59" s="523">
        <f>ROUND(AJ59*G59*$B$6,-2)</f>
        <v>0</v>
      </c>
      <c r="BS59" s="523">
        <f>ROUND(AM59*G59*$B$6,-2)</f>
        <v>0</v>
      </c>
      <c r="BT59" s="523">
        <f>ROUND(AP59*G59*$B$6,-2)</f>
        <v>0</v>
      </c>
      <c r="BU59" s="523">
        <f>ROUND(AS59*G59*$B$6,-2)</f>
        <v>0</v>
      </c>
      <c r="BV59" s="523">
        <f>ROUND(AV59*G59*$B$6,-2)</f>
        <v>0</v>
      </c>
      <c r="BW59" s="523">
        <f>ROUND(AY59*G59*$B$6,-2)</f>
        <v>0</v>
      </c>
      <c r="BX59" s="523">
        <f>ROUND(BB59*G59*$B$6,-2)</f>
        <v>0</v>
      </c>
      <c r="BY59" s="523">
        <f>ROUND(BE59*G59*$B$6,-2)</f>
        <v>0</v>
      </c>
      <c r="BZ59" s="523">
        <f>ROUND(BH59*G59*$B$6,-2)</f>
        <v>0</v>
      </c>
      <c r="CA59" s="354"/>
      <c r="CB59" s="354" t="str">
        <f t="shared" si="3"/>
        <v>X</v>
      </c>
      <c r="CC59" s="509" t="str">
        <f t="shared" si="47"/>
        <v>KT3.</v>
      </c>
      <c r="CD59" s="509" t="str">
        <f t="shared" si="48"/>
        <v>KT3.11,2</v>
      </c>
      <c r="CE59" s="351" t="str">
        <f t="shared" si="187"/>
        <v>Xé</v>
      </c>
      <c r="CF59" s="509" t="str">
        <f t="shared" si="49"/>
        <v>KT3.Xé</v>
      </c>
      <c r="CG59" s="509"/>
      <c r="CH59" s="509"/>
    </row>
    <row r="60" spans="1:86" ht="23.25" customHeight="1" x14ac:dyDescent="0.25">
      <c r="A60" s="354" t="e">
        <f>A58</f>
        <v>#REF!</v>
      </c>
      <c r="B60" s="484"/>
      <c r="C60" s="531" t="s">
        <v>835</v>
      </c>
      <c r="D60" s="447" t="s">
        <v>14</v>
      </c>
      <c r="E60" s="447"/>
      <c r="F60" s="447"/>
      <c r="G60" s="520">
        <v>11.2</v>
      </c>
      <c r="H60" s="521">
        <v>0.7</v>
      </c>
      <c r="I60" s="522">
        <f>V60+AH60+AT60+BF60</f>
        <v>75</v>
      </c>
      <c r="J60" s="522">
        <f>W60+AI60+AU60+BG60</f>
        <v>35</v>
      </c>
      <c r="K60" s="522">
        <f>X60+AJ60+AV60+BH60</f>
        <v>40</v>
      </c>
      <c r="L60" s="57">
        <f>BN60+BR60+BV60+BZ60</f>
        <v>100</v>
      </c>
      <c r="M60" s="60"/>
      <c r="N60" s="60"/>
      <c r="O60" s="60">
        <f>M60-N60</f>
        <v>0</v>
      </c>
      <c r="P60" s="60"/>
      <c r="Q60" s="60"/>
      <c r="R60" s="60">
        <f>P60-Q60</f>
        <v>0</v>
      </c>
      <c r="S60" s="824"/>
      <c r="T60" s="60"/>
      <c r="U60" s="60">
        <f>S60-T60</f>
        <v>0</v>
      </c>
      <c r="V60" s="60">
        <f t="shared" si="195"/>
        <v>0</v>
      </c>
      <c r="W60" s="60">
        <f t="shared" si="195"/>
        <v>0</v>
      </c>
      <c r="X60" s="60">
        <f t="shared" si="195"/>
        <v>0</v>
      </c>
      <c r="Y60" s="60"/>
      <c r="Z60" s="60"/>
      <c r="AA60" s="60">
        <f>Y60-Z60</f>
        <v>0</v>
      </c>
      <c r="AB60" s="60"/>
      <c r="AC60" s="60"/>
      <c r="AD60" s="60">
        <f>AB60-AC60</f>
        <v>0</v>
      </c>
      <c r="AE60" s="60">
        <v>15</v>
      </c>
      <c r="AF60" s="60">
        <v>10</v>
      </c>
      <c r="AG60" s="60">
        <f>AE60-AF60</f>
        <v>5</v>
      </c>
      <c r="AH60" s="60">
        <f t="shared" si="196"/>
        <v>15</v>
      </c>
      <c r="AI60" s="60">
        <f t="shared" si="196"/>
        <v>10</v>
      </c>
      <c r="AJ60" s="60">
        <f t="shared" si="196"/>
        <v>5</v>
      </c>
      <c r="AK60" s="60">
        <v>15</v>
      </c>
      <c r="AL60" s="60">
        <v>5</v>
      </c>
      <c r="AM60" s="60">
        <f>AK60-AL60</f>
        <v>10</v>
      </c>
      <c r="AN60" s="60"/>
      <c r="AO60" s="60"/>
      <c r="AP60" s="60">
        <f>AN60-AO60</f>
        <v>0</v>
      </c>
      <c r="AQ60" s="60"/>
      <c r="AR60" s="60"/>
      <c r="AS60" s="60">
        <f>AQ60-AR60</f>
        <v>0</v>
      </c>
      <c r="AT60" s="60">
        <f t="shared" si="197"/>
        <v>15</v>
      </c>
      <c r="AU60" s="60">
        <f t="shared" si="197"/>
        <v>5</v>
      </c>
      <c r="AV60" s="60">
        <f t="shared" si="197"/>
        <v>10</v>
      </c>
      <c r="AW60" s="60"/>
      <c r="AX60" s="60"/>
      <c r="AY60" s="60">
        <f>AW60-AX60</f>
        <v>0</v>
      </c>
      <c r="AZ60" s="60">
        <v>30</v>
      </c>
      <c r="BA60" s="60">
        <v>5</v>
      </c>
      <c r="BB60" s="60">
        <f>AZ60-BA60</f>
        <v>25</v>
      </c>
      <c r="BC60" s="60">
        <v>15</v>
      </c>
      <c r="BD60" s="60">
        <v>15</v>
      </c>
      <c r="BE60" s="60">
        <f>BC60-BD60</f>
        <v>0</v>
      </c>
      <c r="BF60" s="60">
        <f t="shared" si="198"/>
        <v>45</v>
      </c>
      <c r="BG60" s="60">
        <f t="shared" si="198"/>
        <v>20</v>
      </c>
      <c r="BH60" s="60">
        <f t="shared" si="198"/>
        <v>25</v>
      </c>
      <c r="BI60" s="508"/>
      <c r="BJ60" s="488" t="str">
        <f t="shared" si="186"/>
        <v>Xé</v>
      </c>
      <c r="BK60" s="523">
        <f>ROUND(O60*G60*$B$6,-2)</f>
        <v>0</v>
      </c>
      <c r="BL60" s="523">
        <f>ROUND(R60*G60*$B$6,-2)</f>
        <v>0</v>
      </c>
      <c r="BM60" s="523">
        <f>ROUND(U60*G60*$B$6,-2)</f>
        <v>0</v>
      </c>
      <c r="BN60" s="523">
        <f>ROUND(X60*G60*$B$6,-2)</f>
        <v>0</v>
      </c>
      <c r="BO60" s="523">
        <f>ROUND(AA60*G60*$B$6,-2)</f>
        <v>0</v>
      </c>
      <c r="BP60" s="523">
        <f>ROUND(AD60*G60*$B$6,-2)</f>
        <v>0</v>
      </c>
      <c r="BQ60" s="523">
        <f>ROUND(AG60*G60*$B$6,-2)</f>
        <v>0</v>
      </c>
      <c r="BR60" s="523">
        <f>ROUND(AJ60*G60*$B$6,-2)</f>
        <v>0</v>
      </c>
      <c r="BS60" s="523">
        <f>ROUND(AM60*G60*$B$6,-2)</f>
        <v>0</v>
      </c>
      <c r="BT60" s="523">
        <f>ROUND(AP60*G60*$B$6,-2)</f>
        <v>0</v>
      </c>
      <c r="BU60" s="523">
        <f>ROUND(AS60*G60*$B$6,-2)</f>
        <v>0</v>
      </c>
      <c r="BV60" s="523">
        <f>ROUND(AV60*G60*$B$6,-2)</f>
        <v>0</v>
      </c>
      <c r="BW60" s="523">
        <f>ROUND(AY60*G60*$B$6,-2)</f>
        <v>0</v>
      </c>
      <c r="BX60" s="523">
        <f>ROUND(BB60*G60*$B$6,-2)</f>
        <v>100</v>
      </c>
      <c r="BY60" s="523">
        <f>ROUND(BE60*G60*$B$6,-2)</f>
        <v>0</v>
      </c>
      <c r="BZ60" s="523">
        <f>ROUND(BH60*G60*$B$6,-2)</f>
        <v>100</v>
      </c>
      <c r="CA60" s="354"/>
      <c r="CB60" s="354" t="str">
        <f>IF(SUM(I60:L60)&lt;&gt;0,"X")</f>
        <v>X</v>
      </c>
      <c r="CC60" s="509" t="str">
        <f t="shared" si="47"/>
        <v>KT3.</v>
      </c>
      <c r="CD60" s="509" t="str">
        <f>CC60&amp;G60</f>
        <v>KT3.11,2</v>
      </c>
      <c r="CE60" s="351" t="str">
        <f t="shared" si="187"/>
        <v>Xé</v>
      </c>
      <c r="CF60" s="509" t="str">
        <f>CC60&amp;CE60</f>
        <v>KT3.Xé</v>
      </c>
      <c r="CG60" s="509"/>
      <c r="CH60" s="509"/>
    </row>
    <row r="61" spans="1:86" ht="21" customHeight="1" x14ac:dyDescent="0.3">
      <c r="A61" s="354" t="e">
        <f>#REF!</f>
        <v>#REF!</v>
      </c>
      <c r="B61" s="503">
        <v>4</v>
      </c>
      <c r="C61" s="507" t="s">
        <v>535</v>
      </c>
      <c r="D61" s="505"/>
      <c r="E61" s="505"/>
      <c r="F61" s="505"/>
      <c r="G61" s="505"/>
      <c r="H61" s="505"/>
      <c r="I61" s="505">
        <f t="shared" ref="I61:X61" si="199">SUM(I62:I75)/2</f>
        <v>552</v>
      </c>
      <c r="J61" s="505">
        <f t="shared" si="199"/>
        <v>155</v>
      </c>
      <c r="K61" s="505">
        <f t="shared" si="199"/>
        <v>397</v>
      </c>
      <c r="L61" s="533">
        <f t="shared" si="199"/>
        <v>2100</v>
      </c>
      <c r="M61" s="535">
        <f t="shared" si="199"/>
        <v>88</v>
      </c>
      <c r="N61" s="535">
        <f t="shared" si="199"/>
        <v>20</v>
      </c>
      <c r="O61" s="535">
        <f t="shared" si="199"/>
        <v>68</v>
      </c>
      <c r="P61" s="535">
        <f t="shared" si="199"/>
        <v>48</v>
      </c>
      <c r="Q61" s="535">
        <f t="shared" si="199"/>
        <v>20</v>
      </c>
      <c r="R61" s="535">
        <f t="shared" si="199"/>
        <v>28</v>
      </c>
      <c r="S61" s="828">
        <f t="shared" si="199"/>
        <v>92</v>
      </c>
      <c r="T61" s="535">
        <f t="shared" si="199"/>
        <v>35</v>
      </c>
      <c r="U61" s="535">
        <f t="shared" si="199"/>
        <v>57</v>
      </c>
      <c r="V61" s="535">
        <f t="shared" si="199"/>
        <v>228</v>
      </c>
      <c r="W61" s="535">
        <f t="shared" si="199"/>
        <v>75</v>
      </c>
      <c r="X61" s="535">
        <f t="shared" si="199"/>
        <v>153</v>
      </c>
      <c r="Y61" s="535">
        <f t="shared" ref="Y61:BH61" si="200">SUM(Y62:Y75)/2</f>
        <v>120</v>
      </c>
      <c r="Z61" s="535">
        <f t="shared" si="200"/>
        <v>30</v>
      </c>
      <c r="AA61" s="535">
        <f t="shared" si="200"/>
        <v>90</v>
      </c>
      <c r="AB61" s="535">
        <f t="shared" si="200"/>
        <v>63</v>
      </c>
      <c r="AC61" s="535">
        <f t="shared" si="200"/>
        <v>5</v>
      </c>
      <c r="AD61" s="535">
        <f t="shared" si="200"/>
        <v>58</v>
      </c>
      <c r="AE61" s="535">
        <f t="shared" si="200"/>
        <v>41</v>
      </c>
      <c r="AF61" s="535">
        <f t="shared" si="200"/>
        <v>5</v>
      </c>
      <c r="AG61" s="535">
        <f t="shared" si="200"/>
        <v>36</v>
      </c>
      <c r="AH61" s="535">
        <f t="shared" si="200"/>
        <v>224</v>
      </c>
      <c r="AI61" s="535">
        <f t="shared" si="200"/>
        <v>40</v>
      </c>
      <c r="AJ61" s="535">
        <f t="shared" si="200"/>
        <v>184</v>
      </c>
      <c r="AK61" s="535">
        <f t="shared" si="200"/>
        <v>0</v>
      </c>
      <c r="AL61" s="535">
        <f t="shared" si="200"/>
        <v>0</v>
      </c>
      <c r="AM61" s="535">
        <f t="shared" si="200"/>
        <v>0</v>
      </c>
      <c r="AN61" s="535">
        <f t="shared" si="200"/>
        <v>20</v>
      </c>
      <c r="AO61" s="535">
        <f t="shared" si="200"/>
        <v>10</v>
      </c>
      <c r="AP61" s="535">
        <f t="shared" si="200"/>
        <v>10</v>
      </c>
      <c r="AQ61" s="535">
        <f t="shared" si="200"/>
        <v>20</v>
      </c>
      <c r="AR61" s="535">
        <f t="shared" si="200"/>
        <v>10</v>
      </c>
      <c r="AS61" s="535">
        <f t="shared" si="200"/>
        <v>10</v>
      </c>
      <c r="AT61" s="535">
        <f t="shared" si="200"/>
        <v>40</v>
      </c>
      <c r="AU61" s="535">
        <f t="shared" si="200"/>
        <v>20</v>
      </c>
      <c r="AV61" s="535">
        <f t="shared" si="200"/>
        <v>20</v>
      </c>
      <c r="AW61" s="535">
        <f t="shared" si="200"/>
        <v>20</v>
      </c>
      <c r="AX61" s="535">
        <f t="shared" si="200"/>
        <v>10</v>
      </c>
      <c r="AY61" s="535">
        <f t="shared" si="200"/>
        <v>10</v>
      </c>
      <c r="AZ61" s="535">
        <f t="shared" si="200"/>
        <v>20</v>
      </c>
      <c r="BA61" s="535">
        <f t="shared" si="200"/>
        <v>10</v>
      </c>
      <c r="BB61" s="535">
        <f t="shared" si="200"/>
        <v>10</v>
      </c>
      <c r="BC61" s="535">
        <f t="shared" si="200"/>
        <v>20</v>
      </c>
      <c r="BD61" s="535">
        <f t="shared" si="200"/>
        <v>0</v>
      </c>
      <c r="BE61" s="535">
        <f t="shared" si="200"/>
        <v>20</v>
      </c>
      <c r="BF61" s="535">
        <f t="shared" si="200"/>
        <v>60</v>
      </c>
      <c r="BG61" s="535">
        <f t="shared" si="200"/>
        <v>20</v>
      </c>
      <c r="BH61" s="535">
        <f t="shared" si="200"/>
        <v>40</v>
      </c>
      <c r="BI61" s="536"/>
      <c r="BJ61" s="488" t="str">
        <f t="shared" si="186"/>
        <v>PX</v>
      </c>
      <c r="BK61" s="222">
        <f t="shared" ref="BK61:BZ61" si="201">SUM(BK62:BK75)/2</f>
        <v>300</v>
      </c>
      <c r="BL61" s="222">
        <f t="shared" si="201"/>
        <v>200</v>
      </c>
      <c r="BM61" s="222">
        <f t="shared" si="201"/>
        <v>500</v>
      </c>
      <c r="BN61" s="222">
        <f t="shared" si="201"/>
        <v>1000</v>
      </c>
      <c r="BO61" s="222">
        <f t="shared" si="201"/>
        <v>300</v>
      </c>
      <c r="BP61" s="222">
        <f t="shared" si="201"/>
        <v>400</v>
      </c>
      <c r="BQ61" s="222">
        <f t="shared" si="201"/>
        <v>200</v>
      </c>
      <c r="BR61" s="222">
        <f t="shared" si="201"/>
        <v>900</v>
      </c>
      <c r="BS61" s="222">
        <f t="shared" si="201"/>
        <v>0</v>
      </c>
      <c r="BT61" s="222">
        <f t="shared" si="201"/>
        <v>0</v>
      </c>
      <c r="BU61" s="222">
        <f t="shared" si="201"/>
        <v>0</v>
      </c>
      <c r="BV61" s="222">
        <f t="shared" si="201"/>
        <v>100</v>
      </c>
      <c r="BW61" s="222">
        <f t="shared" si="201"/>
        <v>0</v>
      </c>
      <c r="BX61" s="222">
        <f t="shared" si="201"/>
        <v>0</v>
      </c>
      <c r="BY61" s="222">
        <f t="shared" si="201"/>
        <v>0</v>
      </c>
      <c r="BZ61" s="222">
        <f t="shared" si="201"/>
        <v>100</v>
      </c>
      <c r="CA61" s="354"/>
      <c r="CB61" s="354" t="str">
        <f t="shared" si="3"/>
        <v>X</v>
      </c>
      <c r="CC61" s="534" t="s">
        <v>520</v>
      </c>
      <c r="CD61" s="509" t="str">
        <f t="shared" si="48"/>
        <v>KT8.</v>
      </c>
      <c r="CE61" s="351" t="str">
        <f t="shared" si="187"/>
        <v>PX</v>
      </c>
      <c r="CF61" s="509" t="str">
        <f t="shared" si="49"/>
        <v>KT8.PX</v>
      </c>
      <c r="CG61" s="509"/>
      <c r="CH61" s="509"/>
    </row>
    <row r="62" spans="1:86" s="358" customFormat="1" ht="19.5" customHeight="1" x14ac:dyDescent="0.25">
      <c r="A62" s="510" t="e">
        <f>#REF!</f>
        <v>#REF!</v>
      </c>
      <c r="B62" s="511" t="s">
        <v>8</v>
      </c>
      <c r="C62" s="512" t="s">
        <v>177</v>
      </c>
      <c r="D62" s="513"/>
      <c r="E62" s="513"/>
      <c r="F62" s="513"/>
      <c r="G62" s="514"/>
      <c r="H62" s="515"/>
      <c r="I62" s="69">
        <f t="shared" ref="I62:U62" si="202">SUM(I63:I71)</f>
        <v>242</v>
      </c>
      <c r="J62" s="69">
        <f t="shared" si="202"/>
        <v>35</v>
      </c>
      <c r="K62" s="69">
        <f t="shared" si="202"/>
        <v>207</v>
      </c>
      <c r="L62" s="69">
        <f t="shared" si="202"/>
        <v>1600</v>
      </c>
      <c r="M62" s="69">
        <f t="shared" si="202"/>
        <v>38</v>
      </c>
      <c r="N62" s="69">
        <f t="shared" si="202"/>
        <v>0</v>
      </c>
      <c r="O62" s="69">
        <f t="shared" si="202"/>
        <v>38</v>
      </c>
      <c r="P62" s="69">
        <f t="shared" si="202"/>
        <v>18</v>
      </c>
      <c r="Q62" s="69">
        <f t="shared" si="202"/>
        <v>0</v>
      </c>
      <c r="R62" s="69">
        <f t="shared" si="202"/>
        <v>18</v>
      </c>
      <c r="S62" s="826">
        <f t="shared" si="202"/>
        <v>62</v>
      </c>
      <c r="T62" s="69">
        <f t="shared" si="202"/>
        <v>15</v>
      </c>
      <c r="U62" s="69">
        <f t="shared" si="202"/>
        <v>47</v>
      </c>
      <c r="V62" s="69">
        <f t="shared" ref="V62:AG62" si="203">SUM(V63:V71)</f>
        <v>118</v>
      </c>
      <c r="W62" s="69">
        <f t="shared" si="203"/>
        <v>15</v>
      </c>
      <c r="X62" s="69">
        <f t="shared" si="203"/>
        <v>103</v>
      </c>
      <c r="Y62" s="69">
        <f t="shared" si="203"/>
        <v>20</v>
      </c>
      <c r="Z62" s="69">
        <f t="shared" si="203"/>
        <v>10</v>
      </c>
      <c r="AA62" s="69">
        <f t="shared" si="203"/>
        <v>10</v>
      </c>
      <c r="AB62" s="69">
        <f t="shared" si="203"/>
        <v>63</v>
      </c>
      <c r="AC62" s="69">
        <f t="shared" si="203"/>
        <v>5</v>
      </c>
      <c r="AD62" s="69">
        <f t="shared" si="203"/>
        <v>58</v>
      </c>
      <c r="AE62" s="69">
        <f t="shared" si="203"/>
        <v>41</v>
      </c>
      <c r="AF62" s="69">
        <f t="shared" si="203"/>
        <v>5</v>
      </c>
      <c r="AG62" s="69">
        <f t="shared" si="203"/>
        <v>36</v>
      </c>
      <c r="AH62" s="69">
        <f t="shared" ref="AH62:BE62" si="204">SUM(AH63:AH71)</f>
        <v>124</v>
      </c>
      <c r="AI62" s="69">
        <f t="shared" si="204"/>
        <v>20</v>
      </c>
      <c r="AJ62" s="69">
        <f t="shared" si="204"/>
        <v>104</v>
      </c>
      <c r="AK62" s="69">
        <f t="shared" si="204"/>
        <v>0</v>
      </c>
      <c r="AL62" s="69">
        <f t="shared" si="204"/>
        <v>0</v>
      </c>
      <c r="AM62" s="69">
        <f t="shared" si="204"/>
        <v>0</v>
      </c>
      <c r="AN62" s="69">
        <f t="shared" si="204"/>
        <v>0</v>
      </c>
      <c r="AO62" s="69">
        <f t="shared" si="204"/>
        <v>0</v>
      </c>
      <c r="AP62" s="69">
        <f t="shared" si="204"/>
        <v>0</v>
      </c>
      <c r="AQ62" s="69">
        <f t="shared" si="204"/>
        <v>0</v>
      </c>
      <c r="AR62" s="69">
        <f t="shared" si="204"/>
        <v>0</v>
      </c>
      <c r="AS62" s="69">
        <f t="shared" si="204"/>
        <v>0</v>
      </c>
      <c r="AT62" s="69">
        <f t="shared" si="204"/>
        <v>0</v>
      </c>
      <c r="AU62" s="69">
        <f t="shared" si="204"/>
        <v>0</v>
      </c>
      <c r="AV62" s="69">
        <f t="shared" si="204"/>
        <v>0</v>
      </c>
      <c r="AW62" s="69">
        <f t="shared" si="204"/>
        <v>0</v>
      </c>
      <c r="AX62" s="69">
        <f t="shared" si="204"/>
        <v>0</v>
      </c>
      <c r="AY62" s="69">
        <f t="shared" si="204"/>
        <v>0</v>
      </c>
      <c r="AZ62" s="69">
        <f t="shared" si="204"/>
        <v>0</v>
      </c>
      <c r="BA62" s="69">
        <f t="shared" si="204"/>
        <v>0</v>
      </c>
      <c r="BB62" s="69">
        <f t="shared" si="204"/>
        <v>0</v>
      </c>
      <c r="BC62" s="69">
        <f t="shared" si="204"/>
        <v>0</v>
      </c>
      <c r="BD62" s="69">
        <f t="shared" si="204"/>
        <v>0</v>
      </c>
      <c r="BE62" s="69">
        <f t="shared" si="204"/>
        <v>0</v>
      </c>
      <c r="BF62" s="69">
        <f>SUM(BF63:BF71)</f>
        <v>0</v>
      </c>
      <c r="BG62" s="69">
        <f>SUM(BG63:BG71)</f>
        <v>0</v>
      </c>
      <c r="BH62" s="69">
        <f>SUM(BH63:BH71)</f>
        <v>0</v>
      </c>
      <c r="BI62" s="516"/>
      <c r="BJ62" s="488" t="str">
        <f t="shared" si="186"/>
        <v>ĐL</v>
      </c>
      <c r="BK62" s="226">
        <f t="shared" ref="BK62:BZ62" si="205">SUM(BK63:BK71)</f>
        <v>200</v>
      </c>
      <c r="BL62" s="226">
        <f t="shared" si="205"/>
        <v>200</v>
      </c>
      <c r="BM62" s="226">
        <f t="shared" si="205"/>
        <v>500</v>
      </c>
      <c r="BN62" s="226">
        <f t="shared" si="205"/>
        <v>900</v>
      </c>
      <c r="BO62" s="226">
        <f t="shared" si="205"/>
        <v>100</v>
      </c>
      <c r="BP62" s="226">
        <f t="shared" si="205"/>
        <v>400</v>
      </c>
      <c r="BQ62" s="226">
        <f t="shared" si="205"/>
        <v>200</v>
      </c>
      <c r="BR62" s="226">
        <f t="shared" si="205"/>
        <v>700</v>
      </c>
      <c r="BS62" s="226">
        <f t="shared" si="205"/>
        <v>0</v>
      </c>
      <c r="BT62" s="226">
        <f t="shared" si="205"/>
        <v>0</v>
      </c>
      <c r="BU62" s="226">
        <f t="shared" si="205"/>
        <v>0</v>
      </c>
      <c r="BV62" s="226">
        <f t="shared" si="205"/>
        <v>0</v>
      </c>
      <c r="BW62" s="226">
        <f t="shared" si="205"/>
        <v>0</v>
      </c>
      <c r="BX62" s="226">
        <f t="shared" si="205"/>
        <v>0</v>
      </c>
      <c r="BY62" s="226">
        <f t="shared" si="205"/>
        <v>0</v>
      </c>
      <c r="BZ62" s="226">
        <f t="shared" si="205"/>
        <v>0</v>
      </c>
      <c r="CA62" s="517">
        <f>I62-V62-AH62-AT62-BF62</f>
        <v>0</v>
      </c>
      <c r="CB62" s="510" t="str">
        <f t="shared" si="3"/>
        <v>X</v>
      </c>
      <c r="CC62" s="509" t="str">
        <f t="shared" si="47"/>
        <v>KT8.</v>
      </c>
      <c r="CD62" s="509" t="str">
        <f t="shared" si="48"/>
        <v>KT8.</v>
      </c>
      <c r="CE62" s="351" t="str">
        <f t="shared" si="187"/>
        <v>ĐL</v>
      </c>
      <c r="CF62" s="509" t="str">
        <f t="shared" si="49"/>
        <v>KT8.ĐL</v>
      </c>
      <c r="CG62" s="509"/>
      <c r="CH62" s="509"/>
    </row>
    <row r="63" spans="1:86" ht="24" customHeight="1" x14ac:dyDescent="0.25">
      <c r="A63" s="354" t="e">
        <f t="shared" ref="A63:A113" si="206">A62</f>
        <v>#REF!</v>
      </c>
      <c r="B63" s="518"/>
      <c r="C63" s="519" t="s">
        <v>836</v>
      </c>
      <c r="D63" s="447" t="s">
        <v>14</v>
      </c>
      <c r="E63" s="447"/>
      <c r="F63" s="447"/>
      <c r="G63" s="520">
        <v>8.5</v>
      </c>
      <c r="H63" s="521">
        <v>0.7</v>
      </c>
      <c r="I63" s="522">
        <f t="shared" ref="I63:I71" si="207">V63+AH63+AT63+BF63</f>
        <v>100</v>
      </c>
      <c r="J63" s="522">
        <f t="shared" ref="J63:J71" si="208">W63+AI63+AU63+BG63</f>
        <v>25</v>
      </c>
      <c r="K63" s="522">
        <f t="shared" ref="K63:K71" si="209">X63+AJ63+AV63+BH63</f>
        <v>75</v>
      </c>
      <c r="L63" s="57">
        <f t="shared" ref="L63:L71" si="210">BN63+BR63+BV63+BZ63</f>
        <v>800</v>
      </c>
      <c r="M63" s="60"/>
      <c r="N63" s="60"/>
      <c r="O63" s="60">
        <f t="shared" ref="O63:O71" si="211">M63-N63</f>
        <v>0</v>
      </c>
      <c r="P63" s="60">
        <v>18</v>
      </c>
      <c r="Q63" s="60">
        <v>0</v>
      </c>
      <c r="R63" s="60">
        <f t="shared" ref="R63:R71" si="212">P63-Q63</f>
        <v>18</v>
      </c>
      <c r="S63" s="824">
        <v>62</v>
      </c>
      <c r="T63" s="60">
        <v>15</v>
      </c>
      <c r="U63" s="60">
        <f t="shared" ref="U63:U71" si="213">S63-T63</f>
        <v>47</v>
      </c>
      <c r="V63" s="60">
        <f t="shared" ref="V63:X68" si="214">M63+P63+S63</f>
        <v>80</v>
      </c>
      <c r="W63" s="60">
        <f t="shared" si="214"/>
        <v>15</v>
      </c>
      <c r="X63" s="60">
        <f t="shared" si="214"/>
        <v>65</v>
      </c>
      <c r="Y63" s="60">
        <v>20</v>
      </c>
      <c r="Z63" s="60">
        <v>10</v>
      </c>
      <c r="AA63" s="60">
        <f t="shared" ref="AA63:AA71" si="215">Y63-Z63</f>
        <v>10</v>
      </c>
      <c r="AB63" s="60"/>
      <c r="AC63" s="60"/>
      <c r="AD63" s="60">
        <f t="shared" ref="AD63:AD71" si="216">AB63-AC63</f>
        <v>0</v>
      </c>
      <c r="AE63" s="60"/>
      <c r="AF63" s="60"/>
      <c r="AG63" s="60">
        <f t="shared" ref="AG63:AG71" si="217">AE63-AF63</f>
        <v>0</v>
      </c>
      <c r="AH63" s="60">
        <f t="shared" ref="AH63:AH71" si="218">Y63+AB63+AE63</f>
        <v>20</v>
      </c>
      <c r="AI63" s="60">
        <f t="shared" ref="AI63:AI71" si="219">Z63+AC63+AF63</f>
        <v>10</v>
      </c>
      <c r="AJ63" s="60">
        <f t="shared" ref="AJ63:AJ71" si="220">AA63+AD63+AG63</f>
        <v>10</v>
      </c>
      <c r="AK63" s="60"/>
      <c r="AL63" s="60"/>
      <c r="AM63" s="60">
        <f t="shared" ref="AM63:AM71" si="221">AK63-AL63</f>
        <v>0</v>
      </c>
      <c r="AN63" s="60"/>
      <c r="AO63" s="60"/>
      <c r="AP63" s="60">
        <f t="shared" ref="AP63:AP71" si="222">AN63-AO63</f>
        <v>0</v>
      </c>
      <c r="AQ63" s="60"/>
      <c r="AR63" s="60"/>
      <c r="AS63" s="60">
        <f t="shared" ref="AS63:AS71" si="223">AQ63-AR63</f>
        <v>0</v>
      </c>
      <c r="AT63" s="60">
        <f t="shared" ref="AT63:AT71" si="224">AK63+AN63+AQ63</f>
        <v>0</v>
      </c>
      <c r="AU63" s="60">
        <f t="shared" ref="AU63:AU71" si="225">AL63+AO63+AR63</f>
        <v>0</v>
      </c>
      <c r="AV63" s="60">
        <f t="shared" ref="AV63:AV71" si="226">AM63+AP63+AS63</f>
        <v>0</v>
      </c>
      <c r="AW63" s="60"/>
      <c r="AX63" s="60"/>
      <c r="AY63" s="60">
        <f t="shared" ref="AY63:AY71" si="227">AW63-AX63</f>
        <v>0</v>
      </c>
      <c r="AZ63" s="60"/>
      <c r="BA63" s="60"/>
      <c r="BB63" s="60">
        <f t="shared" ref="BB63:BB71" si="228">AZ63-BA63</f>
        <v>0</v>
      </c>
      <c r="BC63" s="60"/>
      <c r="BD63" s="60"/>
      <c r="BE63" s="60">
        <f t="shared" ref="BE63:BE71" si="229">BC63-BD63</f>
        <v>0</v>
      </c>
      <c r="BF63" s="60">
        <f t="shared" ref="BF63:BH66" si="230">AW63+AZ63+BC63</f>
        <v>0</v>
      </c>
      <c r="BG63" s="60">
        <f t="shared" si="230"/>
        <v>0</v>
      </c>
      <c r="BH63" s="60">
        <f t="shared" si="230"/>
        <v>0</v>
      </c>
      <c r="BI63" s="508"/>
      <c r="BJ63" s="488" t="str">
        <f t="shared" si="186"/>
        <v>Lò</v>
      </c>
      <c r="BK63" s="523">
        <f t="shared" ref="BK63:BK71" si="231">ROUND(O63*G63*$C$3*$B$5,-2)</f>
        <v>0</v>
      </c>
      <c r="BL63" s="523">
        <f t="shared" ref="BL63:BL71" si="232">ROUND(R63*G63*$C$3*$B$5,-2)</f>
        <v>200</v>
      </c>
      <c r="BM63" s="523">
        <f t="shared" ref="BM63:BM71" si="233">ROUND(U63*G63*$C$3*$B$5,-2)</f>
        <v>500</v>
      </c>
      <c r="BN63" s="523">
        <f t="shared" ref="BN63:BN71" si="234">ROUND(X63*G63*$C$3*$B$5,-2)</f>
        <v>700</v>
      </c>
      <c r="BO63" s="523">
        <f t="shared" ref="BO63:BO71" si="235">ROUND(AA63*G63*$C$3*$B$5,-2)</f>
        <v>100</v>
      </c>
      <c r="BP63" s="523">
        <f t="shared" ref="BP63:BP71" si="236">ROUND(AD63*G63*$C$3*$B$5,-2)</f>
        <v>0</v>
      </c>
      <c r="BQ63" s="523">
        <f t="shared" ref="BQ63:BQ71" si="237">ROUND(AG63*G63*$C$3*$B$5,-2)</f>
        <v>0</v>
      </c>
      <c r="BR63" s="523">
        <f t="shared" ref="BR63:BR71" si="238">ROUND(AJ63*G63*$B$5*$C$3,-2)</f>
        <v>100</v>
      </c>
      <c r="BS63" s="523">
        <f t="shared" ref="BS63:BS71" si="239">ROUND(AM63*G63*$C$3*$B$5,-2)</f>
        <v>0</v>
      </c>
      <c r="BT63" s="523">
        <f t="shared" ref="BT63:BT71" si="240">ROUND(AP63*G63*$C$3*$B$5,-2)</f>
        <v>0</v>
      </c>
      <c r="BU63" s="523">
        <f t="shared" ref="BU63:BU71" si="241">ROUND(AS63*G63*$C$3*$B$5,-2)</f>
        <v>0</v>
      </c>
      <c r="BV63" s="523">
        <f t="shared" ref="BV63:BV71" si="242">ROUND(AV63*G63*$C$3*$B$5,-2)</f>
        <v>0</v>
      </c>
      <c r="BW63" s="523">
        <f t="shared" ref="BW63:BW71" si="243">ROUND(AY63*G63*$C$3*$B$5,-2)</f>
        <v>0</v>
      </c>
      <c r="BX63" s="523">
        <f t="shared" ref="BX63:BX71" si="244">ROUND(BB63*G63*$C$3*$B$5,-2)</f>
        <v>0</v>
      </c>
      <c r="BY63" s="523">
        <f t="shared" ref="BY63:BY71" si="245">ROUND(BE63*G63*$C$3*$B$5,-2)</f>
        <v>0</v>
      </c>
      <c r="BZ63" s="523">
        <f t="shared" ref="BZ63:BZ71" si="246">ROUND(BH63*G63*$C$3*$B$5,-2)</f>
        <v>0</v>
      </c>
      <c r="CA63" s="354"/>
      <c r="CB63" s="354" t="str">
        <f t="shared" si="3"/>
        <v>X</v>
      </c>
      <c r="CC63" s="509" t="str">
        <f t="shared" si="47"/>
        <v>KT8.</v>
      </c>
      <c r="CD63" s="509" t="str">
        <f t="shared" si="48"/>
        <v>KT8.8,5</v>
      </c>
      <c r="CE63" s="351" t="str">
        <f t="shared" si="187"/>
        <v>Lò</v>
      </c>
      <c r="CF63" s="509" t="str">
        <f t="shared" si="49"/>
        <v>KT8.Lò</v>
      </c>
      <c r="CG63" s="509"/>
      <c r="CH63" s="509"/>
    </row>
    <row r="64" spans="1:86" ht="24" customHeight="1" x14ac:dyDescent="0.25">
      <c r="A64" s="354" t="e">
        <f t="shared" si="206"/>
        <v>#REF!</v>
      </c>
      <c r="B64" s="518"/>
      <c r="C64" s="519" t="s">
        <v>648</v>
      </c>
      <c r="D64" s="447" t="s">
        <v>14</v>
      </c>
      <c r="E64" s="447"/>
      <c r="F64" s="447"/>
      <c r="G64" s="520">
        <v>9.5</v>
      </c>
      <c r="H64" s="521">
        <v>0.7</v>
      </c>
      <c r="I64" s="522">
        <f t="shared" ref="I64:K65" si="247">V64+AH64+AT64+BF64</f>
        <v>0</v>
      </c>
      <c r="J64" s="522">
        <f t="shared" si="247"/>
        <v>0</v>
      </c>
      <c r="K64" s="522">
        <f t="shared" si="247"/>
        <v>0</v>
      </c>
      <c r="L64" s="57">
        <f>BN64+BR64+BV64+BZ64</f>
        <v>0</v>
      </c>
      <c r="M64" s="60"/>
      <c r="N64" s="60"/>
      <c r="O64" s="60">
        <f>M64-N64</f>
        <v>0</v>
      </c>
      <c r="P64" s="60"/>
      <c r="Q64" s="60"/>
      <c r="R64" s="60">
        <f>P64-Q64</f>
        <v>0</v>
      </c>
      <c r="S64" s="824"/>
      <c r="T64" s="60"/>
      <c r="U64" s="60">
        <f>S64-T64</f>
        <v>0</v>
      </c>
      <c r="V64" s="60">
        <f t="shared" si="214"/>
        <v>0</v>
      </c>
      <c r="W64" s="60">
        <f t="shared" si="214"/>
        <v>0</v>
      </c>
      <c r="X64" s="60">
        <f t="shared" si="214"/>
        <v>0</v>
      </c>
      <c r="Y64" s="60"/>
      <c r="Z64" s="60"/>
      <c r="AA64" s="60">
        <f>Y64-Z64</f>
        <v>0</v>
      </c>
      <c r="AB64" s="60"/>
      <c r="AC64" s="60"/>
      <c r="AD64" s="60">
        <f>AB64-AC64</f>
        <v>0</v>
      </c>
      <c r="AE64" s="60"/>
      <c r="AF64" s="60"/>
      <c r="AG64" s="60">
        <f>AE64-AF64</f>
        <v>0</v>
      </c>
      <c r="AH64" s="60">
        <f t="shared" ref="AH64:AJ65" si="248">Y64+AB64+AE64</f>
        <v>0</v>
      </c>
      <c r="AI64" s="60">
        <f t="shared" si="248"/>
        <v>0</v>
      </c>
      <c r="AJ64" s="60">
        <f t="shared" si="248"/>
        <v>0</v>
      </c>
      <c r="AK64" s="60"/>
      <c r="AL64" s="60"/>
      <c r="AM64" s="60">
        <f>AK64-AL64</f>
        <v>0</v>
      </c>
      <c r="AN64" s="60"/>
      <c r="AO64" s="60"/>
      <c r="AP64" s="60">
        <f>AN64-AO64</f>
        <v>0</v>
      </c>
      <c r="AQ64" s="60"/>
      <c r="AR64" s="60"/>
      <c r="AS64" s="60">
        <f>AQ64-AR64</f>
        <v>0</v>
      </c>
      <c r="AT64" s="60">
        <f t="shared" ref="AT64:AV65" si="249">AK64+AN64+AQ64</f>
        <v>0</v>
      </c>
      <c r="AU64" s="60">
        <f t="shared" si="249"/>
        <v>0</v>
      </c>
      <c r="AV64" s="60">
        <f t="shared" si="249"/>
        <v>0</v>
      </c>
      <c r="AW64" s="60"/>
      <c r="AX64" s="60"/>
      <c r="AY64" s="60">
        <f>AW64-AX64</f>
        <v>0</v>
      </c>
      <c r="AZ64" s="60"/>
      <c r="BA64" s="60"/>
      <c r="BB64" s="60">
        <f>AZ64-BA64</f>
        <v>0</v>
      </c>
      <c r="BC64" s="60"/>
      <c r="BD64" s="60"/>
      <c r="BE64" s="60">
        <f>BC64-BD64</f>
        <v>0</v>
      </c>
      <c r="BF64" s="60">
        <f t="shared" si="230"/>
        <v>0</v>
      </c>
      <c r="BG64" s="60">
        <f t="shared" si="230"/>
        <v>0</v>
      </c>
      <c r="BH64" s="60">
        <f t="shared" si="230"/>
        <v>0</v>
      </c>
      <c r="BI64" s="508"/>
      <c r="BJ64" s="488" t="str">
        <f t="shared" si="186"/>
        <v>Lò</v>
      </c>
      <c r="BK64" s="523">
        <f>ROUND(O64*G64*$C$3*$B$5,-2)</f>
        <v>0</v>
      </c>
      <c r="BL64" s="523">
        <f>ROUND(R64*G64*$C$3*$B$5,-2)</f>
        <v>0</v>
      </c>
      <c r="BM64" s="523">
        <f>ROUND(U64*G64*$C$3*$B$5,-2)</f>
        <v>0</v>
      </c>
      <c r="BN64" s="523">
        <f>ROUND(X64*G64*$C$3*$B$5,-2)</f>
        <v>0</v>
      </c>
      <c r="BO64" s="523">
        <f>ROUND(AA64*G64*$C$3*$B$5,-2)</f>
        <v>0</v>
      </c>
      <c r="BP64" s="523">
        <f>ROUND(AD64*G64*$C$3*$B$5,-2)</f>
        <v>0</v>
      </c>
      <c r="BQ64" s="523">
        <f>ROUND(AG64*G64*$C$3*$B$5,-2)</f>
        <v>0</v>
      </c>
      <c r="BR64" s="523">
        <f>ROUND(AJ64*G64*$B$5*$C$3,-2)</f>
        <v>0</v>
      </c>
      <c r="BS64" s="523">
        <f>ROUND(AM64*G64*$C$3*$B$5,-2)</f>
        <v>0</v>
      </c>
      <c r="BT64" s="523">
        <f>ROUND(AP64*G64*$C$3*$B$5,-2)</f>
        <v>0</v>
      </c>
      <c r="BU64" s="523">
        <f>ROUND(AS64*G64*$C$3*$B$5,-2)</f>
        <v>0</v>
      </c>
      <c r="BV64" s="523">
        <f>ROUND(AV64*G64*$C$3*$B$5,-2)</f>
        <v>0</v>
      </c>
      <c r="BW64" s="523">
        <f>ROUND(AY64*G64*$C$3*$B$5,-2)</f>
        <v>0</v>
      </c>
      <c r="BX64" s="523">
        <f>ROUND(BB64*G64*$C$3*$B$5,-2)</f>
        <v>0</v>
      </c>
      <c r="BY64" s="523">
        <f>ROUND(BE64*G64*$C$3*$B$5,-2)</f>
        <v>0</v>
      </c>
      <c r="BZ64" s="523">
        <f>ROUND(BH64*G64*$C$3*$B$5,-2)</f>
        <v>0</v>
      </c>
      <c r="CA64" s="354"/>
      <c r="CB64" s="354" t="b">
        <f>IF(SUM(I64:L64)&lt;&gt;0,"X")</f>
        <v>0</v>
      </c>
      <c r="CC64" s="509" t="str">
        <f t="shared" si="47"/>
        <v>KT8.</v>
      </c>
      <c r="CD64" s="509" t="str">
        <f>CC64&amp;G64</f>
        <v>KT8.9,5</v>
      </c>
      <c r="CE64" s="351" t="str">
        <f t="shared" si="187"/>
        <v>Lò</v>
      </c>
      <c r="CF64" s="509" t="str">
        <f>CC64&amp;CE64</f>
        <v>KT8.Lò</v>
      </c>
      <c r="CG64" s="509"/>
      <c r="CH64" s="509"/>
    </row>
    <row r="65" spans="1:86" ht="24" customHeight="1" x14ac:dyDescent="0.25">
      <c r="A65" s="354" t="e">
        <f t="shared" si="206"/>
        <v>#REF!</v>
      </c>
      <c r="B65" s="518"/>
      <c r="C65" s="519" t="s">
        <v>649</v>
      </c>
      <c r="D65" s="447" t="s">
        <v>14</v>
      </c>
      <c r="E65" s="447"/>
      <c r="F65" s="447"/>
      <c r="G65" s="520">
        <v>8.5</v>
      </c>
      <c r="H65" s="521">
        <v>0.7</v>
      </c>
      <c r="I65" s="522">
        <f t="shared" si="247"/>
        <v>0</v>
      </c>
      <c r="J65" s="522">
        <f t="shared" si="247"/>
        <v>0</v>
      </c>
      <c r="K65" s="522">
        <f t="shared" si="247"/>
        <v>0</v>
      </c>
      <c r="L65" s="57">
        <f>BN65+BR65+BV65+BZ65</f>
        <v>0</v>
      </c>
      <c r="M65" s="60"/>
      <c r="N65" s="60"/>
      <c r="O65" s="60">
        <f>M65-N65</f>
        <v>0</v>
      </c>
      <c r="P65" s="60"/>
      <c r="Q65" s="60"/>
      <c r="R65" s="60">
        <f>P65-Q65</f>
        <v>0</v>
      </c>
      <c r="S65" s="824"/>
      <c r="T65" s="60"/>
      <c r="U65" s="60">
        <f>S65-T65</f>
        <v>0</v>
      </c>
      <c r="V65" s="60">
        <f t="shared" si="214"/>
        <v>0</v>
      </c>
      <c r="W65" s="60">
        <f t="shared" si="214"/>
        <v>0</v>
      </c>
      <c r="X65" s="60">
        <f t="shared" si="214"/>
        <v>0</v>
      </c>
      <c r="Y65" s="60"/>
      <c r="Z65" s="60"/>
      <c r="AA65" s="60">
        <f>Y65-Z65</f>
        <v>0</v>
      </c>
      <c r="AB65" s="60"/>
      <c r="AC65" s="60"/>
      <c r="AD65" s="60">
        <f>AB65-AC65</f>
        <v>0</v>
      </c>
      <c r="AE65" s="60"/>
      <c r="AF65" s="60"/>
      <c r="AG65" s="60">
        <f>AE65-AF65</f>
        <v>0</v>
      </c>
      <c r="AH65" s="60">
        <f t="shared" si="248"/>
        <v>0</v>
      </c>
      <c r="AI65" s="60">
        <f t="shared" si="248"/>
        <v>0</v>
      </c>
      <c r="AJ65" s="60">
        <f t="shared" si="248"/>
        <v>0</v>
      </c>
      <c r="AK65" s="60"/>
      <c r="AL65" s="60"/>
      <c r="AM65" s="60">
        <f>AK65-AL65</f>
        <v>0</v>
      </c>
      <c r="AN65" s="60"/>
      <c r="AO65" s="60"/>
      <c r="AP65" s="60">
        <f>AN65-AO65</f>
        <v>0</v>
      </c>
      <c r="AQ65" s="60"/>
      <c r="AR65" s="60"/>
      <c r="AS65" s="60">
        <f>AQ65-AR65</f>
        <v>0</v>
      </c>
      <c r="AT65" s="60">
        <f t="shared" si="249"/>
        <v>0</v>
      </c>
      <c r="AU65" s="60">
        <f t="shared" si="249"/>
        <v>0</v>
      </c>
      <c r="AV65" s="60">
        <f t="shared" si="249"/>
        <v>0</v>
      </c>
      <c r="AW65" s="60"/>
      <c r="AX65" s="60"/>
      <c r="AY65" s="60">
        <f>AW65-AX65</f>
        <v>0</v>
      </c>
      <c r="AZ65" s="60"/>
      <c r="BA65" s="60"/>
      <c r="BB65" s="60">
        <f>AZ65-BA65</f>
        <v>0</v>
      </c>
      <c r="BC65" s="60"/>
      <c r="BD65" s="60"/>
      <c r="BE65" s="60">
        <f>BC65-BD65</f>
        <v>0</v>
      </c>
      <c r="BF65" s="60">
        <f t="shared" si="230"/>
        <v>0</v>
      </c>
      <c r="BG65" s="60">
        <f t="shared" si="230"/>
        <v>0</v>
      </c>
      <c r="BH65" s="60">
        <f t="shared" si="230"/>
        <v>0</v>
      </c>
      <c r="BI65" s="508"/>
      <c r="BJ65" s="488" t="str">
        <f t="shared" si="186"/>
        <v>Lò</v>
      </c>
      <c r="BK65" s="523">
        <f>ROUND(O65*G65*$C$3*$B$5,-2)</f>
        <v>0</v>
      </c>
      <c r="BL65" s="523">
        <f>ROUND(R65*G65*$C$3*$B$5,-2)</f>
        <v>0</v>
      </c>
      <c r="BM65" s="523">
        <f>ROUND(U65*G65*$C$3*$B$5,-2)</f>
        <v>0</v>
      </c>
      <c r="BN65" s="523">
        <f>ROUND(X65*G65*$C$3*$B$5,-2)</f>
        <v>0</v>
      </c>
      <c r="BO65" s="523">
        <f>ROUND(AA65*G65*$C$3*$B$5,-2)</f>
        <v>0</v>
      </c>
      <c r="BP65" s="523">
        <f>ROUND(AD65*G65*$C$3*$B$5,-2)</f>
        <v>0</v>
      </c>
      <c r="BQ65" s="523">
        <f>ROUND(AG65*G65*$C$3*$B$5,-2)</f>
        <v>0</v>
      </c>
      <c r="BR65" s="523">
        <f>ROUND(AJ65*G65*$B$5*$C$3,-2)</f>
        <v>0</v>
      </c>
      <c r="BS65" s="523">
        <f>ROUND(AM65*G65*$C$3*$B$5,-2)</f>
        <v>0</v>
      </c>
      <c r="BT65" s="523">
        <f>ROUND(AP65*G65*$C$3*$B$5,-2)</f>
        <v>0</v>
      </c>
      <c r="BU65" s="523">
        <f>ROUND(AS65*G65*$C$3*$B$5,-2)</f>
        <v>0</v>
      </c>
      <c r="BV65" s="523">
        <f>ROUND(AV65*G65*$C$3*$B$5,-2)</f>
        <v>0</v>
      </c>
      <c r="BW65" s="523">
        <f>ROUND(AY65*G65*$C$3*$B$5,-2)</f>
        <v>0</v>
      </c>
      <c r="BX65" s="523">
        <f>ROUND(BB65*G65*$C$3*$B$5,-2)</f>
        <v>0</v>
      </c>
      <c r="BY65" s="523">
        <f>ROUND(BE65*G65*$C$3*$B$5,-2)</f>
        <v>0</v>
      </c>
      <c r="BZ65" s="523">
        <f>ROUND(BH65*G65*$C$3*$B$5,-2)</f>
        <v>0</v>
      </c>
      <c r="CA65" s="354"/>
      <c r="CB65" s="354" t="b">
        <f>IF(SUM(I65:L65)&lt;&gt;0,"X")</f>
        <v>0</v>
      </c>
      <c r="CC65" s="509" t="str">
        <f t="shared" si="47"/>
        <v>KT8.</v>
      </c>
      <c r="CD65" s="509" t="str">
        <f>CC65&amp;G65</f>
        <v>KT8.8,5</v>
      </c>
      <c r="CE65" s="351" t="str">
        <f t="shared" si="187"/>
        <v>Lò</v>
      </c>
      <c r="CF65" s="509" t="str">
        <f>CC65&amp;CE65</f>
        <v>KT8.Lò</v>
      </c>
      <c r="CG65" s="509"/>
      <c r="CH65" s="509"/>
    </row>
    <row r="66" spans="1:86" ht="24" customHeight="1" x14ac:dyDescent="0.25">
      <c r="A66" s="354" t="e">
        <f>A63</f>
        <v>#REF!</v>
      </c>
      <c r="B66" s="518"/>
      <c r="C66" s="519" t="s">
        <v>650</v>
      </c>
      <c r="D66" s="447" t="s">
        <v>206</v>
      </c>
      <c r="E66" s="447"/>
      <c r="F66" s="447"/>
      <c r="G66" s="520">
        <v>5.4</v>
      </c>
      <c r="H66" s="521">
        <v>0.7</v>
      </c>
      <c r="I66" s="522">
        <f t="shared" si="207"/>
        <v>63</v>
      </c>
      <c r="J66" s="522">
        <f t="shared" si="208"/>
        <v>5</v>
      </c>
      <c r="K66" s="522">
        <f t="shared" si="209"/>
        <v>58</v>
      </c>
      <c r="L66" s="57">
        <f t="shared" si="210"/>
        <v>400</v>
      </c>
      <c r="M66" s="60"/>
      <c r="N66" s="60"/>
      <c r="O66" s="60">
        <f t="shared" si="211"/>
        <v>0</v>
      </c>
      <c r="P66" s="60"/>
      <c r="Q66" s="60"/>
      <c r="R66" s="60">
        <f t="shared" si="212"/>
        <v>0</v>
      </c>
      <c r="S66" s="824"/>
      <c r="T66" s="60"/>
      <c r="U66" s="60">
        <f t="shared" si="213"/>
        <v>0</v>
      </c>
      <c r="V66" s="60">
        <f t="shared" si="214"/>
        <v>0</v>
      </c>
      <c r="W66" s="60">
        <f t="shared" si="214"/>
        <v>0</v>
      </c>
      <c r="X66" s="60">
        <f t="shared" si="214"/>
        <v>0</v>
      </c>
      <c r="Y66" s="60"/>
      <c r="Z66" s="60"/>
      <c r="AA66" s="60">
        <f t="shared" si="215"/>
        <v>0</v>
      </c>
      <c r="AB66" s="60">
        <v>63</v>
      </c>
      <c r="AC66" s="60">
        <v>5</v>
      </c>
      <c r="AD66" s="60">
        <f t="shared" si="216"/>
        <v>58</v>
      </c>
      <c r="AE66" s="60"/>
      <c r="AF66" s="60"/>
      <c r="AG66" s="60">
        <f t="shared" si="217"/>
        <v>0</v>
      </c>
      <c r="AH66" s="60">
        <f t="shared" si="218"/>
        <v>63</v>
      </c>
      <c r="AI66" s="60">
        <f t="shared" si="219"/>
        <v>5</v>
      </c>
      <c r="AJ66" s="60">
        <f t="shared" si="220"/>
        <v>58</v>
      </c>
      <c r="AK66" s="60"/>
      <c r="AL66" s="60"/>
      <c r="AM66" s="60">
        <f t="shared" si="221"/>
        <v>0</v>
      </c>
      <c r="AN66" s="60"/>
      <c r="AO66" s="60"/>
      <c r="AP66" s="60">
        <f t="shared" si="222"/>
        <v>0</v>
      </c>
      <c r="AQ66" s="60"/>
      <c r="AR66" s="60"/>
      <c r="AS66" s="60">
        <f t="shared" si="223"/>
        <v>0</v>
      </c>
      <c r="AT66" s="60">
        <f t="shared" si="224"/>
        <v>0</v>
      </c>
      <c r="AU66" s="60">
        <f t="shared" si="225"/>
        <v>0</v>
      </c>
      <c r="AV66" s="60">
        <f t="shared" si="226"/>
        <v>0</v>
      </c>
      <c r="AW66" s="60"/>
      <c r="AX66" s="60"/>
      <c r="AY66" s="60">
        <f t="shared" si="227"/>
        <v>0</v>
      </c>
      <c r="AZ66" s="60"/>
      <c r="BA66" s="60"/>
      <c r="BB66" s="60">
        <f t="shared" si="228"/>
        <v>0</v>
      </c>
      <c r="BC66" s="60"/>
      <c r="BD66" s="60"/>
      <c r="BE66" s="60">
        <f t="shared" si="229"/>
        <v>0</v>
      </c>
      <c r="BF66" s="60">
        <f t="shared" si="230"/>
        <v>0</v>
      </c>
      <c r="BG66" s="60">
        <f t="shared" si="230"/>
        <v>0</v>
      </c>
      <c r="BH66" s="60">
        <f t="shared" si="230"/>
        <v>0</v>
      </c>
      <c r="BI66" s="508"/>
      <c r="BJ66" s="488" t="str">
        <f t="shared" si="186"/>
        <v>Lò</v>
      </c>
      <c r="BK66" s="523">
        <f t="shared" si="231"/>
        <v>0</v>
      </c>
      <c r="BL66" s="523">
        <f t="shared" si="232"/>
        <v>0</v>
      </c>
      <c r="BM66" s="523">
        <f t="shared" si="233"/>
        <v>0</v>
      </c>
      <c r="BN66" s="523">
        <f t="shared" si="234"/>
        <v>0</v>
      </c>
      <c r="BO66" s="523">
        <f t="shared" si="235"/>
        <v>0</v>
      </c>
      <c r="BP66" s="523">
        <f t="shared" si="236"/>
        <v>400</v>
      </c>
      <c r="BQ66" s="523">
        <f t="shared" si="237"/>
        <v>0</v>
      </c>
      <c r="BR66" s="523">
        <f t="shared" si="238"/>
        <v>400</v>
      </c>
      <c r="BS66" s="523">
        <f t="shared" si="239"/>
        <v>0</v>
      </c>
      <c r="BT66" s="523">
        <f t="shared" si="240"/>
        <v>0</v>
      </c>
      <c r="BU66" s="523">
        <f t="shared" si="241"/>
        <v>0</v>
      </c>
      <c r="BV66" s="523">
        <f t="shared" si="242"/>
        <v>0</v>
      </c>
      <c r="BW66" s="523">
        <f t="shared" si="243"/>
        <v>0</v>
      </c>
      <c r="BX66" s="523">
        <f t="shared" si="244"/>
        <v>0</v>
      </c>
      <c r="BY66" s="523">
        <f t="shared" si="245"/>
        <v>0</v>
      </c>
      <c r="BZ66" s="523">
        <f t="shared" si="246"/>
        <v>0</v>
      </c>
      <c r="CA66" s="354"/>
      <c r="CB66" s="354" t="str">
        <f t="shared" si="3"/>
        <v>X</v>
      </c>
      <c r="CC66" s="509" t="str">
        <f>CC63</f>
        <v>KT8.</v>
      </c>
      <c r="CD66" s="509" t="str">
        <f t="shared" si="48"/>
        <v>KT8.5,4</v>
      </c>
      <c r="CE66" s="351" t="str">
        <f t="shared" si="187"/>
        <v>Lò</v>
      </c>
      <c r="CF66" s="509" t="str">
        <f t="shared" si="49"/>
        <v>KT8.Lò</v>
      </c>
      <c r="CG66" s="509"/>
      <c r="CH66" s="509"/>
    </row>
    <row r="67" spans="1:86" ht="24" customHeight="1" x14ac:dyDescent="0.25">
      <c r="A67" s="354" t="e">
        <f t="shared" si="206"/>
        <v>#REF!</v>
      </c>
      <c r="B67" s="518"/>
      <c r="C67" s="519" t="s">
        <v>671</v>
      </c>
      <c r="D67" s="447" t="s">
        <v>206</v>
      </c>
      <c r="E67" s="447"/>
      <c r="F67" s="447"/>
      <c r="G67" s="520">
        <v>5.4</v>
      </c>
      <c r="H67" s="521">
        <v>0.7</v>
      </c>
      <c r="I67" s="522">
        <f t="shared" ref="I67:K68" si="250">V67+AH67+AT67+BF67</f>
        <v>41</v>
      </c>
      <c r="J67" s="522">
        <f t="shared" si="250"/>
        <v>5</v>
      </c>
      <c r="K67" s="522">
        <f t="shared" si="250"/>
        <v>36</v>
      </c>
      <c r="L67" s="57">
        <f>BN67+BR67+BV67+BZ67</f>
        <v>200</v>
      </c>
      <c r="M67" s="60"/>
      <c r="N67" s="60"/>
      <c r="O67" s="60">
        <f t="shared" si="211"/>
        <v>0</v>
      </c>
      <c r="P67" s="60"/>
      <c r="Q67" s="60"/>
      <c r="R67" s="60">
        <f t="shared" si="212"/>
        <v>0</v>
      </c>
      <c r="S67" s="824"/>
      <c r="T67" s="60"/>
      <c r="U67" s="60">
        <f t="shared" si="213"/>
        <v>0</v>
      </c>
      <c r="V67" s="60">
        <f t="shared" si="214"/>
        <v>0</v>
      </c>
      <c r="W67" s="60">
        <f t="shared" si="214"/>
        <v>0</v>
      </c>
      <c r="X67" s="60">
        <f t="shared" si="214"/>
        <v>0</v>
      </c>
      <c r="Y67" s="60"/>
      <c r="Z67" s="60"/>
      <c r="AA67" s="60">
        <f t="shared" si="215"/>
        <v>0</v>
      </c>
      <c r="AB67" s="60"/>
      <c r="AC67" s="60"/>
      <c r="AD67" s="60">
        <f t="shared" si="216"/>
        <v>0</v>
      </c>
      <c r="AE67" s="60">
        <v>41</v>
      </c>
      <c r="AF67" s="60">
        <v>5</v>
      </c>
      <c r="AG67" s="60">
        <f t="shared" si="217"/>
        <v>36</v>
      </c>
      <c r="AH67" s="60">
        <f t="shared" ref="AH67:AJ68" si="251">Y67+AB67+AE67</f>
        <v>41</v>
      </c>
      <c r="AI67" s="60">
        <f t="shared" si="251"/>
        <v>5</v>
      </c>
      <c r="AJ67" s="60">
        <f t="shared" si="251"/>
        <v>36</v>
      </c>
      <c r="AK67" s="60"/>
      <c r="AL67" s="60"/>
      <c r="AM67" s="60">
        <f t="shared" si="221"/>
        <v>0</v>
      </c>
      <c r="AN67" s="60"/>
      <c r="AO67" s="60"/>
      <c r="AP67" s="60">
        <f t="shared" si="222"/>
        <v>0</v>
      </c>
      <c r="AQ67" s="60"/>
      <c r="AR67" s="60"/>
      <c r="AS67" s="60">
        <f t="shared" si="223"/>
        <v>0</v>
      </c>
      <c r="AT67" s="60">
        <f t="shared" ref="AT67:AV68" si="252">AK67+AN67+AQ67</f>
        <v>0</v>
      </c>
      <c r="AU67" s="60">
        <f t="shared" si="252"/>
        <v>0</v>
      </c>
      <c r="AV67" s="60">
        <f t="shared" si="252"/>
        <v>0</v>
      </c>
      <c r="AW67" s="60"/>
      <c r="AX67" s="60"/>
      <c r="AY67" s="60">
        <f t="shared" si="227"/>
        <v>0</v>
      </c>
      <c r="AZ67" s="60"/>
      <c r="BA67" s="60"/>
      <c r="BB67" s="60">
        <f t="shared" si="228"/>
        <v>0</v>
      </c>
      <c r="BC67" s="60"/>
      <c r="BD67" s="60"/>
      <c r="BE67" s="60">
        <f t="shared" si="229"/>
        <v>0</v>
      </c>
      <c r="BF67" s="60">
        <f t="shared" ref="BF67:BH68" si="253">AW67+AZ67+BC67</f>
        <v>0</v>
      </c>
      <c r="BG67" s="60">
        <f t="shared" si="253"/>
        <v>0</v>
      </c>
      <c r="BH67" s="60">
        <f t="shared" si="253"/>
        <v>0</v>
      </c>
      <c r="BI67" s="508"/>
      <c r="BJ67" s="488" t="str">
        <f t="shared" si="186"/>
        <v>Lò</v>
      </c>
      <c r="BK67" s="523">
        <f t="shared" si="231"/>
        <v>0</v>
      </c>
      <c r="BL67" s="523">
        <f t="shared" si="232"/>
        <v>0</v>
      </c>
      <c r="BM67" s="523">
        <f t="shared" si="233"/>
        <v>0</v>
      </c>
      <c r="BN67" s="523">
        <f t="shared" si="234"/>
        <v>0</v>
      </c>
      <c r="BO67" s="523">
        <f t="shared" si="235"/>
        <v>0</v>
      </c>
      <c r="BP67" s="523">
        <f t="shared" si="236"/>
        <v>0</v>
      </c>
      <c r="BQ67" s="523">
        <f t="shared" si="237"/>
        <v>200</v>
      </c>
      <c r="BR67" s="523">
        <f t="shared" si="238"/>
        <v>200</v>
      </c>
      <c r="BS67" s="523">
        <f t="shared" si="239"/>
        <v>0</v>
      </c>
      <c r="BT67" s="523">
        <f t="shared" si="240"/>
        <v>0</v>
      </c>
      <c r="BU67" s="523">
        <f t="shared" si="241"/>
        <v>0</v>
      </c>
      <c r="BV67" s="523">
        <f t="shared" si="242"/>
        <v>0</v>
      </c>
      <c r="BW67" s="523">
        <f t="shared" si="243"/>
        <v>0</v>
      </c>
      <c r="BX67" s="523">
        <f t="shared" si="244"/>
        <v>0</v>
      </c>
      <c r="BY67" s="523">
        <f t="shared" si="245"/>
        <v>0</v>
      </c>
      <c r="BZ67" s="523">
        <f t="shared" si="246"/>
        <v>0</v>
      </c>
      <c r="CA67" s="354"/>
      <c r="CB67" s="354" t="str">
        <f>IF(SUM(I67:L67)&lt;&gt;0,"X")</f>
        <v>X</v>
      </c>
      <c r="CC67" s="509" t="str">
        <f t="shared" si="47"/>
        <v>KT8.</v>
      </c>
      <c r="CD67" s="509" t="str">
        <f>CC67&amp;G67</f>
        <v>KT8.5,4</v>
      </c>
      <c r="CE67" s="351" t="str">
        <f t="shared" si="187"/>
        <v>Lò</v>
      </c>
      <c r="CF67" s="509" t="str">
        <f>CC67&amp;CE67</f>
        <v>KT8.Lò</v>
      </c>
      <c r="CG67" s="509"/>
      <c r="CH67" s="509"/>
    </row>
    <row r="68" spans="1:86" ht="24" customHeight="1" x14ac:dyDescent="0.25">
      <c r="A68" s="354" t="e">
        <f t="shared" si="206"/>
        <v>#REF!</v>
      </c>
      <c r="B68" s="518"/>
      <c r="C68" s="519" t="s">
        <v>536</v>
      </c>
      <c r="D68" s="447" t="s">
        <v>14</v>
      </c>
      <c r="E68" s="447"/>
      <c r="F68" s="447"/>
      <c r="G68" s="520">
        <v>11.2</v>
      </c>
      <c r="H68" s="521">
        <v>0.7</v>
      </c>
      <c r="I68" s="522">
        <f t="shared" si="250"/>
        <v>0</v>
      </c>
      <c r="J68" s="522">
        <f t="shared" si="250"/>
        <v>0</v>
      </c>
      <c r="K68" s="522">
        <f t="shared" si="250"/>
        <v>0</v>
      </c>
      <c r="L68" s="57">
        <f>BN68+BR68+BV68+BZ68</f>
        <v>0</v>
      </c>
      <c r="M68" s="60"/>
      <c r="N68" s="60"/>
      <c r="O68" s="60">
        <f t="shared" si="211"/>
        <v>0</v>
      </c>
      <c r="P68" s="60"/>
      <c r="Q68" s="60"/>
      <c r="R68" s="60">
        <f t="shared" si="212"/>
        <v>0</v>
      </c>
      <c r="S68" s="824"/>
      <c r="T68" s="60"/>
      <c r="U68" s="60">
        <f t="shared" si="213"/>
        <v>0</v>
      </c>
      <c r="V68" s="60">
        <f t="shared" si="214"/>
        <v>0</v>
      </c>
      <c r="W68" s="60">
        <f t="shared" si="214"/>
        <v>0</v>
      </c>
      <c r="X68" s="60">
        <f t="shared" si="214"/>
        <v>0</v>
      </c>
      <c r="Y68" s="60"/>
      <c r="Z68" s="60"/>
      <c r="AA68" s="60">
        <f t="shared" si="215"/>
        <v>0</v>
      </c>
      <c r="AB68" s="60"/>
      <c r="AC68" s="60"/>
      <c r="AD68" s="60">
        <f t="shared" si="216"/>
        <v>0</v>
      </c>
      <c r="AE68" s="60"/>
      <c r="AF68" s="60"/>
      <c r="AG68" s="60">
        <f t="shared" si="217"/>
        <v>0</v>
      </c>
      <c r="AH68" s="60">
        <f t="shared" si="251"/>
        <v>0</v>
      </c>
      <c r="AI68" s="60">
        <f t="shared" si="251"/>
        <v>0</v>
      </c>
      <c r="AJ68" s="60">
        <f t="shared" si="251"/>
        <v>0</v>
      </c>
      <c r="AK68" s="60"/>
      <c r="AL68" s="60"/>
      <c r="AM68" s="60">
        <f t="shared" si="221"/>
        <v>0</v>
      </c>
      <c r="AN68" s="60"/>
      <c r="AO68" s="60"/>
      <c r="AP68" s="60">
        <f t="shared" si="222"/>
        <v>0</v>
      </c>
      <c r="AQ68" s="60"/>
      <c r="AR68" s="60"/>
      <c r="AS68" s="60">
        <f t="shared" si="223"/>
        <v>0</v>
      </c>
      <c r="AT68" s="60">
        <f t="shared" si="252"/>
        <v>0</v>
      </c>
      <c r="AU68" s="60">
        <f t="shared" si="252"/>
        <v>0</v>
      </c>
      <c r="AV68" s="60">
        <f t="shared" si="252"/>
        <v>0</v>
      </c>
      <c r="AW68" s="60"/>
      <c r="AX68" s="60"/>
      <c r="AY68" s="60">
        <f t="shared" si="227"/>
        <v>0</v>
      </c>
      <c r="AZ68" s="60"/>
      <c r="BA68" s="60"/>
      <c r="BB68" s="60">
        <f t="shared" si="228"/>
        <v>0</v>
      </c>
      <c r="BC68" s="60"/>
      <c r="BD68" s="60"/>
      <c r="BE68" s="60">
        <f t="shared" si="229"/>
        <v>0</v>
      </c>
      <c r="BF68" s="60">
        <f t="shared" si="253"/>
        <v>0</v>
      </c>
      <c r="BG68" s="60">
        <f t="shared" si="253"/>
        <v>0</v>
      </c>
      <c r="BH68" s="60">
        <f t="shared" si="253"/>
        <v>0</v>
      </c>
      <c r="BI68" s="508"/>
      <c r="BJ68" s="488" t="str">
        <f t="shared" si="186"/>
        <v>Lò</v>
      </c>
      <c r="BK68" s="523">
        <f t="shared" si="231"/>
        <v>0</v>
      </c>
      <c r="BL68" s="523">
        <f t="shared" si="232"/>
        <v>0</v>
      </c>
      <c r="BM68" s="523">
        <f t="shared" si="233"/>
        <v>0</v>
      </c>
      <c r="BN68" s="523">
        <f t="shared" si="234"/>
        <v>0</v>
      </c>
      <c r="BO68" s="523">
        <f t="shared" si="235"/>
        <v>0</v>
      </c>
      <c r="BP68" s="523">
        <f t="shared" si="236"/>
        <v>0</v>
      </c>
      <c r="BQ68" s="523">
        <f t="shared" si="237"/>
        <v>0</v>
      </c>
      <c r="BR68" s="523">
        <f t="shared" si="238"/>
        <v>0</v>
      </c>
      <c r="BS68" s="523">
        <f t="shared" si="239"/>
        <v>0</v>
      </c>
      <c r="BT68" s="523">
        <f t="shared" si="240"/>
        <v>0</v>
      </c>
      <c r="BU68" s="523">
        <f t="shared" si="241"/>
        <v>0</v>
      </c>
      <c r="BV68" s="523">
        <f t="shared" si="242"/>
        <v>0</v>
      </c>
      <c r="BW68" s="523">
        <f t="shared" si="243"/>
        <v>0</v>
      </c>
      <c r="BX68" s="523">
        <f t="shared" si="244"/>
        <v>0</v>
      </c>
      <c r="BY68" s="523">
        <f t="shared" si="245"/>
        <v>0</v>
      </c>
      <c r="BZ68" s="523">
        <f t="shared" si="246"/>
        <v>0</v>
      </c>
      <c r="CA68" s="354"/>
      <c r="CB68" s="354" t="b">
        <f>IF(SUM(I68:L68)&lt;&gt;0,"X")</f>
        <v>0</v>
      </c>
      <c r="CC68" s="509" t="str">
        <f t="shared" si="47"/>
        <v>KT8.</v>
      </c>
      <c r="CD68" s="509" t="str">
        <f>CC68&amp;G68</f>
        <v>KT8.11,2</v>
      </c>
      <c r="CE68" s="351" t="str">
        <f t="shared" si="187"/>
        <v>Lò</v>
      </c>
      <c r="CF68" s="509" t="str">
        <f>CC68&amp;CE68</f>
        <v>KT8.Lò</v>
      </c>
      <c r="CG68" s="509"/>
      <c r="CH68" s="509"/>
    </row>
    <row r="69" spans="1:86" ht="24" customHeight="1" x14ac:dyDescent="0.25">
      <c r="A69" s="354" t="e">
        <f>A66</f>
        <v>#REF!</v>
      </c>
      <c r="B69" s="518"/>
      <c r="C69" s="519" t="s">
        <v>647</v>
      </c>
      <c r="D69" s="447" t="s">
        <v>206</v>
      </c>
      <c r="E69" s="447"/>
      <c r="F69" s="447"/>
      <c r="G69" s="520">
        <v>5.4</v>
      </c>
      <c r="H69" s="521">
        <v>0.7</v>
      </c>
      <c r="I69" s="522">
        <f t="shared" si="207"/>
        <v>38</v>
      </c>
      <c r="J69" s="522">
        <f t="shared" si="208"/>
        <v>0</v>
      </c>
      <c r="K69" s="522">
        <f t="shared" si="209"/>
        <v>38</v>
      </c>
      <c r="L69" s="57">
        <f t="shared" si="210"/>
        <v>200</v>
      </c>
      <c r="M69" s="60">
        <v>38</v>
      </c>
      <c r="N69" s="60"/>
      <c r="O69" s="60">
        <f t="shared" si="211"/>
        <v>38</v>
      </c>
      <c r="P69" s="60"/>
      <c r="Q69" s="60"/>
      <c r="R69" s="60">
        <f t="shared" si="212"/>
        <v>0</v>
      </c>
      <c r="S69" s="824"/>
      <c r="T69" s="60"/>
      <c r="U69" s="60">
        <f t="shared" si="213"/>
        <v>0</v>
      </c>
      <c r="V69" s="60">
        <f t="shared" ref="V69:X71" si="254">M69+P69+S69</f>
        <v>38</v>
      </c>
      <c r="W69" s="60">
        <f t="shared" si="254"/>
        <v>0</v>
      </c>
      <c r="X69" s="60">
        <f t="shared" si="254"/>
        <v>38</v>
      </c>
      <c r="Y69" s="60"/>
      <c r="Z69" s="60"/>
      <c r="AA69" s="60">
        <f t="shared" si="215"/>
        <v>0</v>
      </c>
      <c r="AB69" s="60"/>
      <c r="AC69" s="60"/>
      <c r="AD69" s="60">
        <f t="shared" si="216"/>
        <v>0</v>
      </c>
      <c r="AE69" s="60"/>
      <c r="AF69" s="60"/>
      <c r="AG69" s="60">
        <f t="shared" si="217"/>
        <v>0</v>
      </c>
      <c r="AH69" s="60">
        <f t="shared" si="218"/>
        <v>0</v>
      </c>
      <c r="AI69" s="60">
        <f t="shared" si="219"/>
        <v>0</v>
      </c>
      <c r="AJ69" s="60">
        <f t="shared" si="220"/>
        <v>0</v>
      </c>
      <c r="AK69" s="60"/>
      <c r="AL69" s="60"/>
      <c r="AM69" s="60">
        <f t="shared" si="221"/>
        <v>0</v>
      </c>
      <c r="AN69" s="60"/>
      <c r="AO69" s="60"/>
      <c r="AP69" s="60">
        <f t="shared" si="222"/>
        <v>0</v>
      </c>
      <c r="AQ69" s="60"/>
      <c r="AR69" s="60"/>
      <c r="AS69" s="60">
        <f t="shared" si="223"/>
        <v>0</v>
      </c>
      <c r="AT69" s="60">
        <f t="shared" si="224"/>
        <v>0</v>
      </c>
      <c r="AU69" s="60">
        <f t="shared" si="225"/>
        <v>0</v>
      </c>
      <c r="AV69" s="60">
        <f t="shared" si="226"/>
        <v>0</v>
      </c>
      <c r="AW69" s="60"/>
      <c r="AX69" s="60"/>
      <c r="AY69" s="60">
        <f t="shared" si="227"/>
        <v>0</v>
      </c>
      <c r="AZ69" s="60"/>
      <c r="BA69" s="60"/>
      <c r="BB69" s="60">
        <f t="shared" si="228"/>
        <v>0</v>
      </c>
      <c r="BC69" s="60"/>
      <c r="BD69" s="60"/>
      <c r="BE69" s="60">
        <f t="shared" si="229"/>
        <v>0</v>
      </c>
      <c r="BF69" s="60"/>
      <c r="BG69" s="60"/>
      <c r="BH69" s="60">
        <f>BF69-BG69</f>
        <v>0</v>
      </c>
      <c r="BI69" s="508"/>
      <c r="BJ69" s="488" t="str">
        <f t="shared" si="186"/>
        <v>Lò</v>
      </c>
      <c r="BK69" s="523">
        <f t="shared" si="231"/>
        <v>200</v>
      </c>
      <c r="BL69" s="523">
        <f t="shared" si="232"/>
        <v>0</v>
      </c>
      <c r="BM69" s="523">
        <f t="shared" si="233"/>
        <v>0</v>
      </c>
      <c r="BN69" s="523">
        <f t="shared" si="234"/>
        <v>200</v>
      </c>
      <c r="BO69" s="523">
        <f t="shared" si="235"/>
        <v>0</v>
      </c>
      <c r="BP69" s="523">
        <f t="shared" si="236"/>
        <v>0</v>
      </c>
      <c r="BQ69" s="523">
        <f t="shared" si="237"/>
        <v>0</v>
      </c>
      <c r="BR69" s="523">
        <f t="shared" si="238"/>
        <v>0</v>
      </c>
      <c r="BS69" s="523">
        <f t="shared" si="239"/>
        <v>0</v>
      </c>
      <c r="BT69" s="523">
        <f t="shared" si="240"/>
        <v>0</v>
      </c>
      <c r="BU69" s="523">
        <f t="shared" si="241"/>
        <v>0</v>
      </c>
      <c r="BV69" s="523">
        <f t="shared" si="242"/>
        <v>0</v>
      </c>
      <c r="BW69" s="523">
        <f t="shared" si="243"/>
        <v>0</v>
      </c>
      <c r="BX69" s="523">
        <f t="shared" si="244"/>
        <v>0</v>
      </c>
      <c r="BY69" s="523">
        <f t="shared" si="245"/>
        <v>0</v>
      </c>
      <c r="BZ69" s="523">
        <f t="shared" si="246"/>
        <v>0</v>
      </c>
      <c r="CA69" s="354"/>
      <c r="CB69" s="354" t="str">
        <f t="shared" si="3"/>
        <v>X</v>
      </c>
      <c r="CC69" s="509" t="str">
        <f>CC66</f>
        <v>KT8.</v>
      </c>
      <c r="CD69" s="509" t="str">
        <f t="shared" si="48"/>
        <v>KT8.5,4</v>
      </c>
      <c r="CE69" s="351" t="str">
        <f t="shared" si="187"/>
        <v>Lò</v>
      </c>
      <c r="CF69" s="509" t="str">
        <f t="shared" si="49"/>
        <v>KT8.Lò</v>
      </c>
      <c r="CG69" s="509"/>
      <c r="CH69" s="509"/>
    </row>
    <row r="70" spans="1:86" ht="24" customHeight="1" x14ac:dyDescent="0.25">
      <c r="A70" s="354" t="e">
        <f>A68</f>
        <v>#REF!</v>
      </c>
      <c r="B70" s="518"/>
      <c r="C70" s="519" t="s">
        <v>565</v>
      </c>
      <c r="D70" s="447" t="s">
        <v>14</v>
      </c>
      <c r="E70" s="447"/>
      <c r="F70" s="447"/>
      <c r="G70" s="520">
        <v>9.5</v>
      </c>
      <c r="H70" s="521">
        <v>0.7</v>
      </c>
      <c r="I70" s="522">
        <f>V70+AH70+AT70+BF70</f>
        <v>0</v>
      </c>
      <c r="J70" s="522">
        <f>W70+AI70+AU70+BG70</f>
        <v>0</v>
      </c>
      <c r="K70" s="522">
        <f>X70+AJ70+AV70+BH70</f>
        <v>0</v>
      </c>
      <c r="L70" s="57">
        <f>BN70+BR70+BV70+BZ70</f>
        <v>0</v>
      </c>
      <c r="M70" s="60"/>
      <c r="N70" s="60"/>
      <c r="O70" s="60">
        <f t="shared" si="211"/>
        <v>0</v>
      </c>
      <c r="P70" s="60"/>
      <c r="Q70" s="60"/>
      <c r="R70" s="60">
        <f t="shared" si="212"/>
        <v>0</v>
      </c>
      <c r="S70" s="824"/>
      <c r="T70" s="60"/>
      <c r="U70" s="60">
        <f t="shared" si="213"/>
        <v>0</v>
      </c>
      <c r="V70" s="60">
        <f t="shared" si="254"/>
        <v>0</v>
      </c>
      <c r="W70" s="60">
        <f t="shared" si="254"/>
        <v>0</v>
      </c>
      <c r="X70" s="60">
        <f t="shared" si="254"/>
        <v>0</v>
      </c>
      <c r="Y70" s="60"/>
      <c r="Z70" s="60"/>
      <c r="AA70" s="60">
        <f t="shared" si="215"/>
        <v>0</v>
      </c>
      <c r="AB70" s="60"/>
      <c r="AC70" s="60"/>
      <c r="AD70" s="60">
        <f t="shared" si="216"/>
        <v>0</v>
      </c>
      <c r="AE70" s="60"/>
      <c r="AF70" s="60"/>
      <c r="AG70" s="60">
        <f t="shared" si="217"/>
        <v>0</v>
      </c>
      <c r="AH70" s="60">
        <f>Y70+AB70+AE70</f>
        <v>0</v>
      </c>
      <c r="AI70" s="60">
        <f>Z70+AC70+AF70</f>
        <v>0</v>
      </c>
      <c r="AJ70" s="60">
        <f>AA70+AD70+AG70</f>
        <v>0</v>
      </c>
      <c r="AK70" s="60"/>
      <c r="AL70" s="60"/>
      <c r="AM70" s="60">
        <f t="shared" si="221"/>
        <v>0</v>
      </c>
      <c r="AN70" s="60"/>
      <c r="AO70" s="60"/>
      <c r="AP70" s="60">
        <f t="shared" si="222"/>
        <v>0</v>
      </c>
      <c r="AQ70" s="60"/>
      <c r="AR70" s="60"/>
      <c r="AS70" s="60">
        <f t="shared" si="223"/>
        <v>0</v>
      </c>
      <c r="AT70" s="60">
        <f>AK70+AN70+AQ70</f>
        <v>0</v>
      </c>
      <c r="AU70" s="60">
        <f>AL70+AO70+AR70</f>
        <v>0</v>
      </c>
      <c r="AV70" s="60">
        <f>AM70+AP70+AS70</f>
        <v>0</v>
      </c>
      <c r="AW70" s="60"/>
      <c r="AX70" s="60"/>
      <c r="AY70" s="60">
        <f t="shared" si="227"/>
        <v>0</v>
      </c>
      <c r="AZ70" s="60"/>
      <c r="BA70" s="60"/>
      <c r="BB70" s="60">
        <f t="shared" si="228"/>
        <v>0</v>
      </c>
      <c r="BC70" s="60"/>
      <c r="BD70" s="60"/>
      <c r="BE70" s="60">
        <f t="shared" si="229"/>
        <v>0</v>
      </c>
      <c r="BF70" s="60"/>
      <c r="BG70" s="60"/>
      <c r="BH70" s="60">
        <f>BF70-BG70</f>
        <v>0</v>
      </c>
      <c r="BI70" s="508"/>
      <c r="BJ70" s="488" t="str">
        <f t="shared" si="186"/>
        <v>Lò</v>
      </c>
      <c r="BK70" s="523">
        <f t="shared" si="231"/>
        <v>0</v>
      </c>
      <c r="BL70" s="523">
        <f t="shared" si="232"/>
        <v>0</v>
      </c>
      <c r="BM70" s="523">
        <f t="shared" si="233"/>
        <v>0</v>
      </c>
      <c r="BN70" s="523">
        <f t="shared" si="234"/>
        <v>0</v>
      </c>
      <c r="BO70" s="523">
        <f t="shared" si="235"/>
        <v>0</v>
      </c>
      <c r="BP70" s="523">
        <f t="shared" si="236"/>
        <v>0</v>
      </c>
      <c r="BQ70" s="523">
        <f t="shared" si="237"/>
        <v>0</v>
      </c>
      <c r="BR70" s="523">
        <f t="shared" si="238"/>
        <v>0</v>
      </c>
      <c r="BS70" s="523">
        <f t="shared" si="239"/>
        <v>0</v>
      </c>
      <c r="BT70" s="523">
        <f t="shared" si="240"/>
        <v>0</v>
      </c>
      <c r="BU70" s="523">
        <f t="shared" si="241"/>
        <v>0</v>
      </c>
      <c r="BV70" s="523">
        <f t="shared" si="242"/>
        <v>0</v>
      </c>
      <c r="BW70" s="523">
        <f t="shared" si="243"/>
        <v>0</v>
      </c>
      <c r="BX70" s="523">
        <f t="shared" si="244"/>
        <v>0</v>
      </c>
      <c r="BY70" s="523">
        <f t="shared" si="245"/>
        <v>0</v>
      </c>
      <c r="BZ70" s="523">
        <f t="shared" si="246"/>
        <v>0</v>
      </c>
      <c r="CA70" s="354"/>
      <c r="CB70" s="354" t="b">
        <f>IF(SUM(I70:L70)&lt;&gt;0,"X")</f>
        <v>0</v>
      </c>
      <c r="CC70" s="509" t="str">
        <f>CC68</f>
        <v>KT8.</v>
      </c>
      <c r="CD70" s="509" t="str">
        <f>CC70&amp;G70</f>
        <v>KT8.9,5</v>
      </c>
      <c r="CE70" s="351" t="str">
        <f t="shared" si="187"/>
        <v>Lò</v>
      </c>
      <c r="CF70" s="509" t="str">
        <f>CC70&amp;CE70</f>
        <v>KT8.Lò</v>
      </c>
      <c r="CG70" s="509"/>
      <c r="CH70" s="509"/>
    </row>
    <row r="71" spans="1:86" ht="24" customHeight="1" x14ac:dyDescent="0.25">
      <c r="A71" s="354" t="e">
        <f>A69</f>
        <v>#REF!</v>
      </c>
      <c r="B71" s="518"/>
      <c r="C71" s="519" t="s">
        <v>204</v>
      </c>
      <c r="D71" s="447" t="s">
        <v>14</v>
      </c>
      <c r="E71" s="447"/>
      <c r="F71" s="447"/>
      <c r="G71" s="520">
        <v>11.2</v>
      </c>
      <c r="H71" s="521">
        <v>0.7</v>
      </c>
      <c r="I71" s="522">
        <f t="shared" si="207"/>
        <v>0</v>
      </c>
      <c r="J71" s="522">
        <f t="shared" si="208"/>
        <v>0</v>
      </c>
      <c r="K71" s="522">
        <f t="shared" si="209"/>
        <v>0</v>
      </c>
      <c r="L71" s="57">
        <f t="shared" si="210"/>
        <v>0</v>
      </c>
      <c r="M71" s="60"/>
      <c r="N71" s="60"/>
      <c r="O71" s="60">
        <f t="shared" si="211"/>
        <v>0</v>
      </c>
      <c r="P71" s="60"/>
      <c r="Q71" s="60"/>
      <c r="R71" s="60">
        <f t="shared" si="212"/>
        <v>0</v>
      </c>
      <c r="S71" s="824"/>
      <c r="T71" s="60"/>
      <c r="U71" s="60">
        <f t="shared" si="213"/>
        <v>0</v>
      </c>
      <c r="V71" s="60">
        <f t="shared" si="254"/>
        <v>0</v>
      </c>
      <c r="W71" s="60">
        <f t="shared" si="254"/>
        <v>0</v>
      </c>
      <c r="X71" s="60">
        <f t="shared" si="254"/>
        <v>0</v>
      </c>
      <c r="Y71" s="60"/>
      <c r="Z71" s="60"/>
      <c r="AA71" s="60">
        <f t="shared" si="215"/>
        <v>0</v>
      </c>
      <c r="AB71" s="60"/>
      <c r="AC71" s="60"/>
      <c r="AD71" s="60">
        <f t="shared" si="216"/>
        <v>0</v>
      </c>
      <c r="AE71" s="60"/>
      <c r="AF71" s="60"/>
      <c r="AG71" s="60">
        <f t="shared" si="217"/>
        <v>0</v>
      </c>
      <c r="AH71" s="60">
        <f t="shared" si="218"/>
        <v>0</v>
      </c>
      <c r="AI71" s="60">
        <f t="shared" si="219"/>
        <v>0</v>
      </c>
      <c r="AJ71" s="60">
        <f t="shared" si="220"/>
        <v>0</v>
      </c>
      <c r="AK71" s="60"/>
      <c r="AL71" s="60"/>
      <c r="AM71" s="60">
        <f t="shared" si="221"/>
        <v>0</v>
      </c>
      <c r="AN71" s="60"/>
      <c r="AO71" s="60"/>
      <c r="AP71" s="60">
        <f t="shared" si="222"/>
        <v>0</v>
      </c>
      <c r="AQ71" s="60"/>
      <c r="AR71" s="60"/>
      <c r="AS71" s="60">
        <f t="shared" si="223"/>
        <v>0</v>
      </c>
      <c r="AT71" s="60">
        <f t="shared" si="224"/>
        <v>0</v>
      </c>
      <c r="AU71" s="60">
        <f t="shared" si="225"/>
        <v>0</v>
      </c>
      <c r="AV71" s="60">
        <f t="shared" si="226"/>
        <v>0</v>
      </c>
      <c r="AW71" s="60"/>
      <c r="AX71" s="60"/>
      <c r="AY71" s="60">
        <f t="shared" si="227"/>
        <v>0</v>
      </c>
      <c r="AZ71" s="60"/>
      <c r="BA71" s="60"/>
      <c r="BB71" s="60">
        <f t="shared" si="228"/>
        <v>0</v>
      </c>
      <c r="BC71" s="60"/>
      <c r="BD71" s="60"/>
      <c r="BE71" s="60">
        <f t="shared" si="229"/>
        <v>0</v>
      </c>
      <c r="BF71" s="60">
        <f>AW71+AZ71+BC71</f>
        <v>0</v>
      </c>
      <c r="BG71" s="60">
        <f>AX71+BA71+BD71</f>
        <v>0</v>
      </c>
      <c r="BH71" s="60">
        <f>AY71+BB71+BE71</f>
        <v>0</v>
      </c>
      <c r="BI71" s="508"/>
      <c r="BJ71" s="488" t="str">
        <f t="shared" si="186"/>
        <v>Lò</v>
      </c>
      <c r="BK71" s="523">
        <f t="shared" si="231"/>
        <v>0</v>
      </c>
      <c r="BL71" s="523">
        <f t="shared" si="232"/>
        <v>0</v>
      </c>
      <c r="BM71" s="523">
        <f t="shared" si="233"/>
        <v>0</v>
      </c>
      <c r="BN71" s="523">
        <f t="shared" si="234"/>
        <v>0</v>
      </c>
      <c r="BO71" s="523">
        <f t="shared" si="235"/>
        <v>0</v>
      </c>
      <c r="BP71" s="523">
        <f t="shared" si="236"/>
        <v>0</v>
      </c>
      <c r="BQ71" s="523">
        <f t="shared" si="237"/>
        <v>0</v>
      </c>
      <c r="BR71" s="523">
        <f t="shared" si="238"/>
        <v>0</v>
      </c>
      <c r="BS71" s="523">
        <f t="shared" si="239"/>
        <v>0</v>
      </c>
      <c r="BT71" s="523">
        <f t="shared" si="240"/>
        <v>0</v>
      </c>
      <c r="BU71" s="523">
        <f t="shared" si="241"/>
        <v>0</v>
      </c>
      <c r="BV71" s="523">
        <f t="shared" si="242"/>
        <v>0</v>
      </c>
      <c r="BW71" s="523">
        <f t="shared" si="243"/>
        <v>0</v>
      </c>
      <c r="BX71" s="523">
        <f t="shared" si="244"/>
        <v>0</v>
      </c>
      <c r="BY71" s="523">
        <f t="shared" si="245"/>
        <v>0</v>
      </c>
      <c r="BZ71" s="523">
        <f t="shared" si="246"/>
        <v>0</v>
      </c>
      <c r="CA71" s="354"/>
      <c r="CB71" s="354" t="b">
        <f t="shared" si="3"/>
        <v>0</v>
      </c>
      <c r="CC71" s="509" t="str">
        <f>CC69</f>
        <v>KT8.</v>
      </c>
      <c r="CD71" s="509" t="str">
        <f t="shared" si="48"/>
        <v>KT8.11,2</v>
      </c>
      <c r="CE71" s="351" t="str">
        <f t="shared" si="187"/>
        <v>Lò</v>
      </c>
      <c r="CF71" s="509" t="str">
        <f t="shared" si="49"/>
        <v>KT8.Lò</v>
      </c>
      <c r="CG71" s="509"/>
      <c r="CH71" s="509"/>
    </row>
    <row r="72" spans="1:86" s="359" customFormat="1" ht="21.75" customHeight="1" x14ac:dyDescent="0.3">
      <c r="A72" s="510" t="e">
        <f t="shared" si="206"/>
        <v>#REF!</v>
      </c>
      <c r="B72" s="525" t="s">
        <v>37</v>
      </c>
      <c r="C72" s="526" t="s">
        <v>178</v>
      </c>
      <c r="D72" s="527"/>
      <c r="E72" s="527"/>
      <c r="F72" s="527"/>
      <c r="G72" s="528"/>
      <c r="H72" s="529"/>
      <c r="I72" s="70">
        <f t="shared" ref="I72:AN72" si="255">SUM(I73:I75)</f>
        <v>310</v>
      </c>
      <c r="J72" s="70">
        <f t="shared" si="255"/>
        <v>120</v>
      </c>
      <c r="K72" s="70">
        <f t="shared" si="255"/>
        <v>190</v>
      </c>
      <c r="L72" s="70">
        <f t="shared" si="255"/>
        <v>500</v>
      </c>
      <c r="M72" s="224">
        <f t="shared" si="255"/>
        <v>50</v>
      </c>
      <c r="N72" s="224">
        <f t="shared" si="255"/>
        <v>20</v>
      </c>
      <c r="O72" s="224">
        <f t="shared" si="255"/>
        <v>30</v>
      </c>
      <c r="P72" s="224">
        <f t="shared" si="255"/>
        <v>30</v>
      </c>
      <c r="Q72" s="224">
        <f t="shared" si="255"/>
        <v>20</v>
      </c>
      <c r="R72" s="224">
        <f t="shared" si="255"/>
        <v>10</v>
      </c>
      <c r="S72" s="825">
        <f t="shared" si="255"/>
        <v>30</v>
      </c>
      <c r="T72" s="224">
        <f t="shared" si="255"/>
        <v>20</v>
      </c>
      <c r="U72" s="224">
        <f t="shared" si="255"/>
        <v>10</v>
      </c>
      <c r="V72" s="224">
        <f t="shared" si="255"/>
        <v>110</v>
      </c>
      <c r="W72" s="224">
        <f t="shared" si="255"/>
        <v>60</v>
      </c>
      <c r="X72" s="224">
        <f t="shared" si="255"/>
        <v>50</v>
      </c>
      <c r="Y72" s="224">
        <f t="shared" si="255"/>
        <v>100</v>
      </c>
      <c r="Z72" s="224">
        <f t="shared" si="255"/>
        <v>20</v>
      </c>
      <c r="AA72" s="224">
        <f t="shared" si="255"/>
        <v>80</v>
      </c>
      <c r="AB72" s="224">
        <f t="shared" si="255"/>
        <v>0</v>
      </c>
      <c r="AC72" s="224">
        <f t="shared" si="255"/>
        <v>0</v>
      </c>
      <c r="AD72" s="224">
        <f t="shared" si="255"/>
        <v>0</v>
      </c>
      <c r="AE72" s="224">
        <f t="shared" si="255"/>
        <v>0</v>
      </c>
      <c r="AF72" s="224">
        <f t="shared" si="255"/>
        <v>0</v>
      </c>
      <c r="AG72" s="224">
        <f t="shared" si="255"/>
        <v>0</v>
      </c>
      <c r="AH72" s="224">
        <f t="shared" si="255"/>
        <v>100</v>
      </c>
      <c r="AI72" s="224">
        <f t="shared" si="255"/>
        <v>20</v>
      </c>
      <c r="AJ72" s="224">
        <f t="shared" si="255"/>
        <v>80</v>
      </c>
      <c r="AK72" s="224">
        <f t="shared" si="255"/>
        <v>0</v>
      </c>
      <c r="AL72" s="224">
        <f t="shared" si="255"/>
        <v>0</v>
      </c>
      <c r="AM72" s="224">
        <f t="shared" si="255"/>
        <v>0</v>
      </c>
      <c r="AN72" s="224">
        <f t="shared" si="255"/>
        <v>20</v>
      </c>
      <c r="AO72" s="224">
        <f t="shared" ref="AO72:BH72" si="256">SUM(AO73:AO75)</f>
        <v>10</v>
      </c>
      <c r="AP72" s="224">
        <f t="shared" si="256"/>
        <v>10</v>
      </c>
      <c r="AQ72" s="224">
        <f t="shared" si="256"/>
        <v>20</v>
      </c>
      <c r="AR72" s="224">
        <f t="shared" si="256"/>
        <v>10</v>
      </c>
      <c r="AS72" s="224">
        <f t="shared" si="256"/>
        <v>10</v>
      </c>
      <c r="AT72" s="224">
        <f t="shared" si="256"/>
        <v>40</v>
      </c>
      <c r="AU72" s="224">
        <f t="shared" si="256"/>
        <v>20</v>
      </c>
      <c r="AV72" s="224">
        <f t="shared" si="256"/>
        <v>20</v>
      </c>
      <c r="AW72" s="224">
        <f t="shared" si="256"/>
        <v>20</v>
      </c>
      <c r="AX72" s="224">
        <f t="shared" si="256"/>
        <v>10</v>
      </c>
      <c r="AY72" s="224">
        <f t="shared" si="256"/>
        <v>10</v>
      </c>
      <c r="AZ72" s="224">
        <f t="shared" si="256"/>
        <v>20</v>
      </c>
      <c r="BA72" s="224">
        <f t="shared" si="256"/>
        <v>10</v>
      </c>
      <c r="BB72" s="224">
        <f t="shared" si="256"/>
        <v>10</v>
      </c>
      <c r="BC72" s="224">
        <f t="shared" si="256"/>
        <v>20</v>
      </c>
      <c r="BD72" s="224">
        <f t="shared" si="256"/>
        <v>0</v>
      </c>
      <c r="BE72" s="224">
        <f t="shared" si="256"/>
        <v>20</v>
      </c>
      <c r="BF72" s="224">
        <f t="shared" si="256"/>
        <v>60</v>
      </c>
      <c r="BG72" s="224">
        <f t="shared" si="256"/>
        <v>20</v>
      </c>
      <c r="BH72" s="224">
        <f t="shared" si="256"/>
        <v>40</v>
      </c>
      <c r="BI72" s="530"/>
      <c r="BJ72" s="488" t="str">
        <f t="shared" si="186"/>
        <v>XL</v>
      </c>
      <c r="BK72" s="225">
        <f t="shared" ref="BK72:BZ72" si="257">SUM(BK73:BK75)</f>
        <v>100</v>
      </c>
      <c r="BL72" s="225">
        <f t="shared" si="257"/>
        <v>0</v>
      </c>
      <c r="BM72" s="225">
        <f t="shared" si="257"/>
        <v>0</v>
      </c>
      <c r="BN72" s="225">
        <f t="shared" si="257"/>
        <v>100</v>
      </c>
      <c r="BO72" s="225">
        <f t="shared" si="257"/>
        <v>200</v>
      </c>
      <c r="BP72" s="225">
        <f t="shared" si="257"/>
        <v>0</v>
      </c>
      <c r="BQ72" s="225">
        <f t="shared" si="257"/>
        <v>0</v>
      </c>
      <c r="BR72" s="225">
        <f t="shared" si="257"/>
        <v>200</v>
      </c>
      <c r="BS72" s="225">
        <f t="shared" si="257"/>
        <v>0</v>
      </c>
      <c r="BT72" s="225">
        <f t="shared" si="257"/>
        <v>0</v>
      </c>
      <c r="BU72" s="225">
        <f t="shared" si="257"/>
        <v>0</v>
      </c>
      <c r="BV72" s="225">
        <f t="shared" si="257"/>
        <v>100</v>
      </c>
      <c r="BW72" s="225">
        <f t="shared" si="257"/>
        <v>0</v>
      </c>
      <c r="BX72" s="225">
        <f t="shared" si="257"/>
        <v>0</v>
      </c>
      <c r="BY72" s="225">
        <f t="shared" si="257"/>
        <v>0</v>
      </c>
      <c r="BZ72" s="225">
        <f t="shared" si="257"/>
        <v>100</v>
      </c>
      <c r="CA72" s="510"/>
      <c r="CB72" s="510" t="str">
        <f t="shared" si="3"/>
        <v>X</v>
      </c>
      <c r="CC72" s="509" t="str">
        <f t="shared" si="47"/>
        <v>KT8.</v>
      </c>
      <c r="CD72" s="509" t="str">
        <f t="shared" si="48"/>
        <v>KT8.</v>
      </c>
      <c r="CE72" s="351" t="str">
        <f t="shared" si="187"/>
        <v>XL</v>
      </c>
      <c r="CF72" s="509" t="str">
        <f t="shared" si="49"/>
        <v>KT8.XL</v>
      </c>
      <c r="CG72" s="509"/>
      <c r="CH72" s="509"/>
    </row>
    <row r="73" spans="1:86" ht="24.75" customHeight="1" x14ac:dyDescent="0.25">
      <c r="A73" s="354" t="e">
        <f t="shared" si="206"/>
        <v>#REF!</v>
      </c>
      <c r="B73" s="484"/>
      <c r="C73" s="531" t="s">
        <v>571</v>
      </c>
      <c r="D73" s="447" t="s">
        <v>14</v>
      </c>
      <c r="E73" s="447"/>
      <c r="F73" s="447"/>
      <c r="G73" s="520">
        <v>11.2</v>
      </c>
      <c r="H73" s="521">
        <v>0.7</v>
      </c>
      <c r="I73" s="522">
        <f t="shared" ref="I73:K75" si="258">V73+AH73+AT73+BF73</f>
        <v>210</v>
      </c>
      <c r="J73" s="522">
        <f t="shared" si="258"/>
        <v>80</v>
      </c>
      <c r="K73" s="522">
        <f t="shared" si="258"/>
        <v>130</v>
      </c>
      <c r="L73" s="57">
        <f>BN73+BR73+BV73+BZ73</f>
        <v>300</v>
      </c>
      <c r="M73" s="60">
        <v>50</v>
      </c>
      <c r="N73" s="60">
        <v>20</v>
      </c>
      <c r="O73" s="60">
        <f>M73-N73</f>
        <v>30</v>
      </c>
      <c r="P73" s="60">
        <v>30</v>
      </c>
      <c r="Q73" s="60">
        <v>20</v>
      </c>
      <c r="R73" s="60">
        <f>P73-Q73</f>
        <v>10</v>
      </c>
      <c r="S73" s="824">
        <f>T73+U73</f>
        <v>20</v>
      </c>
      <c r="T73" s="60">
        <v>20</v>
      </c>
      <c r="U73" s="60"/>
      <c r="V73" s="60">
        <f t="shared" ref="V73:X74" si="259">M73+P73+S73</f>
        <v>100</v>
      </c>
      <c r="W73" s="60">
        <f t="shared" si="259"/>
        <v>60</v>
      </c>
      <c r="X73" s="60">
        <f t="shared" si="259"/>
        <v>40</v>
      </c>
      <c r="Y73" s="60">
        <v>50</v>
      </c>
      <c r="Z73" s="60"/>
      <c r="AA73" s="60">
        <f>Y73-Z73</f>
        <v>50</v>
      </c>
      <c r="AB73" s="60"/>
      <c r="AC73" s="60"/>
      <c r="AD73" s="60">
        <f>AB73-AC73</f>
        <v>0</v>
      </c>
      <c r="AE73" s="60"/>
      <c r="AF73" s="60"/>
      <c r="AG73" s="60">
        <f>AE73-AF73</f>
        <v>0</v>
      </c>
      <c r="AH73" s="60">
        <f>Y73+AB73+AE73</f>
        <v>50</v>
      </c>
      <c r="AI73" s="60">
        <f>Z73+AC73+AF73</f>
        <v>0</v>
      </c>
      <c r="AJ73" s="60">
        <f>AA73+AD73+AG73</f>
        <v>50</v>
      </c>
      <c r="AK73" s="60"/>
      <c r="AL73" s="60"/>
      <c r="AM73" s="60">
        <f>AK73-AL73</f>
        <v>0</v>
      </c>
      <c r="AN73" s="60"/>
      <c r="AO73" s="60"/>
      <c r="AP73" s="60">
        <f>AN73-AO73</f>
        <v>0</v>
      </c>
      <c r="AQ73" s="60"/>
      <c r="AR73" s="60"/>
      <c r="AS73" s="60">
        <f>AQ73-AR73</f>
        <v>0</v>
      </c>
      <c r="AT73" s="60">
        <f t="shared" ref="AT73:AV75" si="260">AK73+AN73+AQ73</f>
        <v>0</v>
      </c>
      <c r="AU73" s="60">
        <f t="shared" si="260"/>
        <v>0</v>
      </c>
      <c r="AV73" s="60">
        <f t="shared" si="260"/>
        <v>0</v>
      </c>
      <c r="AW73" s="60">
        <v>20</v>
      </c>
      <c r="AX73" s="60">
        <v>10</v>
      </c>
      <c r="AY73" s="60">
        <f>AW73-AX73</f>
        <v>10</v>
      </c>
      <c r="AZ73" s="60">
        <v>20</v>
      </c>
      <c r="BA73" s="60">
        <v>10</v>
      </c>
      <c r="BB73" s="60">
        <f>AZ73-BA73</f>
        <v>10</v>
      </c>
      <c r="BC73" s="60">
        <v>20</v>
      </c>
      <c r="BD73" s="60"/>
      <c r="BE73" s="60">
        <f>BC73-BD73</f>
        <v>20</v>
      </c>
      <c r="BF73" s="60">
        <f t="shared" ref="BF73:BH75" si="261">AW73+AZ73+BC73</f>
        <v>60</v>
      </c>
      <c r="BG73" s="60">
        <f t="shared" si="261"/>
        <v>20</v>
      </c>
      <c r="BH73" s="60">
        <f t="shared" si="261"/>
        <v>40</v>
      </c>
      <c r="BI73" s="508"/>
      <c r="BJ73" s="488" t="str">
        <f t="shared" si="186"/>
        <v>Xé</v>
      </c>
      <c r="BK73" s="523">
        <f>ROUND(O73*G73*$B$6,-2)</f>
        <v>100</v>
      </c>
      <c r="BL73" s="523">
        <f>ROUND(R73*G73*$B$6,-2)</f>
        <v>0</v>
      </c>
      <c r="BM73" s="523">
        <f>ROUND(U73*G73*$B$6,-2)</f>
        <v>0</v>
      </c>
      <c r="BN73" s="523">
        <f>ROUND(X73*G73*$B$6,-2)</f>
        <v>100</v>
      </c>
      <c r="BO73" s="523">
        <f>ROUND(AA73*G73*$B$6,-2)</f>
        <v>100</v>
      </c>
      <c r="BP73" s="523">
        <f>ROUND(AD73*G73*$B$6,-2)</f>
        <v>0</v>
      </c>
      <c r="BQ73" s="523">
        <f>ROUND(AG73*G73*$B$6,-2)</f>
        <v>0</v>
      </c>
      <c r="BR73" s="523">
        <f>ROUND(AJ73*G73*$B$6,-2)</f>
        <v>100</v>
      </c>
      <c r="BS73" s="523">
        <f>ROUND(AM73*G73*$B$6,-2)</f>
        <v>0</v>
      </c>
      <c r="BT73" s="523">
        <f>ROUND(AP73*G73*$B$6,-2)</f>
        <v>0</v>
      </c>
      <c r="BU73" s="523">
        <f>ROUND(AS73*G73*$B$6,-2)</f>
        <v>0</v>
      </c>
      <c r="BV73" s="523">
        <f>ROUND(AV73*G73*$B$6,-2)</f>
        <v>0</v>
      </c>
      <c r="BW73" s="523">
        <f>ROUND(AY73*G73*$B$6,-2)</f>
        <v>0</v>
      </c>
      <c r="BX73" s="523">
        <f>ROUND(BB73*G73*$B$6,-2)</f>
        <v>0</v>
      </c>
      <c r="BY73" s="523">
        <f>ROUND(BE73*G73*$B$6,-2)</f>
        <v>0</v>
      </c>
      <c r="BZ73" s="523">
        <f>ROUND(BH73*G73*$B$6,-2)</f>
        <v>100</v>
      </c>
      <c r="CA73" s="354"/>
      <c r="CB73" s="354" t="str">
        <f t="shared" si="3"/>
        <v>X</v>
      </c>
      <c r="CC73" s="509" t="str">
        <f t="shared" si="47"/>
        <v>KT8.</v>
      </c>
      <c r="CD73" s="509" t="str">
        <f t="shared" si="48"/>
        <v>KT8.11,2</v>
      </c>
      <c r="CE73" s="351" t="str">
        <f t="shared" si="187"/>
        <v>Xé</v>
      </c>
      <c r="CF73" s="509" t="str">
        <f t="shared" si="49"/>
        <v>KT8.Xé</v>
      </c>
      <c r="CG73" s="509"/>
      <c r="CH73" s="509"/>
    </row>
    <row r="74" spans="1:86" ht="24.75" customHeight="1" x14ac:dyDescent="0.25">
      <c r="A74" s="354" t="e">
        <f>A72</f>
        <v>#REF!</v>
      </c>
      <c r="B74" s="484"/>
      <c r="C74" s="531" t="s">
        <v>572</v>
      </c>
      <c r="D74" s="447" t="s">
        <v>14</v>
      </c>
      <c r="E74" s="447"/>
      <c r="F74" s="447"/>
      <c r="G74" s="520">
        <v>11.2</v>
      </c>
      <c r="H74" s="521">
        <v>0.7</v>
      </c>
      <c r="I74" s="522">
        <f t="shared" si="258"/>
        <v>0</v>
      </c>
      <c r="J74" s="522">
        <f t="shared" si="258"/>
        <v>0</v>
      </c>
      <c r="K74" s="522">
        <f t="shared" si="258"/>
        <v>0</v>
      </c>
      <c r="L74" s="57">
        <f>BN74+BR74+BV74+BZ74</f>
        <v>0</v>
      </c>
      <c r="M74" s="60"/>
      <c r="N74" s="60"/>
      <c r="O74" s="60">
        <f>M74-N74</f>
        <v>0</v>
      </c>
      <c r="P74" s="60"/>
      <c r="Q74" s="60"/>
      <c r="R74" s="60">
        <f>P74-Q74</f>
        <v>0</v>
      </c>
      <c r="S74" s="824"/>
      <c r="T74" s="60"/>
      <c r="U74" s="60">
        <f>S74-T74</f>
        <v>0</v>
      </c>
      <c r="V74" s="60">
        <f t="shared" si="259"/>
        <v>0</v>
      </c>
      <c r="W74" s="60">
        <f t="shared" si="259"/>
        <v>0</v>
      </c>
      <c r="X74" s="60">
        <f t="shared" si="259"/>
        <v>0</v>
      </c>
      <c r="Y74" s="60"/>
      <c r="Z74" s="60"/>
      <c r="AA74" s="60">
        <f>Y74-Z74</f>
        <v>0</v>
      </c>
      <c r="AB74" s="60"/>
      <c r="AC74" s="60"/>
      <c r="AD74" s="60">
        <f>AB74-AC74</f>
        <v>0</v>
      </c>
      <c r="AE74" s="60"/>
      <c r="AF74" s="60"/>
      <c r="AG74" s="60">
        <f>AE74-AF74</f>
        <v>0</v>
      </c>
      <c r="AH74" s="60">
        <f t="shared" ref="AH74:AJ75" si="262">Y74+AB74+AE74</f>
        <v>0</v>
      </c>
      <c r="AI74" s="60">
        <f t="shared" si="262"/>
        <v>0</v>
      </c>
      <c r="AJ74" s="60">
        <f t="shared" si="262"/>
        <v>0</v>
      </c>
      <c r="AK74" s="60"/>
      <c r="AL74" s="60"/>
      <c r="AM74" s="60">
        <f>AK74-AL74</f>
        <v>0</v>
      </c>
      <c r="AN74" s="60"/>
      <c r="AO74" s="60"/>
      <c r="AP74" s="60">
        <f>AN74-AO74</f>
        <v>0</v>
      </c>
      <c r="AQ74" s="60"/>
      <c r="AR74" s="60"/>
      <c r="AS74" s="60">
        <f>AQ74-AR74</f>
        <v>0</v>
      </c>
      <c r="AT74" s="60">
        <f t="shared" si="260"/>
        <v>0</v>
      </c>
      <c r="AU74" s="60">
        <f t="shared" si="260"/>
        <v>0</v>
      </c>
      <c r="AV74" s="60">
        <f t="shared" si="260"/>
        <v>0</v>
      </c>
      <c r="AW74" s="60"/>
      <c r="AX74" s="60"/>
      <c r="AY74" s="60">
        <f>AW74-AX74</f>
        <v>0</v>
      </c>
      <c r="AZ74" s="60"/>
      <c r="BA74" s="60"/>
      <c r="BB74" s="60">
        <f>AZ74-BA74</f>
        <v>0</v>
      </c>
      <c r="BC74" s="60"/>
      <c r="BD74" s="60"/>
      <c r="BE74" s="60">
        <f>BC74-BD74</f>
        <v>0</v>
      </c>
      <c r="BF74" s="60">
        <f t="shared" si="261"/>
        <v>0</v>
      </c>
      <c r="BG74" s="60">
        <f t="shared" si="261"/>
        <v>0</v>
      </c>
      <c r="BH74" s="60">
        <f t="shared" si="261"/>
        <v>0</v>
      </c>
      <c r="BI74" s="508"/>
      <c r="BJ74" s="488" t="str">
        <f t="shared" si="186"/>
        <v>Xé</v>
      </c>
      <c r="BK74" s="523">
        <f>ROUND(O74*G74*$B$6,-2)</f>
        <v>0</v>
      </c>
      <c r="BL74" s="523">
        <f>ROUND(R74*G74*$B$6,-2)</f>
        <v>0</v>
      </c>
      <c r="BM74" s="523">
        <f>ROUND(U74*G74*$B$6,-2)</f>
        <v>0</v>
      </c>
      <c r="BN74" s="523">
        <f>ROUND(X74*G74*$B$6,-2)</f>
        <v>0</v>
      </c>
      <c r="BO74" s="523">
        <f>ROUND(AA74*G74*$B$6,-2)</f>
        <v>0</v>
      </c>
      <c r="BP74" s="523">
        <f>ROUND(AD74*G74*$B$6,-2)</f>
        <v>0</v>
      </c>
      <c r="BQ74" s="523">
        <f>ROUND(AG74*G74*$B$6,-2)</f>
        <v>0</v>
      </c>
      <c r="BR74" s="523">
        <f>ROUND(AJ74*G74*$B$6,-2)</f>
        <v>0</v>
      </c>
      <c r="BS74" s="523">
        <f>ROUND(AM74*G74*$B$6,-2)</f>
        <v>0</v>
      </c>
      <c r="BT74" s="523">
        <f>ROUND(AP74*G74*$B$6,-2)</f>
        <v>0</v>
      </c>
      <c r="BU74" s="523">
        <f>ROUND(AS74*G74*$B$6,-2)</f>
        <v>0</v>
      </c>
      <c r="BV74" s="523">
        <f>ROUND(AV74*G74*$B$6,-2)</f>
        <v>0</v>
      </c>
      <c r="BW74" s="523">
        <f>ROUND(AY74*G74*$B$6,-2)</f>
        <v>0</v>
      </c>
      <c r="BX74" s="523">
        <f>ROUND(BB74*G74*$B$6,-2)</f>
        <v>0</v>
      </c>
      <c r="BY74" s="523">
        <f>ROUND(BE74*G74*$B$6,-2)</f>
        <v>0</v>
      </c>
      <c r="BZ74" s="523">
        <f>ROUND(BH74*G74*$B$6,-2)</f>
        <v>0</v>
      </c>
      <c r="CA74" s="354"/>
      <c r="CB74" s="354" t="b">
        <f>IF(SUM(I74:L74)&lt;&gt;0,"X")</f>
        <v>0</v>
      </c>
      <c r="CC74" s="509" t="str">
        <f t="shared" si="47"/>
        <v>KT8.</v>
      </c>
      <c r="CD74" s="509" t="str">
        <f t="shared" si="48"/>
        <v>KT8.11,2</v>
      </c>
      <c r="CE74" s="351" t="str">
        <f t="shared" si="187"/>
        <v>Xé</v>
      </c>
      <c r="CF74" s="509" t="str">
        <f t="shared" si="49"/>
        <v>KT8.Xé</v>
      </c>
      <c r="CG74" s="509"/>
      <c r="CH74" s="509"/>
    </row>
    <row r="75" spans="1:86" ht="24.75" customHeight="1" x14ac:dyDescent="0.25">
      <c r="A75" s="354" t="e">
        <f>A73</f>
        <v>#REF!</v>
      </c>
      <c r="B75" s="484"/>
      <c r="C75" s="531" t="s">
        <v>577</v>
      </c>
      <c r="D75" s="447" t="s">
        <v>14</v>
      </c>
      <c r="E75" s="447"/>
      <c r="F75" s="447"/>
      <c r="G75" s="520">
        <v>13.1</v>
      </c>
      <c r="H75" s="521">
        <v>0.7</v>
      </c>
      <c r="I75" s="522">
        <f t="shared" si="258"/>
        <v>100</v>
      </c>
      <c r="J75" s="522">
        <f t="shared" si="258"/>
        <v>40</v>
      </c>
      <c r="K75" s="522">
        <f t="shared" si="258"/>
        <v>60</v>
      </c>
      <c r="L75" s="57">
        <f>BN75+BR75+BV75+BZ75</f>
        <v>200</v>
      </c>
      <c r="M75" s="60"/>
      <c r="N75" s="60"/>
      <c r="O75" s="60">
        <f>M75-N75</f>
        <v>0</v>
      </c>
      <c r="P75" s="60"/>
      <c r="Q75" s="60"/>
      <c r="R75" s="60">
        <f>P75-Q75</f>
        <v>0</v>
      </c>
      <c r="S75" s="824">
        <v>10</v>
      </c>
      <c r="T75" s="60"/>
      <c r="U75" s="60">
        <f>S75-T75</f>
        <v>10</v>
      </c>
      <c r="V75" s="60">
        <f>M75+P75+S75</f>
        <v>10</v>
      </c>
      <c r="W75" s="60">
        <f>N75+Q75+T75</f>
        <v>0</v>
      </c>
      <c r="X75" s="60">
        <f>O75+R75+U75</f>
        <v>10</v>
      </c>
      <c r="Y75" s="60">
        <v>50</v>
      </c>
      <c r="Z75" s="60">
        <v>20</v>
      </c>
      <c r="AA75" s="60">
        <f>Y75-Z75</f>
        <v>30</v>
      </c>
      <c r="AB75" s="60"/>
      <c r="AC75" s="60"/>
      <c r="AD75" s="60">
        <f>AB75-AC75</f>
        <v>0</v>
      </c>
      <c r="AE75" s="60"/>
      <c r="AF75" s="60"/>
      <c r="AG75" s="60">
        <f>AE75-AF75</f>
        <v>0</v>
      </c>
      <c r="AH75" s="60">
        <f t="shared" si="262"/>
        <v>50</v>
      </c>
      <c r="AI75" s="60">
        <f t="shared" si="262"/>
        <v>20</v>
      </c>
      <c r="AJ75" s="60">
        <f t="shared" si="262"/>
        <v>30</v>
      </c>
      <c r="AK75" s="60"/>
      <c r="AL75" s="60"/>
      <c r="AM75" s="60">
        <f>AK75-AL75</f>
        <v>0</v>
      </c>
      <c r="AN75" s="60">
        <v>20</v>
      </c>
      <c r="AO75" s="60">
        <v>10</v>
      </c>
      <c r="AP75" s="60">
        <f>AN75-AO75</f>
        <v>10</v>
      </c>
      <c r="AQ75" s="60">
        <v>20</v>
      </c>
      <c r="AR75" s="60">
        <v>10</v>
      </c>
      <c r="AS75" s="60">
        <f>AQ75-AR75</f>
        <v>10</v>
      </c>
      <c r="AT75" s="60">
        <f t="shared" si="260"/>
        <v>40</v>
      </c>
      <c r="AU75" s="60">
        <f t="shared" si="260"/>
        <v>20</v>
      </c>
      <c r="AV75" s="60">
        <f t="shared" si="260"/>
        <v>20</v>
      </c>
      <c r="AW75" s="60"/>
      <c r="AX75" s="60"/>
      <c r="AY75" s="60">
        <f>AW75-AX75</f>
        <v>0</v>
      </c>
      <c r="AZ75" s="60"/>
      <c r="BA75" s="60"/>
      <c r="BB75" s="60">
        <f>AZ75-BA75</f>
        <v>0</v>
      </c>
      <c r="BC75" s="60"/>
      <c r="BD75" s="60"/>
      <c r="BE75" s="60">
        <f>BC75-BD75</f>
        <v>0</v>
      </c>
      <c r="BF75" s="60">
        <f t="shared" si="261"/>
        <v>0</v>
      </c>
      <c r="BG75" s="60">
        <f t="shared" si="261"/>
        <v>0</v>
      </c>
      <c r="BH75" s="60">
        <f t="shared" si="261"/>
        <v>0</v>
      </c>
      <c r="BI75" s="508"/>
      <c r="BJ75" s="488" t="str">
        <f t="shared" si="186"/>
        <v>Xé</v>
      </c>
      <c r="BK75" s="523">
        <f>ROUND(O75*G75*$B$6,-2)</f>
        <v>0</v>
      </c>
      <c r="BL75" s="523">
        <f>ROUND(R75*G75*$B$6,-2)</f>
        <v>0</v>
      </c>
      <c r="BM75" s="523">
        <f>ROUND(U75*G75*$B$6,-2)</f>
        <v>0</v>
      </c>
      <c r="BN75" s="523">
        <f>ROUND(X75*G75*$B$6,-2)</f>
        <v>0</v>
      </c>
      <c r="BO75" s="523">
        <f>ROUND(AA75*G75*$B$6,-2)</f>
        <v>100</v>
      </c>
      <c r="BP75" s="523">
        <f>ROUND(AD75*G75*$B$6,-2)</f>
        <v>0</v>
      </c>
      <c r="BQ75" s="523">
        <f>ROUND(AG75*G75*$B$6,-2)</f>
        <v>0</v>
      </c>
      <c r="BR75" s="523">
        <f>ROUND(AJ75*G75*$B$6,-2)</f>
        <v>100</v>
      </c>
      <c r="BS75" s="523">
        <f>ROUND(AM75*G75*$B$6,-2)</f>
        <v>0</v>
      </c>
      <c r="BT75" s="523">
        <f>ROUND(AP75*G75*$B$6,-2)</f>
        <v>0</v>
      </c>
      <c r="BU75" s="523">
        <f>ROUND(AS75*G75*$B$6,-2)</f>
        <v>0</v>
      </c>
      <c r="BV75" s="523">
        <f>ROUND(AV75*G75*$B$6,-2)</f>
        <v>100</v>
      </c>
      <c r="BW75" s="523">
        <f>ROUND(AY75*G75*$B$6,-2)</f>
        <v>0</v>
      </c>
      <c r="BX75" s="523">
        <f>ROUND(BB75*G75*$B$6,-2)</f>
        <v>0</v>
      </c>
      <c r="BY75" s="523">
        <f>ROUND(BE75*G75*$B$6,-2)</f>
        <v>0</v>
      </c>
      <c r="BZ75" s="523">
        <f>ROUND(BH75*G75*$B$6,-2)</f>
        <v>0</v>
      </c>
      <c r="CA75" s="354"/>
      <c r="CB75" s="354" t="str">
        <f t="shared" si="3"/>
        <v>X</v>
      </c>
      <c r="CC75" s="509" t="str">
        <f t="shared" si="47"/>
        <v>KT8.</v>
      </c>
      <c r="CD75" s="509" t="str">
        <f t="shared" si="48"/>
        <v>KT8.13,1</v>
      </c>
      <c r="CE75" s="351" t="str">
        <f t="shared" si="187"/>
        <v>Xé</v>
      </c>
      <c r="CF75" s="509" t="str">
        <f t="shared" si="49"/>
        <v>KT8.Xé</v>
      </c>
      <c r="CG75" s="509"/>
      <c r="CH75" s="509"/>
    </row>
    <row r="76" spans="1:86" ht="25.15" customHeight="1" x14ac:dyDescent="0.3">
      <c r="A76" s="354" t="e">
        <f>#REF!</f>
        <v>#REF!</v>
      </c>
      <c r="B76" s="503">
        <v>5</v>
      </c>
      <c r="C76" s="507" t="s">
        <v>446</v>
      </c>
      <c r="D76" s="505"/>
      <c r="E76" s="505"/>
      <c r="F76" s="505"/>
      <c r="G76" s="505"/>
      <c r="H76" s="505"/>
      <c r="I76" s="59">
        <f t="shared" ref="I76:AN76" si="263">SUM(I77:I90)/2</f>
        <v>400</v>
      </c>
      <c r="J76" s="59">
        <f t="shared" si="263"/>
        <v>70</v>
      </c>
      <c r="K76" s="59">
        <f t="shared" si="263"/>
        <v>330</v>
      </c>
      <c r="L76" s="59">
        <f t="shared" si="263"/>
        <v>2300</v>
      </c>
      <c r="M76" s="209">
        <f t="shared" si="263"/>
        <v>113</v>
      </c>
      <c r="N76" s="209">
        <f t="shared" si="263"/>
        <v>20</v>
      </c>
      <c r="O76" s="209">
        <f t="shared" si="263"/>
        <v>93</v>
      </c>
      <c r="P76" s="209">
        <f t="shared" si="263"/>
        <v>115</v>
      </c>
      <c r="Q76" s="209">
        <f t="shared" si="263"/>
        <v>20</v>
      </c>
      <c r="R76" s="209">
        <f t="shared" si="263"/>
        <v>95</v>
      </c>
      <c r="S76" s="822">
        <f t="shared" si="263"/>
        <v>40</v>
      </c>
      <c r="T76" s="209">
        <f t="shared" si="263"/>
        <v>15</v>
      </c>
      <c r="U76" s="209">
        <f t="shared" si="263"/>
        <v>25</v>
      </c>
      <c r="V76" s="209">
        <f t="shared" si="263"/>
        <v>268</v>
      </c>
      <c r="W76" s="209">
        <f t="shared" si="263"/>
        <v>55</v>
      </c>
      <c r="X76" s="209">
        <f t="shared" si="263"/>
        <v>213</v>
      </c>
      <c r="Y76" s="209">
        <f t="shared" si="263"/>
        <v>100</v>
      </c>
      <c r="Z76" s="209">
        <f t="shared" si="263"/>
        <v>15</v>
      </c>
      <c r="AA76" s="209">
        <f t="shared" si="263"/>
        <v>85</v>
      </c>
      <c r="AB76" s="209">
        <f t="shared" si="263"/>
        <v>0</v>
      </c>
      <c r="AC76" s="209">
        <f t="shared" si="263"/>
        <v>0</v>
      </c>
      <c r="AD76" s="209">
        <f t="shared" si="263"/>
        <v>0</v>
      </c>
      <c r="AE76" s="209">
        <f t="shared" si="263"/>
        <v>0</v>
      </c>
      <c r="AF76" s="209">
        <f t="shared" si="263"/>
        <v>0</v>
      </c>
      <c r="AG76" s="209">
        <f t="shared" si="263"/>
        <v>0</v>
      </c>
      <c r="AH76" s="209">
        <f t="shared" si="263"/>
        <v>100</v>
      </c>
      <c r="AI76" s="209">
        <f t="shared" si="263"/>
        <v>15</v>
      </c>
      <c r="AJ76" s="209">
        <f t="shared" si="263"/>
        <v>85</v>
      </c>
      <c r="AK76" s="209">
        <f t="shared" si="263"/>
        <v>0</v>
      </c>
      <c r="AL76" s="209">
        <f t="shared" si="263"/>
        <v>0</v>
      </c>
      <c r="AM76" s="209">
        <f t="shared" si="263"/>
        <v>0</v>
      </c>
      <c r="AN76" s="209">
        <f t="shared" si="263"/>
        <v>0</v>
      </c>
      <c r="AO76" s="209">
        <f t="shared" ref="AO76:BK76" si="264">SUM(AO77:AO90)/2</f>
        <v>0</v>
      </c>
      <c r="AP76" s="209">
        <f t="shared" si="264"/>
        <v>0</v>
      </c>
      <c r="AQ76" s="209">
        <f t="shared" si="264"/>
        <v>32</v>
      </c>
      <c r="AR76" s="209">
        <f t="shared" si="264"/>
        <v>0</v>
      </c>
      <c r="AS76" s="209">
        <f t="shared" si="264"/>
        <v>32</v>
      </c>
      <c r="AT76" s="209">
        <f t="shared" si="264"/>
        <v>32</v>
      </c>
      <c r="AU76" s="209">
        <f t="shared" si="264"/>
        <v>0</v>
      </c>
      <c r="AV76" s="209">
        <f t="shared" si="264"/>
        <v>32</v>
      </c>
      <c r="AW76" s="209">
        <f t="shared" si="264"/>
        <v>0</v>
      </c>
      <c r="AX76" s="209">
        <f t="shared" si="264"/>
        <v>0</v>
      </c>
      <c r="AY76" s="209">
        <f t="shared" si="264"/>
        <v>0</v>
      </c>
      <c r="AZ76" s="209">
        <f t="shared" si="264"/>
        <v>0</v>
      </c>
      <c r="BA76" s="209">
        <f t="shared" si="264"/>
        <v>0</v>
      </c>
      <c r="BB76" s="209">
        <f t="shared" si="264"/>
        <v>0</v>
      </c>
      <c r="BC76" s="209">
        <f t="shared" si="264"/>
        <v>0</v>
      </c>
      <c r="BD76" s="209">
        <f t="shared" si="264"/>
        <v>0</v>
      </c>
      <c r="BE76" s="209">
        <f t="shared" si="264"/>
        <v>0</v>
      </c>
      <c r="BF76" s="209">
        <f t="shared" si="264"/>
        <v>0</v>
      </c>
      <c r="BG76" s="209">
        <f t="shared" si="264"/>
        <v>0</v>
      </c>
      <c r="BH76" s="209">
        <f t="shared" si="264"/>
        <v>0</v>
      </c>
      <c r="BI76" s="508"/>
      <c r="BJ76" s="488" t="str">
        <f t="shared" si="186"/>
        <v>PX</v>
      </c>
      <c r="BK76" s="222">
        <f t="shared" si="264"/>
        <v>800</v>
      </c>
      <c r="BL76" s="222">
        <f t="shared" ref="BL76:BZ76" si="265">SUM(BL77:BL90)/2</f>
        <v>600</v>
      </c>
      <c r="BM76" s="222">
        <f t="shared" si="265"/>
        <v>100</v>
      </c>
      <c r="BN76" s="222">
        <f t="shared" si="265"/>
        <v>1400</v>
      </c>
      <c r="BO76" s="222">
        <f t="shared" si="265"/>
        <v>500</v>
      </c>
      <c r="BP76" s="222">
        <f t="shared" si="265"/>
        <v>0</v>
      </c>
      <c r="BQ76" s="222">
        <f t="shared" si="265"/>
        <v>0</v>
      </c>
      <c r="BR76" s="222">
        <f t="shared" si="265"/>
        <v>500</v>
      </c>
      <c r="BS76" s="222">
        <f t="shared" si="265"/>
        <v>0</v>
      </c>
      <c r="BT76" s="222">
        <f t="shared" si="265"/>
        <v>0</v>
      </c>
      <c r="BU76" s="222">
        <f t="shared" si="265"/>
        <v>400</v>
      </c>
      <c r="BV76" s="222">
        <f t="shared" si="265"/>
        <v>400</v>
      </c>
      <c r="BW76" s="222">
        <f t="shared" si="265"/>
        <v>0</v>
      </c>
      <c r="BX76" s="222">
        <f t="shared" si="265"/>
        <v>0</v>
      </c>
      <c r="BY76" s="222">
        <f t="shared" si="265"/>
        <v>0</v>
      </c>
      <c r="BZ76" s="222">
        <f t="shared" si="265"/>
        <v>0</v>
      </c>
      <c r="CA76" s="354"/>
      <c r="CB76" s="354" t="str">
        <f t="shared" si="3"/>
        <v>X</v>
      </c>
      <c r="CC76" s="534" t="s">
        <v>288</v>
      </c>
      <c r="CD76" s="509" t="str">
        <f t="shared" si="48"/>
        <v>KT5.</v>
      </c>
      <c r="CE76" s="351" t="str">
        <f t="shared" si="187"/>
        <v>PX</v>
      </c>
      <c r="CF76" s="509" t="str">
        <f t="shared" si="49"/>
        <v>KT5.PX</v>
      </c>
      <c r="CG76" s="509"/>
      <c r="CH76" s="509"/>
    </row>
    <row r="77" spans="1:86" s="358" customFormat="1" ht="19.5" customHeight="1" x14ac:dyDescent="0.25">
      <c r="A77" s="510" t="e">
        <f>#REF!</f>
        <v>#REF!</v>
      </c>
      <c r="B77" s="511" t="s">
        <v>8</v>
      </c>
      <c r="C77" s="512" t="s">
        <v>177</v>
      </c>
      <c r="D77" s="513"/>
      <c r="E77" s="513"/>
      <c r="F77" s="513"/>
      <c r="G77" s="514"/>
      <c r="H77" s="515"/>
      <c r="I77" s="211">
        <f t="shared" ref="I77:U77" si="266">SUM(I78:I85)</f>
        <v>250</v>
      </c>
      <c r="J77" s="211">
        <f t="shared" si="266"/>
        <v>20</v>
      </c>
      <c r="K77" s="211">
        <f t="shared" si="266"/>
        <v>230</v>
      </c>
      <c r="L77" s="211">
        <f t="shared" si="266"/>
        <v>2000</v>
      </c>
      <c r="M77" s="211">
        <f t="shared" si="266"/>
        <v>73</v>
      </c>
      <c r="N77" s="211">
        <f t="shared" si="266"/>
        <v>5</v>
      </c>
      <c r="O77" s="211">
        <f t="shared" si="266"/>
        <v>68</v>
      </c>
      <c r="P77" s="211">
        <f t="shared" si="266"/>
        <v>80</v>
      </c>
      <c r="Q77" s="211">
        <f t="shared" si="266"/>
        <v>10</v>
      </c>
      <c r="R77" s="211">
        <f t="shared" si="266"/>
        <v>70</v>
      </c>
      <c r="S77" s="823">
        <f t="shared" si="266"/>
        <v>0</v>
      </c>
      <c r="T77" s="211">
        <f t="shared" si="266"/>
        <v>0</v>
      </c>
      <c r="U77" s="211">
        <f t="shared" si="266"/>
        <v>0</v>
      </c>
      <c r="V77" s="211">
        <f>SUM(V78:V85)</f>
        <v>153</v>
      </c>
      <c r="W77" s="211">
        <f>SUM(W78:W85)</f>
        <v>15</v>
      </c>
      <c r="X77" s="211">
        <f>SUM(X78:X85)</f>
        <v>138</v>
      </c>
      <c r="Y77" s="211">
        <f t="shared" ref="Y77:AG77" si="267">SUM(Y78:Y85)</f>
        <v>65</v>
      </c>
      <c r="Z77" s="211">
        <f t="shared" si="267"/>
        <v>5</v>
      </c>
      <c r="AA77" s="211">
        <f t="shared" si="267"/>
        <v>60</v>
      </c>
      <c r="AB77" s="211">
        <f t="shared" si="267"/>
        <v>0</v>
      </c>
      <c r="AC77" s="211">
        <f t="shared" si="267"/>
        <v>0</v>
      </c>
      <c r="AD77" s="211">
        <f t="shared" si="267"/>
        <v>0</v>
      </c>
      <c r="AE77" s="211">
        <f t="shared" si="267"/>
        <v>0</v>
      </c>
      <c r="AF77" s="211">
        <f t="shared" si="267"/>
        <v>0</v>
      </c>
      <c r="AG77" s="211">
        <f t="shared" si="267"/>
        <v>0</v>
      </c>
      <c r="AH77" s="211">
        <f>SUM(AH78:AH85)</f>
        <v>65</v>
      </c>
      <c r="AI77" s="211">
        <f>SUM(AI78:AI85)</f>
        <v>5</v>
      </c>
      <c r="AJ77" s="211">
        <f>SUM(AJ78:AJ85)</f>
        <v>60</v>
      </c>
      <c r="AK77" s="211">
        <f t="shared" ref="AK77:AS77" si="268">SUM(AK78:AK85)</f>
        <v>0</v>
      </c>
      <c r="AL77" s="211">
        <f t="shared" si="268"/>
        <v>0</v>
      </c>
      <c r="AM77" s="211">
        <f t="shared" si="268"/>
        <v>0</v>
      </c>
      <c r="AN77" s="211">
        <f t="shared" si="268"/>
        <v>0</v>
      </c>
      <c r="AO77" s="211">
        <f t="shared" si="268"/>
        <v>0</v>
      </c>
      <c r="AP77" s="211">
        <f t="shared" si="268"/>
        <v>0</v>
      </c>
      <c r="AQ77" s="211">
        <f t="shared" si="268"/>
        <v>32</v>
      </c>
      <c r="AR77" s="211">
        <f t="shared" si="268"/>
        <v>0</v>
      </c>
      <c r="AS77" s="211">
        <f t="shared" si="268"/>
        <v>32</v>
      </c>
      <c r="AT77" s="211">
        <f>SUM(AT78:AT85)</f>
        <v>32</v>
      </c>
      <c r="AU77" s="211">
        <f>SUM(AU78:AU85)</f>
        <v>0</v>
      </c>
      <c r="AV77" s="211">
        <f>SUM(AV78:AV85)</f>
        <v>32</v>
      </c>
      <c r="AW77" s="211"/>
      <c r="AX77" s="211">
        <f>SUM(AX78:AX85)</f>
        <v>0</v>
      </c>
      <c r="AY77" s="211">
        <f>SUM(AY78:AY85)</f>
        <v>0</v>
      </c>
      <c r="AZ77" s="211"/>
      <c r="BA77" s="211">
        <f>SUM(BA78:BA85)</f>
        <v>0</v>
      </c>
      <c r="BB77" s="211">
        <f>SUM(BB78:BB85)</f>
        <v>0</v>
      </c>
      <c r="BC77" s="211"/>
      <c r="BD77" s="211">
        <f>SUM(BD78:BD85)</f>
        <v>0</v>
      </c>
      <c r="BE77" s="211">
        <f>SUM(BE78:BE85)</f>
        <v>0</v>
      </c>
      <c r="BF77" s="211"/>
      <c r="BG77" s="211">
        <f>SUM(BG78:BG85)</f>
        <v>0</v>
      </c>
      <c r="BH77" s="211">
        <f>SUM(BH78:BH85)</f>
        <v>0</v>
      </c>
      <c r="BI77" s="516"/>
      <c r="BJ77" s="488" t="str">
        <f t="shared" si="186"/>
        <v>ĐL</v>
      </c>
      <c r="BK77" s="223">
        <f t="shared" ref="BK77:BZ77" si="269">SUM(BK78:BK85)</f>
        <v>700</v>
      </c>
      <c r="BL77" s="223">
        <f t="shared" si="269"/>
        <v>500</v>
      </c>
      <c r="BM77" s="223">
        <f t="shared" si="269"/>
        <v>0</v>
      </c>
      <c r="BN77" s="223">
        <f t="shared" si="269"/>
        <v>1200</v>
      </c>
      <c r="BO77" s="223">
        <f t="shared" si="269"/>
        <v>400</v>
      </c>
      <c r="BP77" s="223">
        <f t="shared" si="269"/>
        <v>0</v>
      </c>
      <c r="BQ77" s="223">
        <f t="shared" si="269"/>
        <v>0</v>
      </c>
      <c r="BR77" s="223">
        <f t="shared" si="269"/>
        <v>400</v>
      </c>
      <c r="BS77" s="223">
        <f t="shared" si="269"/>
        <v>0</v>
      </c>
      <c r="BT77" s="223">
        <f t="shared" si="269"/>
        <v>0</v>
      </c>
      <c r="BU77" s="223">
        <f t="shared" si="269"/>
        <v>400</v>
      </c>
      <c r="BV77" s="223">
        <f t="shared" si="269"/>
        <v>400</v>
      </c>
      <c r="BW77" s="223">
        <f t="shared" si="269"/>
        <v>0</v>
      </c>
      <c r="BX77" s="223">
        <f t="shared" si="269"/>
        <v>0</v>
      </c>
      <c r="BY77" s="223">
        <f t="shared" si="269"/>
        <v>0</v>
      </c>
      <c r="BZ77" s="223">
        <f t="shared" si="269"/>
        <v>0</v>
      </c>
      <c r="CA77" s="517">
        <f>I77-V77-AH77-AT77-BF77</f>
        <v>0</v>
      </c>
      <c r="CB77" s="510" t="str">
        <f t="shared" si="3"/>
        <v>X</v>
      </c>
      <c r="CC77" s="509" t="str">
        <f t="shared" si="47"/>
        <v>KT5.</v>
      </c>
      <c r="CD77" s="509" t="str">
        <f t="shared" si="48"/>
        <v>KT5.</v>
      </c>
      <c r="CE77" s="351" t="str">
        <f t="shared" si="187"/>
        <v>ĐL</v>
      </c>
      <c r="CF77" s="509" t="str">
        <f t="shared" si="49"/>
        <v>KT5.ĐL</v>
      </c>
      <c r="CG77" s="509"/>
      <c r="CH77" s="509"/>
    </row>
    <row r="78" spans="1:86" ht="24" customHeight="1" x14ac:dyDescent="0.25">
      <c r="A78" s="354" t="e">
        <f t="shared" si="206"/>
        <v>#REF!</v>
      </c>
      <c r="B78" s="518"/>
      <c r="C78" s="519" t="s">
        <v>652</v>
      </c>
      <c r="D78" s="447" t="s">
        <v>206</v>
      </c>
      <c r="E78" s="447"/>
      <c r="F78" s="447"/>
      <c r="G78" s="520">
        <v>5.4</v>
      </c>
      <c r="H78" s="521">
        <v>0.7</v>
      </c>
      <c r="I78" s="522">
        <f t="shared" ref="I78:I85" si="270">V78+AH78+AT78+BF78</f>
        <v>80</v>
      </c>
      <c r="J78" s="522">
        <f t="shared" ref="J78:J85" si="271">W78+AI78+AU78+BG78</f>
        <v>10</v>
      </c>
      <c r="K78" s="522">
        <f t="shared" ref="K78:K85" si="272">X78+AJ78+AV78+BH78</f>
        <v>70</v>
      </c>
      <c r="L78" s="57">
        <f t="shared" ref="L78:L85" si="273">BN78+BR78+BV78+BZ78</f>
        <v>500</v>
      </c>
      <c r="M78" s="60"/>
      <c r="N78" s="60"/>
      <c r="O78" s="60">
        <f t="shared" ref="O78:O85" si="274">M78-N78</f>
        <v>0</v>
      </c>
      <c r="P78" s="60">
        <v>80</v>
      </c>
      <c r="Q78" s="60">
        <v>10</v>
      </c>
      <c r="R78" s="60">
        <f t="shared" ref="R78:R85" si="275">P78-Q78</f>
        <v>70</v>
      </c>
      <c r="S78" s="824"/>
      <c r="T78" s="60"/>
      <c r="U78" s="60">
        <f t="shared" ref="U78:U85" si="276">S78-T78</f>
        <v>0</v>
      </c>
      <c r="V78" s="60">
        <f>M78+P78+S78</f>
        <v>80</v>
      </c>
      <c r="W78" s="60">
        <f>N78+Q78+T78</f>
        <v>10</v>
      </c>
      <c r="X78" s="60">
        <f>O78+R78+U78</f>
        <v>70</v>
      </c>
      <c r="Y78" s="60"/>
      <c r="Z78" s="60"/>
      <c r="AA78" s="60">
        <f t="shared" ref="AA78:AA85" si="277">Y78-Z78</f>
        <v>0</v>
      </c>
      <c r="AB78" s="60"/>
      <c r="AC78" s="60"/>
      <c r="AD78" s="60">
        <f t="shared" ref="AD78:AD85" si="278">AB78-AC78</f>
        <v>0</v>
      </c>
      <c r="AE78" s="60"/>
      <c r="AF78" s="60"/>
      <c r="AG78" s="60">
        <f t="shared" ref="AG78:AG85" si="279">AE78-AF78</f>
        <v>0</v>
      </c>
      <c r="AH78" s="60">
        <f t="shared" ref="AH78:AH85" si="280">Y78+AB78+AE78</f>
        <v>0</v>
      </c>
      <c r="AI78" s="60">
        <f t="shared" ref="AI78:AI85" si="281">Z78+AC78+AF78</f>
        <v>0</v>
      </c>
      <c r="AJ78" s="60">
        <f t="shared" ref="AJ78:AJ85" si="282">AA78+AD78+AG78</f>
        <v>0</v>
      </c>
      <c r="AK78" s="60"/>
      <c r="AL78" s="60"/>
      <c r="AM78" s="60">
        <f t="shared" ref="AM78:AM85" si="283">AK78-AL78</f>
        <v>0</v>
      </c>
      <c r="AN78" s="60"/>
      <c r="AO78" s="60"/>
      <c r="AP78" s="60">
        <f t="shared" ref="AP78:AP85" si="284">AN78-AO78</f>
        <v>0</v>
      </c>
      <c r="AQ78" s="60"/>
      <c r="AR78" s="60"/>
      <c r="AS78" s="60">
        <f t="shared" ref="AS78:AS85" si="285">AQ78-AR78</f>
        <v>0</v>
      </c>
      <c r="AT78" s="60">
        <f t="shared" ref="AT78:AT85" si="286">AK78+AN78+AQ78</f>
        <v>0</v>
      </c>
      <c r="AU78" s="60">
        <f t="shared" ref="AU78:AU85" si="287">AL78+AO78+AR78</f>
        <v>0</v>
      </c>
      <c r="AV78" s="60">
        <f t="shared" ref="AV78:AV85" si="288">AM78+AP78+AS78</f>
        <v>0</v>
      </c>
      <c r="AW78" s="60"/>
      <c r="AX78" s="60"/>
      <c r="AY78" s="60">
        <f t="shared" ref="AY78:AY85" si="289">AW78-AX78</f>
        <v>0</v>
      </c>
      <c r="AZ78" s="60"/>
      <c r="BA78" s="60"/>
      <c r="BB78" s="60">
        <f t="shared" ref="BB78:BB85" si="290">AZ78-BA78</f>
        <v>0</v>
      </c>
      <c r="BC78" s="60"/>
      <c r="BD78" s="60"/>
      <c r="BE78" s="60">
        <f t="shared" ref="BE78:BE85" si="291">BC78-BD78</f>
        <v>0</v>
      </c>
      <c r="BF78" s="60">
        <f t="shared" ref="BF78:BF85" si="292">AW78+AZ78+BC78</f>
        <v>0</v>
      </c>
      <c r="BG78" s="60">
        <f t="shared" ref="BG78:BG85" si="293">AX78+BA78+BD78</f>
        <v>0</v>
      </c>
      <c r="BH78" s="60">
        <f t="shared" ref="BH78:BH85" si="294">AY78+BB78+BE78</f>
        <v>0</v>
      </c>
      <c r="BI78" s="508"/>
      <c r="BJ78" s="488" t="str">
        <f t="shared" si="186"/>
        <v>Lò</v>
      </c>
      <c r="BK78" s="523">
        <f t="shared" ref="BK78:BK85" si="295">ROUND(O78*G78*$C$3*$B$5,-2)</f>
        <v>0</v>
      </c>
      <c r="BL78" s="523">
        <f t="shared" ref="BL78:BL85" si="296">ROUND(R78*G78*$C$3*$B$5,-2)</f>
        <v>500</v>
      </c>
      <c r="BM78" s="523">
        <f t="shared" ref="BM78:BM85" si="297">ROUND(U78*G78*$C$3*$B$5,-2)</f>
        <v>0</v>
      </c>
      <c r="BN78" s="523">
        <f t="shared" ref="BN78:BN85" si="298">ROUND(X78*G78*$C$3*$B$5,-2)</f>
        <v>500</v>
      </c>
      <c r="BO78" s="523">
        <f t="shared" ref="BO78:BO85" si="299">ROUND(AA78*G78*$C$3*$B$5,-2)</f>
        <v>0</v>
      </c>
      <c r="BP78" s="523">
        <f t="shared" ref="BP78:BP85" si="300">ROUND(AD78*G78*$C$3*$B$5,-2)</f>
        <v>0</v>
      </c>
      <c r="BQ78" s="523">
        <f t="shared" ref="BQ78:BQ85" si="301">ROUND(AG78*G78*$C$3*$B$5,-2)</f>
        <v>0</v>
      </c>
      <c r="BR78" s="523">
        <f t="shared" ref="BR78:BR85" si="302">ROUND(AJ78*G78*$B$5*$C$3,-2)</f>
        <v>0</v>
      </c>
      <c r="BS78" s="523">
        <f t="shared" ref="BS78:BS85" si="303">ROUND(AM78*G78*$C$3*$B$5,-2)</f>
        <v>0</v>
      </c>
      <c r="BT78" s="523">
        <f t="shared" ref="BT78:BT85" si="304">ROUND(AP78*G78*$C$3*$B$5,-2)</f>
        <v>0</v>
      </c>
      <c r="BU78" s="523">
        <f t="shared" ref="BU78:BU85" si="305">ROUND(AS78*G78*$C$3*$B$5,-2)</f>
        <v>0</v>
      </c>
      <c r="BV78" s="523">
        <f t="shared" ref="BV78:BV85" si="306">ROUND(AV78*G78*$C$3*$B$5,-2)</f>
        <v>0</v>
      </c>
      <c r="BW78" s="523">
        <f t="shared" ref="BW78:BW85" si="307">ROUND(AY78*G78*$C$3*$B$5,-2)</f>
        <v>0</v>
      </c>
      <c r="BX78" s="523">
        <f t="shared" ref="BX78:BX85" si="308">ROUND(BB78*G78*$C$3*$B$5,-2)</f>
        <v>0</v>
      </c>
      <c r="BY78" s="523">
        <f t="shared" ref="BY78:BY85" si="309">ROUND(BE78*G78*$C$3*$B$5,-2)</f>
        <v>0</v>
      </c>
      <c r="BZ78" s="523">
        <f t="shared" ref="BZ78:BZ85" si="310">ROUND(BH78*G78*$C$3*$B$5,-2)</f>
        <v>0</v>
      </c>
      <c r="CA78" s="354"/>
      <c r="CB78" s="354" t="str">
        <f t="shared" si="3"/>
        <v>X</v>
      </c>
      <c r="CC78" s="509" t="str">
        <f t="shared" si="47"/>
        <v>KT5.</v>
      </c>
      <c r="CD78" s="509" t="str">
        <f t="shared" si="48"/>
        <v>KT5.5,4</v>
      </c>
      <c r="CE78" s="351" t="str">
        <f t="shared" si="187"/>
        <v>Lò</v>
      </c>
      <c r="CF78" s="509" t="str">
        <f t="shared" si="49"/>
        <v>KT5.Lò</v>
      </c>
      <c r="CG78" s="509"/>
      <c r="CH78" s="509"/>
    </row>
    <row r="79" spans="1:86" ht="24" customHeight="1" x14ac:dyDescent="0.25">
      <c r="A79" s="354" t="e">
        <f>A75</f>
        <v>#REF!</v>
      </c>
      <c r="B79" s="518"/>
      <c r="C79" s="519" t="s">
        <v>653</v>
      </c>
      <c r="D79" s="447" t="s">
        <v>14</v>
      </c>
      <c r="E79" s="447"/>
      <c r="F79" s="447"/>
      <c r="G79" s="520">
        <v>8.5</v>
      </c>
      <c r="H79" s="521">
        <v>0.7</v>
      </c>
      <c r="I79" s="522">
        <f t="shared" ref="I79:K81" si="311">V79+AH79+AT79+BF79</f>
        <v>73</v>
      </c>
      <c r="J79" s="522">
        <f t="shared" si="311"/>
        <v>5</v>
      </c>
      <c r="K79" s="522">
        <f t="shared" si="311"/>
        <v>68</v>
      </c>
      <c r="L79" s="57">
        <f>BN79+BR79+BV79+BZ79</f>
        <v>700</v>
      </c>
      <c r="M79" s="60">
        <v>73</v>
      </c>
      <c r="N79" s="60">
        <v>5</v>
      </c>
      <c r="O79" s="60">
        <f t="shared" si="274"/>
        <v>68</v>
      </c>
      <c r="P79" s="60"/>
      <c r="Q79" s="60"/>
      <c r="R79" s="60">
        <f t="shared" si="275"/>
        <v>0</v>
      </c>
      <c r="S79" s="824"/>
      <c r="T79" s="60"/>
      <c r="U79" s="60">
        <f t="shared" si="276"/>
        <v>0</v>
      </c>
      <c r="V79" s="60">
        <f t="shared" ref="V79:X82" si="312">M79+P79+S79</f>
        <v>73</v>
      </c>
      <c r="W79" s="60">
        <f t="shared" si="312"/>
        <v>5</v>
      </c>
      <c r="X79" s="60">
        <f t="shared" si="312"/>
        <v>68</v>
      </c>
      <c r="Y79" s="60"/>
      <c r="Z79" s="60"/>
      <c r="AA79" s="60">
        <f t="shared" si="277"/>
        <v>0</v>
      </c>
      <c r="AB79" s="60"/>
      <c r="AC79" s="60"/>
      <c r="AD79" s="60">
        <f t="shared" si="278"/>
        <v>0</v>
      </c>
      <c r="AE79" s="60"/>
      <c r="AF79" s="60"/>
      <c r="AG79" s="60">
        <f t="shared" si="279"/>
        <v>0</v>
      </c>
      <c r="AH79" s="60">
        <f t="shared" ref="AH79:AJ82" si="313">Y79+AB79+AE79</f>
        <v>0</v>
      </c>
      <c r="AI79" s="60">
        <f t="shared" si="313"/>
        <v>0</v>
      </c>
      <c r="AJ79" s="60">
        <f t="shared" si="313"/>
        <v>0</v>
      </c>
      <c r="AK79" s="60"/>
      <c r="AL79" s="60"/>
      <c r="AM79" s="60">
        <f t="shared" si="283"/>
        <v>0</v>
      </c>
      <c r="AN79" s="60"/>
      <c r="AO79" s="60"/>
      <c r="AP79" s="60">
        <f t="shared" si="284"/>
        <v>0</v>
      </c>
      <c r="AQ79" s="60"/>
      <c r="AR79" s="60"/>
      <c r="AS79" s="60">
        <f t="shared" si="285"/>
        <v>0</v>
      </c>
      <c r="AT79" s="60">
        <f t="shared" ref="AT79:AV80" si="314">AK79+AN79+AQ79</f>
        <v>0</v>
      </c>
      <c r="AU79" s="60">
        <f t="shared" si="314"/>
        <v>0</v>
      </c>
      <c r="AV79" s="60">
        <f t="shared" si="314"/>
        <v>0</v>
      </c>
      <c r="AW79" s="60"/>
      <c r="AX79" s="60"/>
      <c r="AY79" s="60">
        <f t="shared" si="289"/>
        <v>0</v>
      </c>
      <c r="AZ79" s="60"/>
      <c r="BA79" s="60"/>
      <c r="BB79" s="60">
        <f t="shared" si="290"/>
        <v>0</v>
      </c>
      <c r="BC79" s="60"/>
      <c r="BD79" s="60"/>
      <c r="BE79" s="60">
        <f t="shared" si="291"/>
        <v>0</v>
      </c>
      <c r="BF79" s="60">
        <f t="shared" ref="BF79:BH81" si="315">AW79+AZ79+BC79</f>
        <v>0</v>
      </c>
      <c r="BG79" s="60">
        <f t="shared" si="315"/>
        <v>0</v>
      </c>
      <c r="BH79" s="60">
        <f t="shared" si="315"/>
        <v>0</v>
      </c>
      <c r="BI79" s="508"/>
      <c r="BJ79" s="488" t="str">
        <f t="shared" si="186"/>
        <v>Lò</v>
      </c>
      <c r="BK79" s="523">
        <f t="shared" si="295"/>
        <v>700</v>
      </c>
      <c r="BL79" s="523">
        <f t="shared" si="296"/>
        <v>0</v>
      </c>
      <c r="BM79" s="523">
        <f t="shared" si="297"/>
        <v>0</v>
      </c>
      <c r="BN79" s="523">
        <f t="shared" si="298"/>
        <v>700</v>
      </c>
      <c r="BO79" s="523">
        <f t="shared" si="299"/>
        <v>0</v>
      </c>
      <c r="BP79" s="523">
        <f t="shared" si="300"/>
        <v>0</v>
      </c>
      <c r="BQ79" s="523">
        <f t="shared" si="301"/>
        <v>0</v>
      </c>
      <c r="BR79" s="523">
        <f t="shared" si="302"/>
        <v>0</v>
      </c>
      <c r="BS79" s="523">
        <f t="shared" si="303"/>
        <v>0</v>
      </c>
      <c r="BT79" s="523">
        <f t="shared" si="304"/>
        <v>0</v>
      </c>
      <c r="BU79" s="523">
        <f t="shared" si="305"/>
        <v>0</v>
      </c>
      <c r="BV79" s="523">
        <f t="shared" si="306"/>
        <v>0</v>
      </c>
      <c r="BW79" s="523">
        <f t="shared" si="307"/>
        <v>0</v>
      </c>
      <c r="BX79" s="523">
        <f t="shared" si="308"/>
        <v>0</v>
      </c>
      <c r="BY79" s="523">
        <f t="shared" si="309"/>
        <v>0</v>
      </c>
      <c r="BZ79" s="523">
        <f t="shared" si="310"/>
        <v>0</v>
      </c>
      <c r="CA79" s="354"/>
      <c r="CB79" s="354" t="str">
        <f>IF(SUM(I79:L79)&lt;&gt;0,"X")</f>
        <v>X</v>
      </c>
      <c r="CC79" s="509" t="str">
        <f t="shared" si="47"/>
        <v>KT5.</v>
      </c>
      <c r="CD79" s="509" t="str">
        <f>CC79&amp;G79</f>
        <v>KT5.8,5</v>
      </c>
      <c r="CE79" s="351" t="str">
        <f t="shared" si="187"/>
        <v>Lò</v>
      </c>
      <c r="CF79" s="509" t="str">
        <f>CC79&amp;CE79</f>
        <v>KT5.Lò</v>
      </c>
      <c r="CG79" s="509"/>
      <c r="CH79" s="509"/>
    </row>
    <row r="80" spans="1:86" ht="24" customHeight="1" x14ac:dyDescent="0.25">
      <c r="A80" s="354" t="e">
        <f t="shared" si="206"/>
        <v>#REF!</v>
      </c>
      <c r="B80" s="518"/>
      <c r="C80" s="519" t="s">
        <v>654</v>
      </c>
      <c r="D80" s="447" t="s">
        <v>206</v>
      </c>
      <c r="E80" s="447"/>
      <c r="F80" s="447"/>
      <c r="G80" s="520">
        <v>5.4</v>
      </c>
      <c r="H80" s="521">
        <v>0.7</v>
      </c>
      <c r="I80" s="522">
        <f t="shared" si="311"/>
        <v>65</v>
      </c>
      <c r="J80" s="522">
        <f t="shared" si="311"/>
        <v>5</v>
      </c>
      <c r="K80" s="522">
        <f t="shared" si="311"/>
        <v>60</v>
      </c>
      <c r="L80" s="57">
        <f>BN80+BR80+BV80+BZ80</f>
        <v>400</v>
      </c>
      <c r="M80" s="60"/>
      <c r="N80" s="60"/>
      <c r="O80" s="60">
        <f t="shared" si="274"/>
        <v>0</v>
      </c>
      <c r="P80" s="60"/>
      <c r="Q80" s="60"/>
      <c r="R80" s="60">
        <f t="shared" si="275"/>
        <v>0</v>
      </c>
      <c r="S80" s="824"/>
      <c r="T80" s="60"/>
      <c r="U80" s="60">
        <f t="shared" si="276"/>
        <v>0</v>
      </c>
      <c r="V80" s="60">
        <f t="shared" si="312"/>
        <v>0</v>
      </c>
      <c r="W80" s="60">
        <f t="shared" si="312"/>
        <v>0</v>
      </c>
      <c r="X80" s="60">
        <f t="shared" si="312"/>
        <v>0</v>
      </c>
      <c r="Y80" s="60">
        <v>65</v>
      </c>
      <c r="Z80" s="60">
        <v>5</v>
      </c>
      <c r="AA80" s="60">
        <f t="shared" si="277"/>
        <v>60</v>
      </c>
      <c r="AB80" s="60"/>
      <c r="AC80" s="60"/>
      <c r="AD80" s="60">
        <f t="shared" si="278"/>
        <v>0</v>
      </c>
      <c r="AE80" s="60"/>
      <c r="AF80" s="60"/>
      <c r="AG80" s="60">
        <f t="shared" si="279"/>
        <v>0</v>
      </c>
      <c r="AH80" s="60">
        <f t="shared" si="313"/>
        <v>65</v>
      </c>
      <c r="AI80" s="60">
        <f t="shared" si="313"/>
        <v>5</v>
      </c>
      <c r="AJ80" s="60">
        <f t="shared" si="313"/>
        <v>60</v>
      </c>
      <c r="AK80" s="60"/>
      <c r="AL80" s="60"/>
      <c r="AM80" s="60">
        <f t="shared" si="283"/>
        <v>0</v>
      </c>
      <c r="AN80" s="60"/>
      <c r="AO80" s="60"/>
      <c r="AP80" s="60">
        <f t="shared" si="284"/>
        <v>0</v>
      </c>
      <c r="AQ80" s="60"/>
      <c r="AR80" s="60"/>
      <c r="AS80" s="60">
        <f t="shared" si="285"/>
        <v>0</v>
      </c>
      <c r="AT80" s="60">
        <f t="shared" si="314"/>
        <v>0</v>
      </c>
      <c r="AU80" s="60">
        <f t="shared" si="314"/>
        <v>0</v>
      </c>
      <c r="AV80" s="60">
        <f t="shared" si="314"/>
        <v>0</v>
      </c>
      <c r="AW80" s="60"/>
      <c r="AX80" s="60"/>
      <c r="AY80" s="60">
        <f t="shared" si="289"/>
        <v>0</v>
      </c>
      <c r="AZ80" s="60"/>
      <c r="BA80" s="60"/>
      <c r="BB80" s="60">
        <f t="shared" si="290"/>
        <v>0</v>
      </c>
      <c r="BC80" s="60"/>
      <c r="BD80" s="60"/>
      <c r="BE80" s="60">
        <f t="shared" si="291"/>
        <v>0</v>
      </c>
      <c r="BF80" s="60">
        <f t="shared" si="315"/>
        <v>0</v>
      </c>
      <c r="BG80" s="60">
        <f t="shared" si="315"/>
        <v>0</v>
      </c>
      <c r="BH80" s="60">
        <f t="shared" si="315"/>
        <v>0</v>
      </c>
      <c r="BI80" s="508"/>
      <c r="BJ80" s="488" t="str">
        <f t="shared" si="186"/>
        <v>Lò</v>
      </c>
      <c r="BK80" s="523">
        <f t="shared" si="295"/>
        <v>0</v>
      </c>
      <c r="BL80" s="523">
        <f t="shared" si="296"/>
        <v>0</v>
      </c>
      <c r="BM80" s="523">
        <f t="shared" si="297"/>
        <v>0</v>
      </c>
      <c r="BN80" s="523">
        <f t="shared" si="298"/>
        <v>0</v>
      </c>
      <c r="BO80" s="523">
        <f t="shared" si="299"/>
        <v>400</v>
      </c>
      <c r="BP80" s="523">
        <f t="shared" si="300"/>
        <v>0</v>
      </c>
      <c r="BQ80" s="523">
        <f t="shared" si="301"/>
        <v>0</v>
      </c>
      <c r="BR80" s="523">
        <f t="shared" si="302"/>
        <v>400</v>
      </c>
      <c r="BS80" s="523">
        <f t="shared" si="303"/>
        <v>0</v>
      </c>
      <c r="BT80" s="523">
        <f t="shared" si="304"/>
        <v>0</v>
      </c>
      <c r="BU80" s="523">
        <f t="shared" si="305"/>
        <v>0</v>
      </c>
      <c r="BV80" s="523">
        <f t="shared" si="306"/>
        <v>0</v>
      </c>
      <c r="BW80" s="523">
        <f t="shared" si="307"/>
        <v>0</v>
      </c>
      <c r="BX80" s="523">
        <f t="shared" si="308"/>
        <v>0</v>
      </c>
      <c r="BY80" s="523">
        <f t="shared" si="309"/>
        <v>0</v>
      </c>
      <c r="BZ80" s="523">
        <f t="shared" si="310"/>
        <v>0</v>
      </c>
      <c r="CA80" s="354"/>
      <c r="CB80" s="354" t="str">
        <f>IF(SUM(I80:L80)&lt;&gt;0,"X")</f>
        <v>X</v>
      </c>
      <c r="CC80" s="509" t="str">
        <f t="shared" si="47"/>
        <v>KT5.</v>
      </c>
      <c r="CD80" s="509" t="str">
        <f>CC80&amp;G80</f>
        <v>KT5.5,4</v>
      </c>
      <c r="CE80" s="351" t="str">
        <f t="shared" si="187"/>
        <v>Lò</v>
      </c>
      <c r="CF80" s="509" t="str">
        <f>CC80&amp;CE80</f>
        <v>KT5.Lò</v>
      </c>
      <c r="CG80" s="509"/>
      <c r="CH80" s="509"/>
    </row>
    <row r="81" spans="1:86" ht="24" customHeight="1" x14ac:dyDescent="0.25">
      <c r="A81" s="354" t="e">
        <f t="shared" si="206"/>
        <v>#REF!</v>
      </c>
      <c r="B81" s="518"/>
      <c r="C81" s="519" t="s">
        <v>742</v>
      </c>
      <c r="D81" s="447" t="s">
        <v>14</v>
      </c>
      <c r="E81" s="447"/>
      <c r="F81" s="447"/>
      <c r="G81" s="520">
        <v>8.5</v>
      </c>
      <c r="H81" s="521">
        <v>0.7</v>
      </c>
      <c r="I81" s="522">
        <f t="shared" si="311"/>
        <v>0</v>
      </c>
      <c r="J81" s="522">
        <f t="shared" si="311"/>
        <v>0</v>
      </c>
      <c r="K81" s="522">
        <f t="shared" si="311"/>
        <v>0</v>
      </c>
      <c r="L81" s="57">
        <f>BN81+BR81+BV81+BZ81</f>
        <v>0</v>
      </c>
      <c r="M81" s="60"/>
      <c r="N81" s="60"/>
      <c r="O81" s="60">
        <f t="shared" si="274"/>
        <v>0</v>
      </c>
      <c r="P81" s="60"/>
      <c r="Q81" s="60"/>
      <c r="R81" s="60">
        <f t="shared" si="275"/>
        <v>0</v>
      </c>
      <c r="S81" s="824"/>
      <c r="T81" s="60"/>
      <c r="U81" s="60">
        <f t="shared" si="276"/>
        <v>0</v>
      </c>
      <c r="V81" s="60">
        <f t="shared" si="312"/>
        <v>0</v>
      </c>
      <c r="W81" s="60">
        <f t="shared" si="312"/>
        <v>0</v>
      </c>
      <c r="X81" s="60">
        <f t="shared" si="312"/>
        <v>0</v>
      </c>
      <c r="Y81" s="60"/>
      <c r="Z81" s="60"/>
      <c r="AA81" s="60">
        <f t="shared" si="277"/>
        <v>0</v>
      </c>
      <c r="AB81" s="60"/>
      <c r="AC81" s="60"/>
      <c r="AD81" s="60">
        <f t="shared" si="278"/>
        <v>0</v>
      </c>
      <c r="AE81" s="60"/>
      <c r="AF81" s="60"/>
      <c r="AG81" s="60">
        <f t="shared" si="279"/>
        <v>0</v>
      </c>
      <c r="AH81" s="60">
        <f t="shared" si="313"/>
        <v>0</v>
      </c>
      <c r="AI81" s="60">
        <f t="shared" si="313"/>
        <v>0</v>
      </c>
      <c r="AJ81" s="60">
        <f t="shared" si="313"/>
        <v>0</v>
      </c>
      <c r="AK81" s="60"/>
      <c r="AL81" s="60"/>
      <c r="AM81" s="60">
        <f t="shared" si="283"/>
        <v>0</v>
      </c>
      <c r="AN81" s="60"/>
      <c r="AO81" s="60"/>
      <c r="AP81" s="60">
        <f t="shared" si="284"/>
        <v>0</v>
      </c>
      <c r="AQ81" s="60"/>
      <c r="AR81" s="60"/>
      <c r="AS81" s="60">
        <f t="shared" si="285"/>
        <v>0</v>
      </c>
      <c r="AT81" s="60"/>
      <c r="AU81" s="60"/>
      <c r="AV81" s="60">
        <f>AT81-AU81</f>
        <v>0</v>
      </c>
      <c r="AW81" s="60"/>
      <c r="AX81" s="60"/>
      <c r="AY81" s="60">
        <f t="shared" si="289"/>
        <v>0</v>
      </c>
      <c r="AZ81" s="60"/>
      <c r="BA81" s="60"/>
      <c r="BB81" s="60">
        <f t="shared" si="290"/>
        <v>0</v>
      </c>
      <c r="BC81" s="60"/>
      <c r="BD81" s="60"/>
      <c r="BE81" s="60">
        <f t="shared" si="291"/>
        <v>0</v>
      </c>
      <c r="BF81" s="60">
        <f t="shared" si="315"/>
        <v>0</v>
      </c>
      <c r="BG81" s="60">
        <f t="shared" si="315"/>
        <v>0</v>
      </c>
      <c r="BH81" s="60">
        <f t="shared" si="315"/>
        <v>0</v>
      </c>
      <c r="BI81" s="508"/>
      <c r="BJ81" s="488" t="str">
        <f t="shared" ref="BJ81:BJ112" si="316">LEFT(C81,2)</f>
        <v>Lò</v>
      </c>
      <c r="BK81" s="523">
        <f t="shared" si="295"/>
        <v>0</v>
      </c>
      <c r="BL81" s="523">
        <f t="shared" si="296"/>
        <v>0</v>
      </c>
      <c r="BM81" s="523">
        <f t="shared" si="297"/>
        <v>0</v>
      </c>
      <c r="BN81" s="523">
        <f t="shared" si="298"/>
        <v>0</v>
      </c>
      <c r="BO81" s="523">
        <f t="shared" si="299"/>
        <v>0</v>
      </c>
      <c r="BP81" s="523">
        <f t="shared" si="300"/>
        <v>0</v>
      </c>
      <c r="BQ81" s="523">
        <f t="shared" si="301"/>
        <v>0</v>
      </c>
      <c r="BR81" s="523">
        <f t="shared" si="302"/>
        <v>0</v>
      </c>
      <c r="BS81" s="523">
        <f t="shared" si="303"/>
        <v>0</v>
      </c>
      <c r="BT81" s="523">
        <f t="shared" si="304"/>
        <v>0</v>
      </c>
      <c r="BU81" s="523">
        <f t="shared" si="305"/>
        <v>0</v>
      </c>
      <c r="BV81" s="523">
        <f t="shared" si="306"/>
        <v>0</v>
      </c>
      <c r="BW81" s="523">
        <f t="shared" si="307"/>
        <v>0</v>
      </c>
      <c r="BX81" s="523">
        <f t="shared" si="308"/>
        <v>0</v>
      </c>
      <c r="BY81" s="523">
        <f t="shared" si="309"/>
        <v>0</v>
      </c>
      <c r="BZ81" s="523">
        <f t="shared" si="310"/>
        <v>0</v>
      </c>
      <c r="CA81" s="354"/>
      <c r="CB81" s="354" t="b">
        <f>IF(SUM(I81:L81)&lt;&gt;0,"X")</f>
        <v>0</v>
      </c>
      <c r="CC81" s="509" t="str">
        <f t="shared" si="47"/>
        <v>KT5.</v>
      </c>
      <c r="CD81" s="509" t="str">
        <f>CC81&amp;G81</f>
        <v>KT5.8,5</v>
      </c>
      <c r="CE81" s="351" t="str">
        <f t="shared" ref="CE81:CE112" si="317">LEFT(C81,2)</f>
        <v>Lò</v>
      </c>
      <c r="CF81" s="509" t="str">
        <f>CC81&amp;CE81</f>
        <v>KT5.Lò</v>
      </c>
      <c r="CG81" s="509"/>
      <c r="CH81" s="509"/>
    </row>
    <row r="82" spans="1:86" ht="24" customHeight="1" x14ac:dyDescent="0.25">
      <c r="A82" s="354" t="e">
        <f>A78</f>
        <v>#REF!</v>
      </c>
      <c r="B82" s="518"/>
      <c r="C82" s="519" t="s">
        <v>743</v>
      </c>
      <c r="D82" s="447" t="s">
        <v>14</v>
      </c>
      <c r="E82" s="447"/>
      <c r="F82" s="447"/>
      <c r="G82" s="520">
        <v>9.5</v>
      </c>
      <c r="H82" s="521">
        <v>0.7</v>
      </c>
      <c r="I82" s="522">
        <f t="shared" si="270"/>
        <v>32</v>
      </c>
      <c r="J82" s="522">
        <f t="shared" si="271"/>
        <v>0</v>
      </c>
      <c r="K82" s="522">
        <f t="shared" si="272"/>
        <v>32</v>
      </c>
      <c r="L82" s="57">
        <f t="shared" si="273"/>
        <v>400</v>
      </c>
      <c r="M82" s="60"/>
      <c r="N82" s="60"/>
      <c r="O82" s="60">
        <f t="shared" si="274"/>
        <v>0</v>
      </c>
      <c r="P82" s="60"/>
      <c r="Q82" s="60"/>
      <c r="R82" s="60">
        <f t="shared" si="275"/>
        <v>0</v>
      </c>
      <c r="S82" s="824"/>
      <c r="T82" s="60"/>
      <c r="U82" s="60">
        <f t="shared" si="276"/>
        <v>0</v>
      </c>
      <c r="V82" s="60">
        <f t="shared" si="312"/>
        <v>0</v>
      </c>
      <c r="W82" s="60">
        <f t="shared" si="312"/>
        <v>0</v>
      </c>
      <c r="X82" s="60">
        <f t="shared" si="312"/>
        <v>0</v>
      </c>
      <c r="Y82" s="60"/>
      <c r="Z82" s="60"/>
      <c r="AA82" s="60">
        <f t="shared" si="277"/>
        <v>0</v>
      </c>
      <c r="AB82" s="60"/>
      <c r="AC82" s="60"/>
      <c r="AD82" s="60">
        <f t="shared" si="278"/>
        <v>0</v>
      </c>
      <c r="AE82" s="60"/>
      <c r="AF82" s="60"/>
      <c r="AG82" s="60">
        <f t="shared" si="279"/>
        <v>0</v>
      </c>
      <c r="AH82" s="60">
        <f t="shared" si="313"/>
        <v>0</v>
      </c>
      <c r="AI82" s="60">
        <f t="shared" si="313"/>
        <v>0</v>
      </c>
      <c r="AJ82" s="60">
        <f t="shared" si="313"/>
        <v>0</v>
      </c>
      <c r="AK82" s="60"/>
      <c r="AL82" s="60"/>
      <c r="AM82" s="60">
        <f t="shared" si="283"/>
        <v>0</v>
      </c>
      <c r="AN82" s="60"/>
      <c r="AO82" s="60"/>
      <c r="AP82" s="60">
        <f t="shared" si="284"/>
        <v>0</v>
      </c>
      <c r="AQ82" s="60">
        <v>32</v>
      </c>
      <c r="AR82" s="60"/>
      <c r="AS82" s="60">
        <f t="shared" si="285"/>
        <v>32</v>
      </c>
      <c r="AT82" s="60">
        <f t="shared" si="286"/>
        <v>32</v>
      </c>
      <c r="AU82" s="60">
        <f t="shared" si="287"/>
        <v>0</v>
      </c>
      <c r="AV82" s="60">
        <f t="shared" si="288"/>
        <v>32</v>
      </c>
      <c r="AW82" s="60"/>
      <c r="AX82" s="60"/>
      <c r="AY82" s="60">
        <f t="shared" si="289"/>
        <v>0</v>
      </c>
      <c r="AZ82" s="60"/>
      <c r="BA82" s="60"/>
      <c r="BB82" s="60">
        <f t="shared" si="290"/>
        <v>0</v>
      </c>
      <c r="BC82" s="60"/>
      <c r="BD82" s="60"/>
      <c r="BE82" s="60">
        <f t="shared" si="291"/>
        <v>0</v>
      </c>
      <c r="BF82" s="60">
        <f t="shared" si="292"/>
        <v>0</v>
      </c>
      <c r="BG82" s="60">
        <f t="shared" si="293"/>
        <v>0</v>
      </c>
      <c r="BH82" s="60">
        <f t="shared" si="294"/>
        <v>0</v>
      </c>
      <c r="BI82" s="508"/>
      <c r="BJ82" s="488" t="str">
        <f t="shared" si="316"/>
        <v>Lò</v>
      </c>
      <c r="BK82" s="523">
        <f t="shared" si="295"/>
        <v>0</v>
      </c>
      <c r="BL82" s="523">
        <f t="shared" si="296"/>
        <v>0</v>
      </c>
      <c r="BM82" s="523">
        <f t="shared" si="297"/>
        <v>0</v>
      </c>
      <c r="BN82" s="523">
        <f t="shared" si="298"/>
        <v>0</v>
      </c>
      <c r="BO82" s="523">
        <f t="shared" si="299"/>
        <v>0</v>
      </c>
      <c r="BP82" s="523">
        <f t="shared" si="300"/>
        <v>0</v>
      </c>
      <c r="BQ82" s="523">
        <f t="shared" si="301"/>
        <v>0</v>
      </c>
      <c r="BR82" s="523">
        <f t="shared" si="302"/>
        <v>0</v>
      </c>
      <c r="BS82" s="523">
        <f t="shared" si="303"/>
        <v>0</v>
      </c>
      <c r="BT82" s="523">
        <f t="shared" si="304"/>
        <v>0</v>
      </c>
      <c r="BU82" s="523">
        <f t="shared" si="305"/>
        <v>400</v>
      </c>
      <c r="BV82" s="523">
        <f t="shared" si="306"/>
        <v>400</v>
      </c>
      <c r="BW82" s="523">
        <f t="shared" si="307"/>
        <v>0</v>
      </c>
      <c r="BX82" s="523">
        <f t="shared" si="308"/>
        <v>0</v>
      </c>
      <c r="BY82" s="523">
        <f t="shared" si="309"/>
        <v>0</v>
      </c>
      <c r="BZ82" s="523">
        <f t="shared" si="310"/>
        <v>0</v>
      </c>
      <c r="CA82" s="354"/>
      <c r="CB82" s="354" t="str">
        <f t="shared" si="3"/>
        <v>X</v>
      </c>
      <c r="CC82" s="509" t="str">
        <f>CC78</f>
        <v>KT5.</v>
      </c>
      <c r="CD82" s="509" t="str">
        <f t="shared" si="48"/>
        <v>KT5.9,5</v>
      </c>
      <c r="CE82" s="351" t="str">
        <f t="shared" si="317"/>
        <v>Lò</v>
      </c>
      <c r="CF82" s="509" t="str">
        <f t="shared" si="49"/>
        <v>KT5.Lò</v>
      </c>
      <c r="CG82" s="509"/>
      <c r="CH82" s="509"/>
    </row>
    <row r="83" spans="1:86" ht="24" customHeight="1" x14ac:dyDescent="0.25">
      <c r="A83" s="354" t="e">
        <f t="shared" si="206"/>
        <v>#REF!</v>
      </c>
      <c r="B83" s="518"/>
      <c r="C83" s="519" t="s">
        <v>537</v>
      </c>
      <c r="D83" s="447" t="s">
        <v>206</v>
      </c>
      <c r="E83" s="447"/>
      <c r="F83" s="447"/>
      <c r="G83" s="520">
        <v>5.4</v>
      </c>
      <c r="H83" s="521">
        <v>0.7</v>
      </c>
      <c r="I83" s="522">
        <f t="shared" si="270"/>
        <v>0</v>
      </c>
      <c r="J83" s="522">
        <f t="shared" si="271"/>
        <v>0</v>
      </c>
      <c r="K83" s="522">
        <f t="shared" si="272"/>
        <v>0</v>
      </c>
      <c r="L83" s="57">
        <f t="shared" si="273"/>
        <v>0</v>
      </c>
      <c r="M83" s="60"/>
      <c r="N83" s="60"/>
      <c r="O83" s="60">
        <f t="shared" si="274"/>
        <v>0</v>
      </c>
      <c r="P83" s="60"/>
      <c r="Q83" s="60"/>
      <c r="R83" s="60">
        <f t="shared" si="275"/>
        <v>0</v>
      </c>
      <c r="S83" s="824"/>
      <c r="T83" s="60"/>
      <c r="U83" s="60">
        <f t="shared" si="276"/>
        <v>0</v>
      </c>
      <c r="V83" s="60"/>
      <c r="W83" s="60"/>
      <c r="X83" s="60">
        <f>V83-W83</f>
        <v>0</v>
      </c>
      <c r="Y83" s="60"/>
      <c r="Z83" s="60"/>
      <c r="AA83" s="60">
        <f t="shared" si="277"/>
        <v>0</v>
      </c>
      <c r="AB83" s="60"/>
      <c r="AC83" s="60"/>
      <c r="AD83" s="60">
        <f t="shared" si="278"/>
        <v>0</v>
      </c>
      <c r="AE83" s="60"/>
      <c r="AF83" s="60"/>
      <c r="AG83" s="60">
        <f t="shared" si="279"/>
        <v>0</v>
      </c>
      <c r="AH83" s="60">
        <f t="shared" si="280"/>
        <v>0</v>
      </c>
      <c r="AI83" s="60">
        <f t="shared" si="281"/>
        <v>0</v>
      </c>
      <c r="AJ83" s="60">
        <f t="shared" si="282"/>
        <v>0</v>
      </c>
      <c r="AK83" s="60"/>
      <c r="AL83" s="60"/>
      <c r="AM83" s="60">
        <f t="shared" si="283"/>
        <v>0</v>
      </c>
      <c r="AN83" s="60"/>
      <c r="AO83" s="60"/>
      <c r="AP83" s="60">
        <f t="shared" si="284"/>
        <v>0</v>
      </c>
      <c r="AQ83" s="60"/>
      <c r="AR83" s="60"/>
      <c r="AS83" s="60">
        <f t="shared" si="285"/>
        <v>0</v>
      </c>
      <c r="AT83" s="60">
        <f t="shared" si="286"/>
        <v>0</v>
      </c>
      <c r="AU83" s="60">
        <f t="shared" si="287"/>
        <v>0</v>
      </c>
      <c r="AV83" s="60">
        <f t="shared" si="288"/>
        <v>0</v>
      </c>
      <c r="AW83" s="60"/>
      <c r="AX83" s="60"/>
      <c r="AY83" s="60">
        <f t="shared" si="289"/>
        <v>0</v>
      </c>
      <c r="AZ83" s="60"/>
      <c r="BA83" s="60"/>
      <c r="BB83" s="60">
        <f t="shared" si="290"/>
        <v>0</v>
      </c>
      <c r="BC83" s="60"/>
      <c r="BD83" s="60"/>
      <c r="BE83" s="60">
        <f t="shared" si="291"/>
        <v>0</v>
      </c>
      <c r="BF83" s="60">
        <f t="shared" si="292"/>
        <v>0</v>
      </c>
      <c r="BG83" s="60">
        <f t="shared" si="293"/>
        <v>0</v>
      </c>
      <c r="BH83" s="60">
        <f t="shared" si="294"/>
        <v>0</v>
      </c>
      <c r="BI83" s="508"/>
      <c r="BJ83" s="488" t="str">
        <f t="shared" si="316"/>
        <v>Lò</v>
      </c>
      <c r="BK83" s="523">
        <f t="shared" si="295"/>
        <v>0</v>
      </c>
      <c r="BL83" s="523">
        <f t="shared" si="296"/>
        <v>0</v>
      </c>
      <c r="BM83" s="523">
        <f t="shared" si="297"/>
        <v>0</v>
      </c>
      <c r="BN83" s="523">
        <f t="shared" si="298"/>
        <v>0</v>
      </c>
      <c r="BO83" s="523">
        <f t="shared" si="299"/>
        <v>0</v>
      </c>
      <c r="BP83" s="523">
        <f t="shared" si="300"/>
        <v>0</v>
      </c>
      <c r="BQ83" s="523">
        <f t="shared" si="301"/>
        <v>0</v>
      </c>
      <c r="BR83" s="523">
        <f t="shared" si="302"/>
        <v>0</v>
      </c>
      <c r="BS83" s="523">
        <f t="shared" si="303"/>
        <v>0</v>
      </c>
      <c r="BT83" s="523">
        <f t="shared" si="304"/>
        <v>0</v>
      </c>
      <c r="BU83" s="523">
        <f t="shared" si="305"/>
        <v>0</v>
      </c>
      <c r="BV83" s="523">
        <f t="shared" si="306"/>
        <v>0</v>
      </c>
      <c r="BW83" s="523">
        <f t="shared" si="307"/>
        <v>0</v>
      </c>
      <c r="BX83" s="523">
        <f t="shared" si="308"/>
        <v>0</v>
      </c>
      <c r="BY83" s="523">
        <f t="shared" si="309"/>
        <v>0</v>
      </c>
      <c r="BZ83" s="523">
        <f t="shared" si="310"/>
        <v>0</v>
      </c>
      <c r="CA83" s="354"/>
      <c r="CB83" s="354" t="b">
        <f t="shared" si="3"/>
        <v>0</v>
      </c>
      <c r="CC83" s="509" t="str">
        <f t="shared" si="47"/>
        <v>KT5.</v>
      </c>
      <c r="CD83" s="509" t="str">
        <f t="shared" si="48"/>
        <v>KT5.5,4</v>
      </c>
      <c r="CE83" s="351" t="str">
        <f t="shared" si="317"/>
        <v>Lò</v>
      </c>
      <c r="CF83" s="509" t="str">
        <f t="shared" si="49"/>
        <v>KT5.Lò</v>
      </c>
      <c r="CG83" s="509"/>
      <c r="CH83" s="509"/>
    </row>
    <row r="84" spans="1:86" ht="24" customHeight="1" x14ac:dyDescent="0.25">
      <c r="A84" s="354" t="e">
        <f t="shared" si="206"/>
        <v>#REF!</v>
      </c>
      <c r="B84" s="518" t="s">
        <v>7</v>
      </c>
      <c r="C84" s="519" t="s">
        <v>209</v>
      </c>
      <c r="D84" s="447" t="s">
        <v>14</v>
      </c>
      <c r="E84" s="447"/>
      <c r="F84" s="447"/>
      <c r="G84" s="520">
        <v>11.2</v>
      </c>
      <c r="H84" s="521">
        <v>0.7</v>
      </c>
      <c r="I84" s="522">
        <f t="shared" si="270"/>
        <v>0</v>
      </c>
      <c r="J84" s="522">
        <f t="shared" si="271"/>
        <v>0</v>
      </c>
      <c r="K84" s="522">
        <f t="shared" si="272"/>
        <v>0</v>
      </c>
      <c r="L84" s="57">
        <f t="shared" si="273"/>
        <v>0</v>
      </c>
      <c r="M84" s="60"/>
      <c r="N84" s="60"/>
      <c r="O84" s="60">
        <f t="shared" si="274"/>
        <v>0</v>
      </c>
      <c r="P84" s="60"/>
      <c r="Q84" s="60"/>
      <c r="R84" s="60">
        <f t="shared" si="275"/>
        <v>0</v>
      </c>
      <c r="S84" s="824"/>
      <c r="T84" s="60"/>
      <c r="U84" s="60">
        <f t="shared" si="276"/>
        <v>0</v>
      </c>
      <c r="V84" s="60">
        <f t="shared" ref="V84:X85" si="318">M84+P84+S84</f>
        <v>0</v>
      </c>
      <c r="W84" s="60">
        <f t="shared" si="318"/>
        <v>0</v>
      </c>
      <c r="X84" s="60">
        <f t="shared" si="318"/>
        <v>0</v>
      </c>
      <c r="Y84" s="60"/>
      <c r="Z84" s="60"/>
      <c r="AA84" s="60">
        <f t="shared" si="277"/>
        <v>0</v>
      </c>
      <c r="AB84" s="60"/>
      <c r="AC84" s="60"/>
      <c r="AD84" s="60">
        <f t="shared" si="278"/>
        <v>0</v>
      </c>
      <c r="AE84" s="60"/>
      <c r="AF84" s="60"/>
      <c r="AG84" s="60">
        <f t="shared" si="279"/>
        <v>0</v>
      </c>
      <c r="AH84" s="60">
        <f t="shared" si="280"/>
        <v>0</v>
      </c>
      <c r="AI84" s="60">
        <f t="shared" si="281"/>
        <v>0</v>
      </c>
      <c r="AJ84" s="60">
        <f t="shared" si="282"/>
        <v>0</v>
      </c>
      <c r="AK84" s="60"/>
      <c r="AL84" s="60"/>
      <c r="AM84" s="60">
        <f t="shared" si="283"/>
        <v>0</v>
      </c>
      <c r="AN84" s="60"/>
      <c r="AO84" s="60"/>
      <c r="AP84" s="60">
        <f t="shared" si="284"/>
        <v>0</v>
      </c>
      <c r="AQ84" s="60"/>
      <c r="AR84" s="60"/>
      <c r="AS84" s="60">
        <f t="shared" si="285"/>
        <v>0</v>
      </c>
      <c r="AT84" s="60">
        <f t="shared" si="286"/>
        <v>0</v>
      </c>
      <c r="AU84" s="60">
        <f t="shared" si="287"/>
        <v>0</v>
      </c>
      <c r="AV84" s="60">
        <f t="shared" si="288"/>
        <v>0</v>
      </c>
      <c r="AW84" s="60"/>
      <c r="AX84" s="60"/>
      <c r="AY84" s="60">
        <f t="shared" si="289"/>
        <v>0</v>
      </c>
      <c r="AZ84" s="60"/>
      <c r="BA84" s="60"/>
      <c r="BB84" s="60">
        <f t="shared" si="290"/>
        <v>0</v>
      </c>
      <c r="BC84" s="60"/>
      <c r="BD84" s="60"/>
      <c r="BE84" s="60">
        <f t="shared" si="291"/>
        <v>0</v>
      </c>
      <c r="BF84" s="60">
        <f t="shared" si="292"/>
        <v>0</v>
      </c>
      <c r="BG84" s="60">
        <f t="shared" si="293"/>
        <v>0</v>
      </c>
      <c r="BH84" s="60">
        <f t="shared" si="294"/>
        <v>0</v>
      </c>
      <c r="BI84" s="508"/>
      <c r="BJ84" s="488" t="str">
        <f t="shared" si="316"/>
        <v>Lò</v>
      </c>
      <c r="BK84" s="523">
        <f t="shared" si="295"/>
        <v>0</v>
      </c>
      <c r="BL84" s="523">
        <f t="shared" si="296"/>
        <v>0</v>
      </c>
      <c r="BM84" s="523">
        <f t="shared" si="297"/>
        <v>0</v>
      </c>
      <c r="BN84" s="523">
        <f t="shared" si="298"/>
        <v>0</v>
      </c>
      <c r="BO84" s="523">
        <f t="shared" si="299"/>
        <v>0</v>
      </c>
      <c r="BP84" s="523">
        <f t="shared" si="300"/>
        <v>0</v>
      </c>
      <c r="BQ84" s="523">
        <f t="shared" si="301"/>
        <v>0</v>
      </c>
      <c r="BR84" s="523">
        <f t="shared" si="302"/>
        <v>0</v>
      </c>
      <c r="BS84" s="523">
        <f t="shared" si="303"/>
        <v>0</v>
      </c>
      <c r="BT84" s="523">
        <f t="shared" si="304"/>
        <v>0</v>
      </c>
      <c r="BU84" s="523">
        <f t="shared" si="305"/>
        <v>0</v>
      </c>
      <c r="BV84" s="523">
        <f t="shared" si="306"/>
        <v>0</v>
      </c>
      <c r="BW84" s="523">
        <f t="shared" si="307"/>
        <v>0</v>
      </c>
      <c r="BX84" s="523">
        <f t="shared" si="308"/>
        <v>0</v>
      </c>
      <c r="BY84" s="523">
        <f t="shared" si="309"/>
        <v>0</v>
      </c>
      <c r="BZ84" s="523">
        <f t="shared" si="310"/>
        <v>0</v>
      </c>
      <c r="CA84" s="354"/>
      <c r="CB84" s="354" t="b">
        <f t="shared" si="3"/>
        <v>0</v>
      </c>
      <c r="CC84" s="509" t="str">
        <f t="shared" si="47"/>
        <v>KT5.</v>
      </c>
      <c r="CD84" s="509" t="str">
        <f t="shared" si="48"/>
        <v>KT5.11,2</v>
      </c>
      <c r="CE84" s="351" t="str">
        <f t="shared" si="317"/>
        <v>Lò</v>
      </c>
      <c r="CF84" s="509" t="str">
        <f t="shared" si="49"/>
        <v>KT5.Lò</v>
      </c>
      <c r="CG84" s="509"/>
      <c r="CH84" s="509"/>
    </row>
    <row r="85" spans="1:86" ht="24" customHeight="1" x14ac:dyDescent="0.25">
      <c r="A85" s="354" t="e">
        <f t="shared" si="206"/>
        <v>#REF!</v>
      </c>
      <c r="B85" s="518" t="s">
        <v>7</v>
      </c>
      <c r="C85" s="519" t="s">
        <v>204</v>
      </c>
      <c r="D85" s="447" t="s">
        <v>14</v>
      </c>
      <c r="E85" s="447"/>
      <c r="F85" s="447"/>
      <c r="G85" s="520">
        <v>11.2</v>
      </c>
      <c r="H85" s="521">
        <v>0.7</v>
      </c>
      <c r="I85" s="522">
        <f t="shared" si="270"/>
        <v>0</v>
      </c>
      <c r="J85" s="522">
        <f t="shared" si="271"/>
        <v>0</v>
      </c>
      <c r="K85" s="522">
        <f t="shared" si="272"/>
        <v>0</v>
      </c>
      <c r="L85" s="57">
        <f t="shared" si="273"/>
        <v>0</v>
      </c>
      <c r="M85" s="60"/>
      <c r="N85" s="60"/>
      <c r="O85" s="60">
        <f t="shared" si="274"/>
        <v>0</v>
      </c>
      <c r="P85" s="60"/>
      <c r="Q85" s="60"/>
      <c r="R85" s="60">
        <f t="shared" si="275"/>
        <v>0</v>
      </c>
      <c r="S85" s="824"/>
      <c r="T85" s="60"/>
      <c r="U85" s="60">
        <f t="shared" si="276"/>
        <v>0</v>
      </c>
      <c r="V85" s="60">
        <f t="shared" si="318"/>
        <v>0</v>
      </c>
      <c r="W85" s="60">
        <f t="shared" si="318"/>
        <v>0</v>
      </c>
      <c r="X85" s="60">
        <f t="shared" si="318"/>
        <v>0</v>
      </c>
      <c r="Y85" s="60"/>
      <c r="Z85" s="60"/>
      <c r="AA85" s="60">
        <f t="shared" si="277"/>
        <v>0</v>
      </c>
      <c r="AB85" s="60"/>
      <c r="AC85" s="60"/>
      <c r="AD85" s="60">
        <f t="shared" si="278"/>
        <v>0</v>
      </c>
      <c r="AE85" s="60"/>
      <c r="AF85" s="60"/>
      <c r="AG85" s="60">
        <f t="shared" si="279"/>
        <v>0</v>
      </c>
      <c r="AH85" s="60">
        <f t="shared" si="280"/>
        <v>0</v>
      </c>
      <c r="AI85" s="60">
        <f t="shared" si="281"/>
        <v>0</v>
      </c>
      <c r="AJ85" s="60">
        <f t="shared" si="282"/>
        <v>0</v>
      </c>
      <c r="AK85" s="60"/>
      <c r="AL85" s="60"/>
      <c r="AM85" s="60">
        <f t="shared" si="283"/>
        <v>0</v>
      </c>
      <c r="AN85" s="60"/>
      <c r="AO85" s="60"/>
      <c r="AP85" s="60">
        <f t="shared" si="284"/>
        <v>0</v>
      </c>
      <c r="AQ85" s="60"/>
      <c r="AR85" s="60"/>
      <c r="AS85" s="60">
        <f t="shared" si="285"/>
        <v>0</v>
      </c>
      <c r="AT85" s="60">
        <f t="shared" si="286"/>
        <v>0</v>
      </c>
      <c r="AU85" s="60">
        <f t="shared" si="287"/>
        <v>0</v>
      </c>
      <c r="AV85" s="60">
        <f t="shared" si="288"/>
        <v>0</v>
      </c>
      <c r="AW85" s="60"/>
      <c r="AX85" s="60"/>
      <c r="AY85" s="60">
        <f t="shared" si="289"/>
        <v>0</v>
      </c>
      <c r="AZ85" s="60"/>
      <c r="BA85" s="60"/>
      <c r="BB85" s="60">
        <f t="shared" si="290"/>
        <v>0</v>
      </c>
      <c r="BC85" s="60"/>
      <c r="BD85" s="60"/>
      <c r="BE85" s="60">
        <f t="shared" si="291"/>
        <v>0</v>
      </c>
      <c r="BF85" s="60">
        <f t="shared" si="292"/>
        <v>0</v>
      </c>
      <c r="BG85" s="60">
        <f t="shared" si="293"/>
        <v>0</v>
      </c>
      <c r="BH85" s="60">
        <f t="shared" si="294"/>
        <v>0</v>
      </c>
      <c r="BI85" s="508"/>
      <c r="BJ85" s="488" t="str">
        <f t="shared" si="316"/>
        <v>Lò</v>
      </c>
      <c r="BK85" s="523">
        <f t="shared" si="295"/>
        <v>0</v>
      </c>
      <c r="BL85" s="523">
        <f t="shared" si="296"/>
        <v>0</v>
      </c>
      <c r="BM85" s="523">
        <f t="shared" si="297"/>
        <v>0</v>
      </c>
      <c r="BN85" s="523">
        <f t="shared" si="298"/>
        <v>0</v>
      </c>
      <c r="BO85" s="523">
        <f t="shared" si="299"/>
        <v>0</v>
      </c>
      <c r="BP85" s="523">
        <f t="shared" si="300"/>
        <v>0</v>
      </c>
      <c r="BQ85" s="523">
        <f t="shared" si="301"/>
        <v>0</v>
      </c>
      <c r="BR85" s="523">
        <f t="shared" si="302"/>
        <v>0</v>
      </c>
      <c r="BS85" s="523">
        <f t="shared" si="303"/>
        <v>0</v>
      </c>
      <c r="BT85" s="523">
        <f t="shared" si="304"/>
        <v>0</v>
      </c>
      <c r="BU85" s="523">
        <f t="shared" si="305"/>
        <v>0</v>
      </c>
      <c r="BV85" s="523">
        <f t="shared" si="306"/>
        <v>0</v>
      </c>
      <c r="BW85" s="523">
        <f t="shared" si="307"/>
        <v>0</v>
      </c>
      <c r="BX85" s="523">
        <f t="shared" si="308"/>
        <v>0</v>
      </c>
      <c r="BY85" s="523">
        <f t="shared" si="309"/>
        <v>0</v>
      </c>
      <c r="BZ85" s="523">
        <f t="shared" si="310"/>
        <v>0</v>
      </c>
      <c r="CA85" s="354"/>
      <c r="CB85" s="354" t="b">
        <f t="shared" si="3"/>
        <v>0</v>
      </c>
      <c r="CC85" s="509" t="str">
        <f t="shared" si="47"/>
        <v>KT5.</v>
      </c>
      <c r="CD85" s="509" t="str">
        <f t="shared" si="48"/>
        <v>KT5.11,2</v>
      </c>
      <c r="CE85" s="351" t="str">
        <f t="shared" si="317"/>
        <v>Lò</v>
      </c>
      <c r="CF85" s="509" t="str">
        <f t="shared" si="49"/>
        <v>KT5.Lò</v>
      </c>
      <c r="CG85" s="509"/>
      <c r="CH85" s="509"/>
    </row>
    <row r="86" spans="1:86" s="359" customFormat="1" ht="21.75" customHeight="1" x14ac:dyDescent="0.3">
      <c r="A86" s="510" t="e">
        <f t="shared" si="206"/>
        <v>#REF!</v>
      </c>
      <c r="B86" s="525" t="s">
        <v>37</v>
      </c>
      <c r="C86" s="526" t="s">
        <v>178</v>
      </c>
      <c r="D86" s="527"/>
      <c r="E86" s="527"/>
      <c r="F86" s="527"/>
      <c r="G86" s="528"/>
      <c r="H86" s="529"/>
      <c r="I86" s="70">
        <f t="shared" ref="I86:AN86" si="319">SUM(I87:I90)</f>
        <v>150</v>
      </c>
      <c r="J86" s="70">
        <f t="shared" si="319"/>
        <v>50</v>
      </c>
      <c r="K86" s="70">
        <f t="shared" si="319"/>
        <v>100</v>
      </c>
      <c r="L86" s="70">
        <f t="shared" si="319"/>
        <v>300</v>
      </c>
      <c r="M86" s="224">
        <f t="shared" si="319"/>
        <v>40</v>
      </c>
      <c r="N86" s="224">
        <f t="shared" si="319"/>
        <v>15</v>
      </c>
      <c r="O86" s="224">
        <f t="shared" si="319"/>
        <v>25</v>
      </c>
      <c r="P86" s="224">
        <f t="shared" si="319"/>
        <v>35</v>
      </c>
      <c r="Q86" s="224">
        <f t="shared" si="319"/>
        <v>10</v>
      </c>
      <c r="R86" s="224">
        <f t="shared" si="319"/>
        <v>25</v>
      </c>
      <c r="S86" s="825">
        <f t="shared" si="319"/>
        <v>40</v>
      </c>
      <c r="T86" s="224">
        <f t="shared" si="319"/>
        <v>15</v>
      </c>
      <c r="U86" s="224">
        <f t="shared" si="319"/>
        <v>25</v>
      </c>
      <c r="V86" s="224">
        <f t="shared" si="319"/>
        <v>115</v>
      </c>
      <c r="W86" s="224">
        <f t="shared" si="319"/>
        <v>40</v>
      </c>
      <c r="X86" s="224">
        <f t="shared" si="319"/>
        <v>75</v>
      </c>
      <c r="Y86" s="224">
        <f t="shared" si="319"/>
        <v>35</v>
      </c>
      <c r="Z86" s="224">
        <f t="shared" si="319"/>
        <v>10</v>
      </c>
      <c r="AA86" s="224">
        <f t="shared" si="319"/>
        <v>25</v>
      </c>
      <c r="AB86" s="224">
        <f t="shared" si="319"/>
        <v>0</v>
      </c>
      <c r="AC86" s="224">
        <f t="shared" si="319"/>
        <v>0</v>
      </c>
      <c r="AD86" s="224">
        <f t="shared" si="319"/>
        <v>0</v>
      </c>
      <c r="AE86" s="224">
        <f t="shared" si="319"/>
        <v>0</v>
      </c>
      <c r="AF86" s="224">
        <f t="shared" si="319"/>
        <v>0</v>
      </c>
      <c r="AG86" s="224">
        <f t="shared" si="319"/>
        <v>0</v>
      </c>
      <c r="AH86" s="224">
        <f t="shared" si="319"/>
        <v>35</v>
      </c>
      <c r="AI86" s="224">
        <f t="shared" si="319"/>
        <v>10</v>
      </c>
      <c r="AJ86" s="224">
        <f t="shared" si="319"/>
        <v>25</v>
      </c>
      <c r="AK86" s="224">
        <f t="shared" si="319"/>
        <v>0</v>
      </c>
      <c r="AL86" s="224">
        <f t="shared" si="319"/>
        <v>0</v>
      </c>
      <c r="AM86" s="224">
        <f t="shared" si="319"/>
        <v>0</v>
      </c>
      <c r="AN86" s="224">
        <f t="shared" si="319"/>
        <v>0</v>
      </c>
      <c r="AO86" s="224">
        <f t="shared" ref="AO86:BH86" si="320">SUM(AO87:AO90)</f>
        <v>0</v>
      </c>
      <c r="AP86" s="224">
        <f t="shared" si="320"/>
        <v>0</v>
      </c>
      <c r="AQ86" s="224">
        <f t="shared" si="320"/>
        <v>0</v>
      </c>
      <c r="AR86" s="224">
        <f t="shared" si="320"/>
        <v>0</v>
      </c>
      <c r="AS86" s="224">
        <f t="shared" si="320"/>
        <v>0</v>
      </c>
      <c r="AT86" s="224">
        <f t="shared" si="320"/>
        <v>0</v>
      </c>
      <c r="AU86" s="224">
        <f t="shared" si="320"/>
        <v>0</v>
      </c>
      <c r="AV86" s="224">
        <f t="shared" si="320"/>
        <v>0</v>
      </c>
      <c r="AW86" s="224">
        <f t="shared" si="320"/>
        <v>0</v>
      </c>
      <c r="AX86" s="224">
        <f t="shared" si="320"/>
        <v>0</v>
      </c>
      <c r="AY86" s="224">
        <f t="shared" si="320"/>
        <v>0</v>
      </c>
      <c r="AZ86" s="224">
        <f t="shared" si="320"/>
        <v>0</v>
      </c>
      <c r="BA86" s="224">
        <f t="shared" si="320"/>
        <v>0</v>
      </c>
      <c r="BB86" s="224">
        <f t="shared" si="320"/>
        <v>0</v>
      </c>
      <c r="BC86" s="224">
        <f t="shared" si="320"/>
        <v>0</v>
      </c>
      <c r="BD86" s="224">
        <f t="shared" si="320"/>
        <v>0</v>
      </c>
      <c r="BE86" s="224">
        <f t="shared" si="320"/>
        <v>0</v>
      </c>
      <c r="BF86" s="224">
        <f t="shared" si="320"/>
        <v>0</v>
      </c>
      <c r="BG86" s="224">
        <f t="shared" si="320"/>
        <v>0</v>
      </c>
      <c r="BH86" s="224">
        <f t="shared" si="320"/>
        <v>0</v>
      </c>
      <c r="BI86" s="530"/>
      <c r="BJ86" s="488" t="str">
        <f t="shared" si="316"/>
        <v>XL</v>
      </c>
      <c r="BK86" s="225">
        <f t="shared" ref="BK86:BZ86" si="321">SUM(BK87:BK90)</f>
        <v>100</v>
      </c>
      <c r="BL86" s="225">
        <f t="shared" si="321"/>
        <v>100</v>
      </c>
      <c r="BM86" s="225">
        <f t="shared" si="321"/>
        <v>100</v>
      </c>
      <c r="BN86" s="225">
        <f t="shared" si="321"/>
        <v>200</v>
      </c>
      <c r="BO86" s="225">
        <f t="shared" si="321"/>
        <v>100</v>
      </c>
      <c r="BP86" s="225">
        <f t="shared" si="321"/>
        <v>0</v>
      </c>
      <c r="BQ86" s="225">
        <f t="shared" si="321"/>
        <v>0</v>
      </c>
      <c r="BR86" s="225">
        <f t="shared" si="321"/>
        <v>100</v>
      </c>
      <c r="BS86" s="225">
        <f t="shared" si="321"/>
        <v>0</v>
      </c>
      <c r="BT86" s="225">
        <f t="shared" si="321"/>
        <v>0</v>
      </c>
      <c r="BU86" s="225">
        <f t="shared" si="321"/>
        <v>0</v>
      </c>
      <c r="BV86" s="225">
        <f t="shared" si="321"/>
        <v>0</v>
      </c>
      <c r="BW86" s="225">
        <f t="shared" si="321"/>
        <v>0</v>
      </c>
      <c r="BX86" s="225">
        <f t="shared" si="321"/>
        <v>0</v>
      </c>
      <c r="BY86" s="225">
        <f t="shared" si="321"/>
        <v>0</v>
      </c>
      <c r="BZ86" s="225">
        <f t="shared" si="321"/>
        <v>0</v>
      </c>
      <c r="CA86" s="510"/>
      <c r="CB86" s="510" t="str">
        <f t="shared" si="3"/>
        <v>X</v>
      </c>
      <c r="CC86" s="509" t="str">
        <f t="shared" si="47"/>
        <v>KT5.</v>
      </c>
      <c r="CD86" s="509" t="str">
        <f t="shared" si="48"/>
        <v>KT5.</v>
      </c>
      <c r="CE86" s="351" t="str">
        <f t="shared" si="317"/>
        <v>XL</v>
      </c>
      <c r="CF86" s="509" t="str">
        <f t="shared" si="49"/>
        <v>KT5.XL</v>
      </c>
      <c r="CG86" s="509"/>
      <c r="CH86" s="509"/>
    </row>
    <row r="87" spans="1:86" ht="24.75" customHeight="1" x14ac:dyDescent="0.25">
      <c r="A87" s="354" t="e">
        <f t="shared" si="206"/>
        <v>#REF!</v>
      </c>
      <c r="B87" s="484"/>
      <c r="C87" s="531" t="s">
        <v>566</v>
      </c>
      <c r="D87" s="447" t="s">
        <v>14</v>
      </c>
      <c r="E87" s="447"/>
      <c r="F87" s="447"/>
      <c r="G87" s="520">
        <v>13.1</v>
      </c>
      <c r="H87" s="521">
        <v>0.7</v>
      </c>
      <c r="I87" s="522">
        <f t="shared" ref="I87:K90" si="322">V87+AH87+AT87+BF87</f>
        <v>150</v>
      </c>
      <c r="J87" s="522">
        <f t="shared" si="322"/>
        <v>50</v>
      </c>
      <c r="K87" s="522">
        <f t="shared" si="322"/>
        <v>100</v>
      </c>
      <c r="L87" s="57">
        <f>BN87+BR87+BV87+BZ87</f>
        <v>300</v>
      </c>
      <c r="M87" s="60">
        <v>40</v>
      </c>
      <c r="N87" s="60">
        <v>15</v>
      </c>
      <c r="O87" s="60">
        <f>M87-N87</f>
        <v>25</v>
      </c>
      <c r="P87" s="60">
        <v>35</v>
      </c>
      <c r="Q87" s="60">
        <v>10</v>
      </c>
      <c r="R87" s="60">
        <f>P87-Q87</f>
        <v>25</v>
      </c>
      <c r="S87" s="824">
        <v>40</v>
      </c>
      <c r="T87" s="60">
        <v>15</v>
      </c>
      <c r="U87" s="60">
        <f>S87-T87</f>
        <v>25</v>
      </c>
      <c r="V87" s="60">
        <f t="shared" ref="V87:X90" si="323">M87+P87+S87</f>
        <v>115</v>
      </c>
      <c r="W87" s="60">
        <f t="shared" si="323"/>
        <v>40</v>
      </c>
      <c r="X87" s="60">
        <f t="shared" si="323"/>
        <v>75</v>
      </c>
      <c r="Y87" s="60">
        <v>35</v>
      </c>
      <c r="Z87" s="60">
        <v>10</v>
      </c>
      <c r="AA87" s="60">
        <f>Y87-Z87</f>
        <v>25</v>
      </c>
      <c r="AB87" s="60"/>
      <c r="AC87" s="60"/>
      <c r="AD87" s="60">
        <f>AB87-AC87</f>
        <v>0</v>
      </c>
      <c r="AE87" s="60"/>
      <c r="AF87" s="60"/>
      <c r="AG87" s="60">
        <f>AE87-AF87</f>
        <v>0</v>
      </c>
      <c r="AH87" s="60">
        <f t="shared" ref="AH87:AJ90" si="324">Y87+AB87+AE87</f>
        <v>35</v>
      </c>
      <c r="AI87" s="60">
        <f t="shared" si="324"/>
        <v>10</v>
      </c>
      <c r="AJ87" s="60">
        <f t="shared" si="324"/>
        <v>25</v>
      </c>
      <c r="AK87" s="60"/>
      <c r="AL87" s="60"/>
      <c r="AM87" s="60">
        <f>AK87-AL87</f>
        <v>0</v>
      </c>
      <c r="AN87" s="60"/>
      <c r="AO87" s="60"/>
      <c r="AP87" s="60">
        <f>AN87-AO87</f>
        <v>0</v>
      </c>
      <c r="AQ87" s="60"/>
      <c r="AR87" s="60"/>
      <c r="AS87" s="60">
        <f>AQ87-AR87</f>
        <v>0</v>
      </c>
      <c r="AT87" s="60">
        <f t="shared" ref="AT87:AV90" si="325">AK87+AN87+AQ87</f>
        <v>0</v>
      </c>
      <c r="AU87" s="60">
        <f t="shared" si="325"/>
        <v>0</v>
      </c>
      <c r="AV87" s="60">
        <f t="shared" si="325"/>
        <v>0</v>
      </c>
      <c r="AW87" s="60"/>
      <c r="AX87" s="60"/>
      <c r="AY87" s="60"/>
      <c r="AZ87" s="60"/>
      <c r="BA87" s="60"/>
      <c r="BB87" s="60">
        <f>AZ87-BA87</f>
        <v>0</v>
      </c>
      <c r="BC87" s="60"/>
      <c r="BD87" s="60"/>
      <c r="BE87" s="60">
        <f>BC87-BD87</f>
        <v>0</v>
      </c>
      <c r="BF87" s="60">
        <f t="shared" ref="BF87:BH88" si="326">AW87+AZ87+BC87</f>
        <v>0</v>
      </c>
      <c r="BG87" s="60">
        <f t="shared" si="326"/>
        <v>0</v>
      </c>
      <c r="BH87" s="60">
        <f t="shared" si="326"/>
        <v>0</v>
      </c>
      <c r="BI87" s="508"/>
      <c r="BJ87" s="488" t="str">
        <f t="shared" si="316"/>
        <v>Xé</v>
      </c>
      <c r="BK87" s="523">
        <f>ROUND(O87*G87*$B$6,-2)</f>
        <v>100</v>
      </c>
      <c r="BL87" s="523">
        <f>ROUND(R87*G87*$B$6,-2)</f>
        <v>100</v>
      </c>
      <c r="BM87" s="523">
        <f>ROUND(U87*G87*$B$6,-2)</f>
        <v>100</v>
      </c>
      <c r="BN87" s="523">
        <f>ROUND(X87*G87*$B$6,-2)</f>
        <v>200</v>
      </c>
      <c r="BO87" s="523">
        <f>ROUND(AA87*G87*$B$6,-2)</f>
        <v>100</v>
      </c>
      <c r="BP87" s="523">
        <f>ROUND(AD87*G87*$B$6,-2)</f>
        <v>0</v>
      </c>
      <c r="BQ87" s="523">
        <f>ROUND(AG87*G87*$B$6,-2)</f>
        <v>0</v>
      </c>
      <c r="BR87" s="523">
        <f>ROUND(AJ87*G87*$B$6,-2)</f>
        <v>100</v>
      </c>
      <c r="BS87" s="523">
        <f>ROUND(AM87*G87*$B$6,-2)</f>
        <v>0</v>
      </c>
      <c r="BT87" s="523">
        <f>ROUND(AP87*G87*$B$6,-2)</f>
        <v>0</v>
      </c>
      <c r="BU87" s="523">
        <f>ROUND(AS87*G87*$B$6,-2)</f>
        <v>0</v>
      </c>
      <c r="BV87" s="523">
        <f>ROUND(AV87*G87*$B$6,-2)</f>
        <v>0</v>
      </c>
      <c r="BW87" s="523">
        <f>ROUND(AY87*G87*$B$6,-2)</f>
        <v>0</v>
      </c>
      <c r="BX87" s="523">
        <f>ROUND(BB87*G87*$B$6,-2)</f>
        <v>0</v>
      </c>
      <c r="BY87" s="523">
        <f>ROUND(BE87*G87*$B$6,-2)</f>
        <v>0</v>
      </c>
      <c r="BZ87" s="523">
        <f>ROUND(BH87*G87*$B$6,-2)</f>
        <v>0</v>
      </c>
      <c r="CA87" s="354"/>
      <c r="CB87" s="354" t="str">
        <f t="shared" si="3"/>
        <v>X</v>
      </c>
      <c r="CC87" s="509" t="str">
        <f t="shared" si="47"/>
        <v>KT5.</v>
      </c>
      <c r="CD87" s="509" t="str">
        <f t="shared" si="48"/>
        <v>KT5.13,1</v>
      </c>
      <c r="CE87" s="351" t="str">
        <f t="shared" si="317"/>
        <v>Xé</v>
      </c>
      <c r="CF87" s="509" t="str">
        <f t="shared" si="49"/>
        <v>KT5.Xé</v>
      </c>
      <c r="CG87" s="509"/>
      <c r="CH87" s="509"/>
    </row>
    <row r="88" spans="1:86" ht="24.75" customHeight="1" x14ac:dyDescent="0.25">
      <c r="A88" s="354" t="e">
        <f>A86</f>
        <v>#REF!</v>
      </c>
      <c r="B88" s="484"/>
      <c r="C88" s="531" t="s">
        <v>567</v>
      </c>
      <c r="D88" s="447" t="s">
        <v>14</v>
      </c>
      <c r="E88" s="447"/>
      <c r="F88" s="447"/>
      <c r="G88" s="520">
        <v>13.1</v>
      </c>
      <c r="H88" s="521">
        <v>0.7</v>
      </c>
      <c r="I88" s="522">
        <f t="shared" si="322"/>
        <v>0</v>
      </c>
      <c r="J88" s="522">
        <f t="shared" si="322"/>
        <v>0</v>
      </c>
      <c r="K88" s="522">
        <f t="shared" si="322"/>
        <v>0</v>
      </c>
      <c r="L88" s="57">
        <f>BN88+BR88+BV88+BZ88</f>
        <v>0</v>
      </c>
      <c r="M88" s="60"/>
      <c r="N88" s="60"/>
      <c r="O88" s="60">
        <f>M88-N88</f>
        <v>0</v>
      </c>
      <c r="P88" s="60"/>
      <c r="Q88" s="60"/>
      <c r="R88" s="60">
        <f>P88-Q88</f>
        <v>0</v>
      </c>
      <c r="S88" s="824"/>
      <c r="T88" s="60"/>
      <c r="U88" s="60">
        <f>S88-T88</f>
        <v>0</v>
      </c>
      <c r="V88" s="60">
        <f t="shared" si="323"/>
        <v>0</v>
      </c>
      <c r="W88" s="60">
        <f t="shared" si="323"/>
        <v>0</v>
      </c>
      <c r="X88" s="60">
        <f t="shared" si="323"/>
        <v>0</v>
      </c>
      <c r="Y88" s="60"/>
      <c r="Z88" s="60"/>
      <c r="AA88" s="60">
        <f>Y88-Z88</f>
        <v>0</v>
      </c>
      <c r="AB88" s="60"/>
      <c r="AC88" s="60"/>
      <c r="AD88" s="60">
        <f>AB88-AC88</f>
        <v>0</v>
      </c>
      <c r="AE88" s="60"/>
      <c r="AF88" s="60"/>
      <c r="AG88" s="60">
        <f>AE88-AF88</f>
        <v>0</v>
      </c>
      <c r="AH88" s="60">
        <f t="shared" si="324"/>
        <v>0</v>
      </c>
      <c r="AI88" s="60">
        <f t="shared" si="324"/>
        <v>0</v>
      </c>
      <c r="AJ88" s="60">
        <f t="shared" si="324"/>
        <v>0</v>
      </c>
      <c r="AK88" s="60"/>
      <c r="AL88" s="60"/>
      <c r="AM88" s="60">
        <f>AK88-AL88</f>
        <v>0</v>
      </c>
      <c r="AN88" s="60"/>
      <c r="AO88" s="60"/>
      <c r="AP88" s="60">
        <f>AN88-AO88</f>
        <v>0</v>
      </c>
      <c r="AQ88" s="60"/>
      <c r="AR88" s="60"/>
      <c r="AS88" s="60">
        <f>AQ88-AR88</f>
        <v>0</v>
      </c>
      <c r="AT88" s="60">
        <f t="shared" si="325"/>
        <v>0</v>
      </c>
      <c r="AU88" s="60">
        <f t="shared" si="325"/>
        <v>0</v>
      </c>
      <c r="AV88" s="60">
        <f t="shared" si="325"/>
        <v>0</v>
      </c>
      <c r="AW88" s="60"/>
      <c r="AX88" s="60"/>
      <c r="AY88" s="60">
        <f>AW88-AX88</f>
        <v>0</v>
      </c>
      <c r="AZ88" s="60"/>
      <c r="BA88" s="60"/>
      <c r="BB88" s="60">
        <f>AZ88-BA88</f>
        <v>0</v>
      </c>
      <c r="BC88" s="60"/>
      <c r="BD88" s="60"/>
      <c r="BE88" s="60">
        <f>BC88-BD88</f>
        <v>0</v>
      </c>
      <c r="BF88" s="60">
        <f t="shared" si="326"/>
        <v>0</v>
      </c>
      <c r="BG88" s="60">
        <f t="shared" si="326"/>
        <v>0</v>
      </c>
      <c r="BH88" s="60">
        <f t="shared" si="326"/>
        <v>0</v>
      </c>
      <c r="BI88" s="508"/>
      <c r="BJ88" s="488" t="str">
        <f t="shared" si="316"/>
        <v>Xé</v>
      </c>
      <c r="BK88" s="523">
        <f>ROUND(O88*G88*$B$6,-2)</f>
        <v>0</v>
      </c>
      <c r="BL88" s="523">
        <f>ROUND(R88*G88*$B$6,-2)</f>
        <v>0</v>
      </c>
      <c r="BM88" s="523">
        <f>ROUND(U88*G88*$B$6,-2)</f>
        <v>0</v>
      </c>
      <c r="BN88" s="523">
        <f>ROUND(X88*G88*$B$6,-2)</f>
        <v>0</v>
      </c>
      <c r="BO88" s="523">
        <f>ROUND(AA88*G88*$B$6,-2)</f>
        <v>0</v>
      </c>
      <c r="BP88" s="523">
        <f>ROUND(AD88*G88*$B$6,-2)</f>
        <v>0</v>
      </c>
      <c r="BQ88" s="523">
        <f>ROUND(AG88*G88*$B$6,-2)</f>
        <v>0</v>
      </c>
      <c r="BR88" s="523">
        <f>ROUND(AJ88*G88*$B$6,-2)</f>
        <v>0</v>
      </c>
      <c r="BS88" s="523">
        <f>ROUND(AM88*G88*$B$6,-2)</f>
        <v>0</v>
      </c>
      <c r="BT88" s="523">
        <f>ROUND(AP88*G88*$B$6,-2)</f>
        <v>0</v>
      </c>
      <c r="BU88" s="523">
        <f>ROUND(AS88*G88*$B$6,-2)</f>
        <v>0</v>
      </c>
      <c r="BV88" s="523">
        <f>ROUND(AV88*G88*$B$6,-2)</f>
        <v>0</v>
      </c>
      <c r="BW88" s="523">
        <f>ROUND(AY88*G88*$B$6,-2)</f>
        <v>0</v>
      </c>
      <c r="BX88" s="523">
        <f>ROUND(BB88*G88*$B$6,-2)</f>
        <v>0</v>
      </c>
      <c r="BY88" s="523">
        <f>ROUND(BE88*G88*$B$6,-2)</f>
        <v>0</v>
      </c>
      <c r="BZ88" s="523">
        <f>ROUND(BH88*G88*$B$6,-2)</f>
        <v>0</v>
      </c>
      <c r="CA88" s="354"/>
      <c r="CB88" s="354" t="b">
        <f>IF(SUM(I88:L88)&lt;&gt;0,"X")</f>
        <v>0</v>
      </c>
      <c r="CC88" s="509" t="str">
        <f t="shared" si="47"/>
        <v>KT5.</v>
      </c>
      <c r="CD88" s="509" t="str">
        <f t="shared" si="48"/>
        <v>KT5.13,1</v>
      </c>
      <c r="CE88" s="351" t="str">
        <f t="shared" si="317"/>
        <v>Xé</v>
      </c>
      <c r="CF88" s="509" t="str">
        <f t="shared" si="49"/>
        <v>KT5.Xé</v>
      </c>
      <c r="CG88" s="509"/>
      <c r="CH88" s="509"/>
    </row>
    <row r="89" spans="1:86" ht="24.75" customHeight="1" x14ac:dyDescent="0.25">
      <c r="A89" s="354" t="e">
        <f>A86</f>
        <v>#REF!</v>
      </c>
      <c r="B89" s="484"/>
      <c r="C89" s="531" t="s">
        <v>20</v>
      </c>
      <c r="D89" s="447" t="s">
        <v>14</v>
      </c>
      <c r="E89" s="447"/>
      <c r="F89" s="447"/>
      <c r="G89" s="520">
        <v>13.1</v>
      </c>
      <c r="H89" s="521">
        <v>0.7</v>
      </c>
      <c r="I89" s="522">
        <f t="shared" si="322"/>
        <v>0</v>
      </c>
      <c r="J89" s="522">
        <f t="shared" si="322"/>
        <v>0</v>
      </c>
      <c r="K89" s="522">
        <f t="shared" si="322"/>
        <v>0</v>
      </c>
      <c r="L89" s="57">
        <f>BN89+BR89+BV89+BZ89</f>
        <v>0</v>
      </c>
      <c r="M89" s="60"/>
      <c r="N89" s="60"/>
      <c r="O89" s="60">
        <f>M89-N89</f>
        <v>0</v>
      </c>
      <c r="P89" s="60"/>
      <c r="Q89" s="60"/>
      <c r="R89" s="60">
        <f>P89-Q89</f>
        <v>0</v>
      </c>
      <c r="S89" s="824"/>
      <c r="T89" s="60"/>
      <c r="U89" s="60">
        <f>S89-T89</f>
        <v>0</v>
      </c>
      <c r="V89" s="60">
        <f t="shared" si="323"/>
        <v>0</v>
      </c>
      <c r="W89" s="60">
        <f t="shared" si="323"/>
        <v>0</v>
      </c>
      <c r="X89" s="60">
        <f t="shared" si="323"/>
        <v>0</v>
      </c>
      <c r="Y89" s="60"/>
      <c r="Z89" s="60"/>
      <c r="AA89" s="60">
        <f>Y89-Z89</f>
        <v>0</v>
      </c>
      <c r="AB89" s="60"/>
      <c r="AC89" s="60"/>
      <c r="AD89" s="60">
        <f>AB89-AC89</f>
        <v>0</v>
      </c>
      <c r="AE89" s="60"/>
      <c r="AF89" s="60"/>
      <c r="AG89" s="60">
        <f>AE89-AF89</f>
        <v>0</v>
      </c>
      <c r="AH89" s="60">
        <f t="shared" si="324"/>
        <v>0</v>
      </c>
      <c r="AI89" s="60">
        <f t="shared" si="324"/>
        <v>0</v>
      </c>
      <c r="AJ89" s="60">
        <f t="shared" si="324"/>
        <v>0</v>
      </c>
      <c r="AK89" s="60"/>
      <c r="AL89" s="60"/>
      <c r="AM89" s="60">
        <f>AK89-AL89</f>
        <v>0</v>
      </c>
      <c r="AN89" s="60"/>
      <c r="AO89" s="60"/>
      <c r="AP89" s="60">
        <f>AN89-AO89</f>
        <v>0</v>
      </c>
      <c r="AQ89" s="60"/>
      <c r="AR89" s="60"/>
      <c r="AS89" s="60">
        <f>AQ89-AR89</f>
        <v>0</v>
      </c>
      <c r="AT89" s="60">
        <f t="shared" si="325"/>
        <v>0</v>
      </c>
      <c r="AU89" s="60">
        <f t="shared" si="325"/>
        <v>0</v>
      </c>
      <c r="AV89" s="60">
        <f t="shared" si="325"/>
        <v>0</v>
      </c>
      <c r="AW89" s="60"/>
      <c r="AX89" s="60"/>
      <c r="AY89" s="60">
        <f>AW89-AX89</f>
        <v>0</v>
      </c>
      <c r="AZ89" s="60"/>
      <c r="BA89" s="60"/>
      <c r="BB89" s="60">
        <f>AZ89-BA89</f>
        <v>0</v>
      </c>
      <c r="BC89" s="60"/>
      <c r="BD89" s="60"/>
      <c r="BE89" s="60">
        <f>BC89-BD89</f>
        <v>0</v>
      </c>
      <c r="BF89" s="60">
        <f t="shared" ref="BF89:BH90" si="327">AW89+AZ89+BC89</f>
        <v>0</v>
      </c>
      <c r="BG89" s="60">
        <f t="shared" si="327"/>
        <v>0</v>
      </c>
      <c r="BH89" s="60">
        <f t="shared" si="327"/>
        <v>0</v>
      </c>
      <c r="BI89" s="508"/>
      <c r="BJ89" s="488" t="str">
        <f t="shared" si="316"/>
        <v>Xé</v>
      </c>
      <c r="BK89" s="523">
        <f>ROUND(O89*G89*$B$6,-2)</f>
        <v>0</v>
      </c>
      <c r="BL89" s="523">
        <f>ROUND(R89*G89*$B$6,-2)</f>
        <v>0</v>
      </c>
      <c r="BM89" s="523">
        <f>ROUND(U89*G89*$B$6,-2)</f>
        <v>0</v>
      </c>
      <c r="BN89" s="523">
        <f>ROUND(X89*G89*$B$6,-2)</f>
        <v>0</v>
      </c>
      <c r="BO89" s="523">
        <f>ROUND(AA89*G89*$B$6,-2)</f>
        <v>0</v>
      </c>
      <c r="BP89" s="523">
        <f>ROUND(AD89*G89*$B$6,-2)</f>
        <v>0</v>
      </c>
      <c r="BQ89" s="523">
        <f>ROUND(AG89*G89*$B$6,-2)</f>
        <v>0</v>
      </c>
      <c r="BR89" s="523">
        <f>ROUND(AJ89*G89*$B$6,-2)</f>
        <v>0</v>
      </c>
      <c r="BS89" s="523">
        <f>ROUND(AM89*G89*$B$6,-2)</f>
        <v>0</v>
      </c>
      <c r="BT89" s="523">
        <f>ROUND(AP89*G89*$B$6,-2)</f>
        <v>0</v>
      </c>
      <c r="BU89" s="523">
        <f>ROUND(AS89*G89*$B$6,-2)</f>
        <v>0</v>
      </c>
      <c r="BV89" s="523">
        <f>ROUND(AV89*G89*$B$6,-2)</f>
        <v>0</v>
      </c>
      <c r="BW89" s="523">
        <f>ROUND(AY89*G89*$B$6,-2)</f>
        <v>0</v>
      </c>
      <c r="BX89" s="523">
        <f>ROUND(BB89*G89*$B$6,-2)</f>
        <v>0</v>
      </c>
      <c r="BY89" s="523">
        <f>ROUND(BE89*G89*$B$6,-2)</f>
        <v>0</v>
      </c>
      <c r="BZ89" s="523">
        <f>ROUND(BH89*G89*$B$6,-2)</f>
        <v>0</v>
      </c>
      <c r="CA89" s="354"/>
      <c r="CB89" s="354" t="b">
        <f>IF(SUM(I89:L89)&lt;&gt;0,"X")</f>
        <v>0</v>
      </c>
      <c r="CC89" s="509" t="str">
        <f>CC87</f>
        <v>KT5.</v>
      </c>
      <c r="CD89" s="509" t="str">
        <f>CC89&amp;G89</f>
        <v>KT5.13,1</v>
      </c>
      <c r="CE89" s="351" t="str">
        <f t="shared" si="317"/>
        <v>Xé</v>
      </c>
      <c r="CF89" s="509" t="str">
        <f>CC89&amp;CE89</f>
        <v>KT5.Xé</v>
      </c>
      <c r="CG89" s="509"/>
      <c r="CH89" s="509"/>
    </row>
    <row r="90" spans="1:86" ht="24.75" customHeight="1" x14ac:dyDescent="0.25">
      <c r="A90" s="354" t="e">
        <f>A87</f>
        <v>#REF!</v>
      </c>
      <c r="B90" s="484"/>
      <c r="C90" s="531" t="s">
        <v>20</v>
      </c>
      <c r="D90" s="447" t="s">
        <v>14</v>
      </c>
      <c r="E90" s="447"/>
      <c r="F90" s="447"/>
      <c r="G90" s="520">
        <v>13.1</v>
      </c>
      <c r="H90" s="521">
        <v>0.7</v>
      </c>
      <c r="I90" s="522">
        <f t="shared" si="322"/>
        <v>0</v>
      </c>
      <c r="J90" s="522">
        <f t="shared" si="322"/>
        <v>0</v>
      </c>
      <c r="K90" s="522">
        <f t="shared" si="322"/>
        <v>0</v>
      </c>
      <c r="L90" s="57">
        <f>BN90+BR90+BV90+BZ90</f>
        <v>0</v>
      </c>
      <c r="M90" s="60"/>
      <c r="N90" s="60"/>
      <c r="O90" s="60">
        <f>M90-N90</f>
        <v>0</v>
      </c>
      <c r="P90" s="60"/>
      <c r="Q90" s="60"/>
      <c r="R90" s="60">
        <f>P90-Q90</f>
        <v>0</v>
      </c>
      <c r="S90" s="824"/>
      <c r="T90" s="60"/>
      <c r="U90" s="60">
        <f>S90-T90</f>
        <v>0</v>
      </c>
      <c r="V90" s="60">
        <f t="shared" si="323"/>
        <v>0</v>
      </c>
      <c r="W90" s="60">
        <f t="shared" si="323"/>
        <v>0</v>
      </c>
      <c r="X90" s="60">
        <f t="shared" si="323"/>
        <v>0</v>
      </c>
      <c r="Y90" s="60"/>
      <c r="Z90" s="60"/>
      <c r="AA90" s="60">
        <f>Y90-Z90</f>
        <v>0</v>
      </c>
      <c r="AB90" s="60"/>
      <c r="AC90" s="60"/>
      <c r="AD90" s="60">
        <f>AB90-AC90</f>
        <v>0</v>
      </c>
      <c r="AE90" s="60"/>
      <c r="AF90" s="60"/>
      <c r="AG90" s="60">
        <f>AE90-AF90</f>
        <v>0</v>
      </c>
      <c r="AH90" s="60">
        <f t="shared" si="324"/>
        <v>0</v>
      </c>
      <c r="AI90" s="60">
        <f t="shared" si="324"/>
        <v>0</v>
      </c>
      <c r="AJ90" s="60">
        <f t="shared" si="324"/>
        <v>0</v>
      </c>
      <c r="AK90" s="60"/>
      <c r="AL90" s="60"/>
      <c r="AM90" s="60">
        <f>AK90-AL90</f>
        <v>0</v>
      </c>
      <c r="AN90" s="60"/>
      <c r="AO90" s="60"/>
      <c r="AP90" s="60">
        <f>AN90-AO90</f>
        <v>0</v>
      </c>
      <c r="AQ90" s="60"/>
      <c r="AR90" s="60"/>
      <c r="AS90" s="60">
        <f>AQ90-AR90</f>
        <v>0</v>
      </c>
      <c r="AT90" s="60">
        <f t="shared" si="325"/>
        <v>0</v>
      </c>
      <c r="AU90" s="60">
        <f t="shared" si="325"/>
        <v>0</v>
      </c>
      <c r="AV90" s="60">
        <f t="shared" si="325"/>
        <v>0</v>
      </c>
      <c r="AW90" s="60"/>
      <c r="AX90" s="60"/>
      <c r="AY90" s="60">
        <f>AW90-AX90</f>
        <v>0</v>
      </c>
      <c r="AZ90" s="60"/>
      <c r="BA90" s="60"/>
      <c r="BB90" s="60">
        <f>AZ90-BA90</f>
        <v>0</v>
      </c>
      <c r="BC90" s="60"/>
      <c r="BD90" s="60"/>
      <c r="BE90" s="60">
        <f>BC90-BD90</f>
        <v>0</v>
      </c>
      <c r="BF90" s="60">
        <f t="shared" si="327"/>
        <v>0</v>
      </c>
      <c r="BG90" s="60">
        <f t="shared" si="327"/>
        <v>0</v>
      </c>
      <c r="BH90" s="60">
        <f t="shared" si="327"/>
        <v>0</v>
      </c>
      <c r="BI90" s="508"/>
      <c r="BJ90" s="488" t="str">
        <f t="shared" si="316"/>
        <v>Xé</v>
      </c>
      <c r="BK90" s="523">
        <f>ROUND(O90*G90*$B$6,-2)</f>
        <v>0</v>
      </c>
      <c r="BL90" s="523">
        <f>ROUND(R90*G90*$B$6,-2)</f>
        <v>0</v>
      </c>
      <c r="BM90" s="523">
        <f>ROUND(U90*G90*$B$6,-2)</f>
        <v>0</v>
      </c>
      <c r="BN90" s="523">
        <f>ROUND(X90*G90*$B$6,-2)</f>
        <v>0</v>
      </c>
      <c r="BO90" s="523">
        <f>ROUND(AA90*G90*$B$6,-2)</f>
        <v>0</v>
      </c>
      <c r="BP90" s="523">
        <f>ROUND(AD90*G90*$B$6,-2)</f>
        <v>0</v>
      </c>
      <c r="BQ90" s="523">
        <f>ROUND(AG90*G90*$B$6,-2)</f>
        <v>0</v>
      </c>
      <c r="BR90" s="523">
        <f>ROUND(AJ90*G90*$B$6,-2)</f>
        <v>0</v>
      </c>
      <c r="BS90" s="523">
        <f>ROUND(AM90*G90*$B$6,-2)</f>
        <v>0</v>
      </c>
      <c r="BT90" s="523">
        <f>ROUND(AP90*G90*$B$6,-2)</f>
        <v>0</v>
      </c>
      <c r="BU90" s="523">
        <f>ROUND(AS90*G90*$B$6,-2)</f>
        <v>0</v>
      </c>
      <c r="BV90" s="523">
        <f>ROUND(AV90*G90*$B$6,-2)</f>
        <v>0</v>
      </c>
      <c r="BW90" s="523">
        <f>ROUND(AY90*G90*$B$6,-2)</f>
        <v>0</v>
      </c>
      <c r="BX90" s="523">
        <f>ROUND(BB90*G90*$B$6,-2)</f>
        <v>0</v>
      </c>
      <c r="BY90" s="523">
        <f>ROUND(BE90*G90*$B$6,-2)</f>
        <v>0</v>
      </c>
      <c r="BZ90" s="523">
        <f>ROUND(BH90*G90*$B$6,-2)</f>
        <v>0</v>
      </c>
      <c r="CA90" s="354"/>
      <c r="CB90" s="354" t="b">
        <f t="shared" si="3"/>
        <v>0</v>
      </c>
      <c r="CC90" s="509" t="str">
        <f>CC88</f>
        <v>KT5.</v>
      </c>
      <c r="CD90" s="509" t="str">
        <f t="shared" si="48"/>
        <v>KT5.13,1</v>
      </c>
      <c r="CE90" s="351" t="str">
        <f t="shared" si="317"/>
        <v>Xé</v>
      </c>
      <c r="CF90" s="509" t="str">
        <f t="shared" si="49"/>
        <v>KT5.Xé</v>
      </c>
      <c r="CG90" s="509"/>
      <c r="CH90" s="509"/>
    </row>
    <row r="91" spans="1:86" ht="18" customHeight="1" x14ac:dyDescent="0.3">
      <c r="A91" s="354" t="e">
        <f>#REF!</f>
        <v>#REF!</v>
      </c>
      <c r="B91" s="503">
        <v>6</v>
      </c>
      <c r="C91" s="507" t="s">
        <v>447</v>
      </c>
      <c r="D91" s="505"/>
      <c r="E91" s="505"/>
      <c r="F91" s="505"/>
      <c r="G91" s="505"/>
      <c r="H91" s="505"/>
      <c r="I91" s="59">
        <f t="shared" ref="I91:AN91" si="328">SUM(I92:I105)/2</f>
        <v>785</v>
      </c>
      <c r="J91" s="59">
        <f t="shared" si="328"/>
        <v>150</v>
      </c>
      <c r="K91" s="59">
        <f t="shared" si="328"/>
        <v>635</v>
      </c>
      <c r="L91" s="59">
        <f t="shared" si="328"/>
        <v>6600</v>
      </c>
      <c r="M91" s="209">
        <f t="shared" si="328"/>
        <v>115</v>
      </c>
      <c r="N91" s="209">
        <f t="shared" si="328"/>
        <v>25</v>
      </c>
      <c r="O91" s="209">
        <f t="shared" si="328"/>
        <v>90</v>
      </c>
      <c r="P91" s="209">
        <f t="shared" si="328"/>
        <v>70</v>
      </c>
      <c r="Q91" s="209">
        <f t="shared" si="328"/>
        <v>15</v>
      </c>
      <c r="R91" s="209">
        <f t="shared" si="328"/>
        <v>55</v>
      </c>
      <c r="S91" s="822">
        <f t="shared" si="328"/>
        <v>60</v>
      </c>
      <c r="T91" s="209">
        <f t="shared" si="328"/>
        <v>5</v>
      </c>
      <c r="U91" s="209">
        <f t="shared" si="328"/>
        <v>55</v>
      </c>
      <c r="V91" s="209">
        <f t="shared" si="328"/>
        <v>245</v>
      </c>
      <c r="W91" s="209">
        <f t="shared" si="328"/>
        <v>45</v>
      </c>
      <c r="X91" s="209">
        <f t="shared" si="328"/>
        <v>200</v>
      </c>
      <c r="Y91" s="209">
        <f t="shared" si="328"/>
        <v>85</v>
      </c>
      <c r="Z91" s="209">
        <f t="shared" si="328"/>
        <v>15</v>
      </c>
      <c r="AA91" s="209">
        <f t="shared" si="328"/>
        <v>70</v>
      </c>
      <c r="AB91" s="209">
        <f t="shared" si="328"/>
        <v>70</v>
      </c>
      <c r="AC91" s="209">
        <f t="shared" si="328"/>
        <v>15</v>
      </c>
      <c r="AD91" s="209">
        <f t="shared" si="328"/>
        <v>55</v>
      </c>
      <c r="AE91" s="209">
        <f t="shared" si="328"/>
        <v>70</v>
      </c>
      <c r="AF91" s="209">
        <f t="shared" si="328"/>
        <v>15</v>
      </c>
      <c r="AG91" s="209">
        <f t="shared" si="328"/>
        <v>55</v>
      </c>
      <c r="AH91" s="209">
        <f t="shared" si="328"/>
        <v>225</v>
      </c>
      <c r="AI91" s="209">
        <f t="shared" si="328"/>
        <v>45</v>
      </c>
      <c r="AJ91" s="209">
        <f t="shared" si="328"/>
        <v>180</v>
      </c>
      <c r="AK91" s="209">
        <f t="shared" si="328"/>
        <v>95</v>
      </c>
      <c r="AL91" s="209">
        <f t="shared" si="328"/>
        <v>20</v>
      </c>
      <c r="AM91" s="209">
        <f t="shared" si="328"/>
        <v>75</v>
      </c>
      <c r="AN91" s="209">
        <f t="shared" si="328"/>
        <v>100</v>
      </c>
      <c r="AO91" s="209">
        <f t="shared" ref="AO91:BK91" si="329">SUM(AO92:AO105)/2</f>
        <v>0</v>
      </c>
      <c r="AP91" s="209">
        <f t="shared" si="329"/>
        <v>100</v>
      </c>
      <c r="AQ91" s="209">
        <f t="shared" si="329"/>
        <v>20</v>
      </c>
      <c r="AR91" s="209">
        <f t="shared" si="329"/>
        <v>10</v>
      </c>
      <c r="AS91" s="209">
        <f t="shared" si="329"/>
        <v>10</v>
      </c>
      <c r="AT91" s="209">
        <f t="shared" si="329"/>
        <v>215</v>
      </c>
      <c r="AU91" s="209">
        <f t="shared" si="329"/>
        <v>30</v>
      </c>
      <c r="AV91" s="209">
        <f t="shared" si="329"/>
        <v>185</v>
      </c>
      <c r="AW91" s="209">
        <f t="shared" si="329"/>
        <v>20</v>
      </c>
      <c r="AX91" s="209">
        <f t="shared" si="329"/>
        <v>10</v>
      </c>
      <c r="AY91" s="209">
        <f t="shared" si="329"/>
        <v>10</v>
      </c>
      <c r="AZ91" s="209">
        <f t="shared" si="329"/>
        <v>20</v>
      </c>
      <c r="BA91" s="209">
        <f t="shared" si="329"/>
        <v>10</v>
      </c>
      <c r="BB91" s="209">
        <f t="shared" si="329"/>
        <v>10</v>
      </c>
      <c r="BC91" s="209">
        <f t="shared" si="329"/>
        <v>60</v>
      </c>
      <c r="BD91" s="209">
        <f t="shared" si="329"/>
        <v>10</v>
      </c>
      <c r="BE91" s="209">
        <f t="shared" si="329"/>
        <v>50</v>
      </c>
      <c r="BF91" s="209">
        <f t="shared" si="329"/>
        <v>100</v>
      </c>
      <c r="BG91" s="209">
        <f t="shared" si="329"/>
        <v>30</v>
      </c>
      <c r="BH91" s="209">
        <f t="shared" si="329"/>
        <v>70</v>
      </c>
      <c r="BI91" s="508"/>
      <c r="BJ91" s="488" t="str">
        <f t="shared" si="316"/>
        <v>PX</v>
      </c>
      <c r="BK91" s="222">
        <f t="shared" si="329"/>
        <v>600</v>
      </c>
      <c r="BL91" s="222">
        <f t="shared" ref="BL91:BZ91" si="330">SUM(BL92:BL105)/2</f>
        <v>700</v>
      </c>
      <c r="BM91" s="222">
        <f t="shared" si="330"/>
        <v>700</v>
      </c>
      <c r="BN91" s="222">
        <f t="shared" si="330"/>
        <v>2100</v>
      </c>
      <c r="BO91" s="222">
        <f t="shared" si="330"/>
        <v>800</v>
      </c>
      <c r="BP91" s="222">
        <f t="shared" si="330"/>
        <v>700</v>
      </c>
      <c r="BQ91" s="222">
        <f t="shared" si="330"/>
        <v>700</v>
      </c>
      <c r="BR91" s="222">
        <f t="shared" si="330"/>
        <v>2300</v>
      </c>
      <c r="BS91" s="222">
        <f t="shared" si="330"/>
        <v>900</v>
      </c>
      <c r="BT91" s="222">
        <f t="shared" si="330"/>
        <v>800</v>
      </c>
      <c r="BU91" s="222">
        <f t="shared" si="330"/>
        <v>0</v>
      </c>
      <c r="BV91" s="222">
        <f t="shared" si="330"/>
        <v>1800</v>
      </c>
      <c r="BW91" s="222">
        <f t="shared" si="330"/>
        <v>0</v>
      </c>
      <c r="BX91" s="222">
        <f t="shared" si="330"/>
        <v>0</v>
      </c>
      <c r="BY91" s="222">
        <f t="shared" si="330"/>
        <v>300</v>
      </c>
      <c r="BZ91" s="222">
        <f t="shared" si="330"/>
        <v>400</v>
      </c>
      <c r="CA91" s="354"/>
      <c r="CB91" s="354" t="str">
        <f t="shared" si="3"/>
        <v>X</v>
      </c>
      <c r="CC91" s="534" t="s">
        <v>289</v>
      </c>
      <c r="CD91" s="509" t="str">
        <f t="shared" si="48"/>
        <v>KT6.</v>
      </c>
      <c r="CE91" s="351" t="str">
        <f t="shared" si="317"/>
        <v>PX</v>
      </c>
      <c r="CF91" s="509" t="str">
        <f t="shared" si="49"/>
        <v>KT6.PX</v>
      </c>
      <c r="CG91" s="509"/>
      <c r="CH91" s="509"/>
    </row>
    <row r="92" spans="1:86" s="358" customFormat="1" ht="19.5" customHeight="1" x14ac:dyDescent="0.25">
      <c r="A92" s="354" t="e">
        <f>#REF!</f>
        <v>#REF!</v>
      </c>
      <c r="B92" s="511" t="s">
        <v>8</v>
      </c>
      <c r="C92" s="512" t="s">
        <v>177</v>
      </c>
      <c r="D92" s="513"/>
      <c r="E92" s="513"/>
      <c r="F92" s="513"/>
      <c r="G92" s="514"/>
      <c r="H92" s="515"/>
      <c r="I92" s="211">
        <f>SUM(I93:I101)</f>
        <v>640</v>
      </c>
      <c r="J92" s="211">
        <f t="shared" ref="J92:AJ92" si="331">SUM(J93:J101)</f>
        <v>70</v>
      </c>
      <c r="K92" s="211">
        <f t="shared" si="331"/>
        <v>570</v>
      </c>
      <c r="L92" s="211">
        <f t="shared" si="331"/>
        <v>6300</v>
      </c>
      <c r="M92" s="211">
        <f t="shared" si="331"/>
        <v>100</v>
      </c>
      <c r="N92" s="211">
        <f t="shared" si="331"/>
        <v>10</v>
      </c>
      <c r="O92" s="211">
        <f t="shared" si="331"/>
        <v>90</v>
      </c>
      <c r="P92" s="211">
        <f t="shared" si="331"/>
        <v>70</v>
      </c>
      <c r="Q92" s="211">
        <f t="shared" si="331"/>
        <v>15</v>
      </c>
      <c r="R92" s="211">
        <f t="shared" si="331"/>
        <v>55</v>
      </c>
      <c r="S92" s="823">
        <f t="shared" si="331"/>
        <v>60</v>
      </c>
      <c r="T92" s="211">
        <f t="shared" si="331"/>
        <v>5</v>
      </c>
      <c r="U92" s="211">
        <f t="shared" si="331"/>
        <v>55</v>
      </c>
      <c r="V92" s="211">
        <f t="shared" si="331"/>
        <v>230</v>
      </c>
      <c r="W92" s="211">
        <f t="shared" si="331"/>
        <v>30</v>
      </c>
      <c r="X92" s="211">
        <f t="shared" si="331"/>
        <v>200</v>
      </c>
      <c r="Y92" s="211">
        <f t="shared" si="331"/>
        <v>70</v>
      </c>
      <c r="Z92" s="211">
        <f t="shared" si="331"/>
        <v>10</v>
      </c>
      <c r="AA92" s="211">
        <f t="shared" si="331"/>
        <v>60</v>
      </c>
      <c r="AB92" s="211">
        <f t="shared" si="331"/>
        <v>55</v>
      </c>
      <c r="AC92" s="211">
        <f t="shared" si="331"/>
        <v>5</v>
      </c>
      <c r="AD92" s="211">
        <f t="shared" si="331"/>
        <v>50</v>
      </c>
      <c r="AE92" s="211">
        <f t="shared" si="331"/>
        <v>70</v>
      </c>
      <c r="AF92" s="211">
        <f t="shared" si="331"/>
        <v>15</v>
      </c>
      <c r="AG92" s="211">
        <f t="shared" si="331"/>
        <v>55</v>
      </c>
      <c r="AH92" s="211">
        <f t="shared" si="331"/>
        <v>195</v>
      </c>
      <c r="AI92" s="211">
        <f t="shared" si="331"/>
        <v>30</v>
      </c>
      <c r="AJ92" s="211">
        <f t="shared" si="331"/>
        <v>165</v>
      </c>
      <c r="AK92" s="230">
        <f t="shared" ref="AK92:BH92" si="332">SUM(AK93:AK101)</f>
        <v>75</v>
      </c>
      <c r="AL92" s="230">
        <f t="shared" si="332"/>
        <v>10</v>
      </c>
      <c r="AM92" s="230">
        <f t="shared" si="332"/>
        <v>65</v>
      </c>
      <c r="AN92" s="230">
        <f t="shared" si="332"/>
        <v>100</v>
      </c>
      <c r="AO92" s="230">
        <f t="shared" si="332"/>
        <v>0</v>
      </c>
      <c r="AP92" s="230">
        <f t="shared" si="332"/>
        <v>100</v>
      </c>
      <c r="AQ92" s="230">
        <f t="shared" si="332"/>
        <v>0</v>
      </c>
      <c r="AR92" s="230">
        <f t="shared" si="332"/>
        <v>0</v>
      </c>
      <c r="AS92" s="230">
        <f t="shared" si="332"/>
        <v>0</v>
      </c>
      <c r="AT92" s="230">
        <f t="shared" si="332"/>
        <v>175</v>
      </c>
      <c r="AU92" s="230">
        <f t="shared" si="332"/>
        <v>10</v>
      </c>
      <c r="AV92" s="230">
        <f t="shared" si="332"/>
        <v>165</v>
      </c>
      <c r="AW92" s="230">
        <f t="shared" si="332"/>
        <v>0</v>
      </c>
      <c r="AX92" s="230">
        <f t="shared" si="332"/>
        <v>0</v>
      </c>
      <c r="AY92" s="230">
        <f t="shared" si="332"/>
        <v>0</v>
      </c>
      <c r="AZ92" s="230">
        <f t="shared" si="332"/>
        <v>0</v>
      </c>
      <c r="BA92" s="230">
        <f t="shared" si="332"/>
        <v>0</v>
      </c>
      <c r="BB92" s="230">
        <f t="shared" si="332"/>
        <v>0</v>
      </c>
      <c r="BC92" s="230">
        <f t="shared" si="332"/>
        <v>40</v>
      </c>
      <c r="BD92" s="230">
        <f t="shared" si="332"/>
        <v>0</v>
      </c>
      <c r="BE92" s="230">
        <f t="shared" si="332"/>
        <v>40</v>
      </c>
      <c r="BF92" s="230">
        <f t="shared" si="332"/>
        <v>40</v>
      </c>
      <c r="BG92" s="230">
        <f t="shared" si="332"/>
        <v>0</v>
      </c>
      <c r="BH92" s="230">
        <f t="shared" si="332"/>
        <v>40</v>
      </c>
      <c r="BI92" s="516"/>
      <c r="BJ92" s="488" t="str">
        <f t="shared" si="316"/>
        <v>ĐL</v>
      </c>
      <c r="BK92" s="57">
        <f>SUM(BK93:BK101)</f>
        <v>600</v>
      </c>
      <c r="BL92" s="57">
        <f t="shared" ref="BL92:BZ92" si="333">SUM(BL93:BL101)</f>
        <v>700</v>
      </c>
      <c r="BM92" s="57">
        <f t="shared" si="333"/>
        <v>700</v>
      </c>
      <c r="BN92" s="57">
        <f t="shared" si="333"/>
        <v>2100</v>
      </c>
      <c r="BO92" s="57">
        <f t="shared" si="333"/>
        <v>800</v>
      </c>
      <c r="BP92" s="57">
        <f t="shared" si="333"/>
        <v>700</v>
      </c>
      <c r="BQ92" s="57">
        <f t="shared" si="333"/>
        <v>700</v>
      </c>
      <c r="BR92" s="57">
        <f t="shared" si="333"/>
        <v>2200</v>
      </c>
      <c r="BS92" s="57">
        <f t="shared" si="333"/>
        <v>900</v>
      </c>
      <c r="BT92" s="57">
        <f t="shared" si="333"/>
        <v>800</v>
      </c>
      <c r="BU92" s="57">
        <f t="shared" si="333"/>
        <v>0</v>
      </c>
      <c r="BV92" s="57">
        <f t="shared" si="333"/>
        <v>1700</v>
      </c>
      <c r="BW92" s="57">
        <f t="shared" si="333"/>
        <v>0</v>
      </c>
      <c r="BX92" s="57">
        <f t="shared" si="333"/>
        <v>0</v>
      </c>
      <c r="BY92" s="57">
        <f t="shared" si="333"/>
        <v>300</v>
      </c>
      <c r="BZ92" s="57">
        <f t="shared" si="333"/>
        <v>300</v>
      </c>
      <c r="CA92" s="517">
        <f>I92-V92-AH92-AT92-BF92</f>
        <v>0</v>
      </c>
      <c r="CB92" s="510" t="str">
        <f t="shared" si="3"/>
        <v>X</v>
      </c>
      <c r="CC92" s="509" t="str">
        <f t="shared" si="47"/>
        <v>KT6.</v>
      </c>
      <c r="CD92" s="509" t="str">
        <f t="shared" si="48"/>
        <v>KT6.</v>
      </c>
      <c r="CE92" s="351" t="str">
        <f t="shared" si="317"/>
        <v>ĐL</v>
      </c>
      <c r="CF92" s="509" t="str">
        <f t="shared" si="49"/>
        <v>KT6.ĐL</v>
      </c>
      <c r="CG92" s="509"/>
      <c r="CH92" s="509"/>
    </row>
    <row r="93" spans="1:86" ht="24" customHeight="1" x14ac:dyDescent="0.25">
      <c r="A93" s="354" t="e">
        <f t="shared" si="206"/>
        <v>#REF!</v>
      </c>
      <c r="B93" s="518"/>
      <c r="C93" s="519" t="s">
        <v>655</v>
      </c>
      <c r="D93" s="447" t="s">
        <v>206</v>
      </c>
      <c r="E93" s="447"/>
      <c r="F93" s="447"/>
      <c r="G93" s="520">
        <v>5.4</v>
      </c>
      <c r="H93" s="521">
        <v>0.7</v>
      </c>
      <c r="I93" s="522">
        <f t="shared" ref="I93:K97" si="334">V93+AH93+AT93+BF93</f>
        <v>100</v>
      </c>
      <c r="J93" s="522">
        <f t="shared" si="334"/>
        <v>10</v>
      </c>
      <c r="K93" s="522">
        <f t="shared" si="334"/>
        <v>90</v>
      </c>
      <c r="L93" s="57">
        <f t="shared" ref="L93:L101" si="335">BN93+BR93+BV93+BZ93</f>
        <v>600</v>
      </c>
      <c r="M93" s="60">
        <v>100</v>
      </c>
      <c r="N93" s="60">
        <v>10</v>
      </c>
      <c r="O93" s="60">
        <f t="shared" ref="O93:O101" si="336">M93-N93</f>
        <v>90</v>
      </c>
      <c r="P93" s="60"/>
      <c r="Q93" s="60"/>
      <c r="R93" s="60">
        <f t="shared" ref="R93:R101" si="337">P93-Q93</f>
        <v>0</v>
      </c>
      <c r="S93" s="824"/>
      <c r="T93" s="60"/>
      <c r="U93" s="60">
        <f t="shared" ref="U93:U101" si="338">S93-T93</f>
        <v>0</v>
      </c>
      <c r="V93" s="60">
        <f t="shared" ref="V93:X97" si="339">M93+P93+S93</f>
        <v>100</v>
      </c>
      <c r="W93" s="60">
        <f t="shared" si="339"/>
        <v>10</v>
      </c>
      <c r="X93" s="60">
        <f t="shared" si="339"/>
        <v>90</v>
      </c>
      <c r="Y93" s="60"/>
      <c r="Z93" s="60"/>
      <c r="AA93" s="60">
        <f t="shared" ref="AA93:AA101" si="340">Y93-Z93</f>
        <v>0</v>
      </c>
      <c r="AB93" s="60"/>
      <c r="AC93" s="60"/>
      <c r="AD93" s="60">
        <f t="shared" ref="AD93:AD101" si="341">AB93-AC93</f>
        <v>0</v>
      </c>
      <c r="AE93" s="60"/>
      <c r="AF93" s="60"/>
      <c r="AG93" s="60">
        <f t="shared" ref="AG93:AG101" si="342">AE93-AF93</f>
        <v>0</v>
      </c>
      <c r="AH93" s="60">
        <f>Y93+AB93+AE93</f>
        <v>0</v>
      </c>
      <c r="AI93" s="60">
        <f>Z93+AC93+AF93</f>
        <v>0</v>
      </c>
      <c r="AJ93" s="60">
        <f>AA93+AD93+AG93</f>
        <v>0</v>
      </c>
      <c r="AK93" s="60"/>
      <c r="AL93" s="60"/>
      <c r="AM93" s="60">
        <f t="shared" ref="AM93:AM101" si="343">AK93-AL93</f>
        <v>0</v>
      </c>
      <c r="AN93" s="60"/>
      <c r="AO93" s="60"/>
      <c r="AP93" s="60">
        <f t="shared" ref="AP93:AP101" si="344">AN93-AO93</f>
        <v>0</v>
      </c>
      <c r="AQ93" s="60"/>
      <c r="AR93" s="60"/>
      <c r="AS93" s="60">
        <f t="shared" ref="AS93:AS101" si="345">AQ93-AR93</f>
        <v>0</v>
      </c>
      <c r="AT93" s="60">
        <f t="shared" ref="AT93:AV95" si="346">AK93+AN93+AQ93</f>
        <v>0</v>
      </c>
      <c r="AU93" s="60">
        <f t="shared" si="346"/>
        <v>0</v>
      </c>
      <c r="AV93" s="60">
        <f t="shared" si="346"/>
        <v>0</v>
      </c>
      <c r="AW93" s="60"/>
      <c r="AX93" s="60"/>
      <c r="AY93" s="60">
        <f t="shared" ref="AY93:AY101" si="347">AW93-AX93</f>
        <v>0</v>
      </c>
      <c r="AZ93" s="60"/>
      <c r="BA93" s="60"/>
      <c r="BB93" s="60">
        <f t="shared" ref="BB93:BB101" si="348">AZ93-BA93</f>
        <v>0</v>
      </c>
      <c r="BC93" s="60"/>
      <c r="BD93" s="60"/>
      <c r="BE93" s="60">
        <f t="shared" ref="BE93:BE101" si="349">BC93-BD93</f>
        <v>0</v>
      </c>
      <c r="BF93" s="60">
        <f t="shared" ref="BF93:BH95" si="350">AW93+AZ93+BC93</f>
        <v>0</v>
      </c>
      <c r="BG93" s="60">
        <f t="shared" si="350"/>
        <v>0</v>
      </c>
      <c r="BH93" s="60">
        <f t="shared" si="350"/>
        <v>0</v>
      </c>
      <c r="BI93" s="508"/>
      <c r="BJ93" s="488" t="str">
        <f t="shared" si="316"/>
        <v>Lò</v>
      </c>
      <c r="BK93" s="523">
        <f t="shared" ref="BK93:BK101" si="351">ROUND(O93*G93*$C$3*$B$5,-2)</f>
        <v>600</v>
      </c>
      <c r="BL93" s="523">
        <f t="shared" ref="BL93:BL101" si="352">ROUND(R93*G93*$C$3*$B$5,-2)</f>
        <v>0</v>
      </c>
      <c r="BM93" s="523">
        <f t="shared" ref="BM93:BM101" si="353">ROUND(U93*G93*$C$3*$B$5,-2)</f>
        <v>0</v>
      </c>
      <c r="BN93" s="523">
        <f t="shared" ref="BN93:BN101" si="354">ROUND(X93*G93*$C$3*$B$5,-2)</f>
        <v>600</v>
      </c>
      <c r="BO93" s="523">
        <f t="shared" ref="BO93:BO101" si="355">ROUND(AA93*G93*$C$3*$B$5,-2)</f>
        <v>0</v>
      </c>
      <c r="BP93" s="523">
        <f t="shared" ref="BP93:BP101" si="356">ROUND(AD93*G93*$C$3*$B$5,-2)</f>
        <v>0</v>
      </c>
      <c r="BQ93" s="523">
        <f t="shared" ref="BQ93:BQ101" si="357">ROUND(AG93*G93*$C$3*$B$5,-2)</f>
        <v>0</v>
      </c>
      <c r="BR93" s="523">
        <f t="shared" ref="BR93:BR101" si="358">ROUND(AJ93*G93*$B$5*$C$3,-2)</f>
        <v>0</v>
      </c>
      <c r="BS93" s="523">
        <f t="shared" ref="BS93:BS101" si="359">ROUND(AM93*G93*$C$3*$B$5,-2)</f>
        <v>0</v>
      </c>
      <c r="BT93" s="523">
        <f t="shared" ref="BT93:BT101" si="360">ROUND(AP93*G93*$C$3*$B$5,-2)</f>
        <v>0</v>
      </c>
      <c r="BU93" s="523">
        <f t="shared" ref="BU93:BU101" si="361">ROUND(AS93*G93*$C$3*$B$5,-2)</f>
        <v>0</v>
      </c>
      <c r="BV93" s="523">
        <f t="shared" ref="BV93:BV101" si="362">ROUND(AV93*G93*$C$3*$B$5,-2)</f>
        <v>0</v>
      </c>
      <c r="BW93" s="523">
        <f t="shared" ref="BW93:BW101" si="363">ROUND(AY93*G93*$C$3*$B$5,-2)</f>
        <v>0</v>
      </c>
      <c r="BX93" s="523">
        <f t="shared" ref="BX93:BX101" si="364">ROUND(BB93*G93*$C$3*$B$5,-2)</f>
        <v>0</v>
      </c>
      <c r="BY93" s="523">
        <f t="shared" ref="BY93:BY101" si="365">ROUND(BE93*G93*$C$3*$B$5,-2)</f>
        <v>0</v>
      </c>
      <c r="BZ93" s="523">
        <f t="shared" ref="BZ93:BZ101" si="366">ROUND(BH93*G93*$C$3*$B$5,-2)</f>
        <v>0</v>
      </c>
      <c r="CA93" s="354"/>
      <c r="CB93" s="354" t="str">
        <f t="shared" si="3"/>
        <v>X</v>
      </c>
      <c r="CC93" s="509" t="str">
        <f t="shared" si="47"/>
        <v>KT6.</v>
      </c>
      <c r="CD93" s="509" t="str">
        <f t="shared" si="48"/>
        <v>KT6.5,4</v>
      </c>
      <c r="CE93" s="351" t="str">
        <f t="shared" si="317"/>
        <v>Lò</v>
      </c>
      <c r="CF93" s="509" t="str">
        <f t="shared" si="49"/>
        <v>KT6.Lò</v>
      </c>
      <c r="CG93" s="509"/>
      <c r="CH93" s="509"/>
    </row>
    <row r="94" spans="1:86" ht="24" customHeight="1" x14ac:dyDescent="0.25">
      <c r="A94" s="354" t="e">
        <f t="shared" si="206"/>
        <v>#REF!</v>
      </c>
      <c r="B94" s="518"/>
      <c r="C94" s="519" t="s">
        <v>656</v>
      </c>
      <c r="D94" s="447" t="s">
        <v>207</v>
      </c>
      <c r="E94" s="447" t="s">
        <v>207</v>
      </c>
      <c r="F94" s="447"/>
      <c r="G94" s="520">
        <v>11.2</v>
      </c>
      <c r="H94" s="521">
        <v>0.7</v>
      </c>
      <c r="I94" s="522">
        <f t="shared" si="334"/>
        <v>200</v>
      </c>
      <c r="J94" s="522">
        <f t="shared" si="334"/>
        <v>30</v>
      </c>
      <c r="K94" s="522">
        <f t="shared" si="334"/>
        <v>170</v>
      </c>
      <c r="L94" s="57">
        <f t="shared" si="335"/>
        <v>2300</v>
      </c>
      <c r="M94" s="60"/>
      <c r="N94" s="60"/>
      <c r="O94" s="60">
        <f t="shared" si="336"/>
        <v>0</v>
      </c>
      <c r="P94" s="60">
        <v>70</v>
      </c>
      <c r="Q94" s="60">
        <v>15</v>
      </c>
      <c r="R94" s="60">
        <f t="shared" si="337"/>
        <v>55</v>
      </c>
      <c r="S94" s="824">
        <v>60</v>
      </c>
      <c r="T94" s="60">
        <v>5</v>
      </c>
      <c r="U94" s="60">
        <f t="shared" si="338"/>
        <v>55</v>
      </c>
      <c r="V94" s="60">
        <f t="shared" si="339"/>
        <v>130</v>
      </c>
      <c r="W94" s="60">
        <f t="shared" si="339"/>
        <v>20</v>
      </c>
      <c r="X94" s="60">
        <f t="shared" si="339"/>
        <v>110</v>
      </c>
      <c r="Y94" s="60">
        <v>70</v>
      </c>
      <c r="Z94" s="60">
        <v>10</v>
      </c>
      <c r="AA94" s="60">
        <f t="shared" si="340"/>
        <v>60</v>
      </c>
      <c r="AB94" s="60"/>
      <c r="AC94" s="60"/>
      <c r="AD94" s="60">
        <f t="shared" si="341"/>
        <v>0</v>
      </c>
      <c r="AE94" s="60"/>
      <c r="AF94" s="60"/>
      <c r="AG94" s="60">
        <f t="shared" si="342"/>
        <v>0</v>
      </c>
      <c r="AH94" s="60">
        <f t="shared" ref="AH94:AJ97" si="367">Y94+AB94+AE94</f>
        <v>70</v>
      </c>
      <c r="AI94" s="60">
        <f t="shared" si="367"/>
        <v>10</v>
      </c>
      <c r="AJ94" s="60">
        <f t="shared" si="367"/>
        <v>60</v>
      </c>
      <c r="AK94" s="60"/>
      <c r="AL94" s="60"/>
      <c r="AM94" s="60">
        <f t="shared" si="343"/>
        <v>0</v>
      </c>
      <c r="AN94" s="60"/>
      <c r="AO94" s="60"/>
      <c r="AP94" s="60">
        <f t="shared" si="344"/>
        <v>0</v>
      </c>
      <c r="AQ94" s="60"/>
      <c r="AR94" s="60"/>
      <c r="AS94" s="60">
        <f t="shared" si="345"/>
        <v>0</v>
      </c>
      <c r="AT94" s="60">
        <f t="shared" si="346"/>
        <v>0</v>
      </c>
      <c r="AU94" s="60">
        <f t="shared" si="346"/>
        <v>0</v>
      </c>
      <c r="AV94" s="60">
        <f t="shared" si="346"/>
        <v>0</v>
      </c>
      <c r="AW94" s="60"/>
      <c r="AX94" s="60"/>
      <c r="AY94" s="60">
        <f t="shared" si="347"/>
        <v>0</v>
      </c>
      <c r="AZ94" s="60"/>
      <c r="BA94" s="60"/>
      <c r="BB94" s="60">
        <f t="shared" si="348"/>
        <v>0</v>
      </c>
      <c r="BC94" s="60"/>
      <c r="BD94" s="60"/>
      <c r="BE94" s="60">
        <f t="shared" si="349"/>
        <v>0</v>
      </c>
      <c r="BF94" s="60">
        <f t="shared" si="350"/>
        <v>0</v>
      </c>
      <c r="BG94" s="60">
        <f t="shared" si="350"/>
        <v>0</v>
      </c>
      <c r="BH94" s="60">
        <f t="shared" si="350"/>
        <v>0</v>
      </c>
      <c r="BI94" s="508"/>
      <c r="BJ94" s="488" t="str">
        <f t="shared" si="316"/>
        <v>Lò</v>
      </c>
      <c r="BK94" s="523">
        <f t="shared" si="351"/>
        <v>0</v>
      </c>
      <c r="BL94" s="523">
        <f t="shared" si="352"/>
        <v>700</v>
      </c>
      <c r="BM94" s="523">
        <f t="shared" si="353"/>
        <v>700</v>
      </c>
      <c r="BN94" s="523">
        <f>ROUND(X94*G94*$C$3*$B$5,-2)</f>
        <v>1500</v>
      </c>
      <c r="BO94" s="523">
        <f t="shared" si="355"/>
        <v>800</v>
      </c>
      <c r="BP94" s="523">
        <f t="shared" si="356"/>
        <v>0</v>
      </c>
      <c r="BQ94" s="523">
        <f t="shared" si="357"/>
        <v>0</v>
      </c>
      <c r="BR94" s="523">
        <f t="shared" si="358"/>
        <v>800</v>
      </c>
      <c r="BS94" s="523">
        <f t="shared" si="359"/>
        <v>0</v>
      </c>
      <c r="BT94" s="523">
        <f t="shared" si="360"/>
        <v>0</v>
      </c>
      <c r="BU94" s="523">
        <f t="shared" si="361"/>
        <v>0</v>
      </c>
      <c r="BV94" s="523">
        <f t="shared" si="362"/>
        <v>0</v>
      </c>
      <c r="BW94" s="523">
        <f t="shared" si="363"/>
        <v>0</v>
      </c>
      <c r="BX94" s="523">
        <f t="shared" si="364"/>
        <v>0</v>
      </c>
      <c r="BY94" s="523">
        <f t="shared" si="365"/>
        <v>0</v>
      </c>
      <c r="BZ94" s="523">
        <f t="shared" si="366"/>
        <v>0</v>
      </c>
      <c r="CA94" s="354"/>
      <c r="CB94" s="354" t="str">
        <f t="shared" si="3"/>
        <v>X</v>
      </c>
      <c r="CC94" s="509" t="str">
        <f t="shared" si="47"/>
        <v>KT6.</v>
      </c>
      <c r="CD94" s="509" t="str">
        <f t="shared" si="48"/>
        <v>KT6.11,2</v>
      </c>
      <c r="CE94" s="351" t="str">
        <f t="shared" si="317"/>
        <v>Lò</v>
      </c>
      <c r="CF94" s="509" t="str">
        <f t="shared" si="49"/>
        <v>KT6.Lò</v>
      </c>
      <c r="CG94" s="509"/>
      <c r="CH94" s="509"/>
    </row>
    <row r="95" spans="1:86" ht="24" customHeight="1" x14ac:dyDescent="0.25">
      <c r="A95" s="354" t="e">
        <f t="shared" si="206"/>
        <v>#REF!</v>
      </c>
      <c r="B95" s="518"/>
      <c r="C95" s="519" t="s">
        <v>657</v>
      </c>
      <c r="D95" s="447" t="s">
        <v>207</v>
      </c>
      <c r="E95" s="447" t="s">
        <v>207</v>
      </c>
      <c r="F95" s="447"/>
      <c r="G95" s="520">
        <v>11.2</v>
      </c>
      <c r="H95" s="521">
        <v>0.7</v>
      </c>
      <c r="I95" s="522">
        <f t="shared" si="334"/>
        <v>200</v>
      </c>
      <c r="J95" s="522">
        <f t="shared" si="334"/>
        <v>30</v>
      </c>
      <c r="K95" s="522">
        <f t="shared" si="334"/>
        <v>170</v>
      </c>
      <c r="L95" s="57">
        <f t="shared" si="335"/>
        <v>2300</v>
      </c>
      <c r="M95" s="60"/>
      <c r="N95" s="60"/>
      <c r="O95" s="60">
        <f t="shared" si="336"/>
        <v>0</v>
      </c>
      <c r="P95" s="60"/>
      <c r="Q95" s="60"/>
      <c r="R95" s="60">
        <f t="shared" si="337"/>
        <v>0</v>
      </c>
      <c r="S95" s="824"/>
      <c r="T95" s="60"/>
      <c r="U95" s="60">
        <f t="shared" si="338"/>
        <v>0</v>
      </c>
      <c r="V95" s="60">
        <f t="shared" si="339"/>
        <v>0</v>
      </c>
      <c r="W95" s="60">
        <f t="shared" si="339"/>
        <v>0</v>
      </c>
      <c r="X95" s="60">
        <f t="shared" si="339"/>
        <v>0</v>
      </c>
      <c r="Y95" s="60"/>
      <c r="Z95" s="60"/>
      <c r="AA95" s="60">
        <f t="shared" si="340"/>
        <v>0</v>
      </c>
      <c r="AB95" s="60">
        <v>55</v>
      </c>
      <c r="AC95" s="60">
        <v>5</v>
      </c>
      <c r="AD95" s="60">
        <f t="shared" si="341"/>
        <v>50</v>
      </c>
      <c r="AE95" s="60">
        <v>70</v>
      </c>
      <c r="AF95" s="60">
        <v>15</v>
      </c>
      <c r="AG95" s="60">
        <f t="shared" si="342"/>
        <v>55</v>
      </c>
      <c r="AH95" s="60">
        <f t="shared" si="367"/>
        <v>125</v>
      </c>
      <c r="AI95" s="60">
        <f t="shared" si="367"/>
        <v>20</v>
      </c>
      <c r="AJ95" s="60">
        <f t="shared" si="367"/>
        <v>105</v>
      </c>
      <c r="AK95" s="60">
        <v>75</v>
      </c>
      <c r="AL95" s="60">
        <v>10</v>
      </c>
      <c r="AM95" s="60">
        <f t="shared" si="343"/>
        <v>65</v>
      </c>
      <c r="AN95" s="60"/>
      <c r="AO95" s="60"/>
      <c r="AP95" s="60">
        <f t="shared" si="344"/>
        <v>0</v>
      </c>
      <c r="AQ95" s="60"/>
      <c r="AR95" s="60"/>
      <c r="AS95" s="60">
        <f t="shared" si="345"/>
        <v>0</v>
      </c>
      <c r="AT95" s="60">
        <f t="shared" si="346"/>
        <v>75</v>
      </c>
      <c r="AU95" s="60">
        <f t="shared" si="346"/>
        <v>10</v>
      </c>
      <c r="AV95" s="60">
        <f t="shared" si="346"/>
        <v>65</v>
      </c>
      <c r="AW95" s="60"/>
      <c r="AX95" s="60"/>
      <c r="AY95" s="60">
        <f t="shared" si="347"/>
        <v>0</v>
      </c>
      <c r="AZ95" s="60"/>
      <c r="BA95" s="60"/>
      <c r="BB95" s="60">
        <f t="shared" si="348"/>
        <v>0</v>
      </c>
      <c r="BC95" s="60"/>
      <c r="BD95" s="60"/>
      <c r="BE95" s="60">
        <f t="shared" si="349"/>
        <v>0</v>
      </c>
      <c r="BF95" s="60">
        <f t="shared" si="350"/>
        <v>0</v>
      </c>
      <c r="BG95" s="60">
        <f t="shared" si="350"/>
        <v>0</v>
      </c>
      <c r="BH95" s="60">
        <f t="shared" si="350"/>
        <v>0</v>
      </c>
      <c r="BI95" s="508"/>
      <c r="BJ95" s="488" t="str">
        <f t="shared" si="316"/>
        <v>Lò</v>
      </c>
      <c r="BK95" s="523">
        <f t="shared" si="351"/>
        <v>0</v>
      </c>
      <c r="BL95" s="523">
        <f t="shared" si="352"/>
        <v>0</v>
      </c>
      <c r="BM95" s="523">
        <f t="shared" si="353"/>
        <v>0</v>
      </c>
      <c r="BN95" s="523">
        <f t="shared" si="354"/>
        <v>0</v>
      </c>
      <c r="BO95" s="523">
        <f t="shared" si="355"/>
        <v>0</v>
      </c>
      <c r="BP95" s="523">
        <f t="shared" si="356"/>
        <v>700</v>
      </c>
      <c r="BQ95" s="523">
        <f t="shared" si="357"/>
        <v>700</v>
      </c>
      <c r="BR95" s="523">
        <f t="shared" si="358"/>
        <v>1400</v>
      </c>
      <c r="BS95" s="523">
        <f t="shared" si="359"/>
        <v>900</v>
      </c>
      <c r="BT95" s="523">
        <f t="shared" si="360"/>
        <v>0</v>
      </c>
      <c r="BU95" s="523">
        <f t="shared" si="361"/>
        <v>0</v>
      </c>
      <c r="BV95" s="523">
        <f t="shared" si="362"/>
        <v>900</v>
      </c>
      <c r="BW95" s="523">
        <f t="shared" si="363"/>
        <v>0</v>
      </c>
      <c r="BX95" s="523">
        <f t="shared" si="364"/>
        <v>0</v>
      </c>
      <c r="BY95" s="523">
        <f t="shared" si="365"/>
        <v>0</v>
      </c>
      <c r="BZ95" s="523">
        <f t="shared" si="366"/>
        <v>0</v>
      </c>
      <c r="CA95" s="354"/>
      <c r="CB95" s="354" t="str">
        <f t="shared" si="3"/>
        <v>X</v>
      </c>
      <c r="CC95" s="509" t="str">
        <f t="shared" si="47"/>
        <v>KT6.</v>
      </c>
      <c r="CD95" s="509" t="str">
        <f t="shared" si="48"/>
        <v>KT6.11,2</v>
      </c>
      <c r="CE95" s="351" t="str">
        <f t="shared" si="317"/>
        <v>Lò</v>
      </c>
      <c r="CF95" s="509" t="str">
        <f t="shared" si="49"/>
        <v>KT6.Lò</v>
      </c>
      <c r="CG95" s="509"/>
      <c r="CH95" s="509"/>
    </row>
    <row r="96" spans="1:86" ht="24" customHeight="1" x14ac:dyDescent="0.25">
      <c r="A96" s="354" t="e">
        <f t="shared" si="206"/>
        <v>#REF!</v>
      </c>
      <c r="B96" s="518"/>
      <c r="C96" s="519" t="s">
        <v>659</v>
      </c>
      <c r="D96" s="447" t="s">
        <v>14</v>
      </c>
      <c r="E96" s="447"/>
      <c r="F96" s="447"/>
      <c r="G96" s="520">
        <v>8.5</v>
      </c>
      <c r="H96" s="521">
        <v>0.7</v>
      </c>
      <c r="I96" s="522">
        <f t="shared" si="334"/>
        <v>50</v>
      </c>
      <c r="J96" s="522">
        <f t="shared" si="334"/>
        <v>0</v>
      </c>
      <c r="K96" s="522">
        <f t="shared" si="334"/>
        <v>50</v>
      </c>
      <c r="L96" s="57">
        <f t="shared" si="335"/>
        <v>500</v>
      </c>
      <c r="M96" s="60"/>
      <c r="N96" s="60"/>
      <c r="O96" s="60">
        <f t="shared" si="336"/>
        <v>0</v>
      </c>
      <c r="P96" s="60"/>
      <c r="Q96" s="60"/>
      <c r="R96" s="60">
        <f t="shared" si="337"/>
        <v>0</v>
      </c>
      <c r="S96" s="824"/>
      <c r="T96" s="60"/>
      <c r="U96" s="60">
        <f t="shared" si="338"/>
        <v>0</v>
      </c>
      <c r="V96" s="60">
        <f t="shared" si="339"/>
        <v>0</v>
      </c>
      <c r="W96" s="60">
        <f t="shared" si="339"/>
        <v>0</v>
      </c>
      <c r="X96" s="60">
        <f t="shared" si="339"/>
        <v>0</v>
      </c>
      <c r="Y96" s="60"/>
      <c r="Z96" s="60"/>
      <c r="AA96" s="60">
        <f t="shared" si="340"/>
        <v>0</v>
      </c>
      <c r="AB96" s="60"/>
      <c r="AC96" s="60"/>
      <c r="AD96" s="60">
        <f t="shared" si="341"/>
        <v>0</v>
      </c>
      <c r="AE96" s="60"/>
      <c r="AF96" s="60"/>
      <c r="AG96" s="60">
        <f t="shared" si="342"/>
        <v>0</v>
      </c>
      <c r="AH96" s="60">
        <f t="shared" si="367"/>
        <v>0</v>
      </c>
      <c r="AI96" s="60">
        <f t="shared" si="367"/>
        <v>0</v>
      </c>
      <c r="AJ96" s="60">
        <f t="shared" si="367"/>
        <v>0</v>
      </c>
      <c r="AK96" s="60"/>
      <c r="AL96" s="60"/>
      <c r="AM96" s="60">
        <f t="shared" si="343"/>
        <v>0</v>
      </c>
      <c r="AN96" s="60">
        <v>50</v>
      </c>
      <c r="AO96" s="60"/>
      <c r="AP96" s="60">
        <f t="shared" si="344"/>
        <v>50</v>
      </c>
      <c r="AQ96" s="60"/>
      <c r="AR96" s="60"/>
      <c r="AS96" s="60">
        <f t="shared" si="345"/>
        <v>0</v>
      </c>
      <c r="AT96" s="60">
        <f t="shared" ref="AT96:AV97" si="368">AK96+AN96+AQ96</f>
        <v>50</v>
      </c>
      <c r="AU96" s="60">
        <f t="shared" si="368"/>
        <v>0</v>
      </c>
      <c r="AV96" s="60">
        <f t="shared" si="368"/>
        <v>50</v>
      </c>
      <c r="AW96" s="60"/>
      <c r="AX96" s="60"/>
      <c r="AY96" s="60">
        <f t="shared" si="347"/>
        <v>0</v>
      </c>
      <c r="AZ96" s="60"/>
      <c r="BA96" s="60"/>
      <c r="BB96" s="60">
        <f t="shared" si="348"/>
        <v>0</v>
      </c>
      <c r="BC96" s="60"/>
      <c r="BD96" s="60"/>
      <c r="BE96" s="60">
        <f t="shared" si="349"/>
        <v>0</v>
      </c>
      <c r="BF96" s="60">
        <f t="shared" ref="BF96:BH97" si="369">AW96+AZ96+BC96</f>
        <v>0</v>
      </c>
      <c r="BG96" s="60">
        <f t="shared" si="369"/>
        <v>0</v>
      </c>
      <c r="BH96" s="60">
        <f t="shared" si="369"/>
        <v>0</v>
      </c>
      <c r="BI96" s="508"/>
      <c r="BJ96" s="488" t="str">
        <f t="shared" si="316"/>
        <v>Lò</v>
      </c>
      <c r="BK96" s="523">
        <f t="shared" si="351"/>
        <v>0</v>
      </c>
      <c r="BL96" s="523">
        <f t="shared" si="352"/>
        <v>0</v>
      </c>
      <c r="BM96" s="523">
        <f t="shared" si="353"/>
        <v>0</v>
      </c>
      <c r="BN96" s="523">
        <f t="shared" si="354"/>
        <v>0</v>
      </c>
      <c r="BO96" s="523">
        <f t="shared" si="355"/>
        <v>0</v>
      </c>
      <c r="BP96" s="523">
        <f t="shared" si="356"/>
        <v>0</v>
      </c>
      <c r="BQ96" s="523">
        <f t="shared" si="357"/>
        <v>0</v>
      </c>
      <c r="BR96" s="523">
        <f t="shared" si="358"/>
        <v>0</v>
      </c>
      <c r="BS96" s="523">
        <f t="shared" si="359"/>
        <v>0</v>
      </c>
      <c r="BT96" s="523">
        <f t="shared" si="360"/>
        <v>500</v>
      </c>
      <c r="BU96" s="523">
        <f t="shared" si="361"/>
        <v>0</v>
      </c>
      <c r="BV96" s="523">
        <f t="shared" si="362"/>
        <v>500</v>
      </c>
      <c r="BW96" s="523">
        <f t="shared" si="363"/>
        <v>0</v>
      </c>
      <c r="BX96" s="523">
        <f t="shared" si="364"/>
        <v>0</v>
      </c>
      <c r="BY96" s="523">
        <f t="shared" si="365"/>
        <v>0</v>
      </c>
      <c r="BZ96" s="523">
        <f t="shared" si="366"/>
        <v>0</v>
      </c>
      <c r="CA96" s="354"/>
      <c r="CB96" s="354" t="str">
        <f>IF(SUM(I96:L96)&lt;&gt;0,"X")</f>
        <v>X</v>
      </c>
      <c r="CC96" s="509" t="str">
        <f t="shared" si="47"/>
        <v>KT6.</v>
      </c>
      <c r="CD96" s="509" t="str">
        <f>CC96&amp;G96</f>
        <v>KT6.8,5</v>
      </c>
      <c r="CE96" s="351" t="str">
        <f t="shared" si="317"/>
        <v>Lò</v>
      </c>
      <c r="CF96" s="509" t="str">
        <f>CC96&amp;CE96</f>
        <v>KT6.Lò</v>
      </c>
      <c r="CG96" s="509"/>
      <c r="CH96" s="509"/>
    </row>
    <row r="97" spans="1:86" ht="24" customHeight="1" x14ac:dyDescent="0.25">
      <c r="A97" s="354" t="e">
        <f>A95</f>
        <v>#REF!</v>
      </c>
      <c r="B97" s="518"/>
      <c r="C97" s="519" t="s">
        <v>658</v>
      </c>
      <c r="D97" s="447" t="s">
        <v>206</v>
      </c>
      <c r="E97" s="447"/>
      <c r="F97" s="447"/>
      <c r="G97" s="520">
        <v>5.4</v>
      </c>
      <c r="H97" s="521">
        <v>0.7</v>
      </c>
      <c r="I97" s="522">
        <f t="shared" si="334"/>
        <v>50</v>
      </c>
      <c r="J97" s="522">
        <f t="shared" si="334"/>
        <v>0</v>
      </c>
      <c r="K97" s="522">
        <f t="shared" si="334"/>
        <v>50</v>
      </c>
      <c r="L97" s="57">
        <f t="shared" si="335"/>
        <v>300</v>
      </c>
      <c r="M97" s="60"/>
      <c r="N97" s="60"/>
      <c r="O97" s="60">
        <f t="shared" si="336"/>
        <v>0</v>
      </c>
      <c r="P97" s="60"/>
      <c r="Q97" s="60"/>
      <c r="R97" s="60">
        <f t="shared" si="337"/>
        <v>0</v>
      </c>
      <c r="S97" s="824"/>
      <c r="T97" s="60"/>
      <c r="U97" s="60">
        <f t="shared" si="338"/>
        <v>0</v>
      </c>
      <c r="V97" s="60">
        <f t="shared" si="339"/>
        <v>0</v>
      </c>
      <c r="W97" s="60">
        <f t="shared" si="339"/>
        <v>0</v>
      </c>
      <c r="X97" s="60">
        <f t="shared" si="339"/>
        <v>0</v>
      </c>
      <c r="Y97" s="60"/>
      <c r="Z97" s="60"/>
      <c r="AA97" s="60">
        <f t="shared" si="340"/>
        <v>0</v>
      </c>
      <c r="AB97" s="60"/>
      <c r="AC97" s="60"/>
      <c r="AD97" s="60">
        <f t="shared" si="341"/>
        <v>0</v>
      </c>
      <c r="AE97" s="60"/>
      <c r="AF97" s="60"/>
      <c r="AG97" s="60">
        <f t="shared" si="342"/>
        <v>0</v>
      </c>
      <c r="AH97" s="60">
        <f t="shared" si="367"/>
        <v>0</v>
      </c>
      <c r="AI97" s="60">
        <f t="shared" si="367"/>
        <v>0</v>
      </c>
      <c r="AJ97" s="60">
        <f t="shared" si="367"/>
        <v>0</v>
      </c>
      <c r="AK97" s="60"/>
      <c r="AL97" s="60"/>
      <c r="AM97" s="60">
        <f t="shared" si="343"/>
        <v>0</v>
      </c>
      <c r="AN97" s="60">
        <v>50</v>
      </c>
      <c r="AO97" s="60"/>
      <c r="AP97" s="60">
        <f t="shared" si="344"/>
        <v>50</v>
      </c>
      <c r="AQ97" s="60"/>
      <c r="AR97" s="60"/>
      <c r="AS97" s="60">
        <f t="shared" si="345"/>
        <v>0</v>
      </c>
      <c r="AT97" s="60">
        <f t="shared" si="368"/>
        <v>50</v>
      </c>
      <c r="AU97" s="60">
        <f t="shared" si="368"/>
        <v>0</v>
      </c>
      <c r="AV97" s="60">
        <f t="shared" si="368"/>
        <v>50</v>
      </c>
      <c r="AW97" s="60"/>
      <c r="AX97" s="60"/>
      <c r="AY97" s="60">
        <f t="shared" si="347"/>
        <v>0</v>
      </c>
      <c r="AZ97" s="60"/>
      <c r="BA97" s="60"/>
      <c r="BB97" s="60">
        <f t="shared" si="348"/>
        <v>0</v>
      </c>
      <c r="BC97" s="60"/>
      <c r="BD97" s="60"/>
      <c r="BE97" s="60">
        <f t="shared" si="349"/>
        <v>0</v>
      </c>
      <c r="BF97" s="60">
        <f t="shared" si="369"/>
        <v>0</v>
      </c>
      <c r="BG97" s="60">
        <f t="shared" si="369"/>
        <v>0</v>
      </c>
      <c r="BH97" s="60">
        <f t="shared" si="369"/>
        <v>0</v>
      </c>
      <c r="BI97" s="508"/>
      <c r="BJ97" s="488" t="str">
        <f t="shared" si="316"/>
        <v>Lò</v>
      </c>
      <c r="BK97" s="523">
        <f t="shared" si="351"/>
        <v>0</v>
      </c>
      <c r="BL97" s="523">
        <f t="shared" si="352"/>
        <v>0</v>
      </c>
      <c r="BM97" s="523">
        <f t="shared" si="353"/>
        <v>0</v>
      </c>
      <c r="BN97" s="523">
        <f t="shared" si="354"/>
        <v>0</v>
      </c>
      <c r="BO97" s="523">
        <f t="shared" si="355"/>
        <v>0</v>
      </c>
      <c r="BP97" s="523">
        <f t="shared" si="356"/>
        <v>0</v>
      </c>
      <c r="BQ97" s="523">
        <f t="shared" si="357"/>
        <v>0</v>
      </c>
      <c r="BR97" s="523">
        <f t="shared" si="358"/>
        <v>0</v>
      </c>
      <c r="BS97" s="523">
        <f t="shared" si="359"/>
        <v>0</v>
      </c>
      <c r="BT97" s="523">
        <f t="shared" si="360"/>
        <v>300</v>
      </c>
      <c r="BU97" s="523">
        <f t="shared" si="361"/>
        <v>0</v>
      </c>
      <c r="BV97" s="523">
        <f t="shared" si="362"/>
        <v>300</v>
      </c>
      <c r="BW97" s="523">
        <f t="shared" si="363"/>
        <v>0</v>
      </c>
      <c r="BX97" s="523">
        <f t="shared" si="364"/>
        <v>0</v>
      </c>
      <c r="BY97" s="523">
        <f t="shared" si="365"/>
        <v>0</v>
      </c>
      <c r="BZ97" s="523">
        <f t="shared" si="366"/>
        <v>0</v>
      </c>
      <c r="CA97" s="354"/>
      <c r="CB97" s="354" t="str">
        <f t="shared" si="3"/>
        <v>X</v>
      </c>
      <c r="CC97" s="509" t="str">
        <f>CC95</f>
        <v>KT6.</v>
      </c>
      <c r="CD97" s="509" t="str">
        <f t="shared" si="48"/>
        <v>KT6.5,4</v>
      </c>
      <c r="CE97" s="351" t="str">
        <f t="shared" si="317"/>
        <v>Lò</v>
      </c>
      <c r="CF97" s="509" t="str">
        <f t="shared" si="49"/>
        <v>KT6.Lò</v>
      </c>
      <c r="CG97" s="509"/>
      <c r="CH97" s="509"/>
    </row>
    <row r="98" spans="1:86" ht="24" customHeight="1" x14ac:dyDescent="0.25">
      <c r="A98" s="354" t="e">
        <f t="shared" si="206"/>
        <v>#REF!</v>
      </c>
      <c r="B98" s="518"/>
      <c r="C98" s="519" t="s">
        <v>695</v>
      </c>
      <c r="D98" s="447" t="s">
        <v>14</v>
      </c>
      <c r="E98" s="447"/>
      <c r="F98" s="447"/>
      <c r="G98" s="520">
        <v>8.5</v>
      </c>
      <c r="H98" s="521">
        <v>0.7</v>
      </c>
      <c r="I98" s="522">
        <f t="shared" ref="I98:K101" si="370">V98+AH98+AT98+BF98</f>
        <v>0</v>
      </c>
      <c r="J98" s="522">
        <f t="shared" si="370"/>
        <v>0</v>
      </c>
      <c r="K98" s="522">
        <f t="shared" si="370"/>
        <v>0</v>
      </c>
      <c r="L98" s="57">
        <f t="shared" si="335"/>
        <v>0</v>
      </c>
      <c r="M98" s="60"/>
      <c r="N98" s="60"/>
      <c r="O98" s="60">
        <f t="shared" si="336"/>
        <v>0</v>
      </c>
      <c r="P98" s="60"/>
      <c r="Q98" s="60"/>
      <c r="R98" s="60">
        <f t="shared" si="337"/>
        <v>0</v>
      </c>
      <c r="S98" s="824"/>
      <c r="T98" s="60"/>
      <c r="U98" s="60">
        <f t="shared" si="338"/>
        <v>0</v>
      </c>
      <c r="V98" s="60">
        <f t="shared" ref="V98:X101" si="371">M98+P98+S98</f>
        <v>0</v>
      </c>
      <c r="W98" s="60">
        <f t="shared" si="371"/>
        <v>0</v>
      </c>
      <c r="X98" s="60">
        <f t="shared" si="371"/>
        <v>0</v>
      </c>
      <c r="Y98" s="60"/>
      <c r="Z98" s="60"/>
      <c r="AA98" s="60">
        <f t="shared" si="340"/>
        <v>0</v>
      </c>
      <c r="AB98" s="60"/>
      <c r="AC98" s="60"/>
      <c r="AD98" s="60">
        <f t="shared" si="341"/>
        <v>0</v>
      </c>
      <c r="AE98" s="60"/>
      <c r="AF98" s="60"/>
      <c r="AG98" s="60">
        <f t="shared" si="342"/>
        <v>0</v>
      </c>
      <c r="AH98" s="60">
        <f t="shared" ref="AH98:AJ101" si="372">Y98+AB98+AE98</f>
        <v>0</v>
      </c>
      <c r="AI98" s="60">
        <f t="shared" si="372"/>
        <v>0</v>
      </c>
      <c r="AJ98" s="60">
        <f t="shared" si="372"/>
        <v>0</v>
      </c>
      <c r="AK98" s="60"/>
      <c r="AL98" s="60"/>
      <c r="AM98" s="60">
        <f t="shared" si="343"/>
        <v>0</v>
      </c>
      <c r="AN98" s="60"/>
      <c r="AO98" s="60"/>
      <c r="AP98" s="60">
        <f t="shared" si="344"/>
        <v>0</v>
      </c>
      <c r="AQ98" s="60"/>
      <c r="AR98" s="60"/>
      <c r="AS98" s="60">
        <f t="shared" si="345"/>
        <v>0</v>
      </c>
      <c r="AT98" s="60">
        <f t="shared" ref="AT98:AV101" si="373">AK98+AN98+AQ98</f>
        <v>0</v>
      </c>
      <c r="AU98" s="60">
        <f t="shared" si="373"/>
        <v>0</v>
      </c>
      <c r="AV98" s="60">
        <f t="shared" si="373"/>
        <v>0</v>
      </c>
      <c r="AW98" s="60"/>
      <c r="AX98" s="60"/>
      <c r="AY98" s="60">
        <f t="shared" si="347"/>
        <v>0</v>
      </c>
      <c r="AZ98" s="60"/>
      <c r="BA98" s="60"/>
      <c r="BB98" s="60">
        <f t="shared" si="348"/>
        <v>0</v>
      </c>
      <c r="BC98" s="60"/>
      <c r="BD98" s="60"/>
      <c r="BE98" s="60">
        <f t="shared" si="349"/>
        <v>0</v>
      </c>
      <c r="BF98" s="60">
        <f t="shared" ref="BF98:BH101" si="374">AW98+AZ98+BC98</f>
        <v>0</v>
      </c>
      <c r="BG98" s="60">
        <f t="shared" si="374"/>
        <v>0</v>
      </c>
      <c r="BH98" s="60">
        <f t="shared" si="374"/>
        <v>0</v>
      </c>
      <c r="BI98" s="508"/>
      <c r="BJ98" s="488" t="str">
        <f t="shared" si="316"/>
        <v>Lò</v>
      </c>
      <c r="BK98" s="523">
        <f t="shared" si="351"/>
        <v>0</v>
      </c>
      <c r="BL98" s="523">
        <f t="shared" si="352"/>
        <v>0</v>
      </c>
      <c r="BM98" s="523">
        <f t="shared" si="353"/>
        <v>0</v>
      </c>
      <c r="BN98" s="523">
        <f t="shared" si="354"/>
        <v>0</v>
      </c>
      <c r="BO98" s="523">
        <f t="shared" si="355"/>
        <v>0</v>
      </c>
      <c r="BP98" s="523">
        <f t="shared" si="356"/>
        <v>0</v>
      </c>
      <c r="BQ98" s="523">
        <f t="shared" si="357"/>
        <v>0</v>
      </c>
      <c r="BR98" s="523">
        <f t="shared" si="358"/>
        <v>0</v>
      </c>
      <c r="BS98" s="523">
        <f t="shared" si="359"/>
        <v>0</v>
      </c>
      <c r="BT98" s="523">
        <f t="shared" si="360"/>
        <v>0</v>
      </c>
      <c r="BU98" s="523">
        <f t="shared" si="361"/>
        <v>0</v>
      </c>
      <c r="BV98" s="523">
        <f t="shared" si="362"/>
        <v>0</v>
      </c>
      <c r="BW98" s="523">
        <f t="shared" si="363"/>
        <v>0</v>
      </c>
      <c r="BX98" s="523">
        <f t="shared" si="364"/>
        <v>0</v>
      </c>
      <c r="BY98" s="523">
        <f t="shared" si="365"/>
        <v>0</v>
      </c>
      <c r="BZ98" s="523">
        <f t="shared" si="366"/>
        <v>0</v>
      </c>
      <c r="CA98" s="354"/>
      <c r="CB98" s="354" t="b">
        <f>IF(SUM(I98:L98)&lt;&gt;0,"X")</f>
        <v>0</v>
      </c>
      <c r="CC98" s="509" t="str">
        <f t="shared" si="47"/>
        <v>KT6.</v>
      </c>
      <c r="CD98" s="509" t="str">
        <f>CC98&amp;G98</f>
        <v>KT6.8,5</v>
      </c>
      <c r="CE98" s="351" t="str">
        <f t="shared" si="317"/>
        <v>Lò</v>
      </c>
      <c r="CF98" s="509" t="str">
        <f>CC98&amp;CE98</f>
        <v>KT6.Lò</v>
      </c>
      <c r="CG98" s="509"/>
      <c r="CH98" s="509"/>
    </row>
    <row r="99" spans="1:86" ht="24" customHeight="1" x14ac:dyDescent="0.25">
      <c r="A99" s="354" t="e">
        <f t="shared" si="206"/>
        <v>#REF!</v>
      </c>
      <c r="B99" s="518"/>
      <c r="C99" s="519" t="s">
        <v>842</v>
      </c>
      <c r="D99" s="447" t="s">
        <v>14</v>
      </c>
      <c r="E99" s="447"/>
      <c r="F99" s="447"/>
      <c r="G99" s="520">
        <v>8.5</v>
      </c>
      <c r="H99" s="521">
        <v>0.7</v>
      </c>
      <c r="I99" s="522">
        <f t="shared" si="370"/>
        <v>0</v>
      </c>
      <c r="J99" s="522">
        <f t="shared" si="370"/>
        <v>0</v>
      </c>
      <c r="K99" s="522">
        <f t="shared" si="370"/>
        <v>0</v>
      </c>
      <c r="L99" s="57">
        <f t="shared" si="335"/>
        <v>0</v>
      </c>
      <c r="M99" s="60"/>
      <c r="N99" s="60"/>
      <c r="O99" s="60">
        <f t="shared" si="336"/>
        <v>0</v>
      </c>
      <c r="P99" s="60"/>
      <c r="Q99" s="60"/>
      <c r="R99" s="60">
        <f t="shared" si="337"/>
        <v>0</v>
      </c>
      <c r="S99" s="824"/>
      <c r="T99" s="60"/>
      <c r="U99" s="60">
        <f t="shared" si="338"/>
        <v>0</v>
      </c>
      <c r="V99" s="60">
        <f t="shared" si="371"/>
        <v>0</v>
      </c>
      <c r="W99" s="60">
        <f t="shared" si="371"/>
        <v>0</v>
      </c>
      <c r="X99" s="60">
        <f t="shared" si="371"/>
        <v>0</v>
      </c>
      <c r="Y99" s="60"/>
      <c r="Z99" s="60"/>
      <c r="AA99" s="60">
        <f t="shared" si="340"/>
        <v>0</v>
      </c>
      <c r="AB99" s="60"/>
      <c r="AC99" s="60"/>
      <c r="AD99" s="60">
        <f t="shared" si="341"/>
        <v>0</v>
      </c>
      <c r="AE99" s="60"/>
      <c r="AF99" s="60"/>
      <c r="AG99" s="60">
        <f t="shared" si="342"/>
        <v>0</v>
      </c>
      <c r="AH99" s="60">
        <f t="shared" si="372"/>
        <v>0</v>
      </c>
      <c r="AI99" s="60">
        <f t="shared" si="372"/>
        <v>0</v>
      </c>
      <c r="AJ99" s="60">
        <f t="shared" si="372"/>
        <v>0</v>
      </c>
      <c r="AK99" s="60"/>
      <c r="AL99" s="60"/>
      <c r="AM99" s="60">
        <f t="shared" si="343"/>
        <v>0</v>
      </c>
      <c r="AN99" s="60"/>
      <c r="AO99" s="60"/>
      <c r="AP99" s="60">
        <f t="shared" si="344"/>
        <v>0</v>
      </c>
      <c r="AQ99" s="60"/>
      <c r="AR99" s="60"/>
      <c r="AS99" s="60">
        <f t="shared" si="345"/>
        <v>0</v>
      </c>
      <c r="AT99" s="60">
        <f t="shared" si="373"/>
        <v>0</v>
      </c>
      <c r="AU99" s="60">
        <f t="shared" si="373"/>
        <v>0</v>
      </c>
      <c r="AV99" s="60">
        <f t="shared" si="373"/>
        <v>0</v>
      </c>
      <c r="AW99" s="60"/>
      <c r="AX99" s="60"/>
      <c r="AY99" s="60">
        <f t="shared" si="347"/>
        <v>0</v>
      </c>
      <c r="AZ99" s="60"/>
      <c r="BA99" s="60"/>
      <c r="BB99" s="60">
        <f t="shared" si="348"/>
        <v>0</v>
      </c>
      <c r="BC99" s="60"/>
      <c r="BD99" s="60"/>
      <c r="BE99" s="60">
        <f t="shared" si="349"/>
        <v>0</v>
      </c>
      <c r="BF99" s="60">
        <f t="shared" si="374"/>
        <v>0</v>
      </c>
      <c r="BG99" s="60">
        <f t="shared" si="374"/>
        <v>0</v>
      </c>
      <c r="BH99" s="60">
        <f t="shared" si="374"/>
        <v>0</v>
      </c>
      <c r="BI99" s="508"/>
      <c r="BJ99" s="488" t="str">
        <f t="shared" si="316"/>
        <v>Lò</v>
      </c>
      <c r="BK99" s="523">
        <f t="shared" si="351"/>
        <v>0</v>
      </c>
      <c r="BL99" s="523">
        <f t="shared" si="352"/>
        <v>0</v>
      </c>
      <c r="BM99" s="523">
        <f t="shared" si="353"/>
        <v>0</v>
      </c>
      <c r="BN99" s="523">
        <f t="shared" si="354"/>
        <v>0</v>
      </c>
      <c r="BO99" s="523">
        <f t="shared" si="355"/>
        <v>0</v>
      </c>
      <c r="BP99" s="523">
        <f t="shared" si="356"/>
        <v>0</v>
      </c>
      <c r="BQ99" s="523">
        <f t="shared" si="357"/>
        <v>0</v>
      </c>
      <c r="BR99" s="523">
        <f t="shared" si="358"/>
        <v>0</v>
      </c>
      <c r="BS99" s="523">
        <f t="shared" si="359"/>
        <v>0</v>
      </c>
      <c r="BT99" s="523">
        <f t="shared" si="360"/>
        <v>0</v>
      </c>
      <c r="BU99" s="523">
        <f t="shared" si="361"/>
        <v>0</v>
      </c>
      <c r="BV99" s="523">
        <f t="shared" si="362"/>
        <v>0</v>
      </c>
      <c r="BW99" s="523">
        <f t="shared" si="363"/>
        <v>0</v>
      </c>
      <c r="BX99" s="523">
        <f t="shared" si="364"/>
        <v>0</v>
      </c>
      <c r="BY99" s="523">
        <f t="shared" si="365"/>
        <v>0</v>
      </c>
      <c r="BZ99" s="523">
        <f t="shared" si="366"/>
        <v>0</v>
      </c>
      <c r="CA99" s="354"/>
      <c r="CB99" s="354" t="b">
        <f>IF(SUM(I99:L99)&lt;&gt;0,"X")</f>
        <v>0</v>
      </c>
      <c r="CC99" s="509" t="str">
        <f t="shared" si="47"/>
        <v>KT6.</v>
      </c>
      <c r="CD99" s="509" t="str">
        <f>CC99&amp;G99</f>
        <v>KT6.8,5</v>
      </c>
      <c r="CE99" s="351" t="str">
        <f t="shared" si="317"/>
        <v>Lò</v>
      </c>
      <c r="CF99" s="509" t="str">
        <f>CC99&amp;CE99</f>
        <v>KT6.Lò</v>
      </c>
      <c r="CG99" s="509"/>
      <c r="CH99" s="509"/>
    </row>
    <row r="100" spans="1:86" ht="24" customHeight="1" x14ac:dyDescent="0.25">
      <c r="A100" s="354" t="e">
        <f t="shared" si="206"/>
        <v>#REF!</v>
      </c>
      <c r="B100" s="518"/>
      <c r="C100" s="519" t="s">
        <v>843</v>
      </c>
      <c r="D100" s="447" t="s">
        <v>206</v>
      </c>
      <c r="E100" s="447"/>
      <c r="F100" s="447"/>
      <c r="G100" s="520">
        <v>5.4</v>
      </c>
      <c r="H100" s="521">
        <v>0.7</v>
      </c>
      <c r="I100" s="522">
        <f t="shared" si="370"/>
        <v>40</v>
      </c>
      <c r="J100" s="522">
        <f t="shared" si="370"/>
        <v>0</v>
      </c>
      <c r="K100" s="522">
        <f t="shared" si="370"/>
        <v>40</v>
      </c>
      <c r="L100" s="57">
        <f t="shared" si="335"/>
        <v>300</v>
      </c>
      <c r="M100" s="60"/>
      <c r="N100" s="60"/>
      <c r="O100" s="60">
        <f t="shared" si="336"/>
        <v>0</v>
      </c>
      <c r="P100" s="60"/>
      <c r="Q100" s="60"/>
      <c r="R100" s="60">
        <f t="shared" si="337"/>
        <v>0</v>
      </c>
      <c r="S100" s="824"/>
      <c r="T100" s="60"/>
      <c r="U100" s="60">
        <f t="shared" si="338"/>
        <v>0</v>
      </c>
      <c r="V100" s="60">
        <f t="shared" si="371"/>
        <v>0</v>
      </c>
      <c r="W100" s="60">
        <f t="shared" si="371"/>
        <v>0</v>
      </c>
      <c r="X100" s="60">
        <f t="shared" si="371"/>
        <v>0</v>
      </c>
      <c r="Y100" s="60"/>
      <c r="Z100" s="60"/>
      <c r="AA100" s="60">
        <f t="shared" si="340"/>
        <v>0</v>
      </c>
      <c r="AB100" s="60"/>
      <c r="AC100" s="60"/>
      <c r="AD100" s="60">
        <f t="shared" si="341"/>
        <v>0</v>
      </c>
      <c r="AE100" s="60"/>
      <c r="AF100" s="60"/>
      <c r="AG100" s="60">
        <f t="shared" si="342"/>
        <v>0</v>
      </c>
      <c r="AH100" s="60">
        <f t="shared" si="372"/>
        <v>0</v>
      </c>
      <c r="AI100" s="60">
        <f t="shared" si="372"/>
        <v>0</v>
      </c>
      <c r="AJ100" s="60">
        <f t="shared" si="372"/>
        <v>0</v>
      </c>
      <c r="AK100" s="60"/>
      <c r="AL100" s="60"/>
      <c r="AM100" s="60">
        <f t="shared" si="343"/>
        <v>0</v>
      </c>
      <c r="AN100" s="60"/>
      <c r="AO100" s="60"/>
      <c r="AP100" s="60">
        <f t="shared" si="344"/>
        <v>0</v>
      </c>
      <c r="AQ100" s="60"/>
      <c r="AR100" s="60"/>
      <c r="AS100" s="60">
        <f t="shared" si="345"/>
        <v>0</v>
      </c>
      <c r="AT100" s="60">
        <f t="shared" si="373"/>
        <v>0</v>
      </c>
      <c r="AU100" s="60">
        <f t="shared" si="373"/>
        <v>0</v>
      </c>
      <c r="AV100" s="60">
        <f t="shared" si="373"/>
        <v>0</v>
      </c>
      <c r="AW100" s="60"/>
      <c r="AX100" s="60"/>
      <c r="AY100" s="60">
        <f t="shared" si="347"/>
        <v>0</v>
      </c>
      <c r="AZ100" s="60"/>
      <c r="BA100" s="60"/>
      <c r="BB100" s="60">
        <f t="shared" si="348"/>
        <v>0</v>
      </c>
      <c r="BC100" s="60">
        <v>40</v>
      </c>
      <c r="BD100" s="60"/>
      <c r="BE100" s="60">
        <f t="shared" si="349"/>
        <v>40</v>
      </c>
      <c r="BF100" s="60">
        <f t="shared" si="374"/>
        <v>40</v>
      </c>
      <c r="BG100" s="60">
        <f t="shared" si="374"/>
        <v>0</v>
      </c>
      <c r="BH100" s="60">
        <f t="shared" si="374"/>
        <v>40</v>
      </c>
      <c r="BI100" s="508"/>
      <c r="BJ100" s="488" t="str">
        <f t="shared" si="316"/>
        <v>Lò</v>
      </c>
      <c r="BK100" s="523">
        <f t="shared" si="351"/>
        <v>0</v>
      </c>
      <c r="BL100" s="523">
        <f t="shared" si="352"/>
        <v>0</v>
      </c>
      <c r="BM100" s="523">
        <f t="shared" si="353"/>
        <v>0</v>
      </c>
      <c r="BN100" s="523">
        <f t="shared" si="354"/>
        <v>0</v>
      </c>
      <c r="BO100" s="523">
        <f t="shared" si="355"/>
        <v>0</v>
      </c>
      <c r="BP100" s="523">
        <f t="shared" si="356"/>
        <v>0</v>
      </c>
      <c r="BQ100" s="523">
        <f t="shared" si="357"/>
        <v>0</v>
      </c>
      <c r="BR100" s="523">
        <f t="shared" si="358"/>
        <v>0</v>
      </c>
      <c r="BS100" s="523">
        <f t="shared" si="359"/>
        <v>0</v>
      </c>
      <c r="BT100" s="523">
        <f t="shared" si="360"/>
        <v>0</v>
      </c>
      <c r="BU100" s="523">
        <f t="shared" si="361"/>
        <v>0</v>
      </c>
      <c r="BV100" s="523">
        <f t="shared" si="362"/>
        <v>0</v>
      </c>
      <c r="BW100" s="523">
        <f t="shared" si="363"/>
        <v>0</v>
      </c>
      <c r="BX100" s="523">
        <f t="shared" si="364"/>
        <v>0</v>
      </c>
      <c r="BY100" s="523">
        <f t="shared" si="365"/>
        <v>300</v>
      </c>
      <c r="BZ100" s="523">
        <f t="shared" si="366"/>
        <v>300</v>
      </c>
      <c r="CA100" s="354"/>
      <c r="CB100" s="354" t="str">
        <f>IF(SUM(I100:L100)&lt;&gt;0,"X")</f>
        <v>X</v>
      </c>
      <c r="CC100" s="509" t="str">
        <f t="shared" si="47"/>
        <v>KT6.</v>
      </c>
      <c r="CD100" s="509" t="str">
        <f>CC100&amp;G100</f>
        <v>KT6.5,4</v>
      </c>
      <c r="CE100" s="351" t="str">
        <f t="shared" si="317"/>
        <v>Lò</v>
      </c>
      <c r="CF100" s="509" t="str">
        <f>CC100&amp;CE100</f>
        <v>KT6.Lò</v>
      </c>
      <c r="CG100" s="509"/>
      <c r="CH100" s="509"/>
    </row>
    <row r="101" spans="1:86" ht="24" customHeight="1" x14ac:dyDescent="0.25">
      <c r="A101" s="354" t="e">
        <f t="shared" si="206"/>
        <v>#REF!</v>
      </c>
      <c r="B101" s="518"/>
      <c r="C101" s="519"/>
      <c r="D101" s="447" t="s">
        <v>14</v>
      </c>
      <c r="E101" s="447"/>
      <c r="F101" s="447"/>
      <c r="G101" s="520">
        <v>8.5</v>
      </c>
      <c r="H101" s="521">
        <v>0.7</v>
      </c>
      <c r="I101" s="522">
        <f t="shared" si="370"/>
        <v>0</v>
      </c>
      <c r="J101" s="522">
        <f t="shared" si="370"/>
        <v>0</v>
      </c>
      <c r="K101" s="522">
        <f t="shared" si="370"/>
        <v>0</v>
      </c>
      <c r="L101" s="57">
        <f t="shared" si="335"/>
        <v>0</v>
      </c>
      <c r="M101" s="60"/>
      <c r="N101" s="60"/>
      <c r="O101" s="60">
        <f t="shared" si="336"/>
        <v>0</v>
      </c>
      <c r="P101" s="60"/>
      <c r="Q101" s="60"/>
      <c r="R101" s="60">
        <f t="shared" si="337"/>
        <v>0</v>
      </c>
      <c r="S101" s="824"/>
      <c r="T101" s="60"/>
      <c r="U101" s="60">
        <f t="shared" si="338"/>
        <v>0</v>
      </c>
      <c r="V101" s="60">
        <f t="shared" si="371"/>
        <v>0</v>
      </c>
      <c r="W101" s="60">
        <f t="shared" si="371"/>
        <v>0</v>
      </c>
      <c r="X101" s="60">
        <f t="shared" si="371"/>
        <v>0</v>
      </c>
      <c r="Y101" s="60"/>
      <c r="Z101" s="60"/>
      <c r="AA101" s="60">
        <f t="shared" si="340"/>
        <v>0</v>
      </c>
      <c r="AB101" s="60"/>
      <c r="AC101" s="60"/>
      <c r="AD101" s="60">
        <f t="shared" si="341"/>
        <v>0</v>
      </c>
      <c r="AE101" s="60"/>
      <c r="AF101" s="60"/>
      <c r="AG101" s="60">
        <f t="shared" si="342"/>
        <v>0</v>
      </c>
      <c r="AH101" s="60">
        <f t="shared" si="372"/>
        <v>0</v>
      </c>
      <c r="AI101" s="60">
        <f t="shared" si="372"/>
        <v>0</v>
      </c>
      <c r="AJ101" s="60">
        <f t="shared" si="372"/>
        <v>0</v>
      </c>
      <c r="AK101" s="60"/>
      <c r="AL101" s="60"/>
      <c r="AM101" s="60">
        <f t="shared" si="343"/>
        <v>0</v>
      </c>
      <c r="AN101" s="60"/>
      <c r="AO101" s="60"/>
      <c r="AP101" s="60">
        <f t="shared" si="344"/>
        <v>0</v>
      </c>
      <c r="AQ101" s="60"/>
      <c r="AR101" s="60"/>
      <c r="AS101" s="60">
        <f t="shared" si="345"/>
        <v>0</v>
      </c>
      <c r="AT101" s="60">
        <f t="shared" si="373"/>
        <v>0</v>
      </c>
      <c r="AU101" s="60">
        <f t="shared" si="373"/>
        <v>0</v>
      </c>
      <c r="AV101" s="60">
        <f t="shared" si="373"/>
        <v>0</v>
      </c>
      <c r="AW101" s="60"/>
      <c r="AX101" s="60"/>
      <c r="AY101" s="60">
        <f t="shared" si="347"/>
        <v>0</v>
      </c>
      <c r="AZ101" s="60"/>
      <c r="BA101" s="60"/>
      <c r="BB101" s="60">
        <f t="shared" si="348"/>
        <v>0</v>
      </c>
      <c r="BC101" s="60"/>
      <c r="BD101" s="60"/>
      <c r="BE101" s="60">
        <f t="shared" si="349"/>
        <v>0</v>
      </c>
      <c r="BF101" s="60">
        <f t="shared" si="374"/>
        <v>0</v>
      </c>
      <c r="BG101" s="60">
        <f t="shared" si="374"/>
        <v>0</v>
      </c>
      <c r="BH101" s="60">
        <f t="shared" si="374"/>
        <v>0</v>
      </c>
      <c r="BI101" s="508"/>
      <c r="BJ101" s="488" t="str">
        <f t="shared" si="316"/>
        <v/>
      </c>
      <c r="BK101" s="523">
        <f t="shared" si="351"/>
        <v>0</v>
      </c>
      <c r="BL101" s="523">
        <f t="shared" si="352"/>
        <v>0</v>
      </c>
      <c r="BM101" s="523">
        <f t="shared" si="353"/>
        <v>0</v>
      </c>
      <c r="BN101" s="523">
        <f t="shared" si="354"/>
        <v>0</v>
      </c>
      <c r="BO101" s="523">
        <f t="shared" si="355"/>
        <v>0</v>
      </c>
      <c r="BP101" s="523">
        <f t="shared" si="356"/>
        <v>0</v>
      </c>
      <c r="BQ101" s="523">
        <f t="shared" si="357"/>
        <v>0</v>
      </c>
      <c r="BR101" s="523">
        <f t="shared" si="358"/>
        <v>0</v>
      </c>
      <c r="BS101" s="523">
        <f t="shared" si="359"/>
        <v>0</v>
      </c>
      <c r="BT101" s="523">
        <f t="shared" si="360"/>
        <v>0</v>
      </c>
      <c r="BU101" s="523">
        <f t="shared" si="361"/>
        <v>0</v>
      </c>
      <c r="BV101" s="523">
        <f t="shared" si="362"/>
        <v>0</v>
      </c>
      <c r="BW101" s="523">
        <f t="shared" si="363"/>
        <v>0</v>
      </c>
      <c r="BX101" s="523">
        <f t="shared" si="364"/>
        <v>0</v>
      </c>
      <c r="BY101" s="523">
        <f t="shared" si="365"/>
        <v>0</v>
      </c>
      <c r="BZ101" s="523">
        <f t="shared" si="366"/>
        <v>0</v>
      </c>
      <c r="CA101" s="354"/>
      <c r="CB101" s="354" t="b">
        <f>IF(SUM(I101:L101)&lt;&gt;0,"X")</f>
        <v>0</v>
      </c>
      <c r="CC101" s="509" t="str">
        <f t="shared" si="47"/>
        <v>KT6.</v>
      </c>
      <c r="CD101" s="509" t="str">
        <f>CC101&amp;G101</f>
        <v>KT6.8,5</v>
      </c>
      <c r="CE101" s="351" t="str">
        <f t="shared" si="317"/>
        <v/>
      </c>
      <c r="CF101" s="509" t="str">
        <f>CC101&amp;CE101</f>
        <v>KT6.</v>
      </c>
      <c r="CG101" s="509"/>
      <c r="CH101" s="509"/>
    </row>
    <row r="102" spans="1:86" s="359" customFormat="1" ht="21.75" customHeight="1" x14ac:dyDescent="0.3">
      <c r="A102" s="354" t="e">
        <f>A97</f>
        <v>#REF!</v>
      </c>
      <c r="B102" s="525" t="s">
        <v>37</v>
      </c>
      <c r="C102" s="526" t="s">
        <v>178</v>
      </c>
      <c r="D102" s="527"/>
      <c r="E102" s="527"/>
      <c r="F102" s="527"/>
      <c r="G102" s="528"/>
      <c r="H102" s="529"/>
      <c r="I102" s="70">
        <f t="shared" ref="I102:AN102" si="375">SUM(I103:I105)</f>
        <v>145</v>
      </c>
      <c r="J102" s="70">
        <f t="shared" si="375"/>
        <v>80</v>
      </c>
      <c r="K102" s="70">
        <f t="shared" si="375"/>
        <v>65</v>
      </c>
      <c r="L102" s="70">
        <f t="shared" si="375"/>
        <v>300</v>
      </c>
      <c r="M102" s="210">
        <f t="shared" si="375"/>
        <v>15</v>
      </c>
      <c r="N102" s="210">
        <f t="shared" si="375"/>
        <v>15</v>
      </c>
      <c r="O102" s="210">
        <f t="shared" si="375"/>
        <v>0</v>
      </c>
      <c r="P102" s="210">
        <f t="shared" si="375"/>
        <v>0</v>
      </c>
      <c r="Q102" s="210">
        <f t="shared" si="375"/>
        <v>0</v>
      </c>
      <c r="R102" s="210">
        <f t="shared" si="375"/>
        <v>0</v>
      </c>
      <c r="S102" s="829">
        <f t="shared" si="375"/>
        <v>0</v>
      </c>
      <c r="T102" s="210">
        <f t="shared" si="375"/>
        <v>0</v>
      </c>
      <c r="U102" s="210">
        <f t="shared" si="375"/>
        <v>0</v>
      </c>
      <c r="V102" s="224">
        <f t="shared" si="375"/>
        <v>15</v>
      </c>
      <c r="W102" s="224">
        <f t="shared" si="375"/>
        <v>15</v>
      </c>
      <c r="X102" s="224">
        <f t="shared" si="375"/>
        <v>0</v>
      </c>
      <c r="Y102" s="210">
        <f t="shared" si="375"/>
        <v>15</v>
      </c>
      <c r="Z102" s="210">
        <f t="shared" si="375"/>
        <v>5</v>
      </c>
      <c r="AA102" s="210">
        <f t="shared" si="375"/>
        <v>10</v>
      </c>
      <c r="AB102" s="210">
        <f t="shared" si="375"/>
        <v>15</v>
      </c>
      <c r="AC102" s="210">
        <f t="shared" si="375"/>
        <v>10</v>
      </c>
      <c r="AD102" s="210">
        <f t="shared" si="375"/>
        <v>5</v>
      </c>
      <c r="AE102" s="210">
        <f t="shared" si="375"/>
        <v>0</v>
      </c>
      <c r="AF102" s="210">
        <f t="shared" si="375"/>
        <v>0</v>
      </c>
      <c r="AG102" s="210">
        <f t="shared" si="375"/>
        <v>0</v>
      </c>
      <c r="AH102" s="224">
        <f t="shared" si="375"/>
        <v>30</v>
      </c>
      <c r="AI102" s="224">
        <f t="shared" si="375"/>
        <v>15</v>
      </c>
      <c r="AJ102" s="224">
        <f t="shared" si="375"/>
        <v>15</v>
      </c>
      <c r="AK102" s="210">
        <f t="shared" si="375"/>
        <v>20</v>
      </c>
      <c r="AL102" s="210">
        <f t="shared" si="375"/>
        <v>10</v>
      </c>
      <c r="AM102" s="210">
        <f t="shared" si="375"/>
        <v>10</v>
      </c>
      <c r="AN102" s="210">
        <f t="shared" si="375"/>
        <v>0</v>
      </c>
      <c r="AO102" s="210">
        <f t="shared" ref="AO102:BH102" si="376">SUM(AO103:AO105)</f>
        <v>0</v>
      </c>
      <c r="AP102" s="210">
        <f t="shared" si="376"/>
        <v>0</v>
      </c>
      <c r="AQ102" s="210">
        <f t="shared" si="376"/>
        <v>20</v>
      </c>
      <c r="AR102" s="210">
        <f t="shared" si="376"/>
        <v>10</v>
      </c>
      <c r="AS102" s="210">
        <f t="shared" si="376"/>
        <v>10</v>
      </c>
      <c r="AT102" s="224">
        <f t="shared" si="376"/>
        <v>40</v>
      </c>
      <c r="AU102" s="224">
        <f t="shared" si="376"/>
        <v>20</v>
      </c>
      <c r="AV102" s="224">
        <f t="shared" si="376"/>
        <v>20</v>
      </c>
      <c r="AW102" s="210">
        <f t="shared" si="376"/>
        <v>20</v>
      </c>
      <c r="AX102" s="210">
        <f t="shared" si="376"/>
        <v>10</v>
      </c>
      <c r="AY102" s="210">
        <f t="shared" si="376"/>
        <v>10</v>
      </c>
      <c r="AZ102" s="210">
        <f t="shared" si="376"/>
        <v>20</v>
      </c>
      <c r="BA102" s="210">
        <f t="shared" si="376"/>
        <v>10</v>
      </c>
      <c r="BB102" s="210">
        <f t="shared" si="376"/>
        <v>10</v>
      </c>
      <c r="BC102" s="210">
        <f t="shared" si="376"/>
        <v>20</v>
      </c>
      <c r="BD102" s="210">
        <f t="shared" si="376"/>
        <v>10</v>
      </c>
      <c r="BE102" s="210">
        <f t="shared" si="376"/>
        <v>10</v>
      </c>
      <c r="BF102" s="224">
        <f t="shared" si="376"/>
        <v>60</v>
      </c>
      <c r="BG102" s="224">
        <f t="shared" si="376"/>
        <v>30</v>
      </c>
      <c r="BH102" s="224">
        <f t="shared" si="376"/>
        <v>30</v>
      </c>
      <c r="BI102" s="530"/>
      <c r="BJ102" s="488" t="str">
        <f t="shared" si="316"/>
        <v>XL</v>
      </c>
      <c r="BK102" s="225">
        <f t="shared" ref="BK102:BZ102" si="377">SUM(BK103:BK105)</f>
        <v>0</v>
      </c>
      <c r="BL102" s="225">
        <f t="shared" si="377"/>
        <v>0</v>
      </c>
      <c r="BM102" s="225">
        <f t="shared" si="377"/>
        <v>0</v>
      </c>
      <c r="BN102" s="225">
        <f t="shared" si="377"/>
        <v>0</v>
      </c>
      <c r="BO102" s="225">
        <f t="shared" si="377"/>
        <v>0</v>
      </c>
      <c r="BP102" s="225">
        <f t="shared" si="377"/>
        <v>0</v>
      </c>
      <c r="BQ102" s="225">
        <f t="shared" si="377"/>
        <v>0</v>
      </c>
      <c r="BR102" s="225">
        <f t="shared" si="377"/>
        <v>100</v>
      </c>
      <c r="BS102" s="225">
        <f t="shared" si="377"/>
        <v>0</v>
      </c>
      <c r="BT102" s="225">
        <f t="shared" si="377"/>
        <v>0</v>
      </c>
      <c r="BU102" s="225">
        <f t="shared" si="377"/>
        <v>0</v>
      </c>
      <c r="BV102" s="225">
        <f t="shared" si="377"/>
        <v>100</v>
      </c>
      <c r="BW102" s="225">
        <f t="shared" si="377"/>
        <v>0</v>
      </c>
      <c r="BX102" s="225">
        <f t="shared" si="377"/>
        <v>0</v>
      </c>
      <c r="BY102" s="225">
        <f t="shared" si="377"/>
        <v>0</v>
      </c>
      <c r="BZ102" s="225">
        <f t="shared" si="377"/>
        <v>100</v>
      </c>
      <c r="CA102" s="510"/>
      <c r="CB102" s="510" t="str">
        <f t="shared" si="3"/>
        <v>X</v>
      </c>
      <c r="CC102" s="509" t="str">
        <f>CC97</f>
        <v>KT6.</v>
      </c>
      <c r="CD102" s="509" t="str">
        <f t="shared" si="48"/>
        <v>KT6.</v>
      </c>
      <c r="CE102" s="351" t="str">
        <f t="shared" si="317"/>
        <v>XL</v>
      </c>
      <c r="CF102" s="509" t="str">
        <f t="shared" si="49"/>
        <v>KT6.XL</v>
      </c>
      <c r="CG102" s="509"/>
      <c r="CH102" s="509"/>
    </row>
    <row r="103" spans="1:86" ht="24.75" customHeight="1" x14ac:dyDescent="0.25">
      <c r="A103" s="354" t="e">
        <f t="shared" si="206"/>
        <v>#REF!</v>
      </c>
      <c r="B103" s="484"/>
      <c r="C103" s="531" t="s">
        <v>844</v>
      </c>
      <c r="D103" s="447" t="s">
        <v>14</v>
      </c>
      <c r="E103" s="447"/>
      <c r="F103" s="447"/>
      <c r="G103" s="520">
        <v>16.100000000000001</v>
      </c>
      <c r="H103" s="521">
        <v>0.7</v>
      </c>
      <c r="I103" s="522">
        <f t="shared" ref="I103:K105" si="378">V103+AH103+AT103+BF103</f>
        <v>145</v>
      </c>
      <c r="J103" s="522">
        <f t="shared" si="378"/>
        <v>80</v>
      </c>
      <c r="K103" s="522">
        <f t="shared" si="378"/>
        <v>65</v>
      </c>
      <c r="L103" s="57">
        <f>BN103+BR103+BV103+BZ103</f>
        <v>300</v>
      </c>
      <c r="M103" s="60">
        <v>15</v>
      </c>
      <c r="N103" s="60">
        <v>15</v>
      </c>
      <c r="O103" s="60">
        <f>M103-N103</f>
        <v>0</v>
      </c>
      <c r="P103" s="60"/>
      <c r="Q103" s="60"/>
      <c r="R103" s="60">
        <f>P103-Q103</f>
        <v>0</v>
      </c>
      <c r="S103" s="824"/>
      <c r="T103" s="60"/>
      <c r="U103" s="60">
        <f>S103-T103</f>
        <v>0</v>
      </c>
      <c r="V103" s="60">
        <f t="shared" ref="V103:X105" si="379">M103+P103+S103</f>
        <v>15</v>
      </c>
      <c r="W103" s="60">
        <f t="shared" si="379"/>
        <v>15</v>
      </c>
      <c r="X103" s="60">
        <f t="shared" si="379"/>
        <v>0</v>
      </c>
      <c r="Y103" s="60">
        <v>15</v>
      </c>
      <c r="Z103" s="60">
        <v>5</v>
      </c>
      <c r="AA103" s="60">
        <f>Y103-Z103</f>
        <v>10</v>
      </c>
      <c r="AB103" s="60">
        <v>15</v>
      </c>
      <c r="AC103" s="60">
        <v>10</v>
      </c>
      <c r="AD103" s="60">
        <f>AB103-AC103</f>
        <v>5</v>
      </c>
      <c r="AE103" s="60"/>
      <c r="AF103" s="60"/>
      <c r="AG103" s="60">
        <f>AE103-AF103</f>
        <v>0</v>
      </c>
      <c r="AH103" s="60">
        <f t="shared" ref="AH103:AJ105" si="380">Y103+AB103+AE103</f>
        <v>30</v>
      </c>
      <c r="AI103" s="60">
        <f t="shared" si="380"/>
        <v>15</v>
      </c>
      <c r="AJ103" s="60">
        <f>AH103-AI103</f>
        <v>15</v>
      </c>
      <c r="AK103" s="60">
        <v>20</v>
      </c>
      <c r="AL103" s="60">
        <v>10</v>
      </c>
      <c r="AM103" s="60">
        <f>AK103-AL103</f>
        <v>10</v>
      </c>
      <c r="AN103" s="60"/>
      <c r="AO103" s="60"/>
      <c r="AP103" s="60">
        <f>AN103-AO103</f>
        <v>0</v>
      </c>
      <c r="AQ103" s="60">
        <v>20</v>
      </c>
      <c r="AR103" s="60">
        <v>10</v>
      </c>
      <c r="AS103" s="60">
        <f>AQ103-AR103</f>
        <v>10</v>
      </c>
      <c r="AT103" s="60">
        <f t="shared" ref="AT103:AV105" si="381">AK103+AN103+AQ103</f>
        <v>40</v>
      </c>
      <c r="AU103" s="60">
        <f t="shared" si="381"/>
        <v>20</v>
      </c>
      <c r="AV103" s="60">
        <f t="shared" si="381"/>
        <v>20</v>
      </c>
      <c r="AW103" s="60">
        <v>20</v>
      </c>
      <c r="AX103" s="60">
        <v>10</v>
      </c>
      <c r="AY103" s="60">
        <f>AW103-AX103</f>
        <v>10</v>
      </c>
      <c r="AZ103" s="60">
        <v>20</v>
      </c>
      <c r="BA103" s="60">
        <v>10</v>
      </c>
      <c r="BB103" s="60">
        <f>AZ103-BA103</f>
        <v>10</v>
      </c>
      <c r="BC103" s="60">
        <v>20</v>
      </c>
      <c r="BD103" s="60">
        <v>10</v>
      </c>
      <c r="BE103" s="60">
        <f>BC103-BD103</f>
        <v>10</v>
      </c>
      <c r="BF103" s="60">
        <f t="shared" ref="BF103:BH105" si="382">AW103+AZ103+BC103</f>
        <v>60</v>
      </c>
      <c r="BG103" s="60">
        <f t="shared" si="382"/>
        <v>30</v>
      </c>
      <c r="BH103" s="60">
        <f t="shared" si="382"/>
        <v>30</v>
      </c>
      <c r="BI103" s="508"/>
      <c r="BJ103" s="488" t="str">
        <f t="shared" si="316"/>
        <v>Xé</v>
      </c>
      <c r="BK103" s="523">
        <f>ROUND(O103*G103*$B$6,-2)</f>
        <v>0</v>
      </c>
      <c r="BL103" s="523">
        <f>ROUND(R103*G103*$B$6,-2)</f>
        <v>0</v>
      </c>
      <c r="BM103" s="523">
        <f>ROUND(U103*G103*$B$6,-2)</f>
        <v>0</v>
      </c>
      <c r="BN103" s="523">
        <f>ROUND(X103*G103*$B$6,-2)</f>
        <v>0</v>
      </c>
      <c r="BO103" s="523">
        <f>ROUND(AA103*G103*$B$6,-2)</f>
        <v>0</v>
      </c>
      <c r="BP103" s="523">
        <f>ROUND(AD103*G103*$B$6,-2)</f>
        <v>0</v>
      </c>
      <c r="BQ103" s="523">
        <f>ROUND(AG103*G103*$B$6,-2)</f>
        <v>0</v>
      </c>
      <c r="BR103" s="523">
        <f>ROUND(AJ103*G103*$B$6,-2)</f>
        <v>100</v>
      </c>
      <c r="BS103" s="523">
        <f>ROUND(AM103*G103*$B$6,-2)</f>
        <v>0</v>
      </c>
      <c r="BT103" s="523">
        <f>ROUND(AP103*G103*$B$6,-2)</f>
        <v>0</v>
      </c>
      <c r="BU103" s="523">
        <f>ROUND(AS103*G103*$B$6,-2)</f>
        <v>0</v>
      </c>
      <c r="BV103" s="523">
        <f>ROUND(AV103*G103*$B$6,-2)</f>
        <v>100</v>
      </c>
      <c r="BW103" s="523">
        <f>ROUND(AY103*G103*$B$6,-2)</f>
        <v>0</v>
      </c>
      <c r="BX103" s="523">
        <f>ROUND(BB103*G103*$B$6,-2)</f>
        <v>0</v>
      </c>
      <c r="BY103" s="523">
        <f>ROUND(BE103*G103*$B$6,-2)</f>
        <v>0</v>
      </c>
      <c r="BZ103" s="523">
        <f>ROUND(BH103*G103*$B$6,-2)</f>
        <v>100</v>
      </c>
      <c r="CA103" s="354"/>
      <c r="CB103" s="354" t="str">
        <f t="shared" si="3"/>
        <v>X</v>
      </c>
      <c r="CC103" s="509" t="str">
        <f t="shared" si="47"/>
        <v>KT6.</v>
      </c>
      <c r="CD103" s="509" t="str">
        <f t="shared" si="48"/>
        <v>KT6.16,1</v>
      </c>
      <c r="CE103" s="351" t="str">
        <f t="shared" si="317"/>
        <v>Xé</v>
      </c>
      <c r="CF103" s="509" t="str">
        <f t="shared" si="49"/>
        <v>KT6.Xé</v>
      </c>
      <c r="CG103" s="509"/>
      <c r="CH103" s="509"/>
    </row>
    <row r="104" spans="1:86" ht="24.75" customHeight="1" x14ac:dyDescent="0.25">
      <c r="A104" s="354" t="e">
        <f>A102</f>
        <v>#REF!</v>
      </c>
      <c r="B104" s="484"/>
      <c r="C104" s="531" t="s">
        <v>20</v>
      </c>
      <c r="D104" s="447" t="s">
        <v>14</v>
      </c>
      <c r="E104" s="447"/>
      <c r="F104" s="447"/>
      <c r="G104" s="520">
        <v>13.1</v>
      </c>
      <c r="H104" s="521">
        <v>0.7</v>
      </c>
      <c r="I104" s="522">
        <f t="shared" si="378"/>
        <v>0</v>
      </c>
      <c r="J104" s="522">
        <f t="shared" si="378"/>
        <v>0</v>
      </c>
      <c r="K104" s="522">
        <f t="shared" si="378"/>
        <v>0</v>
      </c>
      <c r="L104" s="57">
        <f>BN104+BR104+BV104+BZ104</f>
        <v>0</v>
      </c>
      <c r="M104" s="60"/>
      <c r="N104" s="60"/>
      <c r="O104" s="60">
        <f>M104-N104</f>
        <v>0</v>
      </c>
      <c r="P104" s="60"/>
      <c r="Q104" s="60"/>
      <c r="R104" s="60">
        <f>P104-Q104</f>
        <v>0</v>
      </c>
      <c r="S104" s="824"/>
      <c r="T104" s="60"/>
      <c r="U104" s="60">
        <f>S104-T104</f>
        <v>0</v>
      </c>
      <c r="V104" s="60">
        <f t="shared" si="379"/>
        <v>0</v>
      </c>
      <c r="W104" s="60">
        <f t="shared" si="379"/>
        <v>0</v>
      </c>
      <c r="X104" s="60">
        <f t="shared" si="379"/>
        <v>0</v>
      </c>
      <c r="Y104" s="60"/>
      <c r="Z104" s="60"/>
      <c r="AA104" s="60">
        <f>Y104-Z104</f>
        <v>0</v>
      </c>
      <c r="AB104" s="60"/>
      <c r="AC104" s="60"/>
      <c r="AD104" s="60">
        <f>AB104-AC104</f>
        <v>0</v>
      </c>
      <c r="AE104" s="60"/>
      <c r="AF104" s="60"/>
      <c r="AG104" s="60">
        <f>AE104-AF104</f>
        <v>0</v>
      </c>
      <c r="AH104" s="60">
        <f t="shared" si="380"/>
        <v>0</v>
      </c>
      <c r="AI104" s="60">
        <f t="shared" si="380"/>
        <v>0</v>
      </c>
      <c r="AJ104" s="60">
        <f t="shared" si="380"/>
        <v>0</v>
      </c>
      <c r="AK104" s="60"/>
      <c r="AL104" s="60"/>
      <c r="AM104" s="60">
        <f>AK104-AL104</f>
        <v>0</v>
      </c>
      <c r="AN104" s="60"/>
      <c r="AO104" s="60"/>
      <c r="AP104" s="60">
        <f>AN104-AO104</f>
        <v>0</v>
      </c>
      <c r="AQ104" s="60"/>
      <c r="AR104" s="60"/>
      <c r="AS104" s="60">
        <f>AQ104-AR104</f>
        <v>0</v>
      </c>
      <c r="AT104" s="60">
        <f t="shared" si="381"/>
        <v>0</v>
      </c>
      <c r="AU104" s="60">
        <f t="shared" si="381"/>
        <v>0</v>
      </c>
      <c r="AV104" s="60">
        <f t="shared" si="381"/>
        <v>0</v>
      </c>
      <c r="AW104" s="60"/>
      <c r="AX104" s="60"/>
      <c r="AY104" s="60">
        <f>AW104-AX104</f>
        <v>0</v>
      </c>
      <c r="AZ104" s="60"/>
      <c r="BA104" s="60"/>
      <c r="BB104" s="60">
        <f>AZ104-BA104</f>
        <v>0</v>
      </c>
      <c r="BC104" s="60"/>
      <c r="BD104" s="60"/>
      <c r="BE104" s="60">
        <f>BC104-BD104</f>
        <v>0</v>
      </c>
      <c r="BF104" s="60">
        <f t="shared" si="382"/>
        <v>0</v>
      </c>
      <c r="BG104" s="60">
        <f t="shared" si="382"/>
        <v>0</v>
      </c>
      <c r="BH104" s="60">
        <f t="shared" si="382"/>
        <v>0</v>
      </c>
      <c r="BI104" s="508"/>
      <c r="BJ104" s="488" t="str">
        <f t="shared" si="316"/>
        <v>Xé</v>
      </c>
      <c r="BK104" s="523">
        <f>ROUND(O104*G104*$B$6,-2)</f>
        <v>0</v>
      </c>
      <c r="BL104" s="523">
        <f>ROUND(R104*G104*$B$6,-2)</f>
        <v>0</v>
      </c>
      <c r="BM104" s="523">
        <f>ROUND(U104*G104*$B$6,-2)</f>
        <v>0</v>
      </c>
      <c r="BN104" s="523">
        <f>ROUND(X104*G104*$B$6,-2)</f>
        <v>0</v>
      </c>
      <c r="BO104" s="523">
        <f>ROUND(AA104*G104*$B$6,-2)</f>
        <v>0</v>
      </c>
      <c r="BP104" s="523">
        <f>ROUND(AD104*G104*$B$6,-2)</f>
        <v>0</v>
      </c>
      <c r="BQ104" s="523">
        <f>ROUND(AG104*G104*$B$6,-2)</f>
        <v>0</v>
      </c>
      <c r="BR104" s="523">
        <f>ROUND(AJ104*G104*$B$6,-2)</f>
        <v>0</v>
      </c>
      <c r="BS104" s="523">
        <f>ROUND(AM104*G104*$B$6,-2)</f>
        <v>0</v>
      </c>
      <c r="BT104" s="523">
        <f>ROUND(AP104*G104*$B$6,-2)</f>
        <v>0</v>
      </c>
      <c r="BU104" s="523">
        <f>ROUND(AS104*G104*$B$6,-2)</f>
        <v>0</v>
      </c>
      <c r="BV104" s="523">
        <f>ROUND(AV104*G104*$B$6,-2)</f>
        <v>0</v>
      </c>
      <c r="BW104" s="523">
        <f>ROUND(AY104*G104*$B$6,-2)</f>
        <v>0</v>
      </c>
      <c r="BX104" s="523">
        <f>ROUND(BB104*G104*$B$6,-2)</f>
        <v>0</v>
      </c>
      <c r="BY104" s="523">
        <f>ROUND(BE104*G104*$B$6,-2)</f>
        <v>0</v>
      </c>
      <c r="BZ104" s="523">
        <f>ROUND(BH104*G104*$B$6,-2)</f>
        <v>0</v>
      </c>
      <c r="CA104" s="354"/>
      <c r="CB104" s="354" t="b">
        <f>IF(SUM(I104:L104)&lt;&gt;0,"X")</f>
        <v>0</v>
      </c>
      <c r="CC104" s="509" t="str">
        <f t="shared" si="47"/>
        <v>KT6.</v>
      </c>
      <c r="CD104" s="509" t="str">
        <f t="shared" si="48"/>
        <v>KT6.13,1</v>
      </c>
      <c r="CE104" s="351" t="str">
        <f t="shared" si="317"/>
        <v>Xé</v>
      </c>
      <c r="CF104" s="509" t="str">
        <f t="shared" si="49"/>
        <v>KT6.Xé</v>
      </c>
      <c r="CG104" s="509"/>
      <c r="CH104" s="509"/>
    </row>
    <row r="105" spans="1:86" ht="24.75" customHeight="1" x14ac:dyDescent="0.25">
      <c r="A105" s="354" t="e">
        <f>A103</f>
        <v>#REF!</v>
      </c>
      <c r="B105" s="484"/>
      <c r="C105" s="531" t="s">
        <v>20</v>
      </c>
      <c r="D105" s="447" t="s">
        <v>14</v>
      </c>
      <c r="E105" s="447"/>
      <c r="F105" s="447"/>
      <c r="G105" s="520">
        <v>13.1</v>
      </c>
      <c r="H105" s="521">
        <v>0.7</v>
      </c>
      <c r="I105" s="522">
        <f t="shared" si="378"/>
        <v>0</v>
      </c>
      <c r="J105" s="522">
        <f t="shared" si="378"/>
        <v>0</v>
      </c>
      <c r="K105" s="522">
        <f t="shared" si="378"/>
        <v>0</v>
      </c>
      <c r="L105" s="57">
        <f>BN105+BR105+BV105+BZ105</f>
        <v>0</v>
      </c>
      <c r="M105" s="60"/>
      <c r="N105" s="60"/>
      <c r="O105" s="60">
        <f>M105-N105</f>
        <v>0</v>
      </c>
      <c r="P105" s="60"/>
      <c r="Q105" s="60"/>
      <c r="R105" s="60">
        <f>P105-Q105</f>
        <v>0</v>
      </c>
      <c r="S105" s="824"/>
      <c r="T105" s="60"/>
      <c r="U105" s="60">
        <f>S105-T105</f>
        <v>0</v>
      </c>
      <c r="V105" s="60">
        <f t="shared" si="379"/>
        <v>0</v>
      </c>
      <c r="W105" s="60">
        <f t="shared" si="379"/>
        <v>0</v>
      </c>
      <c r="X105" s="60">
        <f t="shared" si="379"/>
        <v>0</v>
      </c>
      <c r="Y105" s="60"/>
      <c r="Z105" s="60"/>
      <c r="AA105" s="60">
        <f>Y105-Z105</f>
        <v>0</v>
      </c>
      <c r="AB105" s="60"/>
      <c r="AC105" s="60"/>
      <c r="AD105" s="60">
        <f>AB105-AC105</f>
        <v>0</v>
      </c>
      <c r="AE105" s="60"/>
      <c r="AF105" s="60"/>
      <c r="AG105" s="60">
        <f>AE105-AF105</f>
        <v>0</v>
      </c>
      <c r="AH105" s="60">
        <f t="shared" si="380"/>
        <v>0</v>
      </c>
      <c r="AI105" s="60">
        <f t="shared" si="380"/>
        <v>0</v>
      </c>
      <c r="AJ105" s="60">
        <f t="shared" si="380"/>
        <v>0</v>
      </c>
      <c r="AK105" s="60"/>
      <c r="AL105" s="60"/>
      <c r="AM105" s="60">
        <f>AK105-AL105</f>
        <v>0</v>
      </c>
      <c r="AN105" s="60"/>
      <c r="AO105" s="60"/>
      <c r="AP105" s="60">
        <f>AN105-AO105</f>
        <v>0</v>
      </c>
      <c r="AQ105" s="60"/>
      <c r="AR105" s="60"/>
      <c r="AS105" s="60">
        <f>AQ105-AR105</f>
        <v>0</v>
      </c>
      <c r="AT105" s="60">
        <f t="shared" si="381"/>
        <v>0</v>
      </c>
      <c r="AU105" s="60">
        <f t="shared" si="381"/>
        <v>0</v>
      </c>
      <c r="AV105" s="60">
        <f t="shared" si="381"/>
        <v>0</v>
      </c>
      <c r="AW105" s="60"/>
      <c r="AX105" s="60"/>
      <c r="AY105" s="60">
        <f>AW105-AX105</f>
        <v>0</v>
      </c>
      <c r="AZ105" s="60"/>
      <c r="BA105" s="60"/>
      <c r="BB105" s="60">
        <f>AZ105-BA105</f>
        <v>0</v>
      </c>
      <c r="BC105" s="60"/>
      <c r="BD105" s="60"/>
      <c r="BE105" s="60">
        <f>BC105-BD105</f>
        <v>0</v>
      </c>
      <c r="BF105" s="60">
        <f t="shared" si="382"/>
        <v>0</v>
      </c>
      <c r="BG105" s="60">
        <f t="shared" si="382"/>
        <v>0</v>
      </c>
      <c r="BH105" s="60">
        <f t="shared" si="382"/>
        <v>0</v>
      </c>
      <c r="BI105" s="508"/>
      <c r="BJ105" s="488" t="str">
        <f t="shared" si="316"/>
        <v>Xé</v>
      </c>
      <c r="BK105" s="523">
        <f>ROUND(O105*G105*$B$6,-2)</f>
        <v>0</v>
      </c>
      <c r="BL105" s="523">
        <f>ROUND(R105*G105*$B$6,-2)</f>
        <v>0</v>
      </c>
      <c r="BM105" s="523">
        <f>ROUND(U105*G105*$B$6,-2)</f>
        <v>0</v>
      </c>
      <c r="BN105" s="523">
        <f>ROUND(X105*G105*$B$6,-2)</f>
        <v>0</v>
      </c>
      <c r="BO105" s="523">
        <f>ROUND(AA105*G105*$B$6,-2)</f>
        <v>0</v>
      </c>
      <c r="BP105" s="523">
        <f>ROUND(AD105*G105*$B$6,-2)</f>
        <v>0</v>
      </c>
      <c r="BQ105" s="523">
        <f>ROUND(AG105*G105*$B$6,-2)</f>
        <v>0</v>
      </c>
      <c r="BR105" s="523">
        <f>ROUND(AJ105*G105*$B$6,-2)</f>
        <v>0</v>
      </c>
      <c r="BS105" s="523">
        <f>ROUND(AM105*G105*$B$6,-2)</f>
        <v>0</v>
      </c>
      <c r="BT105" s="523">
        <f>ROUND(AP105*G105*$B$6,-2)</f>
        <v>0</v>
      </c>
      <c r="BU105" s="523">
        <f>ROUND(AS105*G105*$B$6,-2)</f>
        <v>0</v>
      </c>
      <c r="BV105" s="523">
        <f>ROUND(AV105*G105*$B$6,-2)</f>
        <v>0</v>
      </c>
      <c r="BW105" s="523">
        <f>ROUND(AY105*G105*$B$6,-2)</f>
        <v>0</v>
      </c>
      <c r="BX105" s="523">
        <f>ROUND(BB105*G105*$B$6,-2)</f>
        <v>0</v>
      </c>
      <c r="BY105" s="523">
        <f>ROUND(BE105*G105*$B$6,-2)</f>
        <v>0</v>
      </c>
      <c r="BZ105" s="523">
        <f>ROUND(BH105*G105*$B$6,-2)</f>
        <v>0</v>
      </c>
      <c r="CA105" s="354"/>
      <c r="CB105" s="354" t="b">
        <f t="shared" si="3"/>
        <v>0</v>
      </c>
      <c r="CC105" s="509" t="str">
        <f t="shared" si="47"/>
        <v>KT6.</v>
      </c>
      <c r="CD105" s="509" t="str">
        <f t="shared" si="48"/>
        <v>KT6.13,1</v>
      </c>
      <c r="CE105" s="351" t="str">
        <f t="shared" si="317"/>
        <v>Xé</v>
      </c>
      <c r="CF105" s="509" t="str">
        <f t="shared" si="49"/>
        <v>KT6.Xé</v>
      </c>
      <c r="CG105" s="509"/>
      <c r="CH105" s="509"/>
    </row>
    <row r="106" spans="1:86" ht="17.25" x14ac:dyDescent="0.3">
      <c r="A106" s="354" t="e">
        <f>#REF!</f>
        <v>#REF!</v>
      </c>
      <c r="B106" s="503">
        <v>7</v>
      </c>
      <c r="C106" s="507" t="s">
        <v>448</v>
      </c>
      <c r="D106" s="505"/>
      <c r="E106" s="505"/>
      <c r="F106" s="505"/>
      <c r="G106" s="505"/>
      <c r="H106" s="505"/>
      <c r="I106" s="505">
        <f t="shared" ref="I106:AN106" si="383">SUM(I107:I115)/2</f>
        <v>537</v>
      </c>
      <c r="J106" s="505">
        <f t="shared" si="383"/>
        <v>85</v>
      </c>
      <c r="K106" s="505">
        <f t="shared" si="383"/>
        <v>452</v>
      </c>
      <c r="L106" s="532">
        <f t="shared" si="383"/>
        <v>6100</v>
      </c>
      <c r="M106" s="209">
        <f t="shared" si="383"/>
        <v>80</v>
      </c>
      <c r="N106" s="209">
        <f t="shared" si="383"/>
        <v>20</v>
      </c>
      <c r="O106" s="209">
        <f t="shared" si="383"/>
        <v>60</v>
      </c>
      <c r="P106" s="209">
        <f t="shared" si="383"/>
        <v>45</v>
      </c>
      <c r="Q106" s="209">
        <f t="shared" si="383"/>
        <v>5</v>
      </c>
      <c r="R106" s="209">
        <f t="shared" si="383"/>
        <v>40</v>
      </c>
      <c r="S106" s="822">
        <f t="shared" si="383"/>
        <v>90</v>
      </c>
      <c r="T106" s="209">
        <f t="shared" si="383"/>
        <v>10</v>
      </c>
      <c r="U106" s="209">
        <f t="shared" si="383"/>
        <v>80</v>
      </c>
      <c r="V106" s="209">
        <f t="shared" si="383"/>
        <v>215</v>
      </c>
      <c r="W106" s="209">
        <f t="shared" si="383"/>
        <v>35</v>
      </c>
      <c r="X106" s="209">
        <f t="shared" si="383"/>
        <v>180</v>
      </c>
      <c r="Y106" s="209">
        <f t="shared" si="383"/>
        <v>35</v>
      </c>
      <c r="Z106" s="209">
        <f t="shared" si="383"/>
        <v>15</v>
      </c>
      <c r="AA106" s="209">
        <f t="shared" si="383"/>
        <v>20</v>
      </c>
      <c r="AB106" s="209">
        <f t="shared" si="383"/>
        <v>55</v>
      </c>
      <c r="AC106" s="209">
        <f t="shared" si="383"/>
        <v>15</v>
      </c>
      <c r="AD106" s="209">
        <f t="shared" si="383"/>
        <v>40</v>
      </c>
      <c r="AE106" s="209">
        <f t="shared" si="383"/>
        <v>105</v>
      </c>
      <c r="AF106" s="209">
        <f t="shared" si="383"/>
        <v>0</v>
      </c>
      <c r="AG106" s="209">
        <f t="shared" si="383"/>
        <v>105</v>
      </c>
      <c r="AH106" s="209">
        <f t="shared" si="383"/>
        <v>195</v>
      </c>
      <c r="AI106" s="209">
        <f t="shared" si="383"/>
        <v>30</v>
      </c>
      <c r="AJ106" s="209">
        <f t="shared" si="383"/>
        <v>165</v>
      </c>
      <c r="AK106" s="209">
        <f t="shared" si="383"/>
        <v>45</v>
      </c>
      <c r="AL106" s="209">
        <f t="shared" si="383"/>
        <v>10</v>
      </c>
      <c r="AM106" s="209">
        <f t="shared" si="383"/>
        <v>35</v>
      </c>
      <c r="AN106" s="209">
        <f t="shared" si="383"/>
        <v>82</v>
      </c>
      <c r="AO106" s="209">
        <f t="shared" ref="AO106:BK106" si="384">SUM(AO107:AO115)/2</f>
        <v>10</v>
      </c>
      <c r="AP106" s="209">
        <f t="shared" si="384"/>
        <v>72</v>
      </c>
      <c r="AQ106" s="209">
        <f t="shared" si="384"/>
        <v>0</v>
      </c>
      <c r="AR106" s="209">
        <f t="shared" si="384"/>
        <v>0</v>
      </c>
      <c r="AS106" s="209">
        <f t="shared" si="384"/>
        <v>0</v>
      </c>
      <c r="AT106" s="209">
        <f t="shared" si="384"/>
        <v>127</v>
      </c>
      <c r="AU106" s="209">
        <f t="shared" si="384"/>
        <v>20</v>
      </c>
      <c r="AV106" s="209">
        <f t="shared" si="384"/>
        <v>107</v>
      </c>
      <c r="AW106" s="209">
        <f t="shared" si="384"/>
        <v>0</v>
      </c>
      <c r="AX106" s="209">
        <f t="shared" si="384"/>
        <v>0</v>
      </c>
      <c r="AY106" s="209">
        <f t="shared" si="384"/>
        <v>0</v>
      </c>
      <c r="AZ106" s="209">
        <f t="shared" si="384"/>
        <v>0</v>
      </c>
      <c r="BA106" s="209">
        <f t="shared" si="384"/>
        <v>0</v>
      </c>
      <c r="BB106" s="209">
        <f t="shared" si="384"/>
        <v>0</v>
      </c>
      <c r="BC106" s="209">
        <f t="shared" si="384"/>
        <v>0</v>
      </c>
      <c r="BD106" s="209">
        <f t="shared" si="384"/>
        <v>0</v>
      </c>
      <c r="BE106" s="209">
        <f t="shared" si="384"/>
        <v>0</v>
      </c>
      <c r="BF106" s="209">
        <f t="shared" si="384"/>
        <v>0</v>
      </c>
      <c r="BG106" s="209">
        <f t="shared" si="384"/>
        <v>0</v>
      </c>
      <c r="BH106" s="209">
        <f t="shared" si="384"/>
        <v>0</v>
      </c>
      <c r="BI106" s="508"/>
      <c r="BJ106" s="488" t="str">
        <f t="shared" si="316"/>
        <v>PX</v>
      </c>
      <c r="BK106" s="222">
        <f t="shared" si="384"/>
        <v>900</v>
      </c>
      <c r="BL106" s="222">
        <f t="shared" ref="BL106:BZ106" si="385">SUM(BL107:BL115)/2</f>
        <v>500</v>
      </c>
      <c r="BM106" s="222">
        <f t="shared" si="385"/>
        <v>1100</v>
      </c>
      <c r="BN106" s="222">
        <f t="shared" si="385"/>
        <v>2500</v>
      </c>
      <c r="BO106" s="222">
        <f t="shared" si="385"/>
        <v>300</v>
      </c>
      <c r="BP106" s="222">
        <f t="shared" si="385"/>
        <v>500</v>
      </c>
      <c r="BQ106" s="222">
        <f t="shared" si="385"/>
        <v>1600</v>
      </c>
      <c r="BR106" s="222">
        <f t="shared" si="385"/>
        <v>2400</v>
      </c>
      <c r="BS106" s="222">
        <f t="shared" si="385"/>
        <v>300</v>
      </c>
      <c r="BT106" s="222">
        <f t="shared" si="385"/>
        <v>900</v>
      </c>
      <c r="BU106" s="222">
        <f t="shared" si="385"/>
        <v>0</v>
      </c>
      <c r="BV106" s="222">
        <f t="shared" si="385"/>
        <v>1200</v>
      </c>
      <c r="BW106" s="222">
        <f t="shared" si="385"/>
        <v>0</v>
      </c>
      <c r="BX106" s="222">
        <f t="shared" si="385"/>
        <v>0</v>
      </c>
      <c r="BY106" s="222">
        <f t="shared" si="385"/>
        <v>0</v>
      </c>
      <c r="BZ106" s="222">
        <f t="shared" si="385"/>
        <v>0</v>
      </c>
      <c r="CA106" s="354"/>
      <c r="CB106" s="354" t="str">
        <f t="shared" si="3"/>
        <v>X</v>
      </c>
      <c r="CC106" s="534" t="s">
        <v>290</v>
      </c>
      <c r="CD106" s="509" t="str">
        <f t="shared" si="48"/>
        <v>CGH2.</v>
      </c>
      <c r="CE106" s="351" t="str">
        <f t="shared" si="317"/>
        <v>PX</v>
      </c>
      <c r="CF106" s="509" t="str">
        <f t="shared" si="49"/>
        <v>CGH2.PX</v>
      </c>
      <c r="CG106" s="509"/>
      <c r="CH106" s="509"/>
    </row>
    <row r="107" spans="1:86" s="358" customFormat="1" ht="19.5" customHeight="1" x14ac:dyDescent="0.25">
      <c r="A107" s="354" t="e">
        <f>#REF!</f>
        <v>#REF!</v>
      </c>
      <c r="B107" s="511" t="s">
        <v>8</v>
      </c>
      <c r="C107" s="512" t="s">
        <v>177</v>
      </c>
      <c r="D107" s="513"/>
      <c r="E107" s="513"/>
      <c r="F107" s="513"/>
      <c r="G107" s="514"/>
      <c r="H107" s="515"/>
      <c r="I107" s="211">
        <f t="shared" ref="I107:O107" si="386">SUM(I108:I111)</f>
        <v>370</v>
      </c>
      <c r="J107" s="211">
        <f t="shared" si="386"/>
        <v>5</v>
      </c>
      <c r="K107" s="211">
        <f t="shared" si="386"/>
        <v>365</v>
      </c>
      <c r="L107" s="211">
        <f t="shared" si="386"/>
        <v>5800</v>
      </c>
      <c r="M107" s="57">
        <f t="shared" si="386"/>
        <v>50</v>
      </c>
      <c r="N107" s="57">
        <f t="shared" si="386"/>
        <v>0</v>
      </c>
      <c r="O107" s="57">
        <f t="shared" si="386"/>
        <v>50</v>
      </c>
      <c r="P107" s="57">
        <f t="shared" ref="P107:U107" si="387">SUM(P108:P111)</f>
        <v>25</v>
      </c>
      <c r="Q107" s="57">
        <f t="shared" si="387"/>
        <v>0</v>
      </c>
      <c r="R107" s="57">
        <f t="shared" si="387"/>
        <v>25</v>
      </c>
      <c r="S107" s="830">
        <f t="shared" si="387"/>
        <v>70</v>
      </c>
      <c r="T107" s="57">
        <f t="shared" si="387"/>
        <v>0</v>
      </c>
      <c r="U107" s="57">
        <f t="shared" si="387"/>
        <v>70</v>
      </c>
      <c r="V107" s="211">
        <f t="shared" ref="V107:AG107" si="388">SUM(V108:V111)</f>
        <v>145</v>
      </c>
      <c r="W107" s="211">
        <f t="shared" si="388"/>
        <v>0</v>
      </c>
      <c r="X107" s="211">
        <f t="shared" si="388"/>
        <v>145</v>
      </c>
      <c r="Y107" s="57">
        <f t="shared" si="388"/>
        <v>25</v>
      </c>
      <c r="Z107" s="57">
        <f t="shared" si="388"/>
        <v>5</v>
      </c>
      <c r="AA107" s="57">
        <f t="shared" si="388"/>
        <v>20</v>
      </c>
      <c r="AB107" s="57">
        <f t="shared" si="388"/>
        <v>40</v>
      </c>
      <c r="AC107" s="57">
        <f t="shared" si="388"/>
        <v>0</v>
      </c>
      <c r="AD107" s="57">
        <f t="shared" si="388"/>
        <v>40</v>
      </c>
      <c r="AE107" s="57">
        <f t="shared" si="388"/>
        <v>105</v>
      </c>
      <c r="AF107" s="57">
        <f t="shared" si="388"/>
        <v>0</v>
      </c>
      <c r="AG107" s="57">
        <f t="shared" si="388"/>
        <v>105</v>
      </c>
      <c r="AH107" s="211">
        <f t="shared" ref="AH107:BE107" si="389">SUM(AH108:AH111)</f>
        <v>170</v>
      </c>
      <c r="AI107" s="211">
        <f t="shared" si="389"/>
        <v>5</v>
      </c>
      <c r="AJ107" s="211">
        <f t="shared" si="389"/>
        <v>165</v>
      </c>
      <c r="AK107" s="57">
        <f t="shared" si="389"/>
        <v>10</v>
      </c>
      <c r="AL107" s="57">
        <f t="shared" si="389"/>
        <v>0</v>
      </c>
      <c r="AM107" s="57">
        <f t="shared" si="389"/>
        <v>10</v>
      </c>
      <c r="AN107" s="57">
        <f t="shared" si="389"/>
        <v>45</v>
      </c>
      <c r="AO107" s="57">
        <f t="shared" si="389"/>
        <v>0</v>
      </c>
      <c r="AP107" s="57">
        <f t="shared" si="389"/>
        <v>45</v>
      </c>
      <c r="AQ107" s="57">
        <f t="shared" si="389"/>
        <v>0</v>
      </c>
      <c r="AR107" s="57">
        <f t="shared" si="389"/>
        <v>0</v>
      </c>
      <c r="AS107" s="57">
        <f t="shared" si="389"/>
        <v>0</v>
      </c>
      <c r="AT107" s="211">
        <f t="shared" si="389"/>
        <v>55</v>
      </c>
      <c r="AU107" s="211">
        <f t="shared" si="389"/>
        <v>0</v>
      </c>
      <c r="AV107" s="211">
        <f t="shared" si="389"/>
        <v>55</v>
      </c>
      <c r="AW107" s="57">
        <f t="shared" si="389"/>
        <v>0</v>
      </c>
      <c r="AX107" s="57">
        <f t="shared" si="389"/>
        <v>0</v>
      </c>
      <c r="AY107" s="57">
        <f t="shared" si="389"/>
        <v>0</v>
      </c>
      <c r="AZ107" s="57">
        <f t="shared" si="389"/>
        <v>0</v>
      </c>
      <c r="BA107" s="57">
        <f t="shared" si="389"/>
        <v>0</v>
      </c>
      <c r="BB107" s="57">
        <f t="shared" si="389"/>
        <v>0</v>
      </c>
      <c r="BC107" s="57">
        <f t="shared" si="389"/>
        <v>0</v>
      </c>
      <c r="BD107" s="57">
        <f t="shared" si="389"/>
        <v>0</v>
      </c>
      <c r="BE107" s="57">
        <f t="shared" si="389"/>
        <v>0</v>
      </c>
      <c r="BF107" s="211">
        <f>SUM(BF108:BF111)</f>
        <v>0</v>
      </c>
      <c r="BG107" s="211">
        <f>SUM(BG108:BG111)</f>
        <v>0</v>
      </c>
      <c r="BH107" s="211">
        <f>SUM(BH108:BH111)</f>
        <v>0</v>
      </c>
      <c r="BI107" s="537"/>
      <c r="BJ107" s="488" t="str">
        <f t="shared" si="316"/>
        <v>ĐL</v>
      </c>
      <c r="BK107" s="57">
        <f t="shared" ref="BK107:BZ107" si="390">SUM(BK108:BK111)</f>
        <v>900</v>
      </c>
      <c r="BL107" s="57">
        <f t="shared" si="390"/>
        <v>400</v>
      </c>
      <c r="BM107" s="57">
        <f t="shared" si="390"/>
        <v>1100</v>
      </c>
      <c r="BN107" s="57">
        <f t="shared" si="390"/>
        <v>2400</v>
      </c>
      <c r="BO107" s="57">
        <f t="shared" si="390"/>
        <v>300</v>
      </c>
      <c r="BP107" s="57">
        <f t="shared" si="390"/>
        <v>500</v>
      </c>
      <c r="BQ107" s="57">
        <f t="shared" si="390"/>
        <v>1600</v>
      </c>
      <c r="BR107" s="57">
        <f t="shared" si="390"/>
        <v>2400</v>
      </c>
      <c r="BS107" s="57">
        <f t="shared" si="390"/>
        <v>200</v>
      </c>
      <c r="BT107" s="57">
        <f t="shared" si="390"/>
        <v>800</v>
      </c>
      <c r="BU107" s="57">
        <f t="shared" si="390"/>
        <v>0</v>
      </c>
      <c r="BV107" s="57">
        <f t="shared" si="390"/>
        <v>1000</v>
      </c>
      <c r="BW107" s="57">
        <f t="shared" si="390"/>
        <v>0</v>
      </c>
      <c r="BX107" s="57">
        <f t="shared" si="390"/>
        <v>0</v>
      </c>
      <c r="BY107" s="57">
        <f t="shared" si="390"/>
        <v>0</v>
      </c>
      <c r="BZ107" s="57">
        <f t="shared" si="390"/>
        <v>0</v>
      </c>
      <c r="CA107" s="517">
        <f>I107-V107-AH107-AT107-BF107</f>
        <v>0</v>
      </c>
      <c r="CB107" s="510" t="str">
        <f t="shared" si="3"/>
        <v>X</v>
      </c>
      <c r="CC107" s="509" t="str">
        <f t="shared" si="47"/>
        <v>CGH2.</v>
      </c>
      <c r="CD107" s="509" t="str">
        <f t="shared" si="48"/>
        <v>CGH2.</v>
      </c>
      <c r="CE107" s="351" t="str">
        <f t="shared" si="317"/>
        <v>ĐL</v>
      </c>
      <c r="CF107" s="509" t="str">
        <f t="shared" si="49"/>
        <v>CGH2.ĐL</v>
      </c>
      <c r="CG107" s="509"/>
      <c r="CH107" s="509"/>
    </row>
    <row r="108" spans="1:86" ht="24" customHeight="1" x14ac:dyDescent="0.25">
      <c r="A108" s="354" t="e">
        <f t="shared" si="206"/>
        <v>#REF!</v>
      </c>
      <c r="B108" s="518"/>
      <c r="C108" s="519" t="s">
        <v>660</v>
      </c>
      <c r="D108" s="447" t="s">
        <v>207</v>
      </c>
      <c r="E108" s="447" t="s">
        <v>207</v>
      </c>
      <c r="F108" s="447"/>
      <c r="G108" s="520">
        <v>14.5</v>
      </c>
      <c r="H108" s="521">
        <v>0.8</v>
      </c>
      <c r="I108" s="522">
        <f t="shared" ref="I108:K111" si="391">V108+AH108+AT108+BF108</f>
        <v>120</v>
      </c>
      <c r="J108" s="522">
        <f t="shared" si="391"/>
        <v>0</v>
      </c>
      <c r="K108" s="522">
        <f t="shared" si="391"/>
        <v>120</v>
      </c>
      <c r="L108" s="57">
        <f>BN108+BR108+BV108+BZ108</f>
        <v>2100</v>
      </c>
      <c r="M108" s="60">
        <v>50</v>
      </c>
      <c r="N108" s="60"/>
      <c r="O108" s="60">
        <f>M108-N108</f>
        <v>50</v>
      </c>
      <c r="P108" s="60">
        <v>25</v>
      </c>
      <c r="Q108" s="60"/>
      <c r="R108" s="60">
        <f>P108-Q108</f>
        <v>25</v>
      </c>
      <c r="S108" s="824">
        <v>45</v>
      </c>
      <c r="T108" s="60"/>
      <c r="U108" s="60">
        <f>S108-T108</f>
        <v>45</v>
      </c>
      <c r="V108" s="60">
        <f>M108+P108+S108</f>
        <v>120</v>
      </c>
      <c r="W108" s="60">
        <f>N108+Q108+T108</f>
        <v>0</v>
      </c>
      <c r="X108" s="60">
        <f>O108+R108+U108</f>
        <v>120</v>
      </c>
      <c r="Y108" s="60"/>
      <c r="Z108" s="60"/>
      <c r="AA108" s="60">
        <f>Y108-Z108</f>
        <v>0</v>
      </c>
      <c r="AB108" s="60"/>
      <c r="AC108" s="60"/>
      <c r="AD108" s="60">
        <f>AB108-AC108</f>
        <v>0</v>
      </c>
      <c r="AE108" s="60"/>
      <c r="AF108" s="60"/>
      <c r="AG108" s="60">
        <f>AE108-AF108</f>
        <v>0</v>
      </c>
      <c r="AH108" s="60"/>
      <c r="AI108" s="60"/>
      <c r="AJ108" s="60">
        <f>AH108-AI108</f>
        <v>0</v>
      </c>
      <c r="AK108" s="60"/>
      <c r="AL108" s="60"/>
      <c r="AM108" s="60">
        <f>AK108-AL108</f>
        <v>0</v>
      </c>
      <c r="AN108" s="60"/>
      <c r="AO108" s="60"/>
      <c r="AP108" s="60">
        <f>AN108-AO108</f>
        <v>0</v>
      </c>
      <c r="AQ108" s="60"/>
      <c r="AR108" s="60"/>
      <c r="AS108" s="60">
        <f>AQ108-AR108</f>
        <v>0</v>
      </c>
      <c r="AT108" s="60">
        <f t="shared" ref="AT108:AV111" si="392">AK108+AN108+AQ108</f>
        <v>0</v>
      </c>
      <c r="AU108" s="60">
        <f t="shared" si="392"/>
        <v>0</v>
      </c>
      <c r="AV108" s="60">
        <f t="shared" si="392"/>
        <v>0</v>
      </c>
      <c r="AW108" s="60"/>
      <c r="AX108" s="60"/>
      <c r="AY108" s="60">
        <f>AW108-AX108</f>
        <v>0</v>
      </c>
      <c r="AZ108" s="60"/>
      <c r="BA108" s="60"/>
      <c r="BB108" s="60">
        <f>AZ108-BA108</f>
        <v>0</v>
      </c>
      <c r="BC108" s="60"/>
      <c r="BD108" s="60"/>
      <c r="BE108" s="60">
        <f>BC108-BD108</f>
        <v>0</v>
      </c>
      <c r="BF108" s="60">
        <f t="shared" ref="BF108:BH109" si="393">AW108+AZ108+BC108</f>
        <v>0</v>
      </c>
      <c r="BG108" s="60">
        <f t="shared" si="393"/>
        <v>0</v>
      </c>
      <c r="BH108" s="60">
        <f t="shared" si="393"/>
        <v>0</v>
      </c>
      <c r="BI108" s="508"/>
      <c r="BJ108" s="488" t="str">
        <f t="shared" si="316"/>
        <v>Lò</v>
      </c>
      <c r="BK108" s="523">
        <f>ROUND(O108*G108*$C$3*$B$5,-2)</f>
        <v>900</v>
      </c>
      <c r="BL108" s="523">
        <f>ROUND(R108*G108*$C$3*$B$5,-2)</f>
        <v>400</v>
      </c>
      <c r="BM108" s="523">
        <f>ROUND(U108*G108*$C$3*$B$5,-2)</f>
        <v>800</v>
      </c>
      <c r="BN108" s="523">
        <f>ROUND(X108*G108*$C$3*$B$5,-2)</f>
        <v>2100</v>
      </c>
      <c r="BO108" s="523">
        <f>ROUND(AA108*G108*$C$3*$B$5,-2)</f>
        <v>0</v>
      </c>
      <c r="BP108" s="523">
        <f>ROUND(AD108*G108*$C$3*$B$5,-2)</f>
        <v>0</v>
      </c>
      <c r="BQ108" s="523">
        <f>ROUND(AG108*G108*$C$3*$B$5,-2)</f>
        <v>0</v>
      </c>
      <c r="BR108" s="523">
        <f>ROUND(AJ108*G108*$B$5*$C$3,-2)</f>
        <v>0</v>
      </c>
      <c r="BS108" s="523">
        <f>ROUND(AM108*G108*$C$3*$B$5,-2)</f>
        <v>0</v>
      </c>
      <c r="BT108" s="523">
        <f>ROUND(AP108*G108*$C$3*$B$5,-2)</f>
        <v>0</v>
      </c>
      <c r="BU108" s="523">
        <f>ROUND(AS108*G108*$C$3*$B$5,-2)</f>
        <v>0</v>
      </c>
      <c r="BV108" s="523">
        <f>ROUND(AV108*G108*$C$3*$B$5,-2)</f>
        <v>0</v>
      </c>
      <c r="BW108" s="523">
        <f>ROUND(AY108*G108*$C$3*$B$5,-2)</f>
        <v>0</v>
      </c>
      <c r="BX108" s="523">
        <f>ROUND(BB108*G108*$C$3*$B$5,-2)</f>
        <v>0</v>
      </c>
      <c r="BY108" s="523">
        <f>ROUND(BE108*G108*$C$3*$B$5,-2)</f>
        <v>0</v>
      </c>
      <c r="BZ108" s="523">
        <f>ROUND(BH108*G108*$C$3*$B$5,-2)</f>
        <v>0</v>
      </c>
      <c r="CA108" s="354"/>
      <c r="CB108" s="354" t="str">
        <f t="shared" si="3"/>
        <v>X</v>
      </c>
      <c r="CC108" s="509" t="str">
        <f t="shared" si="47"/>
        <v>CGH2.</v>
      </c>
      <c r="CD108" s="509" t="str">
        <f t="shared" si="48"/>
        <v>CGH2.14,5</v>
      </c>
      <c r="CE108" s="351" t="str">
        <f t="shared" si="317"/>
        <v>Lò</v>
      </c>
      <c r="CF108" s="509" t="str">
        <f t="shared" si="49"/>
        <v>CGH2.Lò</v>
      </c>
      <c r="CG108" s="509"/>
      <c r="CH108" s="509"/>
    </row>
    <row r="109" spans="1:86" ht="24" customHeight="1" x14ac:dyDescent="0.25">
      <c r="A109" s="354" t="e">
        <f t="shared" si="206"/>
        <v>#REF!</v>
      </c>
      <c r="B109" s="518"/>
      <c r="C109" s="519" t="s">
        <v>661</v>
      </c>
      <c r="D109" s="447" t="s">
        <v>207</v>
      </c>
      <c r="E109" s="447" t="s">
        <v>207</v>
      </c>
      <c r="F109" s="447"/>
      <c r="G109" s="520">
        <v>14.5</v>
      </c>
      <c r="H109" s="521">
        <v>0.8</v>
      </c>
      <c r="I109" s="522">
        <f t="shared" si="391"/>
        <v>120</v>
      </c>
      <c r="J109" s="522">
        <f t="shared" si="391"/>
        <v>0</v>
      </c>
      <c r="K109" s="522">
        <f t="shared" si="391"/>
        <v>120</v>
      </c>
      <c r="L109" s="57">
        <f>BN109+BR109+BV109+BZ109</f>
        <v>2100</v>
      </c>
      <c r="M109" s="60"/>
      <c r="N109" s="60"/>
      <c r="O109" s="60">
        <f>M109-N109</f>
        <v>0</v>
      </c>
      <c r="P109" s="60"/>
      <c r="Q109" s="60"/>
      <c r="R109" s="60">
        <f>P109-Q109</f>
        <v>0</v>
      </c>
      <c r="S109" s="824"/>
      <c r="T109" s="60"/>
      <c r="U109" s="60">
        <f>S109-T109</f>
        <v>0</v>
      </c>
      <c r="V109" s="60">
        <f t="shared" ref="V109:X111" si="394">M109+P109+S109</f>
        <v>0</v>
      </c>
      <c r="W109" s="60">
        <f t="shared" si="394"/>
        <v>0</v>
      </c>
      <c r="X109" s="60">
        <f t="shared" si="394"/>
        <v>0</v>
      </c>
      <c r="Y109" s="60"/>
      <c r="Z109" s="60"/>
      <c r="AA109" s="60">
        <f>Y109-Z109</f>
        <v>0</v>
      </c>
      <c r="AB109" s="60"/>
      <c r="AC109" s="60"/>
      <c r="AD109" s="60">
        <f>AB109-AC109</f>
        <v>0</v>
      </c>
      <c r="AE109" s="60">
        <v>65</v>
      </c>
      <c r="AF109" s="60"/>
      <c r="AG109" s="60">
        <f>AE109-AF109</f>
        <v>65</v>
      </c>
      <c r="AH109" s="60">
        <f t="shared" ref="AH109:AJ111" si="395">Y109+AB109+AE109</f>
        <v>65</v>
      </c>
      <c r="AI109" s="60">
        <f t="shared" si="395"/>
        <v>0</v>
      </c>
      <c r="AJ109" s="60">
        <f t="shared" si="395"/>
        <v>65</v>
      </c>
      <c r="AK109" s="60">
        <v>10</v>
      </c>
      <c r="AL109" s="60"/>
      <c r="AM109" s="60">
        <f>AK109-AL109</f>
        <v>10</v>
      </c>
      <c r="AN109" s="60">
        <v>45</v>
      </c>
      <c r="AO109" s="60"/>
      <c r="AP109" s="60">
        <f>AN109-AO109</f>
        <v>45</v>
      </c>
      <c r="AQ109" s="60"/>
      <c r="AR109" s="60"/>
      <c r="AS109" s="60">
        <f>AQ109-AR109</f>
        <v>0</v>
      </c>
      <c r="AT109" s="60">
        <f t="shared" si="392"/>
        <v>55</v>
      </c>
      <c r="AU109" s="60">
        <f t="shared" si="392"/>
        <v>0</v>
      </c>
      <c r="AV109" s="60">
        <f t="shared" si="392"/>
        <v>55</v>
      </c>
      <c r="AW109" s="60"/>
      <c r="AX109" s="60"/>
      <c r="AY109" s="60">
        <f>AW109-AX109</f>
        <v>0</v>
      </c>
      <c r="AZ109" s="60"/>
      <c r="BA109" s="60"/>
      <c r="BB109" s="60">
        <f>AZ109-BA109</f>
        <v>0</v>
      </c>
      <c r="BC109" s="60"/>
      <c r="BD109" s="60"/>
      <c r="BE109" s="60">
        <f>BC109-BD109</f>
        <v>0</v>
      </c>
      <c r="BF109" s="60">
        <f t="shared" si="393"/>
        <v>0</v>
      </c>
      <c r="BG109" s="60">
        <f t="shared" si="393"/>
        <v>0</v>
      </c>
      <c r="BH109" s="60">
        <f t="shared" si="393"/>
        <v>0</v>
      </c>
      <c r="BI109" s="508"/>
      <c r="BJ109" s="488" t="str">
        <f t="shared" si="316"/>
        <v>Lò</v>
      </c>
      <c r="BK109" s="523">
        <f>ROUND(O109*G109*$C$3*$B$5,-2)</f>
        <v>0</v>
      </c>
      <c r="BL109" s="523">
        <f>ROUND(R109*G109*$C$3*$B$5,-2)</f>
        <v>0</v>
      </c>
      <c r="BM109" s="523">
        <f>ROUND(U109*G109*$C$3*$B$5,-2)</f>
        <v>0</v>
      </c>
      <c r="BN109" s="523">
        <f>ROUND(X109*G109*$C$3*$B$5,-2)</f>
        <v>0</v>
      </c>
      <c r="BO109" s="523">
        <f>ROUND(AA109*G109*$C$3*$B$5,-2)</f>
        <v>0</v>
      </c>
      <c r="BP109" s="523">
        <f>ROUND(AD109*G109*$C$3*$B$5,-2)</f>
        <v>0</v>
      </c>
      <c r="BQ109" s="523">
        <f>ROUND(AG109*G109*$C$3*$B$5,-2)</f>
        <v>1100</v>
      </c>
      <c r="BR109" s="523">
        <f>ROUND(AJ109*G109*$B$5*$C$3,-2)</f>
        <v>1100</v>
      </c>
      <c r="BS109" s="523">
        <f>ROUND(AM109*G109*$C$3*$B$5,-2)</f>
        <v>200</v>
      </c>
      <c r="BT109" s="523">
        <f>ROUND(AP109*G109*$C$3*$B$5,-2)</f>
        <v>800</v>
      </c>
      <c r="BU109" s="523">
        <f>ROUND(AS109*G109*$C$3*$B$5,-2)</f>
        <v>0</v>
      </c>
      <c r="BV109" s="523">
        <f>ROUND(AV109*G109*$C$3*$B$5,-2)</f>
        <v>1000</v>
      </c>
      <c r="BW109" s="523">
        <f>ROUND(AY109*G109*$C$3*$B$5,-2)</f>
        <v>0</v>
      </c>
      <c r="BX109" s="523">
        <f>ROUND(BB109*G109*$C$3*$B$5,-2)</f>
        <v>0</v>
      </c>
      <c r="BY109" s="523">
        <f>ROUND(BE109*G109*$C$3*$B$5,-2)</f>
        <v>0</v>
      </c>
      <c r="BZ109" s="523">
        <f>ROUND(BH109*G109*$C$3*$B$5,-2)</f>
        <v>0</v>
      </c>
      <c r="CA109" s="354"/>
      <c r="CB109" s="354" t="str">
        <f t="shared" si="3"/>
        <v>X</v>
      </c>
      <c r="CC109" s="509" t="str">
        <f t="shared" si="47"/>
        <v>CGH2.</v>
      </c>
      <c r="CD109" s="509" t="str">
        <f t="shared" si="48"/>
        <v>CGH2.14,5</v>
      </c>
      <c r="CE109" s="351" t="str">
        <f t="shared" si="317"/>
        <v>Lò</v>
      </c>
      <c r="CF109" s="509" t="str">
        <f t="shared" si="49"/>
        <v>CGH2.Lò</v>
      </c>
      <c r="CG109" s="509"/>
      <c r="CH109" s="509"/>
    </row>
    <row r="110" spans="1:86" ht="24" customHeight="1" x14ac:dyDescent="0.25">
      <c r="A110" s="354" t="e">
        <f t="shared" si="206"/>
        <v>#REF!</v>
      </c>
      <c r="B110" s="518"/>
      <c r="C110" s="519" t="s">
        <v>662</v>
      </c>
      <c r="D110" s="447" t="s">
        <v>14</v>
      </c>
      <c r="E110" s="447"/>
      <c r="F110" s="447"/>
      <c r="G110" s="520">
        <v>11.2</v>
      </c>
      <c r="H110" s="521">
        <v>0.7</v>
      </c>
      <c r="I110" s="522">
        <f t="shared" si="391"/>
        <v>130</v>
      </c>
      <c r="J110" s="522">
        <f t="shared" si="391"/>
        <v>5</v>
      </c>
      <c r="K110" s="522">
        <f t="shared" si="391"/>
        <v>125</v>
      </c>
      <c r="L110" s="57">
        <f>BN110+BR110+BV110+BZ110</f>
        <v>1600</v>
      </c>
      <c r="M110" s="60"/>
      <c r="N110" s="60"/>
      <c r="O110" s="60">
        <f>M110-N110</f>
        <v>0</v>
      </c>
      <c r="P110" s="60"/>
      <c r="Q110" s="60"/>
      <c r="R110" s="60">
        <f>P110-Q110</f>
        <v>0</v>
      </c>
      <c r="S110" s="824">
        <v>25</v>
      </c>
      <c r="T110" s="60"/>
      <c r="U110" s="60">
        <f>S110-T110</f>
        <v>25</v>
      </c>
      <c r="V110" s="60">
        <f t="shared" si="394"/>
        <v>25</v>
      </c>
      <c r="W110" s="60">
        <f t="shared" si="394"/>
        <v>0</v>
      </c>
      <c r="X110" s="60">
        <f t="shared" si="394"/>
        <v>25</v>
      </c>
      <c r="Y110" s="60">
        <v>25</v>
      </c>
      <c r="Z110" s="60">
        <v>5</v>
      </c>
      <c r="AA110" s="60">
        <f>Y110-Z110</f>
        <v>20</v>
      </c>
      <c r="AB110" s="60">
        <v>40</v>
      </c>
      <c r="AC110" s="60"/>
      <c r="AD110" s="60">
        <f>AB110-AC110</f>
        <v>40</v>
      </c>
      <c r="AE110" s="60">
        <v>40</v>
      </c>
      <c r="AF110" s="60"/>
      <c r="AG110" s="60">
        <f>AE110-AF110</f>
        <v>40</v>
      </c>
      <c r="AH110" s="60">
        <f t="shared" si="395"/>
        <v>105</v>
      </c>
      <c r="AI110" s="60">
        <f t="shared" si="395"/>
        <v>5</v>
      </c>
      <c r="AJ110" s="60">
        <f t="shared" si="395"/>
        <v>100</v>
      </c>
      <c r="AK110" s="60"/>
      <c r="AL110" s="60"/>
      <c r="AM110" s="60">
        <f>AK110-AL110</f>
        <v>0</v>
      </c>
      <c r="AN110" s="60"/>
      <c r="AO110" s="60"/>
      <c r="AP110" s="60">
        <f>AN110-AO110</f>
        <v>0</v>
      </c>
      <c r="AQ110" s="60"/>
      <c r="AR110" s="60"/>
      <c r="AS110" s="60">
        <f>AQ110-AR110</f>
        <v>0</v>
      </c>
      <c r="AT110" s="60">
        <f t="shared" si="392"/>
        <v>0</v>
      </c>
      <c r="AU110" s="60">
        <f t="shared" si="392"/>
        <v>0</v>
      </c>
      <c r="AV110" s="60">
        <f t="shared" si="392"/>
        <v>0</v>
      </c>
      <c r="AW110" s="60"/>
      <c r="AX110" s="60"/>
      <c r="AY110" s="60">
        <f>AW110-AX110</f>
        <v>0</v>
      </c>
      <c r="AZ110" s="60"/>
      <c r="BA110" s="60"/>
      <c r="BB110" s="60">
        <f>AZ110-BA110</f>
        <v>0</v>
      </c>
      <c r="BC110" s="60"/>
      <c r="BD110" s="60"/>
      <c r="BE110" s="60">
        <f>BC110-BD110</f>
        <v>0</v>
      </c>
      <c r="BF110" s="60">
        <f t="shared" ref="BF110:BH111" si="396">AW110+AZ110+BC110</f>
        <v>0</v>
      </c>
      <c r="BG110" s="60">
        <f t="shared" si="396"/>
        <v>0</v>
      </c>
      <c r="BH110" s="60">
        <f t="shared" si="396"/>
        <v>0</v>
      </c>
      <c r="BI110" s="508"/>
      <c r="BJ110" s="488" t="str">
        <f t="shared" si="316"/>
        <v>Lò</v>
      </c>
      <c r="BK110" s="523">
        <f>ROUND(O110*G110*$C$3*$B$5,-2)</f>
        <v>0</v>
      </c>
      <c r="BL110" s="523">
        <f>ROUND(R110*G110*$C$3*$B$5,-2)</f>
        <v>0</v>
      </c>
      <c r="BM110" s="523">
        <f>ROUND(U110*G110*$C$3*$B$5,-2)</f>
        <v>300</v>
      </c>
      <c r="BN110" s="523">
        <f>ROUND(X110*G110*$C$3*$B$5,-2)</f>
        <v>300</v>
      </c>
      <c r="BO110" s="523">
        <f>ROUND(AA110*G110*$C$3*$B$5,-2)</f>
        <v>300</v>
      </c>
      <c r="BP110" s="523">
        <f>ROUND(AD110*G110*$C$3*$B$5,-2)</f>
        <v>500</v>
      </c>
      <c r="BQ110" s="523">
        <f>ROUND(AG110*G110*$C$3*$B$5,-2)</f>
        <v>500</v>
      </c>
      <c r="BR110" s="523">
        <f>ROUND(AJ110*G110*$B$5*$C$3,-2)</f>
        <v>1300</v>
      </c>
      <c r="BS110" s="523">
        <f>ROUND(AM110*G110*$C$3*$B$5,-2)</f>
        <v>0</v>
      </c>
      <c r="BT110" s="523">
        <f>ROUND(AP110*G110*$C$3*$B$5,-2)</f>
        <v>0</v>
      </c>
      <c r="BU110" s="523">
        <f>ROUND(AS110*G110*$C$3*$B$5,-2)</f>
        <v>0</v>
      </c>
      <c r="BV110" s="523">
        <f>ROUND(AV110*G110*$C$3*$B$5,-2)</f>
        <v>0</v>
      </c>
      <c r="BW110" s="523">
        <f>ROUND(AY110*G110*$C$3*$B$5,-2)</f>
        <v>0</v>
      </c>
      <c r="BX110" s="523">
        <f>ROUND(BB110*G110*$C$3*$B$5,-2)</f>
        <v>0</v>
      </c>
      <c r="BY110" s="523">
        <f>ROUND(BE110*G110*$C$3*$B$5,-2)</f>
        <v>0</v>
      </c>
      <c r="BZ110" s="523">
        <f>ROUND(BH110*G110*$C$3*$B$5,-2)</f>
        <v>0</v>
      </c>
      <c r="CA110" s="354"/>
      <c r="CB110" s="354" t="str">
        <f t="shared" ref="CB110:CB201" si="397">IF(SUM(I110:L110)&lt;&gt;0,"X")</f>
        <v>X</v>
      </c>
      <c r="CC110" s="509" t="str">
        <f t="shared" si="47"/>
        <v>CGH2.</v>
      </c>
      <c r="CD110" s="509" t="str">
        <f t="shared" si="48"/>
        <v>CGH2.11,2</v>
      </c>
      <c r="CE110" s="351" t="str">
        <f t="shared" si="317"/>
        <v>Lò</v>
      </c>
      <c r="CF110" s="509" t="str">
        <f t="shared" si="49"/>
        <v>CGH2.Lò</v>
      </c>
      <c r="CG110" s="509"/>
      <c r="CH110" s="509"/>
    </row>
    <row r="111" spans="1:86" ht="19.5" customHeight="1" x14ac:dyDescent="0.25">
      <c r="A111" s="354" t="e">
        <f t="shared" si="206"/>
        <v>#REF!</v>
      </c>
      <c r="B111" s="518"/>
      <c r="C111" s="519" t="s">
        <v>204</v>
      </c>
      <c r="D111" s="447" t="s">
        <v>14</v>
      </c>
      <c r="E111" s="447"/>
      <c r="F111" s="447"/>
      <c r="G111" s="520">
        <v>11.2</v>
      </c>
      <c r="H111" s="521">
        <v>0.7</v>
      </c>
      <c r="I111" s="522">
        <f t="shared" si="391"/>
        <v>0</v>
      </c>
      <c r="J111" s="522">
        <f t="shared" si="391"/>
        <v>0</v>
      </c>
      <c r="K111" s="522">
        <f t="shared" si="391"/>
        <v>0</v>
      </c>
      <c r="L111" s="57">
        <f>BN111+BR111+BV111+BZ111</f>
        <v>0</v>
      </c>
      <c r="M111" s="60"/>
      <c r="N111" s="60"/>
      <c r="O111" s="60">
        <f>M111-N111</f>
        <v>0</v>
      </c>
      <c r="P111" s="60"/>
      <c r="Q111" s="60"/>
      <c r="R111" s="60">
        <f>P111-Q111</f>
        <v>0</v>
      </c>
      <c r="S111" s="824"/>
      <c r="T111" s="60"/>
      <c r="U111" s="60">
        <f>S111-T111</f>
        <v>0</v>
      </c>
      <c r="V111" s="60">
        <f t="shared" si="394"/>
        <v>0</v>
      </c>
      <c r="W111" s="60">
        <f t="shared" si="394"/>
        <v>0</v>
      </c>
      <c r="X111" s="60">
        <f t="shared" si="394"/>
        <v>0</v>
      </c>
      <c r="Y111" s="60"/>
      <c r="Z111" s="60"/>
      <c r="AA111" s="60">
        <f>Y111-Z111</f>
        <v>0</v>
      </c>
      <c r="AB111" s="60"/>
      <c r="AC111" s="60"/>
      <c r="AD111" s="60">
        <f>AB111-AC111</f>
        <v>0</v>
      </c>
      <c r="AE111" s="60"/>
      <c r="AF111" s="60"/>
      <c r="AG111" s="60">
        <f>AE111-AF111</f>
        <v>0</v>
      </c>
      <c r="AH111" s="60">
        <f t="shared" si="395"/>
        <v>0</v>
      </c>
      <c r="AI111" s="60">
        <f t="shared" si="395"/>
        <v>0</v>
      </c>
      <c r="AJ111" s="60">
        <f t="shared" si="395"/>
        <v>0</v>
      </c>
      <c r="AK111" s="60"/>
      <c r="AL111" s="60"/>
      <c r="AM111" s="60">
        <f>AK111-AL111</f>
        <v>0</v>
      </c>
      <c r="AN111" s="60"/>
      <c r="AO111" s="60"/>
      <c r="AP111" s="60">
        <f>AN111-AO111</f>
        <v>0</v>
      </c>
      <c r="AQ111" s="60"/>
      <c r="AR111" s="60"/>
      <c r="AS111" s="60">
        <f>AQ111-AR111</f>
        <v>0</v>
      </c>
      <c r="AT111" s="60">
        <f t="shared" si="392"/>
        <v>0</v>
      </c>
      <c r="AU111" s="60">
        <f t="shared" si="392"/>
        <v>0</v>
      </c>
      <c r="AV111" s="60">
        <f t="shared" si="392"/>
        <v>0</v>
      </c>
      <c r="AW111" s="60"/>
      <c r="AX111" s="60"/>
      <c r="AY111" s="60">
        <f>AW111-AX111</f>
        <v>0</v>
      </c>
      <c r="AZ111" s="60"/>
      <c r="BA111" s="60"/>
      <c r="BB111" s="60">
        <f>AZ111-BA111</f>
        <v>0</v>
      </c>
      <c r="BC111" s="60"/>
      <c r="BD111" s="60"/>
      <c r="BE111" s="60">
        <f>BC111-BD111</f>
        <v>0</v>
      </c>
      <c r="BF111" s="60">
        <f t="shared" si="396"/>
        <v>0</v>
      </c>
      <c r="BG111" s="60">
        <f t="shared" si="396"/>
        <v>0</v>
      </c>
      <c r="BH111" s="60">
        <f t="shared" si="396"/>
        <v>0</v>
      </c>
      <c r="BI111" s="508"/>
      <c r="BJ111" s="488" t="str">
        <f t="shared" si="316"/>
        <v>Lò</v>
      </c>
      <c r="BK111" s="523">
        <f>ROUND(O111*G111*$C$3*$B$5,-2)</f>
        <v>0</v>
      </c>
      <c r="BL111" s="523">
        <f>ROUND(R111*G111*$C$3*$B$5,-2)</f>
        <v>0</v>
      </c>
      <c r="BM111" s="523">
        <f>ROUND(U111*G111*$C$3*$B$5,-2)</f>
        <v>0</v>
      </c>
      <c r="BN111" s="523">
        <f>ROUND(X111*G111*$C$3*$B$5,-2)</f>
        <v>0</v>
      </c>
      <c r="BO111" s="523">
        <f>ROUND(AA111*G111*$C$3*$B$5,-2)</f>
        <v>0</v>
      </c>
      <c r="BP111" s="523">
        <f>ROUND(AD111*G111*$C$3*$B$5,-2)</f>
        <v>0</v>
      </c>
      <c r="BQ111" s="523">
        <f>ROUND(AG111*G111*$C$3*$B$5,-2)</f>
        <v>0</v>
      </c>
      <c r="BR111" s="523">
        <f>ROUND(AJ111*G111*$B$5*$C$3,-2)</f>
        <v>0</v>
      </c>
      <c r="BS111" s="523">
        <f>ROUND(AM111*G111*$C$3*$B$5,-2)</f>
        <v>0</v>
      </c>
      <c r="BT111" s="523">
        <f>ROUND(AP111*G111*$C$3*$B$5,-2)</f>
        <v>0</v>
      </c>
      <c r="BU111" s="523">
        <f>ROUND(AS111*G111*$C$3*$B$5,-2)</f>
        <v>0</v>
      </c>
      <c r="BV111" s="523">
        <f>ROUND(AV111*G111*$C$3*$B$5,-2)</f>
        <v>0</v>
      </c>
      <c r="BW111" s="523">
        <f>ROUND(AY111*G111*$C$3*$B$5,-2)</f>
        <v>0</v>
      </c>
      <c r="BX111" s="523">
        <f>ROUND(BB111*G111*$C$3*$B$5,-2)</f>
        <v>0</v>
      </c>
      <c r="BY111" s="523">
        <f>ROUND(BE111*G111*$C$3*$B$5,-2)</f>
        <v>0</v>
      </c>
      <c r="BZ111" s="523">
        <f>ROUND(BH111*G111*$C$3*$B$5,-2)</f>
        <v>0</v>
      </c>
      <c r="CA111" s="354"/>
      <c r="CB111" s="354" t="b">
        <f t="shared" si="397"/>
        <v>0</v>
      </c>
      <c r="CC111" s="509" t="str">
        <f t="shared" ref="CC111:CC194" si="398">CC110</f>
        <v>CGH2.</v>
      </c>
      <c r="CD111" s="509" t="str">
        <f t="shared" ref="CD111:CD201" si="399">CC111&amp;G111</f>
        <v>CGH2.11,2</v>
      </c>
      <c r="CE111" s="351" t="str">
        <f t="shared" si="317"/>
        <v>Lò</v>
      </c>
      <c r="CF111" s="509" t="str">
        <f t="shared" ref="CF111:CF201" si="400">CC111&amp;CE111</f>
        <v>CGH2.Lò</v>
      </c>
      <c r="CG111" s="509"/>
      <c r="CH111" s="509"/>
    </row>
    <row r="112" spans="1:86" s="359" customFormat="1" ht="21.75" customHeight="1" x14ac:dyDescent="0.3">
      <c r="A112" s="354" t="e">
        <f t="shared" si="206"/>
        <v>#REF!</v>
      </c>
      <c r="B112" s="525" t="s">
        <v>37</v>
      </c>
      <c r="C112" s="526" t="s">
        <v>178</v>
      </c>
      <c r="D112" s="527"/>
      <c r="E112" s="527"/>
      <c r="F112" s="527"/>
      <c r="G112" s="528"/>
      <c r="H112" s="529"/>
      <c r="I112" s="70">
        <f t="shared" ref="I112:AN112" si="401">SUM(I113:I115)</f>
        <v>167</v>
      </c>
      <c r="J112" s="70">
        <f t="shared" si="401"/>
        <v>80</v>
      </c>
      <c r="K112" s="70">
        <f t="shared" si="401"/>
        <v>87</v>
      </c>
      <c r="L112" s="70">
        <f t="shared" si="401"/>
        <v>300</v>
      </c>
      <c r="M112" s="210">
        <f t="shared" si="401"/>
        <v>30</v>
      </c>
      <c r="N112" s="210">
        <f t="shared" si="401"/>
        <v>20</v>
      </c>
      <c r="O112" s="210">
        <f t="shared" si="401"/>
        <v>10</v>
      </c>
      <c r="P112" s="210">
        <f t="shared" si="401"/>
        <v>20</v>
      </c>
      <c r="Q112" s="210">
        <f t="shared" si="401"/>
        <v>5</v>
      </c>
      <c r="R112" s="210">
        <f t="shared" si="401"/>
        <v>15</v>
      </c>
      <c r="S112" s="829">
        <f t="shared" si="401"/>
        <v>20</v>
      </c>
      <c r="T112" s="210">
        <f t="shared" si="401"/>
        <v>10</v>
      </c>
      <c r="U112" s="210">
        <f t="shared" si="401"/>
        <v>10</v>
      </c>
      <c r="V112" s="224">
        <f t="shared" si="401"/>
        <v>70</v>
      </c>
      <c r="W112" s="224">
        <f t="shared" si="401"/>
        <v>35</v>
      </c>
      <c r="X112" s="224">
        <f t="shared" si="401"/>
        <v>35</v>
      </c>
      <c r="Y112" s="210">
        <f t="shared" si="401"/>
        <v>10</v>
      </c>
      <c r="Z112" s="210">
        <f t="shared" si="401"/>
        <v>10</v>
      </c>
      <c r="AA112" s="210">
        <f t="shared" si="401"/>
        <v>0</v>
      </c>
      <c r="AB112" s="210">
        <f t="shared" si="401"/>
        <v>15</v>
      </c>
      <c r="AC112" s="210">
        <f t="shared" si="401"/>
        <v>15</v>
      </c>
      <c r="AD112" s="210">
        <f t="shared" si="401"/>
        <v>0</v>
      </c>
      <c r="AE112" s="210">
        <f t="shared" si="401"/>
        <v>0</v>
      </c>
      <c r="AF112" s="210">
        <f t="shared" si="401"/>
        <v>0</v>
      </c>
      <c r="AG112" s="210">
        <f t="shared" si="401"/>
        <v>0</v>
      </c>
      <c r="AH112" s="224">
        <f t="shared" si="401"/>
        <v>25</v>
      </c>
      <c r="AI112" s="224">
        <f t="shared" si="401"/>
        <v>25</v>
      </c>
      <c r="AJ112" s="224">
        <f t="shared" si="401"/>
        <v>0</v>
      </c>
      <c r="AK112" s="210">
        <f t="shared" si="401"/>
        <v>35</v>
      </c>
      <c r="AL112" s="210">
        <f t="shared" si="401"/>
        <v>10</v>
      </c>
      <c r="AM112" s="210">
        <f t="shared" si="401"/>
        <v>25</v>
      </c>
      <c r="AN112" s="210">
        <f t="shared" si="401"/>
        <v>37</v>
      </c>
      <c r="AO112" s="210">
        <f t="shared" ref="AO112:BH112" si="402">SUM(AO113:AO115)</f>
        <v>10</v>
      </c>
      <c r="AP112" s="210">
        <f t="shared" si="402"/>
        <v>27</v>
      </c>
      <c r="AQ112" s="210">
        <f t="shared" si="402"/>
        <v>0</v>
      </c>
      <c r="AR112" s="210">
        <f t="shared" si="402"/>
        <v>0</v>
      </c>
      <c r="AS112" s="210">
        <f t="shared" si="402"/>
        <v>0</v>
      </c>
      <c r="AT112" s="224">
        <f t="shared" si="402"/>
        <v>72</v>
      </c>
      <c r="AU112" s="224">
        <f t="shared" si="402"/>
        <v>20</v>
      </c>
      <c r="AV112" s="224">
        <f t="shared" si="402"/>
        <v>52</v>
      </c>
      <c r="AW112" s="210">
        <f t="shared" si="402"/>
        <v>0</v>
      </c>
      <c r="AX112" s="210">
        <f t="shared" si="402"/>
        <v>0</v>
      </c>
      <c r="AY112" s="210">
        <f t="shared" si="402"/>
        <v>0</v>
      </c>
      <c r="AZ112" s="210">
        <f t="shared" si="402"/>
        <v>0</v>
      </c>
      <c r="BA112" s="210">
        <f t="shared" si="402"/>
        <v>0</v>
      </c>
      <c r="BB112" s="210">
        <f t="shared" si="402"/>
        <v>0</v>
      </c>
      <c r="BC112" s="210">
        <f t="shared" si="402"/>
        <v>0</v>
      </c>
      <c r="BD112" s="210">
        <f t="shared" si="402"/>
        <v>0</v>
      </c>
      <c r="BE112" s="210">
        <f t="shared" si="402"/>
        <v>0</v>
      </c>
      <c r="BF112" s="224">
        <f t="shared" si="402"/>
        <v>0</v>
      </c>
      <c r="BG112" s="224">
        <f t="shared" si="402"/>
        <v>0</v>
      </c>
      <c r="BH112" s="224">
        <f t="shared" si="402"/>
        <v>0</v>
      </c>
      <c r="BI112" s="530"/>
      <c r="BJ112" s="488" t="str">
        <f t="shared" si="316"/>
        <v>XL</v>
      </c>
      <c r="BK112" s="225">
        <f t="shared" ref="BK112:BZ112" si="403">SUM(BK113:BK115)</f>
        <v>0</v>
      </c>
      <c r="BL112" s="225">
        <f t="shared" si="403"/>
        <v>100</v>
      </c>
      <c r="BM112" s="225">
        <f t="shared" si="403"/>
        <v>0</v>
      </c>
      <c r="BN112" s="225">
        <f t="shared" si="403"/>
        <v>100</v>
      </c>
      <c r="BO112" s="225">
        <f t="shared" si="403"/>
        <v>0</v>
      </c>
      <c r="BP112" s="225">
        <f t="shared" si="403"/>
        <v>0</v>
      </c>
      <c r="BQ112" s="225">
        <f t="shared" si="403"/>
        <v>0</v>
      </c>
      <c r="BR112" s="225">
        <f t="shared" si="403"/>
        <v>0</v>
      </c>
      <c r="BS112" s="225">
        <f t="shared" si="403"/>
        <v>100</v>
      </c>
      <c r="BT112" s="225">
        <f t="shared" si="403"/>
        <v>100</v>
      </c>
      <c r="BU112" s="225">
        <f t="shared" si="403"/>
        <v>0</v>
      </c>
      <c r="BV112" s="225">
        <f t="shared" si="403"/>
        <v>200</v>
      </c>
      <c r="BW112" s="225">
        <f t="shared" si="403"/>
        <v>0</v>
      </c>
      <c r="BX112" s="225">
        <f t="shared" si="403"/>
        <v>0</v>
      </c>
      <c r="BY112" s="225">
        <f t="shared" si="403"/>
        <v>0</v>
      </c>
      <c r="BZ112" s="225">
        <f t="shared" si="403"/>
        <v>0</v>
      </c>
      <c r="CA112" s="510"/>
      <c r="CB112" s="510" t="str">
        <f t="shared" si="397"/>
        <v>X</v>
      </c>
      <c r="CC112" s="509" t="str">
        <f t="shared" si="398"/>
        <v>CGH2.</v>
      </c>
      <c r="CD112" s="509" t="str">
        <f t="shared" si="399"/>
        <v>CGH2.</v>
      </c>
      <c r="CE112" s="351" t="str">
        <f t="shared" si="317"/>
        <v>XL</v>
      </c>
      <c r="CF112" s="509" t="str">
        <f t="shared" si="400"/>
        <v>CGH2.XL</v>
      </c>
      <c r="CG112" s="509"/>
      <c r="CH112" s="509"/>
    </row>
    <row r="113" spans="1:86" ht="24.75" customHeight="1" x14ac:dyDescent="0.25">
      <c r="A113" s="354" t="e">
        <f t="shared" si="206"/>
        <v>#REF!</v>
      </c>
      <c r="B113" s="484"/>
      <c r="C113" s="531" t="s">
        <v>553</v>
      </c>
      <c r="D113" s="447" t="s">
        <v>14</v>
      </c>
      <c r="E113" s="447"/>
      <c r="F113" s="447"/>
      <c r="G113" s="520">
        <v>16.100000000000001</v>
      </c>
      <c r="H113" s="521">
        <v>0.5</v>
      </c>
      <c r="I113" s="522">
        <f t="shared" ref="I113:K115" si="404">V113+AH113+AT113+BF113</f>
        <v>97</v>
      </c>
      <c r="J113" s="522">
        <f t="shared" si="404"/>
        <v>45</v>
      </c>
      <c r="K113" s="522">
        <f t="shared" si="404"/>
        <v>52</v>
      </c>
      <c r="L113" s="57">
        <f>BN113+BR113+BV113+BZ113</f>
        <v>200</v>
      </c>
      <c r="M113" s="60"/>
      <c r="N113" s="60"/>
      <c r="O113" s="60">
        <f>M113-N113</f>
        <v>0</v>
      </c>
      <c r="P113" s="60"/>
      <c r="Q113" s="60"/>
      <c r="R113" s="60">
        <f>P113-Q113</f>
        <v>0</v>
      </c>
      <c r="S113" s="824"/>
      <c r="T113" s="60"/>
      <c r="U113" s="60">
        <f>S113-T113</f>
        <v>0</v>
      </c>
      <c r="V113" s="60">
        <f t="shared" ref="V113:X115" si="405">M113+P113+S113</f>
        <v>0</v>
      </c>
      <c r="W113" s="60">
        <f t="shared" si="405"/>
        <v>0</v>
      </c>
      <c r="X113" s="60">
        <f t="shared" si="405"/>
        <v>0</v>
      </c>
      <c r="Y113" s="60">
        <v>10</v>
      </c>
      <c r="Z113" s="60">
        <v>10</v>
      </c>
      <c r="AA113" s="60">
        <f>Y113-Z113</f>
        <v>0</v>
      </c>
      <c r="AB113" s="60">
        <v>15</v>
      </c>
      <c r="AC113" s="60">
        <v>15</v>
      </c>
      <c r="AD113" s="60">
        <f>AB113-AC113</f>
        <v>0</v>
      </c>
      <c r="AE113" s="60"/>
      <c r="AF113" s="60"/>
      <c r="AG113" s="60">
        <f>AE113-AF113</f>
        <v>0</v>
      </c>
      <c r="AH113" s="60">
        <f>Y113+AB113+AE113</f>
        <v>25</v>
      </c>
      <c r="AI113" s="60">
        <f>Z113+AC113+AF113</f>
        <v>25</v>
      </c>
      <c r="AJ113" s="60">
        <f>AA113+AD113+AG113</f>
        <v>0</v>
      </c>
      <c r="AK113" s="60">
        <v>35</v>
      </c>
      <c r="AL113" s="60">
        <v>10</v>
      </c>
      <c r="AM113" s="60">
        <f>AK113-AL113</f>
        <v>25</v>
      </c>
      <c r="AN113" s="60">
        <v>37</v>
      </c>
      <c r="AO113" s="60">
        <v>10</v>
      </c>
      <c r="AP113" s="60">
        <f>AN113-AO113</f>
        <v>27</v>
      </c>
      <c r="AQ113" s="60"/>
      <c r="AR113" s="60"/>
      <c r="AS113" s="60">
        <f>AQ113-AR113</f>
        <v>0</v>
      </c>
      <c r="AT113" s="60">
        <f>AK113+AN113+AQ113</f>
        <v>72</v>
      </c>
      <c r="AU113" s="60">
        <f>AL113+AO113+AR113</f>
        <v>20</v>
      </c>
      <c r="AV113" s="60">
        <f>AM113+AP113+AS113</f>
        <v>52</v>
      </c>
      <c r="AW113" s="60"/>
      <c r="AX113" s="60"/>
      <c r="AY113" s="60">
        <f>AW113-AX113</f>
        <v>0</v>
      </c>
      <c r="AZ113" s="60"/>
      <c r="BA113" s="60"/>
      <c r="BB113" s="60">
        <f>AZ113-BA113</f>
        <v>0</v>
      </c>
      <c r="BC113" s="60"/>
      <c r="BD113" s="60"/>
      <c r="BE113" s="60">
        <f>BC113-BD113</f>
        <v>0</v>
      </c>
      <c r="BF113" s="60">
        <f t="shared" ref="BF113:BH115" si="406">AW113+AZ113+BC113</f>
        <v>0</v>
      </c>
      <c r="BG113" s="60">
        <f t="shared" si="406"/>
        <v>0</v>
      </c>
      <c r="BH113" s="60">
        <f t="shared" si="406"/>
        <v>0</v>
      </c>
      <c r="BI113" s="508"/>
      <c r="BJ113" s="488" t="str">
        <f t="shared" ref="BJ113:BJ144" si="407">LEFT(C113,2)</f>
        <v>Xé</v>
      </c>
      <c r="BK113" s="523">
        <f>ROUND(O113*G113*$B$6,-2)</f>
        <v>0</v>
      </c>
      <c r="BL113" s="523">
        <f>ROUND(R113*G113*$B$6,-2)</f>
        <v>0</v>
      </c>
      <c r="BM113" s="523">
        <f>ROUND(U113*G113*$B$6,-2)</f>
        <v>0</v>
      </c>
      <c r="BN113" s="523">
        <f>ROUND(X113*G113*$B$6,-2)</f>
        <v>0</v>
      </c>
      <c r="BO113" s="523">
        <f>ROUND(AA113*G113*$B$6,-2)</f>
        <v>0</v>
      </c>
      <c r="BP113" s="523">
        <f>ROUND(AD113*G113*$B$6,-2)</f>
        <v>0</v>
      </c>
      <c r="BQ113" s="523">
        <f>ROUND(AG113*G113*$B$6,-2)</f>
        <v>0</v>
      </c>
      <c r="BR113" s="523">
        <f>ROUND(AJ113*G113*$B$6,-2)</f>
        <v>0</v>
      </c>
      <c r="BS113" s="523">
        <f>ROUND(AM113*G113*$B$6,-2)</f>
        <v>100</v>
      </c>
      <c r="BT113" s="523">
        <f>ROUND(AP113*G113*$B$6,-2)</f>
        <v>100</v>
      </c>
      <c r="BU113" s="523">
        <f>ROUND(AS113*G113*$B$6,-2)</f>
        <v>0</v>
      </c>
      <c r="BV113" s="523">
        <f>ROUND(AV113*G113*$B$6,-2)</f>
        <v>200</v>
      </c>
      <c r="BW113" s="523">
        <f>ROUND(AY113*G113*$B$6,-2)</f>
        <v>0</v>
      </c>
      <c r="BX113" s="523">
        <f>ROUND(BB113*G113*$B$6,-2)</f>
        <v>0</v>
      </c>
      <c r="BY113" s="523">
        <f>ROUND(BE113*G113*$B$6,-2)</f>
        <v>0</v>
      </c>
      <c r="BZ113" s="523">
        <f>ROUND(BH113*G113*$B$6,-2)</f>
        <v>0</v>
      </c>
      <c r="CA113" s="354"/>
      <c r="CB113" s="354" t="str">
        <f t="shared" si="397"/>
        <v>X</v>
      </c>
      <c r="CC113" s="509" t="str">
        <f t="shared" si="398"/>
        <v>CGH2.</v>
      </c>
      <c r="CD113" s="509" t="str">
        <f t="shared" si="399"/>
        <v>CGH2.16,1</v>
      </c>
      <c r="CE113" s="351" t="str">
        <f t="shared" ref="CE113:CE144" si="408">LEFT(C113,2)</f>
        <v>Xé</v>
      </c>
      <c r="CF113" s="509" t="str">
        <f t="shared" si="400"/>
        <v>CGH2.Xé</v>
      </c>
      <c r="CG113" s="509"/>
      <c r="CH113" s="509"/>
    </row>
    <row r="114" spans="1:86" ht="24.75" customHeight="1" x14ac:dyDescent="0.25">
      <c r="A114" s="354" t="e">
        <f>A112</f>
        <v>#REF!</v>
      </c>
      <c r="B114" s="484"/>
      <c r="C114" s="531" t="s">
        <v>799</v>
      </c>
      <c r="D114" s="447" t="s">
        <v>14</v>
      </c>
      <c r="E114" s="447"/>
      <c r="F114" s="447"/>
      <c r="G114" s="520">
        <v>16.100000000000001</v>
      </c>
      <c r="H114" s="521">
        <v>0.7</v>
      </c>
      <c r="I114" s="522">
        <f t="shared" si="404"/>
        <v>70</v>
      </c>
      <c r="J114" s="522">
        <f t="shared" si="404"/>
        <v>35</v>
      </c>
      <c r="K114" s="522">
        <f t="shared" si="404"/>
        <v>35</v>
      </c>
      <c r="L114" s="57">
        <f>BN114+BR114+BV114+BZ114</f>
        <v>100</v>
      </c>
      <c r="M114" s="60">
        <v>30</v>
      </c>
      <c r="N114" s="60">
        <v>20</v>
      </c>
      <c r="O114" s="60">
        <f>M114-N114</f>
        <v>10</v>
      </c>
      <c r="P114" s="60">
        <v>20</v>
      </c>
      <c r="Q114" s="60">
        <v>5</v>
      </c>
      <c r="R114" s="60">
        <f>P114-Q114</f>
        <v>15</v>
      </c>
      <c r="S114" s="824">
        <v>20</v>
      </c>
      <c r="T114" s="60">
        <v>10</v>
      </c>
      <c r="U114" s="60">
        <f>S114-T114</f>
        <v>10</v>
      </c>
      <c r="V114" s="60">
        <f t="shared" si="405"/>
        <v>70</v>
      </c>
      <c r="W114" s="60">
        <f t="shared" si="405"/>
        <v>35</v>
      </c>
      <c r="X114" s="60">
        <f t="shared" si="405"/>
        <v>35</v>
      </c>
      <c r="Y114" s="60"/>
      <c r="Z114" s="60"/>
      <c r="AA114" s="60">
        <f>Y114-Z114</f>
        <v>0</v>
      </c>
      <c r="AB114" s="60"/>
      <c r="AC114" s="60"/>
      <c r="AD114" s="60">
        <f>AB114-AC114</f>
        <v>0</v>
      </c>
      <c r="AE114" s="60"/>
      <c r="AF114" s="60"/>
      <c r="AG114" s="60">
        <f>AE114-AF114</f>
        <v>0</v>
      </c>
      <c r="AH114" s="60"/>
      <c r="AI114" s="60">
        <f>Z114+AC114+AF114</f>
        <v>0</v>
      </c>
      <c r="AJ114" s="60">
        <f>AH114-AI114</f>
        <v>0</v>
      </c>
      <c r="AK114" s="60"/>
      <c r="AL114" s="60"/>
      <c r="AM114" s="60">
        <f>AK114-AL114</f>
        <v>0</v>
      </c>
      <c r="AN114" s="60"/>
      <c r="AO114" s="60"/>
      <c r="AP114" s="60">
        <f>AN114-AO114</f>
        <v>0</v>
      </c>
      <c r="AQ114" s="60"/>
      <c r="AR114" s="60"/>
      <c r="AS114" s="60">
        <f>AQ114-AR114</f>
        <v>0</v>
      </c>
      <c r="AT114" s="60">
        <f t="shared" ref="AT114:AV115" si="409">AK114+AN114+AQ114</f>
        <v>0</v>
      </c>
      <c r="AU114" s="60">
        <f t="shared" si="409"/>
        <v>0</v>
      </c>
      <c r="AV114" s="60">
        <f t="shared" si="409"/>
        <v>0</v>
      </c>
      <c r="AW114" s="60"/>
      <c r="AX114" s="60"/>
      <c r="AY114" s="60">
        <f>AW114-AX114</f>
        <v>0</v>
      </c>
      <c r="AZ114" s="60"/>
      <c r="BA114" s="60"/>
      <c r="BB114" s="60">
        <f>AZ114-BA114</f>
        <v>0</v>
      </c>
      <c r="BC114" s="60"/>
      <c r="BD114" s="60"/>
      <c r="BE114" s="60">
        <f>BC114-BD114</f>
        <v>0</v>
      </c>
      <c r="BF114" s="60">
        <f t="shared" si="406"/>
        <v>0</v>
      </c>
      <c r="BG114" s="60">
        <f t="shared" si="406"/>
        <v>0</v>
      </c>
      <c r="BH114" s="60">
        <f t="shared" si="406"/>
        <v>0</v>
      </c>
      <c r="BI114" s="508"/>
      <c r="BJ114" s="488" t="str">
        <f t="shared" si="407"/>
        <v>Xé</v>
      </c>
      <c r="BK114" s="523">
        <f>ROUND(O114*G114*$B$6,-2)</f>
        <v>0</v>
      </c>
      <c r="BL114" s="523">
        <f>ROUND(R114*G114*$B$6,-2)</f>
        <v>100</v>
      </c>
      <c r="BM114" s="523">
        <f>ROUND(U114*G114*$B$6,-2)</f>
        <v>0</v>
      </c>
      <c r="BN114" s="523">
        <f>ROUND(X114*G114*$B$6,-2)</f>
        <v>100</v>
      </c>
      <c r="BO114" s="523">
        <f>ROUND(AA114*G114*$B$6,-2)</f>
        <v>0</v>
      </c>
      <c r="BP114" s="523">
        <f>ROUND(AD114*G114*$B$6,-2)</f>
        <v>0</v>
      </c>
      <c r="BQ114" s="523">
        <f>ROUND(AG114*G114*$B$6,-2)</f>
        <v>0</v>
      </c>
      <c r="BR114" s="523">
        <f>ROUND(AJ114*G114*$B$6,-2)</f>
        <v>0</v>
      </c>
      <c r="BS114" s="523">
        <f>ROUND(AM114*G114*$B$6,-2)</f>
        <v>0</v>
      </c>
      <c r="BT114" s="523">
        <f>ROUND(AP114*G114*$B$6,-2)</f>
        <v>0</v>
      </c>
      <c r="BU114" s="523">
        <f>ROUND(AS114*G114*$B$6,-2)</f>
        <v>0</v>
      </c>
      <c r="BV114" s="523">
        <f>ROUND(AV114*G114*$B$6,-2)</f>
        <v>0</v>
      </c>
      <c r="BW114" s="523">
        <f>ROUND(AY114*G114*$B$6,-2)</f>
        <v>0</v>
      </c>
      <c r="BX114" s="523">
        <f>ROUND(BB114*G114*$B$6,-2)</f>
        <v>0</v>
      </c>
      <c r="BY114" s="523">
        <f>ROUND(BE114*G114*$B$6,-2)</f>
        <v>0</v>
      </c>
      <c r="BZ114" s="523">
        <f>ROUND(BH114*G114*$B$6,-2)</f>
        <v>0</v>
      </c>
      <c r="CA114" s="354"/>
      <c r="CB114" s="354" t="str">
        <f>IF(SUM(I114:L114)&lt;&gt;0,"X")</f>
        <v>X</v>
      </c>
      <c r="CC114" s="509" t="str">
        <f t="shared" si="398"/>
        <v>CGH2.</v>
      </c>
      <c r="CD114" s="509" t="str">
        <f t="shared" si="399"/>
        <v>CGH2.16,1</v>
      </c>
      <c r="CE114" s="351" t="str">
        <f t="shared" si="408"/>
        <v>Xé</v>
      </c>
      <c r="CF114" s="509" t="str">
        <f t="shared" si="400"/>
        <v>CGH2.Xé</v>
      </c>
      <c r="CG114" s="509"/>
      <c r="CH114" s="509"/>
    </row>
    <row r="115" spans="1:86" ht="24.75" customHeight="1" x14ac:dyDescent="0.25">
      <c r="A115" s="354" t="e">
        <f>A113</f>
        <v>#REF!</v>
      </c>
      <c r="B115" s="484"/>
      <c r="C115" s="531" t="s">
        <v>20</v>
      </c>
      <c r="D115" s="447" t="s">
        <v>14</v>
      </c>
      <c r="E115" s="447"/>
      <c r="F115" s="447"/>
      <c r="G115" s="520">
        <v>13.1</v>
      </c>
      <c r="H115" s="521">
        <v>0.7</v>
      </c>
      <c r="I115" s="522">
        <f t="shared" si="404"/>
        <v>0</v>
      </c>
      <c r="J115" s="522">
        <f t="shared" si="404"/>
        <v>0</v>
      </c>
      <c r="K115" s="522">
        <f t="shared" si="404"/>
        <v>0</v>
      </c>
      <c r="L115" s="57">
        <f>BN115+BR115+BV115+BZ115</f>
        <v>0</v>
      </c>
      <c r="M115" s="60"/>
      <c r="N115" s="60"/>
      <c r="O115" s="60">
        <f>M115-N115</f>
        <v>0</v>
      </c>
      <c r="P115" s="60"/>
      <c r="Q115" s="60"/>
      <c r="R115" s="60">
        <f>P115-Q115</f>
        <v>0</v>
      </c>
      <c r="S115" s="824"/>
      <c r="T115" s="60"/>
      <c r="U115" s="60">
        <f>S115-T115</f>
        <v>0</v>
      </c>
      <c r="V115" s="60">
        <f t="shared" si="405"/>
        <v>0</v>
      </c>
      <c r="W115" s="60">
        <f t="shared" si="405"/>
        <v>0</v>
      </c>
      <c r="X115" s="60">
        <f t="shared" si="405"/>
        <v>0</v>
      </c>
      <c r="Y115" s="60"/>
      <c r="Z115" s="60"/>
      <c r="AA115" s="60">
        <f>Y115-Z115</f>
        <v>0</v>
      </c>
      <c r="AB115" s="60"/>
      <c r="AC115" s="60"/>
      <c r="AD115" s="60">
        <f>AB115-AC115</f>
        <v>0</v>
      </c>
      <c r="AE115" s="60"/>
      <c r="AF115" s="60"/>
      <c r="AG115" s="60">
        <f>AE115-AF115</f>
        <v>0</v>
      </c>
      <c r="AH115" s="60"/>
      <c r="AI115" s="60">
        <f>Z115+AC115+AF115</f>
        <v>0</v>
      </c>
      <c r="AJ115" s="60">
        <f>AH115-AI115</f>
        <v>0</v>
      </c>
      <c r="AK115" s="60"/>
      <c r="AL115" s="60"/>
      <c r="AM115" s="60">
        <f>AK115-AL115</f>
        <v>0</v>
      </c>
      <c r="AN115" s="60"/>
      <c r="AO115" s="60"/>
      <c r="AP115" s="60">
        <f>AN115-AO115</f>
        <v>0</v>
      </c>
      <c r="AQ115" s="60"/>
      <c r="AR115" s="60"/>
      <c r="AS115" s="60">
        <f>AQ115-AR115</f>
        <v>0</v>
      </c>
      <c r="AT115" s="60">
        <f t="shared" si="409"/>
        <v>0</v>
      </c>
      <c r="AU115" s="60">
        <f t="shared" si="409"/>
        <v>0</v>
      </c>
      <c r="AV115" s="60">
        <f t="shared" si="409"/>
        <v>0</v>
      </c>
      <c r="AW115" s="60"/>
      <c r="AX115" s="60"/>
      <c r="AY115" s="60">
        <f>AW115-AX115</f>
        <v>0</v>
      </c>
      <c r="AZ115" s="60"/>
      <c r="BA115" s="60"/>
      <c r="BB115" s="60">
        <f>AZ115-BA115</f>
        <v>0</v>
      </c>
      <c r="BC115" s="60"/>
      <c r="BD115" s="60"/>
      <c r="BE115" s="60">
        <f>BC115-BD115</f>
        <v>0</v>
      </c>
      <c r="BF115" s="60">
        <f t="shared" si="406"/>
        <v>0</v>
      </c>
      <c r="BG115" s="60">
        <f t="shared" si="406"/>
        <v>0</v>
      </c>
      <c r="BH115" s="60">
        <f t="shared" si="406"/>
        <v>0</v>
      </c>
      <c r="BI115" s="508"/>
      <c r="BJ115" s="488" t="str">
        <f t="shared" si="407"/>
        <v>Xé</v>
      </c>
      <c r="BK115" s="523">
        <f>ROUND(O115*G115*$B$6,-2)</f>
        <v>0</v>
      </c>
      <c r="BL115" s="523">
        <f>ROUND(R115*G115*$B$6,-2)</f>
        <v>0</v>
      </c>
      <c r="BM115" s="523">
        <f>ROUND(U115*G115*$B$6,-2)</f>
        <v>0</v>
      </c>
      <c r="BN115" s="523">
        <f>ROUND(X115*G115*$B$6,-2)</f>
        <v>0</v>
      </c>
      <c r="BO115" s="523">
        <f>ROUND(AA115*G115*$B$6,-2)</f>
        <v>0</v>
      </c>
      <c r="BP115" s="523">
        <f>ROUND(AD115*G115*$B$6,-2)</f>
        <v>0</v>
      </c>
      <c r="BQ115" s="523">
        <f>ROUND(AG115*G115*$B$6,-2)</f>
        <v>0</v>
      </c>
      <c r="BR115" s="523">
        <f>ROUND(AJ115*G115*$B$6,-2)</f>
        <v>0</v>
      </c>
      <c r="BS115" s="523">
        <f>ROUND(AM115*G115*$B$6,-2)</f>
        <v>0</v>
      </c>
      <c r="BT115" s="523">
        <f>ROUND(AP115*G115*$B$6,-2)</f>
        <v>0</v>
      </c>
      <c r="BU115" s="523">
        <f>ROUND(AS115*G115*$B$6,-2)</f>
        <v>0</v>
      </c>
      <c r="BV115" s="523">
        <f>ROUND(AV115*G115*$B$6,-2)</f>
        <v>0</v>
      </c>
      <c r="BW115" s="523">
        <f>ROUND(AY115*G115*$B$6,-2)</f>
        <v>0</v>
      </c>
      <c r="BX115" s="523">
        <f>ROUND(BB115*G115*$B$6,-2)</f>
        <v>0</v>
      </c>
      <c r="BY115" s="523">
        <f>ROUND(BE115*G115*$B$6,-2)</f>
        <v>0</v>
      </c>
      <c r="BZ115" s="523">
        <f>ROUND(BH115*G115*$B$6,-2)</f>
        <v>0</v>
      </c>
      <c r="CA115" s="354"/>
      <c r="CB115" s="354" t="b">
        <f t="shared" si="397"/>
        <v>0</v>
      </c>
      <c r="CC115" s="509" t="str">
        <f t="shared" si="398"/>
        <v>CGH2.</v>
      </c>
      <c r="CD115" s="509" t="str">
        <f t="shared" si="399"/>
        <v>CGH2.13,1</v>
      </c>
      <c r="CE115" s="351" t="str">
        <f t="shared" si="408"/>
        <v>Xé</v>
      </c>
      <c r="CF115" s="509" t="str">
        <f t="shared" si="400"/>
        <v>CGH2.Xé</v>
      </c>
      <c r="CG115" s="509"/>
      <c r="CH115" s="509"/>
    </row>
    <row r="116" spans="1:86" ht="17.25" customHeight="1" x14ac:dyDescent="0.3">
      <c r="A116" s="354" t="e">
        <f>#REF!</f>
        <v>#REF!</v>
      </c>
      <c r="B116" s="503">
        <v>8</v>
      </c>
      <c r="C116" s="538" t="s">
        <v>449</v>
      </c>
      <c r="D116" s="505"/>
      <c r="E116" s="505"/>
      <c r="F116" s="505"/>
      <c r="G116" s="505"/>
      <c r="H116" s="505"/>
      <c r="I116" s="532">
        <f t="shared" ref="I116:AN116" si="410">SUM(I117:I125)/2</f>
        <v>485</v>
      </c>
      <c r="J116" s="532">
        <f t="shared" si="410"/>
        <v>130</v>
      </c>
      <c r="K116" s="532">
        <f t="shared" si="410"/>
        <v>355</v>
      </c>
      <c r="L116" s="532">
        <f t="shared" si="410"/>
        <v>4400</v>
      </c>
      <c r="M116" s="209">
        <f t="shared" si="410"/>
        <v>80</v>
      </c>
      <c r="N116" s="209">
        <f t="shared" si="410"/>
        <v>10</v>
      </c>
      <c r="O116" s="209">
        <f t="shared" si="410"/>
        <v>70</v>
      </c>
      <c r="P116" s="209">
        <f t="shared" si="410"/>
        <v>50</v>
      </c>
      <c r="Q116" s="209">
        <f t="shared" si="410"/>
        <v>10</v>
      </c>
      <c r="R116" s="209">
        <f t="shared" si="410"/>
        <v>40</v>
      </c>
      <c r="S116" s="822">
        <f t="shared" si="410"/>
        <v>45</v>
      </c>
      <c r="T116" s="209">
        <f t="shared" si="410"/>
        <v>0</v>
      </c>
      <c r="U116" s="209">
        <f t="shared" si="410"/>
        <v>45</v>
      </c>
      <c r="V116" s="209">
        <f t="shared" si="410"/>
        <v>175</v>
      </c>
      <c r="W116" s="209">
        <f t="shared" si="410"/>
        <v>20</v>
      </c>
      <c r="X116" s="209">
        <f t="shared" si="410"/>
        <v>155</v>
      </c>
      <c r="Y116" s="209">
        <f t="shared" si="410"/>
        <v>0</v>
      </c>
      <c r="Z116" s="209">
        <f t="shared" si="410"/>
        <v>0</v>
      </c>
      <c r="AA116" s="209">
        <f t="shared" si="410"/>
        <v>0</v>
      </c>
      <c r="AB116" s="209">
        <f t="shared" si="410"/>
        <v>0</v>
      </c>
      <c r="AC116" s="209">
        <f t="shared" si="410"/>
        <v>0</v>
      </c>
      <c r="AD116" s="209">
        <f t="shared" si="410"/>
        <v>0</v>
      </c>
      <c r="AE116" s="209">
        <f t="shared" si="410"/>
        <v>15</v>
      </c>
      <c r="AF116" s="209">
        <f t="shared" si="410"/>
        <v>15</v>
      </c>
      <c r="AG116" s="209">
        <f t="shared" si="410"/>
        <v>0</v>
      </c>
      <c r="AH116" s="209">
        <f t="shared" si="410"/>
        <v>15</v>
      </c>
      <c r="AI116" s="209">
        <f t="shared" si="410"/>
        <v>15</v>
      </c>
      <c r="AJ116" s="209">
        <f t="shared" si="410"/>
        <v>0</v>
      </c>
      <c r="AK116" s="209">
        <f t="shared" si="410"/>
        <v>85</v>
      </c>
      <c r="AL116" s="209">
        <f t="shared" si="410"/>
        <v>20</v>
      </c>
      <c r="AM116" s="209">
        <f t="shared" si="410"/>
        <v>65</v>
      </c>
      <c r="AN116" s="209">
        <f t="shared" si="410"/>
        <v>85</v>
      </c>
      <c r="AO116" s="209">
        <f t="shared" ref="AO116:BK116" si="411">SUM(AO117:AO125)/2</f>
        <v>25</v>
      </c>
      <c r="AP116" s="209">
        <f t="shared" si="411"/>
        <v>60</v>
      </c>
      <c r="AQ116" s="209">
        <f t="shared" si="411"/>
        <v>50</v>
      </c>
      <c r="AR116" s="209">
        <f t="shared" si="411"/>
        <v>15</v>
      </c>
      <c r="AS116" s="209">
        <f t="shared" si="411"/>
        <v>35</v>
      </c>
      <c r="AT116" s="209">
        <f t="shared" si="411"/>
        <v>220</v>
      </c>
      <c r="AU116" s="209">
        <f t="shared" si="411"/>
        <v>60</v>
      </c>
      <c r="AV116" s="209">
        <f t="shared" si="411"/>
        <v>160</v>
      </c>
      <c r="AW116" s="209">
        <f t="shared" si="411"/>
        <v>35</v>
      </c>
      <c r="AX116" s="209">
        <f t="shared" si="411"/>
        <v>15</v>
      </c>
      <c r="AY116" s="209">
        <f t="shared" si="411"/>
        <v>20</v>
      </c>
      <c r="AZ116" s="209">
        <f t="shared" si="411"/>
        <v>20</v>
      </c>
      <c r="BA116" s="209">
        <f t="shared" si="411"/>
        <v>10</v>
      </c>
      <c r="BB116" s="209">
        <f t="shared" si="411"/>
        <v>10</v>
      </c>
      <c r="BC116" s="209">
        <f t="shared" si="411"/>
        <v>20</v>
      </c>
      <c r="BD116" s="209">
        <f t="shared" si="411"/>
        <v>10</v>
      </c>
      <c r="BE116" s="209">
        <f t="shared" si="411"/>
        <v>10</v>
      </c>
      <c r="BF116" s="209">
        <f t="shared" si="411"/>
        <v>75</v>
      </c>
      <c r="BG116" s="209">
        <f t="shared" si="411"/>
        <v>35</v>
      </c>
      <c r="BH116" s="209">
        <f t="shared" si="411"/>
        <v>40</v>
      </c>
      <c r="BI116" s="508"/>
      <c r="BJ116" s="488" t="str">
        <f t="shared" si="407"/>
        <v>PX</v>
      </c>
      <c r="BK116" s="222">
        <f t="shared" si="411"/>
        <v>1000</v>
      </c>
      <c r="BL116" s="222">
        <f t="shared" ref="BL116:BZ116" si="412">SUM(BL117:BL125)/2</f>
        <v>500</v>
      </c>
      <c r="BM116" s="222">
        <f t="shared" si="412"/>
        <v>800</v>
      </c>
      <c r="BN116" s="222">
        <f t="shared" si="412"/>
        <v>2200</v>
      </c>
      <c r="BO116" s="222">
        <f t="shared" si="412"/>
        <v>0</v>
      </c>
      <c r="BP116" s="222">
        <f t="shared" si="412"/>
        <v>0</v>
      </c>
      <c r="BQ116" s="222">
        <f t="shared" si="412"/>
        <v>0</v>
      </c>
      <c r="BR116" s="222">
        <f t="shared" si="412"/>
        <v>0</v>
      </c>
      <c r="BS116" s="222">
        <f t="shared" si="412"/>
        <v>900</v>
      </c>
      <c r="BT116" s="222">
        <f t="shared" si="412"/>
        <v>900</v>
      </c>
      <c r="BU116" s="222">
        <f t="shared" si="412"/>
        <v>400</v>
      </c>
      <c r="BV116" s="222">
        <f t="shared" si="412"/>
        <v>2100</v>
      </c>
      <c r="BW116" s="222">
        <f t="shared" si="412"/>
        <v>100</v>
      </c>
      <c r="BX116" s="222">
        <f t="shared" si="412"/>
        <v>0</v>
      </c>
      <c r="BY116" s="222">
        <f t="shared" si="412"/>
        <v>0</v>
      </c>
      <c r="BZ116" s="222">
        <f t="shared" si="412"/>
        <v>100</v>
      </c>
      <c r="CA116" s="354"/>
      <c r="CB116" s="354" t="str">
        <f t="shared" si="397"/>
        <v>X</v>
      </c>
      <c r="CC116" s="534" t="s">
        <v>291</v>
      </c>
      <c r="CD116" s="509" t="str">
        <f t="shared" si="399"/>
        <v>CGH1.</v>
      </c>
      <c r="CE116" s="351" t="str">
        <f t="shared" si="408"/>
        <v>PX</v>
      </c>
      <c r="CF116" s="509" t="str">
        <f t="shared" si="400"/>
        <v>CGH1.PX</v>
      </c>
      <c r="CG116" s="509"/>
      <c r="CH116" s="509"/>
    </row>
    <row r="117" spans="1:86" s="358" customFormat="1" ht="19.5" customHeight="1" x14ac:dyDescent="0.25">
      <c r="A117" s="354" t="e">
        <f>#REF!</f>
        <v>#REF!</v>
      </c>
      <c r="B117" s="511" t="s">
        <v>8</v>
      </c>
      <c r="C117" s="512" t="s">
        <v>177</v>
      </c>
      <c r="D117" s="513"/>
      <c r="E117" s="513"/>
      <c r="F117" s="513"/>
      <c r="G117" s="514"/>
      <c r="H117" s="515"/>
      <c r="I117" s="211">
        <f t="shared" ref="I117:BH117" si="413">SUM(I118:I122)</f>
        <v>240</v>
      </c>
      <c r="J117" s="211">
        <f t="shared" si="413"/>
        <v>10</v>
      </c>
      <c r="K117" s="211">
        <f t="shared" si="413"/>
        <v>230</v>
      </c>
      <c r="L117" s="211">
        <f t="shared" si="413"/>
        <v>4000</v>
      </c>
      <c r="M117" s="211">
        <f t="shared" si="413"/>
        <v>50</v>
      </c>
      <c r="N117" s="211">
        <f t="shared" si="413"/>
        <v>0</v>
      </c>
      <c r="O117" s="211">
        <f t="shared" si="413"/>
        <v>50</v>
      </c>
      <c r="P117" s="211">
        <f t="shared" si="413"/>
        <v>25</v>
      </c>
      <c r="Q117" s="211">
        <f t="shared" si="413"/>
        <v>0</v>
      </c>
      <c r="R117" s="211">
        <f t="shared" si="413"/>
        <v>25</v>
      </c>
      <c r="S117" s="823">
        <f t="shared" si="413"/>
        <v>45</v>
      </c>
      <c r="T117" s="211">
        <f t="shared" si="413"/>
        <v>0</v>
      </c>
      <c r="U117" s="211">
        <f t="shared" si="413"/>
        <v>45</v>
      </c>
      <c r="V117" s="211">
        <f t="shared" si="413"/>
        <v>120</v>
      </c>
      <c r="W117" s="211">
        <f t="shared" si="413"/>
        <v>0</v>
      </c>
      <c r="X117" s="211">
        <f t="shared" si="413"/>
        <v>120</v>
      </c>
      <c r="Y117" s="211">
        <f t="shared" si="413"/>
        <v>0</v>
      </c>
      <c r="Z117" s="211">
        <f t="shared" si="413"/>
        <v>0</v>
      </c>
      <c r="AA117" s="211">
        <f t="shared" si="413"/>
        <v>0</v>
      </c>
      <c r="AB117" s="211">
        <f t="shared" si="413"/>
        <v>0</v>
      </c>
      <c r="AC117" s="211">
        <f t="shared" si="413"/>
        <v>0</v>
      </c>
      <c r="AD117" s="211">
        <f t="shared" si="413"/>
        <v>0</v>
      </c>
      <c r="AE117" s="211">
        <f t="shared" si="413"/>
        <v>0</v>
      </c>
      <c r="AF117" s="211">
        <f t="shared" si="413"/>
        <v>0</v>
      </c>
      <c r="AG117" s="211">
        <f t="shared" si="413"/>
        <v>0</v>
      </c>
      <c r="AH117" s="211">
        <f t="shared" si="413"/>
        <v>0</v>
      </c>
      <c r="AI117" s="211">
        <f t="shared" si="413"/>
        <v>0</v>
      </c>
      <c r="AJ117" s="211">
        <f t="shared" si="413"/>
        <v>0</v>
      </c>
      <c r="AK117" s="211">
        <f t="shared" si="413"/>
        <v>50</v>
      </c>
      <c r="AL117" s="211">
        <f t="shared" si="413"/>
        <v>5</v>
      </c>
      <c r="AM117" s="211">
        <f t="shared" si="413"/>
        <v>45</v>
      </c>
      <c r="AN117" s="211">
        <f t="shared" si="413"/>
        <v>50</v>
      </c>
      <c r="AO117" s="211">
        <f t="shared" si="413"/>
        <v>5</v>
      </c>
      <c r="AP117" s="211">
        <f t="shared" si="413"/>
        <v>45</v>
      </c>
      <c r="AQ117" s="211">
        <f t="shared" si="413"/>
        <v>20</v>
      </c>
      <c r="AR117" s="211">
        <f t="shared" si="413"/>
        <v>0</v>
      </c>
      <c r="AS117" s="211">
        <f t="shared" si="413"/>
        <v>20</v>
      </c>
      <c r="AT117" s="211">
        <f t="shared" si="413"/>
        <v>120</v>
      </c>
      <c r="AU117" s="211">
        <f t="shared" si="413"/>
        <v>10</v>
      </c>
      <c r="AV117" s="211">
        <f t="shared" si="413"/>
        <v>110</v>
      </c>
      <c r="AW117" s="211">
        <f t="shared" si="413"/>
        <v>0</v>
      </c>
      <c r="AX117" s="211">
        <f t="shared" si="413"/>
        <v>0</v>
      </c>
      <c r="AY117" s="211">
        <f t="shared" si="413"/>
        <v>0</v>
      </c>
      <c r="AZ117" s="211">
        <f t="shared" si="413"/>
        <v>0</v>
      </c>
      <c r="BA117" s="211">
        <f t="shared" si="413"/>
        <v>0</v>
      </c>
      <c r="BB117" s="211">
        <f t="shared" si="413"/>
        <v>0</v>
      </c>
      <c r="BC117" s="211">
        <f t="shared" si="413"/>
        <v>0</v>
      </c>
      <c r="BD117" s="211">
        <f t="shared" si="413"/>
        <v>0</v>
      </c>
      <c r="BE117" s="211">
        <f t="shared" si="413"/>
        <v>0</v>
      </c>
      <c r="BF117" s="211">
        <f t="shared" si="413"/>
        <v>0</v>
      </c>
      <c r="BG117" s="211">
        <f t="shared" si="413"/>
        <v>0</v>
      </c>
      <c r="BH117" s="211">
        <f t="shared" si="413"/>
        <v>0</v>
      </c>
      <c r="BI117" s="516"/>
      <c r="BJ117" s="488" t="str">
        <f t="shared" si="407"/>
        <v>ĐL</v>
      </c>
      <c r="BK117" s="57">
        <f t="shared" ref="BK117:BZ117" si="414">SUM(BK118:BK122)</f>
        <v>900</v>
      </c>
      <c r="BL117" s="57">
        <f t="shared" si="414"/>
        <v>400</v>
      </c>
      <c r="BM117" s="57">
        <f t="shared" si="414"/>
        <v>800</v>
      </c>
      <c r="BN117" s="57">
        <f>SUM(BN118:BN122)</f>
        <v>2100</v>
      </c>
      <c r="BO117" s="57">
        <f t="shared" si="414"/>
        <v>0</v>
      </c>
      <c r="BP117" s="57">
        <f t="shared" si="414"/>
        <v>0</v>
      </c>
      <c r="BQ117" s="57">
        <f t="shared" si="414"/>
        <v>0</v>
      </c>
      <c r="BR117" s="57">
        <f t="shared" si="414"/>
        <v>0</v>
      </c>
      <c r="BS117" s="57">
        <f t="shared" si="414"/>
        <v>800</v>
      </c>
      <c r="BT117" s="57">
        <f t="shared" si="414"/>
        <v>800</v>
      </c>
      <c r="BU117" s="57">
        <f t="shared" si="414"/>
        <v>300</v>
      </c>
      <c r="BV117" s="57">
        <f t="shared" si="414"/>
        <v>1900</v>
      </c>
      <c r="BW117" s="57">
        <f t="shared" si="414"/>
        <v>0</v>
      </c>
      <c r="BX117" s="57">
        <f t="shared" si="414"/>
        <v>0</v>
      </c>
      <c r="BY117" s="57">
        <f t="shared" si="414"/>
        <v>0</v>
      </c>
      <c r="BZ117" s="57">
        <f t="shared" si="414"/>
        <v>0</v>
      </c>
      <c r="CA117" s="517">
        <f>I117-V117-AH117-AT117-BF117</f>
        <v>0</v>
      </c>
      <c r="CB117" s="510" t="str">
        <f t="shared" si="397"/>
        <v>X</v>
      </c>
      <c r="CC117" s="509" t="str">
        <f t="shared" si="398"/>
        <v>CGH1.</v>
      </c>
      <c r="CD117" s="509" t="str">
        <f t="shared" si="399"/>
        <v>CGH1.</v>
      </c>
      <c r="CE117" s="351" t="str">
        <f t="shared" si="408"/>
        <v>ĐL</v>
      </c>
      <c r="CF117" s="509" t="str">
        <f t="shared" si="400"/>
        <v>CGH1.ĐL</v>
      </c>
      <c r="CG117" s="509"/>
      <c r="CH117" s="509"/>
    </row>
    <row r="118" spans="1:86" ht="22.5" customHeight="1" x14ac:dyDescent="0.25">
      <c r="A118" s="354" t="e">
        <f t="shared" ref="A118:A162" si="415">A117</f>
        <v>#REF!</v>
      </c>
      <c r="B118" s="518"/>
      <c r="C118" s="519" t="s">
        <v>663</v>
      </c>
      <c r="D118" s="447" t="s">
        <v>207</v>
      </c>
      <c r="E118" s="447" t="s">
        <v>207</v>
      </c>
      <c r="F118" s="447"/>
      <c r="G118" s="520">
        <v>14.5</v>
      </c>
      <c r="H118" s="521">
        <v>0.8</v>
      </c>
      <c r="I118" s="522">
        <f t="shared" ref="I118:K122" si="416">V118+AH118+AT118+BF118</f>
        <v>120</v>
      </c>
      <c r="J118" s="522">
        <f t="shared" si="416"/>
        <v>0</v>
      </c>
      <c r="K118" s="522">
        <f t="shared" si="416"/>
        <v>120</v>
      </c>
      <c r="L118" s="57">
        <f>BN118+BR118+BV118+BZ118</f>
        <v>2100</v>
      </c>
      <c r="M118" s="60">
        <v>50</v>
      </c>
      <c r="N118" s="60"/>
      <c r="O118" s="60">
        <f>M118-N118</f>
        <v>50</v>
      </c>
      <c r="P118" s="60">
        <v>25</v>
      </c>
      <c r="Q118" s="60"/>
      <c r="R118" s="60">
        <f>P118-Q118</f>
        <v>25</v>
      </c>
      <c r="S118" s="824">
        <v>45</v>
      </c>
      <c r="T118" s="60"/>
      <c r="U118" s="60">
        <f>S118-T118</f>
        <v>45</v>
      </c>
      <c r="V118" s="60">
        <f t="shared" ref="V118:X119" si="417">M118+P118+S118</f>
        <v>120</v>
      </c>
      <c r="W118" s="60">
        <f t="shared" si="417"/>
        <v>0</v>
      </c>
      <c r="X118" s="60">
        <f t="shared" si="417"/>
        <v>120</v>
      </c>
      <c r="Y118" s="60"/>
      <c r="Z118" s="60"/>
      <c r="AA118" s="60">
        <f>Y118-Z118</f>
        <v>0</v>
      </c>
      <c r="AB118" s="60"/>
      <c r="AC118" s="60"/>
      <c r="AD118" s="60">
        <f>AB118-AC118</f>
        <v>0</v>
      </c>
      <c r="AE118" s="60"/>
      <c r="AF118" s="60"/>
      <c r="AG118" s="60">
        <f>AE118-AF118</f>
        <v>0</v>
      </c>
      <c r="AH118" s="60">
        <f t="shared" ref="AH118:AJ119" si="418">Y118+AB118+AE118</f>
        <v>0</v>
      </c>
      <c r="AI118" s="60">
        <f t="shared" si="418"/>
        <v>0</v>
      </c>
      <c r="AJ118" s="60">
        <f t="shared" si="418"/>
        <v>0</v>
      </c>
      <c r="AK118" s="60"/>
      <c r="AL118" s="60"/>
      <c r="AM118" s="60">
        <f>AK118-AL118</f>
        <v>0</v>
      </c>
      <c r="AN118" s="60"/>
      <c r="AO118" s="60"/>
      <c r="AP118" s="60">
        <f>AN118-AO118</f>
        <v>0</v>
      </c>
      <c r="AQ118" s="60"/>
      <c r="AR118" s="60"/>
      <c r="AS118" s="60">
        <f>AQ118-AR118</f>
        <v>0</v>
      </c>
      <c r="AT118" s="60">
        <f t="shared" ref="AT118:AV120" si="419">AK118+AN118+AQ118</f>
        <v>0</v>
      </c>
      <c r="AU118" s="60">
        <f t="shared" si="419"/>
        <v>0</v>
      </c>
      <c r="AV118" s="60">
        <f t="shared" si="419"/>
        <v>0</v>
      </c>
      <c r="AW118" s="60"/>
      <c r="AX118" s="60"/>
      <c r="AY118" s="60">
        <f>AW118-AX118</f>
        <v>0</v>
      </c>
      <c r="AZ118" s="60"/>
      <c r="BA118" s="60"/>
      <c r="BB118" s="60">
        <f>AZ118-BA118</f>
        <v>0</v>
      </c>
      <c r="BC118" s="60"/>
      <c r="BD118" s="60"/>
      <c r="BE118" s="60">
        <f>BC118-BD118</f>
        <v>0</v>
      </c>
      <c r="BF118" s="60">
        <f t="shared" ref="BF118:BH122" si="420">AW118+AZ118+BC118</f>
        <v>0</v>
      </c>
      <c r="BG118" s="60">
        <f t="shared" si="420"/>
        <v>0</v>
      </c>
      <c r="BH118" s="60">
        <f t="shared" si="420"/>
        <v>0</v>
      </c>
      <c r="BI118" s="508"/>
      <c r="BJ118" s="488" t="str">
        <f t="shared" si="407"/>
        <v>Lò</v>
      </c>
      <c r="BK118" s="523">
        <f>ROUND(O118*G118*$C$3*$B$5,-2)</f>
        <v>900</v>
      </c>
      <c r="BL118" s="523">
        <f>ROUND(R118*G118*$C$3*$B$5,-2)</f>
        <v>400</v>
      </c>
      <c r="BM118" s="523">
        <f>ROUND(U118*G118*$C$3*$B$5,-2)</f>
        <v>800</v>
      </c>
      <c r="BN118" s="523">
        <f>ROUND(X118*G118*$C$3*$B$5,-2)</f>
        <v>2100</v>
      </c>
      <c r="BO118" s="523">
        <f>ROUND(AA118*G118*$C$3*$B$5,-2)</f>
        <v>0</v>
      </c>
      <c r="BP118" s="523">
        <f>ROUND(AD118*G118*$C$3*$B$5,-2)</f>
        <v>0</v>
      </c>
      <c r="BQ118" s="523">
        <f>ROUND(AG118*G118*$C$3*$B$5,-2)</f>
        <v>0</v>
      </c>
      <c r="BR118" s="523">
        <f>ROUND(AJ118*G118*$B$5*$C$3,-2)</f>
        <v>0</v>
      </c>
      <c r="BS118" s="523">
        <f>ROUND(AM118*G118*$C$3*$B$5,-2)</f>
        <v>0</v>
      </c>
      <c r="BT118" s="523">
        <f>ROUND(AP118*G118*$C$3*$B$5,-2)</f>
        <v>0</v>
      </c>
      <c r="BU118" s="523">
        <f>ROUND(AS118*G118*$C$3*$B$5,-2)</f>
        <v>0</v>
      </c>
      <c r="BV118" s="523">
        <f>ROUND(AV118*G118*$C$3*$B$5,-2)</f>
        <v>0</v>
      </c>
      <c r="BW118" s="523">
        <f>ROUND(AY118*G118*$C$3*$B$5,-2)</f>
        <v>0</v>
      </c>
      <c r="BX118" s="523">
        <f>ROUND(BB118*G118*$C$3*$B$5,-2)</f>
        <v>0</v>
      </c>
      <c r="BY118" s="523">
        <f>ROUND(BE118*G118*$C$3*$B$5,-2)</f>
        <v>0</v>
      </c>
      <c r="BZ118" s="523">
        <f>ROUND(BH118*G118*$C$3*$B$5,-2)</f>
        <v>0</v>
      </c>
      <c r="CA118" s="354"/>
      <c r="CB118" s="354" t="str">
        <f t="shared" si="397"/>
        <v>X</v>
      </c>
      <c r="CC118" s="509" t="str">
        <f t="shared" si="398"/>
        <v>CGH1.</v>
      </c>
      <c r="CD118" s="509" t="str">
        <f t="shared" si="399"/>
        <v>CGH1.14,5</v>
      </c>
      <c r="CE118" s="351" t="str">
        <f t="shared" si="408"/>
        <v>Lò</v>
      </c>
      <c r="CF118" s="509" t="str">
        <f t="shared" si="400"/>
        <v>CGH1.Lò</v>
      </c>
      <c r="CG118" s="509"/>
      <c r="CH118" s="509"/>
    </row>
    <row r="119" spans="1:86" ht="22.5" customHeight="1" x14ac:dyDescent="0.25">
      <c r="A119" s="354" t="e">
        <f t="shared" si="415"/>
        <v>#REF!</v>
      </c>
      <c r="B119" s="518"/>
      <c r="C119" s="519" t="s">
        <v>664</v>
      </c>
      <c r="D119" s="447" t="s">
        <v>207</v>
      </c>
      <c r="E119" s="447" t="s">
        <v>207</v>
      </c>
      <c r="F119" s="447"/>
      <c r="G119" s="520">
        <v>14.5</v>
      </c>
      <c r="H119" s="521">
        <v>0.8</v>
      </c>
      <c r="I119" s="522">
        <f t="shared" si="416"/>
        <v>120</v>
      </c>
      <c r="J119" s="522">
        <f t="shared" si="416"/>
        <v>10</v>
      </c>
      <c r="K119" s="522">
        <f t="shared" si="416"/>
        <v>110</v>
      </c>
      <c r="L119" s="57">
        <f>BN119+BR119+BV119+BZ119</f>
        <v>1900</v>
      </c>
      <c r="M119" s="60"/>
      <c r="N119" s="60"/>
      <c r="O119" s="60">
        <f>M119-N119</f>
        <v>0</v>
      </c>
      <c r="P119" s="60"/>
      <c r="Q119" s="60"/>
      <c r="R119" s="60">
        <f>P119-Q119</f>
        <v>0</v>
      </c>
      <c r="S119" s="824"/>
      <c r="T119" s="60"/>
      <c r="U119" s="60">
        <f>S119-T119</f>
        <v>0</v>
      </c>
      <c r="V119" s="60">
        <f t="shared" si="417"/>
        <v>0</v>
      </c>
      <c r="W119" s="60">
        <f t="shared" si="417"/>
        <v>0</v>
      </c>
      <c r="X119" s="60">
        <f t="shared" si="417"/>
        <v>0</v>
      </c>
      <c r="Y119" s="60"/>
      <c r="Z119" s="60"/>
      <c r="AA119" s="60">
        <f>Y119-Z119</f>
        <v>0</v>
      </c>
      <c r="AB119" s="60"/>
      <c r="AC119" s="60"/>
      <c r="AD119" s="60">
        <f>AB119-AC119</f>
        <v>0</v>
      </c>
      <c r="AE119" s="60"/>
      <c r="AF119" s="60"/>
      <c r="AG119" s="60">
        <f>AE119-AF119</f>
        <v>0</v>
      </c>
      <c r="AH119" s="60">
        <f t="shared" si="418"/>
        <v>0</v>
      </c>
      <c r="AI119" s="60">
        <f t="shared" si="418"/>
        <v>0</v>
      </c>
      <c r="AJ119" s="60">
        <f t="shared" si="418"/>
        <v>0</v>
      </c>
      <c r="AK119" s="60">
        <v>50</v>
      </c>
      <c r="AL119" s="60">
        <v>5</v>
      </c>
      <c r="AM119" s="60">
        <f>AK119-AL119</f>
        <v>45</v>
      </c>
      <c r="AN119" s="60">
        <v>50</v>
      </c>
      <c r="AO119" s="60">
        <v>5</v>
      </c>
      <c r="AP119" s="60">
        <f>AN119-AO119</f>
        <v>45</v>
      </c>
      <c r="AQ119" s="60">
        <v>20</v>
      </c>
      <c r="AR119" s="60"/>
      <c r="AS119" s="60">
        <f>AQ119-AR119</f>
        <v>20</v>
      </c>
      <c r="AT119" s="60">
        <f t="shared" si="419"/>
        <v>120</v>
      </c>
      <c r="AU119" s="60">
        <f t="shared" si="419"/>
        <v>10</v>
      </c>
      <c r="AV119" s="60">
        <f t="shared" si="419"/>
        <v>110</v>
      </c>
      <c r="AW119" s="60"/>
      <c r="AX119" s="60"/>
      <c r="AY119" s="60">
        <f>AW119-AX119</f>
        <v>0</v>
      </c>
      <c r="AZ119" s="60"/>
      <c r="BA119" s="60"/>
      <c r="BB119" s="60">
        <f>AZ119-BA119</f>
        <v>0</v>
      </c>
      <c r="BC119" s="60"/>
      <c r="BD119" s="60"/>
      <c r="BE119" s="60">
        <f>BC119-BD119</f>
        <v>0</v>
      </c>
      <c r="BF119" s="60">
        <f t="shared" si="420"/>
        <v>0</v>
      </c>
      <c r="BG119" s="60">
        <f t="shared" si="420"/>
        <v>0</v>
      </c>
      <c r="BH119" s="60">
        <f t="shared" si="420"/>
        <v>0</v>
      </c>
      <c r="BI119" s="508"/>
      <c r="BJ119" s="488" t="str">
        <f t="shared" si="407"/>
        <v>Lò</v>
      </c>
      <c r="BK119" s="523">
        <f>ROUND(O119*G119*$C$3*$B$5,-2)</f>
        <v>0</v>
      </c>
      <c r="BL119" s="523">
        <f>ROUND(R119*G119*$C$3*$B$5,-2)</f>
        <v>0</v>
      </c>
      <c r="BM119" s="523">
        <f>ROUND(U119*G119*$C$3*$B$5,-2)</f>
        <v>0</v>
      </c>
      <c r="BN119" s="523">
        <f>ROUND(X119*G119*$C$3*$B$5,-2)</f>
        <v>0</v>
      </c>
      <c r="BO119" s="523">
        <f>ROUND(AA119*G119*$C$3*$B$5,-2)</f>
        <v>0</v>
      </c>
      <c r="BP119" s="523">
        <f>ROUND(AD119*G119*$C$3*$B$5,-2)</f>
        <v>0</v>
      </c>
      <c r="BQ119" s="523">
        <f>ROUND(AG119*G119*$C$3*$B$5,-2)</f>
        <v>0</v>
      </c>
      <c r="BR119" s="523">
        <f>ROUND(AJ119*G119*$B$5*$C$3,-2)</f>
        <v>0</v>
      </c>
      <c r="BS119" s="523">
        <f>ROUND(AM119*G119*$C$3*$B$5,-2)</f>
        <v>800</v>
      </c>
      <c r="BT119" s="523">
        <f>ROUND(AP119*G119*$C$3*$B$5,-2)</f>
        <v>800</v>
      </c>
      <c r="BU119" s="523">
        <f>ROUND(AS119*G119*$C$3*$B$5,-2)</f>
        <v>300</v>
      </c>
      <c r="BV119" s="523">
        <f>ROUND(AV119*G119*$C$3*$B$5,-2)</f>
        <v>1900</v>
      </c>
      <c r="BW119" s="523">
        <f>ROUND(AY119*G119*$C$3*$B$5,-2)</f>
        <v>0</v>
      </c>
      <c r="BX119" s="523">
        <f>ROUND(BB119*G119*$C$3*$B$5,-2)</f>
        <v>0</v>
      </c>
      <c r="BY119" s="523">
        <f>ROUND(BE119*G119*$C$3*$B$5,-2)</f>
        <v>0</v>
      </c>
      <c r="BZ119" s="523">
        <f>ROUND(BH119*G119*$C$3*$B$5,-2)</f>
        <v>0</v>
      </c>
      <c r="CA119" s="354"/>
      <c r="CB119" s="354" t="str">
        <f t="shared" si="397"/>
        <v>X</v>
      </c>
      <c r="CC119" s="509" t="str">
        <f t="shared" si="398"/>
        <v>CGH1.</v>
      </c>
      <c r="CD119" s="509" t="str">
        <f t="shared" si="399"/>
        <v>CGH1.14,5</v>
      </c>
      <c r="CE119" s="351" t="str">
        <f t="shared" si="408"/>
        <v>Lò</v>
      </c>
      <c r="CF119" s="509" t="str">
        <f t="shared" si="400"/>
        <v>CGH1.Lò</v>
      </c>
      <c r="CG119" s="509"/>
      <c r="CH119" s="509"/>
    </row>
    <row r="120" spans="1:86" ht="24" customHeight="1" x14ac:dyDescent="0.25">
      <c r="A120" s="354" t="e">
        <f t="shared" si="415"/>
        <v>#REF!</v>
      </c>
      <c r="B120" s="518"/>
      <c r="C120" s="519" t="s">
        <v>597</v>
      </c>
      <c r="D120" s="447" t="s">
        <v>207</v>
      </c>
      <c r="E120" s="447" t="s">
        <v>207</v>
      </c>
      <c r="F120" s="447"/>
      <c r="G120" s="520">
        <v>14.5</v>
      </c>
      <c r="H120" s="521">
        <v>0.8</v>
      </c>
      <c r="I120" s="522">
        <f t="shared" si="416"/>
        <v>0</v>
      </c>
      <c r="J120" s="522">
        <f t="shared" si="416"/>
        <v>0</v>
      </c>
      <c r="K120" s="522">
        <f t="shared" si="416"/>
        <v>0</v>
      </c>
      <c r="L120" s="57">
        <f>BN120+BR120+BV120+BZ120</f>
        <v>0</v>
      </c>
      <c r="M120" s="60"/>
      <c r="N120" s="60"/>
      <c r="O120" s="60">
        <f>M120-N120</f>
        <v>0</v>
      </c>
      <c r="P120" s="60"/>
      <c r="Q120" s="60"/>
      <c r="R120" s="60">
        <f>P120-Q120</f>
        <v>0</v>
      </c>
      <c r="S120" s="824"/>
      <c r="T120" s="60"/>
      <c r="U120" s="60">
        <f>S120-T120</f>
        <v>0</v>
      </c>
      <c r="V120" s="60">
        <f t="shared" ref="V120:X122" si="421">M120+P120+S120</f>
        <v>0</v>
      </c>
      <c r="W120" s="60">
        <f t="shared" si="421"/>
        <v>0</v>
      </c>
      <c r="X120" s="60">
        <f t="shared" si="421"/>
        <v>0</v>
      </c>
      <c r="Y120" s="60"/>
      <c r="Z120" s="60"/>
      <c r="AA120" s="60">
        <f>Y120-Z120</f>
        <v>0</v>
      </c>
      <c r="AB120" s="60"/>
      <c r="AC120" s="60"/>
      <c r="AD120" s="60">
        <f>AB120-AC120</f>
        <v>0</v>
      </c>
      <c r="AE120" s="60"/>
      <c r="AF120" s="60"/>
      <c r="AG120" s="60">
        <f>AE120-AF120</f>
        <v>0</v>
      </c>
      <c r="AH120" s="60">
        <f t="shared" ref="AH120:AJ122" si="422">Y120+AB120+AE120</f>
        <v>0</v>
      </c>
      <c r="AI120" s="60">
        <f t="shared" si="422"/>
        <v>0</v>
      </c>
      <c r="AJ120" s="60">
        <f t="shared" si="422"/>
        <v>0</v>
      </c>
      <c r="AK120" s="60"/>
      <c r="AL120" s="60"/>
      <c r="AM120" s="60">
        <f>AK120-AL120</f>
        <v>0</v>
      </c>
      <c r="AN120" s="60"/>
      <c r="AO120" s="60"/>
      <c r="AP120" s="60">
        <f>AN120-AO120</f>
        <v>0</v>
      </c>
      <c r="AQ120" s="60"/>
      <c r="AR120" s="60"/>
      <c r="AS120" s="60">
        <f>AQ120-AR120</f>
        <v>0</v>
      </c>
      <c r="AT120" s="60">
        <f t="shared" si="419"/>
        <v>0</v>
      </c>
      <c r="AU120" s="60">
        <f t="shared" si="419"/>
        <v>0</v>
      </c>
      <c r="AV120" s="60">
        <f t="shared" si="419"/>
        <v>0</v>
      </c>
      <c r="AW120" s="60"/>
      <c r="AX120" s="60"/>
      <c r="AY120" s="60">
        <f>AW120-AX120</f>
        <v>0</v>
      </c>
      <c r="AZ120" s="60"/>
      <c r="BA120" s="60"/>
      <c r="BB120" s="60">
        <f>AZ120-BA120</f>
        <v>0</v>
      </c>
      <c r="BC120" s="60"/>
      <c r="BD120" s="60"/>
      <c r="BE120" s="60">
        <f>BC120-BD120</f>
        <v>0</v>
      </c>
      <c r="BF120" s="60">
        <f t="shared" si="420"/>
        <v>0</v>
      </c>
      <c r="BG120" s="60">
        <f t="shared" si="420"/>
        <v>0</v>
      </c>
      <c r="BH120" s="60">
        <f t="shared" si="420"/>
        <v>0</v>
      </c>
      <c r="BI120" s="508"/>
      <c r="BJ120" s="488" t="str">
        <f t="shared" si="407"/>
        <v>Lò</v>
      </c>
      <c r="BK120" s="523">
        <f>ROUND(O120*G120*$C$3*$B$5,-2)</f>
        <v>0</v>
      </c>
      <c r="BL120" s="523">
        <f>ROUND(R120*G120*$C$3*$B$5,-2)</f>
        <v>0</v>
      </c>
      <c r="BM120" s="523">
        <f>ROUND(U120*G120*$C$3*$B$5,-2)</f>
        <v>0</v>
      </c>
      <c r="BN120" s="523">
        <f>ROUND(X120*G120*$C$3*$B$5,-2)</f>
        <v>0</v>
      </c>
      <c r="BO120" s="523">
        <f>ROUND(AA120*G120*$C$3*$B$5,-2)</f>
        <v>0</v>
      </c>
      <c r="BP120" s="523">
        <f>ROUND(AD120*G120*$C$3*$B$5,-2)</f>
        <v>0</v>
      </c>
      <c r="BQ120" s="523">
        <f>ROUND(AG120*G120*$C$3*$B$5,-2)</f>
        <v>0</v>
      </c>
      <c r="BR120" s="523">
        <f>ROUND(AJ120*G120*$B$5*$C$3,-2)</f>
        <v>0</v>
      </c>
      <c r="BS120" s="523">
        <f>ROUND(AM120*G120*$C$3*$B$5,-2)</f>
        <v>0</v>
      </c>
      <c r="BT120" s="523">
        <f>ROUND(AP120*G120*$C$3*$B$5,-2)</f>
        <v>0</v>
      </c>
      <c r="BU120" s="523">
        <f>ROUND(AS120*G120*$C$3*$B$5,-2)</f>
        <v>0</v>
      </c>
      <c r="BV120" s="523">
        <f>ROUND(AV120*G120*$C$3*$B$5,-2)</f>
        <v>0</v>
      </c>
      <c r="BW120" s="523">
        <f>ROUND(AY120*G120*$C$3*$B$5,-2)</f>
        <v>0</v>
      </c>
      <c r="BX120" s="523">
        <f>ROUND(BB120*G120*$C$3*$B$5,-2)</f>
        <v>0</v>
      </c>
      <c r="BY120" s="523">
        <f>ROUND(BE120*G120*$C$3*$B$5,-2)</f>
        <v>0</v>
      </c>
      <c r="BZ120" s="523">
        <f>ROUND(BH120*G120*$C$3*$B$5,-2)</f>
        <v>0</v>
      </c>
      <c r="CA120" s="354"/>
      <c r="CB120" s="354" t="b">
        <f t="shared" si="397"/>
        <v>0</v>
      </c>
      <c r="CC120" s="509" t="str">
        <f t="shared" si="398"/>
        <v>CGH1.</v>
      </c>
      <c r="CD120" s="509" t="str">
        <f t="shared" si="399"/>
        <v>CGH1.14,5</v>
      </c>
      <c r="CE120" s="351" t="str">
        <f t="shared" si="408"/>
        <v>Lò</v>
      </c>
      <c r="CF120" s="509" t="str">
        <f t="shared" si="400"/>
        <v>CGH1.Lò</v>
      </c>
      <c r="CG120" s="509"/>
      <c r="CH120" s="509"/>
    </row>
    <row r="121" spans="1:86" ht="22.5" customHeight="1" x14ac:dyDescent="0.25">
      <c r="A121" s="354" t="e">
        <f>A119</f>
        <v>#REF!</v>
      </c>
      <c r="B121" s="518"/>
      <c r="C121" s="519" t="s">
        <v>204</v>
      </c>
      <c r="D121" s="447" t="s">
        <v>14</v>
      </c>
      <c r="E121" s="447"/>
      <c r="F121" s="447"/>
      <c r="G121" s="520">
        <v>11.2</v>
      </c>
      <c r="H121" s="521">
        <v>0.7</v>
      </c>
      <c r="I121" s="522">
        <f t="shared" si="416"/>
        <v>0</v>
      </c>
      <c r="J121" s="522">
        <f t="shared" si="416"/>
        <v>0</v>
      </c>
      <c r="K121" s="522">
        <f t="shared" si="416"/>
        <v>0</v>
      </c>
      <c r="L121" s="57">
        <f>BN121+BR121+BV121+BZ121</f>
        <v>0</v>
      </c>
      <c r="M121" s="60"/>
      <c r="N121" s="60"/>
      <c r="O121" s="60">
        <f>M121-N121</f>
        <v>0</v>
      </c>
      <c r="P121" s="60"/>
      <c r="Q121" s="60"/>
      <c r="R121" s="60">
        <f>P121-Q121</f>
        <v>0</v>
      </c>
      <c r="S121" s="824"/>
      <c r="T121" s="60"/>
      <c r="U121" s="60">
        <f>S121-T121</f>
        <v>0</v>
      </c>
      <c r="V121" s="60">
        <f t="shared" si="421"/>
        <v>0</v>
      </c>
      <c r="W121" s="60">
        <f t="shared" si="421"/>
        <v>0</v>
      </c>
      <c r="X121" s="60">
        <f t="shared" si="421"/>
        <v>0</v>
      </c>
      <c r="Y121" s="60"/>
      <c r="Z121" s="60"/>
      <c r="AA121" s="60">
        <f>Y121-Z121</f>
        <v>0</v>
      </c>
      <c r="AB121" s="60"/>
      <c r="AC121" s="60"/>
      <c r="AD121" s="60">
        <f>AB121-AC121</f>
        <v>0</v>
      </c>
      <c r="AE121" s="60"/>
      <c r="AF121" s="60"/>
      <c r="AG121" s="60">
        <f>AE121-AF121</f>
        <v>0</v>
      </c>
      <c r="AH121" s="60">
        <f t="shared" si="422"/>
        <v>0</v>
      </c>
      <c r="AI121" s="60">
        <f t="shared" si="422"/>
        <v>0</v>
      </c>
      <c r="AJ121" s="60">
        <f t="shared" si="422"/>
        <v>0</v>
      </c>
      <c r="AK121" s="60"/>
      <c r="AL121" s="60"/>
      <c r="AM121" s="60">
        <f>AK121-AL121</f>
        <v>0</v>
      </c>
      <c r="AN121" s="60"/>
      <c r="AO121" s="60"/>
      <c r="AP121" s="60">
        <f>AN121-AO121</f>
        <v>0</v>
      </c>
      <c r="AQ121" s="60"/>
      <c r="AR121" s="60"/>
      <c r="AS121" s="60">
        <f>AQ121-AR121</f>
        <v>0</v>
      </c>
      <c r="AT121" s="60">
        <f t="shared" ref="AT121:AV122" si="423">AK121+AN121+AQ121</f>
        <v>0</v>
      </c>
      <c r="AU121" s="60">
        <f t="shared" si="423"/>
        <v>0</v>
      </c>
      <c r="AV121" s="60">
        <f t="shared" si="423"/>
        <v>0</v>
      </c>
      <c r="AW121" s="60"/>
      <c r="AX121" s="60"/>
      <c r="AY121" s="60">
        <f>AW121-AX121</f>
        <v>0</v>
      </c>
      <c r="AZ121" s="60"/>
      <c r="BA121" s="60"/>
      <c r="BB121" s="60">
        <f>AZ121-BA121</f>
        <v>0</v>
      </c>
      <c r="BC121" s="60"/>
      <c r="BD121" s="60"/>
      <c r="BE121" s="60">
        <f>BC121-BD121</f>
        <v>0</v>
      </c>
      <c r="BF121" s="60">
        <f t="shared" si="420"/>
        <v>0</v>
      </c>
      <c r="BG121" s="60">
        <f t="shared" si="420"/>
        <v>0</v>
      </c>
      <c r="BH121" s="60">
        <f t="shared" si="420"/>
        <v>0</v>
      </c>
      <c r="BI121" s="508"/>
      <c r="BJ121" s="488" t="str">
        <f t="shared" si="407"/>
        <v>Lò</v>
      </c>
      <c r="BK121" s="523">
        <f>ROUND(O121*G121*$C$3*$B$5,-2)</f>
        <v>0</v>
      </c>
      <c r="BL121" s="523">
        <f>ROUND(R121*G121*$C$3*$B$5,-2)</f>
        <v>0</v>
      </c>
      <c r="BM121" s="523">
        <f>ROUND(U121*G121*$C$3*$B$5,-2)</f>
        <v>0</v>
      </c>
      <c r="BN121" s="523">
        <f>ROUND(X121*G121*$C$3*$B$5,-2)</f>
        <v>0</v>
      </c>
      <c r="BO121" s="523">
        <f>ROUND(AA121*G121*$C$3*$B$5,-2)</f>
        <v>0</v>
      </c>
      <c r="BP121" s="523">
        <f>ROUND(AD121*G121*$C$3*$B$5,-2)</f>
        <v>0</v>
      </c>
      <c r="BQ121" s="523">
        <f>ROUND(AG121*G121*$C$3*$B$5,-2)</f>
        <v>0</v>
      </c>
      <c r="BR121" s="523">
        <f>ROUND(AJ121*G121*$B$5*$C$3,-2)</f>
        <v>0</v>
      </c>
      <c r="BS121" s="523">
        <f>ROUND(AM121*G121*$C$3*$B$5,-2)</f>
        <v>0</v>
      </c>
      <c r="BT121" s="523">
        <f>ROUND(AP121*G121*$C$3*$B$5,-2)</f>
        <v>0</v>
      </c>
      <c r="BU121" s="523">
        <f>ROUND(AS121*G121*$C$3*$B$5,-2)</f>
        <v>0</v>
      </c>
      <c r="BV121" s="523">
        <f>ROUND(AV121*G121*$C$3*$B$5,-2)</f>
        <v>0</v>
      </c>
      <c r="BW121" s="523">
        <f>ROUND(AY121*G121*$C$3*$B$5,-2)</f>
        <v>0</v>
      </c>
      <c r="BX121" s="523">
        <f>ROUND(BB121*G121*$C$3*$B$5,-2)</f>
        <v>0</v>
      </c>
      <c r="BY121" s="523">
        <f>ROUND(BE121*G121*$C$3*$B$5,-2)</f>
        <v>0</v>
      </c>
      <c r="BZ121" s="523">
        <f>ROUND(BH121*G121*$C$3*$B$5,-2)</f>
        <v>0</v>
      </c>
      <c r="CA121" s="354"/>
      <c r="CB121" s="354" t="b">
        <f>IF(SUM(I121:L121)&lt;&gt;0,"X")</f>
        <v>0</v>
      </c>
      <c r="CC121" s="509" t="str">
        <f>CC119</f>
        <v>CGH1.</v>
      </c>
      <c r="CD121" s="509" t="str">
        <f>CC121&amp;G121</f>
        <v>CGH1.11,2</v>
      </c>
      <c r="CE121" s="351" t="str">
        <f t="shared" si="408"/>
        <v>Lò</v>
      </c>
      <c r="CF121" s="509" t="str">
        <f>CC121&amp;CE121</f>
        <v>CGH1.Lò</v>
      </c>
      <c r="CG121" s="509"/>
      <c r="CH121" s="509"/>
    </row>
    <row r="122" spans="1:86" ht="22.5" customHeight="1" x14ac:dyDescent="0.25">
      <c r="A122" s="354" t="e">
        <f>A120</f>
        <v>#REF!</v>
      </c>
      <c r="B122" s="518"/>
      <c r="C122" s="519" t="s">
        <v>204</v>
      </c>
      <c r="D122" s="447" t="s">
        <v>14</v>
      </c>
      <c r="E122" s="447"/>
      <c r="F122" s="447"/>
      <c r="G122" s="520">
        <v>11.2</v>
      </c>
      <c r="H122" s="521">
        <v>0.7</v>
      </c>
      <c r="I122" s="522">
        <f t="shared" si="416"/>
        <v>0</v>
      </c>
      <c r="J122" s="522">
        <f t="shared" si="416"/>
        <v>0</v>
      </c>
      <c r="K122" s="522">
        <f t="shared" si="416"/>
        <v>0</v>
      </c>
      <c r="L122" s="57">
        <f>BN122+BR122+BV122+BZ122</f>
        <v>0</v>
      </c>
      <c r="M122" s="60"/>
      <c r="N122" s="60"/>
      <c r="O122" s="60">
        <f>M122-N122</f>
        <v>0</v>
      </c>
      <c r="P122" s="60"/>
      <c r="Q122" s="60"/>
      <c r="R122" s="60">
        <f>P122-Q122</f>
        <v>0</v>
      </c>
      <c r="S122" s="824"/>
      <c r="T122" s="60"/>
      <c r="U122" s="60">
        <f>S122-T122</f>
        <v>0</v>
      </c>
      <c r="V122" s="60">
        <f t="shared" si="421"/>
        <v>0</v>
      </c>
      <c r="W122" s="60">
        <f t="shared" si="421"/>
        <v>0</v>
      </c>
      <c r="X122" s="60">
        <f t="shared" si="421"/>
        <v>0</v>
      </c>
      <c r="Y122" s="60"/>
      <c r="Z122" s="60"/>
      <c r="AA122" s="60">
        <f>Y122-Z122</f>
        <v>0</v>
      </c>
      <c r="AB122" s="60"/>
      <c r="AC122" s="60"/>
      <c r="AD122" s="60">
        <f>AB122-AC122</f>
        <v>0</v>
      </c>
      <c r="AE122" s="60"/>
      <c r="AF122" s="60"/>
      <c r="AG122" s="60">
        <f>AE122-AF122</f>
        <v>0</v>
      </c>
      <c r="AH122" s="60">
        <f t="shared" si="422"/>
        <v>0</v>
      </c>
      <c r="AI122" s="60">
        <f t="shared" si="422"/>
        <v>0</v>
      </c>
      <c r="AJ122" s="60">
        <f t="shared" si="422"/>
        <v>0</v>
      </c>
      <c r="AK122" s="60"/>
      <c r="AL122" s="60"/>
      <c r="AM122" s="60">
        <f>AK122-AL122</f>
        <v>0</v>
      </c>
      <c r="AN122" s="60"/>
      <c r="AO122" s="60"/>
      <c r="AP122" s="60">
        <f>AN122-AO122</f>
        <v>0</v>
      </c>
      <c r="AQ122" s="60"/>
      <c r="AR122" s="60"/>
      <c r="AS122" s="60">
        <f>AQ122-AR122</f>
        <v>0</v>
      </c>
      <c r="AT122" s="60">
        <f t="shared" si="423"/>
        <v>0</v>
      </c>
      <c r="AU122" s="60">
        <f t="shared" si="423"/>
        <v>0</v>
      </c>
      <c r="AV122" s="60">
        <f t="shared" si="423"/>
        <v>0</v>
      </c>
      <c r="AW122" s="60"/>
      <c r="AX122" s="60"/>
      <c r="AY122" s="60">
        <f>AW122-AX122</f>
        <v>0</v>
      </c>
      <c r="AZ122" s="60"/>
      <c r="BA122" s="60"/>
      <c r="BB122" s="60">
        <f>AZ122-BA122</f>
        <v>0</v>
      </c>
      <c r="BC122" s="60"/>
      <c r="BD122" s="60"/>
      <c r="BE122" s="60">
        <f>BC122-BD122</f>
        <v>0</v>
      </c>
      <c r="BF122" s="60">
        <f t="shared" si="420"/>
        <v>0</v>
      </c>
      <c r="BG122" s="60">
        <f t="shared" si="420"/>
        <v>0</v>
      </c>
      <c r="BH122" s="60">
        <f t="shared" si="420"/>
        <v>0</v>
      </c>
      <c r="BI122" s="508"/>
      <c r="BJ122" s="488" t="str">
        <f t="shared" si="407"/>
        <v>Lò</v>
      </c>
      <c r="BK122" s="523">
        <f>ROUND(O122*G122*$C$3*$B$5,-2)</f>
        <v>0</v>
      </c>
      <c r="BL122" s="523">
        <f>ROUND(R122*G122*$C$3*$B$5,-2)</f>
        <v>0</v>
      </c>
      <c r="BM122" s="523">
        <f>ROUND(U122*G122*$C$3*$B$5,-2)</f>
        <v>0</v>
      </c>
      <c r="BN122" s="523">
        <f>ROUND(X122*G122*$C$3*$B$5,-2)</f>
        <v>0</v>
      </c>
      <c r="BO122" s="523">
        <f>ROUND(AA122*G122*$C$3*$B$5,-2)</f>
        <v>0</v>
      </c>
      <c r="BP122" s="523">
        <f>ROUND(AD122*G122*$C$3*$B$5,-2)</f>
        <v>0</v>
      </c>
      <c r="BQ122" s="523">
        <f>ROUND(AG122*G122*$C$3*$B$5,-2)</f>
        <v>0</v>
      </c>
      <c r="BR122" s="523">
        <f>ROUND(AJ122*G122*$B$5*$C$3,-2)</f>
        <v>0</v>
      </c>
      <c r="BS122" s="523">
        <f>ROUND(AM122*G122*$C$3*$B$5,-2)</f>
        <v>0</v>
      </c>
      <c r="BT122" s="523">
        <f>ROUND(AP122*G122*$C$3*$B$5,-2)</f>
        <v>0</v>
      </c>
      <c r="BU122" s="523">
        <f>ROUND(AS122*G122*$C$3*$B$5,-2)</f>
        <v>0</v>
      </c>
      <c r="BV122" s="523">
        <f>ROUND(AV122*G122*$C$3*$B$5,-2)</f>
        <v>0</v>
      </c>
      <c r="BW122" s="523">
        <f>ROUND(AY122*G122*$C$3*$B$5,-2)</f>
        <v>0</v>
      </c>
      <c r="BX122" s="523">
        <f>ROUND(BB122*G122*$C$3*$B$5,-2)</f>
        <v>0</v>
      </c>
      <c r="BY122" s="523">
        <f>ROUND(BE122*G122*$C$3*$B$5,-2)</f>
        <v>0</v>
      </c>
      <c r="BZ122" s="523">
        <f>ROUND(BH122*G122*$C$3*$B$5,-2)</f>
        <v>0</v>
      </c>
      <c r="CA122" s="354"/>
      <c r="CB122" s="354" t="b">
        <f t="shared" si="397"/>
        <v>0</v>
      </c>
      <c r="CC122" s="509" t="str">
        <f>CC120</f>
        <v>CGH1.</v>
      </c>
      <c r="CD122" s="509" t="str">
        <f t="shared" si="399"/>
        <v>CGH1.11,2</v>
      </c>
      <c r="CE122" s="351" t="str">
        <f t="shared" si="408"/>
        <v>Lò</v>
      </c>
      <c r="CF122" s="509" t="str">
        <f t="shared" si="400"/>
        <v>CGH1.Lò</v>
      </c>
      <c r="CG122" s="509"/>
      <c r="CH122" s="509"/>
    </row>
    <row r="123" spans="1:86" s="359" customFormat="1" ht="21.75" customHeight="1" x14ac:dyDescent="0.3">
      <c r="A123" s="354" t="e">
        <f t="shared" si="415"/>
        <v>#REF!</v>
      </c>
      <c r="B123" s="525" t="s">
        <v>37</v>
      </c>
      <c r="C123" s="526" t="s">
        <v>178</v>
      </c>
      <c r="D123" s="527"/>
      <c r="E123" s="527"/>
      <c r="F123" s="527"/>
      <c r="G123" s="528"/>
      <c r="H123" s="529"/>
      <c r="I123" s="70">
        <f t="shared" ref="I123:AN123" si="424">SUM(I124:I125)</f>
        <v>245</v>
      </c>
      <c r="J123" s="70">
        <f t="shared" si="424"/>
        <v>120</v>
      </c>
      <c r="K123" s="70">
        <f t="shared" si="424"/>
        <v>125</v>
      </c>
      <c r="L123" s="70">
        <f t="shared" si="424"/>
        <v>400</v>
      </c>
      <c r="M123" s="210">
        <f t="shared" si="424"/>
        <v>30</v>
      </c>
      <c r="N123" s="210">
        <f t="shared" si="424"/>
        <v>10</v>
      </c>
      <c r="O123" s="210">
        <f t="shared" si="424"/>
        <v>20</v>
      </c>
      <c r="P123" s="210">
        <f t="shared" si="424"/>
        <v>25</v>
      </c>
      <c r="Q123" s="210">
        <f t="shared" si="424"/>
        <v>10</v>
      </c>
      <c r="R123" s="210">
        <f t="shared" si="424"/>
        <v>15</v>
      </c>
      <c r="S123" s="829">
        <f t="shared" si="424"/>
        <v>0</v>
      </c>
      <c r="T123" s="210">
        <f t="shared" si="424"/>
        <v>0</v>
      </c>
      <c r="U123" s="210">
        <f t="shared" si="424"/>
        <v>0</v>
      </c>
      <c r="V123" s="224">
        <f t="shared" si="424"/>
        <v>55</v>
      </c>
      <c r="W123" s="224">
        <f t="shared" si="424"/>
        <v>20</v>
      </c>
      <c r="X123" s="224">
        <f t="shared" si="424"/>
        <v>35</v>
      </c>
      <c r="Y123" s="210">
        <f t="shared" si="424"/>
        <v>0</v>
      </c>
      <c r="Z123" s="210">
        <f t="shared" si="424"/>
        <v>0</v>
      </c>
      <c r="AA123" s="210">
        <f t="shared" si="424"/>
        <v>0</v>
      </c>
      <c r="AB123" s="210">
        <f t="shared" si="424"/>
        <v>0</v>
      </c>
      <c r="AC123" s="210">
        <f t="shared" si="424"/>
        <v>0</v>
      </c>
      <c r="AD123" s="210">
        <f t="shared" si="424"/>
        <v>0</v>
      </c>
      <c r="AE123" s="210">
        <f t="shared" si="424"/>
        <v>15</v>
      </c>
      <c r="AF123" s="210">
        <f t="shared" si="424"/>
        <v>15</v>
      </c>
      <c r="AG123" s="210">
        <f t="shared" si="424"/>
        <v>0</v>
      </c>
      <c r="AH123" s="224">
        <f t="shared" si="424"/>
        <v>15</v>
      </c>
      <c r="AI123" s="224">
        <f t="shared" si="424"/>
        <v>15</v>
      </c>
      <c r="AJ123" s="224">
        <f t="shared" si="424"/>
        <v>0</v>
      </c>
      <c r="AK123" s="210">
        <f t="shared" si="424"/>
        <v>35</v>
      </c>
      <c r="AL123" s="210">
        <f t="shared" si="424"/>
        <v>15</v>
      </c>
      <c r="AM123" s="210">
        <f t="shared" si="424"/>
        <v>20</v>
      </c>
      <c r="AN123" s="210">
        <f t="shared" si="424"/>
        <v>35</v>
      </c>
      <c r="AO123" s="210">
        <f t="shared" ref="AO123:BH123" si="425">SUM(AO124:AO125)</f>
        <v>20</v>
      </c>
      <c r="AP123" s="210">
        <f t="shared" si="425"/>
        <v>15</v>
      </c>
      <c r="AQ123" s="210">
        <f t="shared" si="425"/>
        <v>30</v>
      </c>
      <c r="AR123" s="210">
        <f t="shared" si="425"/>
        <v>15</v>
      </c>
      <c r="AS123" s="210">
        <f t="shared" si="425"/>
        <v>15</v>
      </c>
      <c r="AT123" s="224">
        <f t="shared" si="425"/>
        <v>100</v>
      </c>
      <c r="AU123" s="224">
        <f t="shared" si="425"/>
        <v>50</v>
      </c>
      <c r="AV123" s="224">
        <f t="shared" si="425"/>
        <v>50</v>
      </c>
      <c r="AW123" s="210">
        <f t="shared" si="425"/>
        <v>35</v>
      </c>
      <c r="AX123" s="210">
        <f t="shared" si="425"/>
        <v>15</v>
      </c>
      <c r="AY123" s="210">
        <f t="shared" si="425"/>
        <v>20</v>
      </c>
      <c r="AZ123" s="210">
        <f t="shared" si="425"/>
        <v>20</v>
      </c>
      <c r="BA123" s="210">
        <f t="shared" si="425"/>
        <v>10</v>
      </c>
      <c r="BB123" s="210">
        <f t="shared" si="425"/>
        <v>10</v>
      </c>
      <c r="BC123" s="210">
        <f t="shared" si="425"/>
        <v>20</v>
      </c>
      <c r="BD123" s="210">
        <f t="shared" si="425"/>
        <v>10</v>
      </c>
      <c r="BE123" s="210">
        <f t="shared" si="425"/>
        <v>10</v>
      </c>
      <c r="BF123" s="224">
        <f t="shared" si="425"/>
        <v>75</v>
      </c>
      <c r="BG123" s="224">
        <f t="shared" si="425"/>
        <v>35</v>
      </c>
      <c r="BH123" s="224">
        <f t="shared" si="425"/>
        <v>40</v>
      </c>
      <c r="BI123" s="530"/>
      <c r="BJ123" s="488" t="str">
        <f t="shared" si="407"/>
        <v>XL</v>
      </c>
      <c r="BK123" s="225">
        <f>SUM(BK124:BK125)</f>
        <v>100</v>
      </c>
      <c r="BL123" s="225">
        <f>SUM(BL124:BL125)</f>
        <v>100</v>
      </c>
      <c r="BM123" s="225">
        <f>SUM(BM124:BM125)</f>
        <v>0</v>
      </c>
      <c r="BN123" s="225">
        <f>SUM(BN124:BN125)</f>
        <v>100</v>
      </c>
      <c r="BO123" s="225">
        <f t="shared" ref="BO123:BZ123" si="426">SUM(BO124:BO125)</f>
        <v>0</v>
      </c>
      <c r="BP123" s="225">
        <f t="shared" si="426"/>
        <v>0</v>
      </c>
      <c r="BQ123" s="225">
        <f t="shared" si="426"/>
        <v>0</v>
      </c>
      <c r="BR123" s="225">
        <f t="shared" si="426"/>
        <v>0</v>
      </c>
      <c r="BS123" s="225">
        <f t="shared" si="426"/>
        <v>100</v>
      </c>
      <c r="BT123" s="225">
        <f t="shared" si="426"/>
        <v>100</v>
      </c>
      <c r="BU123" s="225">
        <f t="shared" si="426"/>
        <v>100</v>
      </c>
      <c r="BV123" s="225">
        <f t="shared" si="426"/>
        <v>200</v>
      </c>
      <c r="BW123" s="225">
        <f t="shared" si="426"/>
        <v>100</v>
      </c>
      <c r="BX123" s="225">
        <f t="shared" si="426"/>
        <v>0</v>
      </c>
      <c r="BY123" s="225">
        <f t="shared" si="426"/>
        <v>0</v>
      </c>
      <c r="BZ123" s="225">
        <f t="shared" si="426"/>
        <v>100</v>
      </c>
      <c r="CA123" s="510"/>
      <c r="CB123" s="510" t="str">
        <f t="shared" si="397"/>
        <v>X</v>
      </c>
      <c r="CC123" s="509" t="str">
        <f t="shared" si="398"/>
        <v>CGH1.</v>
      </c>
      <c r="CD123" s="509" t="str">
        <f t="shared" si="399"/>
        <v>CGH1.</v>
      </c>
      <c r="CE123" s="351" t="str">
        <f t="shared" si="408"/>
        <v>XL</v>
      </c>
      <c r="CF123" s="509" t="str">
        <f t="shared" si="400"/>
        <v>CGH1.XL</v>
      </c>
      <c r="CG123" s="509"/>
      <c r="CH123" s="509"/>
    </row>
    <row r="124" spans="1:86" ht="24.75" customHeight="1" x14ac:dyDescent="0.25">
      <c r="A124" s="354" t="e">
        <f t="shared" si="415"/>
        <v>#REF!</v>
      </c>
      <c r="B124" s="484"/>
      <c r="C124" s="531" t="s">
        <v>678</v>
      </c>
      <c r="D124" s="447" t="s">
        <v>14</v>
      </c>
      <c r="E124" s="447"/>
      <c r="F124" s="447"/>
      <c r="G124" s="520">
        <v>16.100000000000001</v>
      </c>
      <c r="H124" s="521">
        <v>0.7</v>
      </c>
      <c r="I124" s="522">
        <f t="shared" ref="I124:K125" si="427">V124+AH124+AT124+BF124</f>
        <v>245</v>
      </c>
      <c r="J124" s="522">
        <f t="shared" si="427"/>
        <v>120</v>
      </c>
      <c r="K124" s="522">
        <f t="shared" si="427"/>
        <v>125</v>
      </c>
      <c r="L124" s="57">
        <f>BN124+BR124+BV124+BZ124</f>
        <v>400</v>
      </c>
      <c r="M124" s="60">
        <v>30</v>
      </c>
      <c r="N124" s="60">
        <v>10</v>
      </c>
      <c r="O124" s="60">
        <f>M124-N124</f>
        <v>20</v>
      </c>
      <c r="P124" s="60">
        <v>25</v>
      </c>
      <c r="Q124" s="60">
        <v>10</v>
      </c>
      <c r="R124" s="60">
        <f>P124-Q124</f>
        <v>15</v>
      </c>
      <c r="S124" s="824"/>
      <c r="T124" s="60"/>
      <c r="U124" s="60">
        <f>S124-T124</f>
        <v>0</v>
      </c>
      <c r="V124" s="60">
        <f t="shared" ref="V124:X125" si="428">M124+P124+S124</f>
        <v>55</v>
      </c>
      <c r="W124" s="60">
        <f t="shared" si="428"/>
        <v>20</v>
      </c>
      <c r="X124" s="60">
        <f t="shared" si="428"/>
        <v>35</v>
      </c>
      <c r="Y124" s="60"/>
      <c r="Z124" s="60"/>
      <c r="AA124" s="60">
        <f>Y124-Z124</f>
        <v>0</v>
      </c>
      <c r="AB124" s="60"/>
      <c r="AC124" s="60"/>
      <c r="AD124" s="60">
        <f>AB124-AC124</f>
        <v>0</v>
      </c>
      <c r="AE124" s="60">
        <v>15</v>
      </c>
      <c r="AF124" s="60">
        <v>15</v>
      </c>
      <c r="AG124" s="60">
        <f>AE124-AF124</f>
        <v>0</v>
      </c>
      <c r="AH124" s="60">
        <f t="shared" ref="AH124:AJ125" si="429">Y124+AB124+AE124</f>
        <v>15</v>
      </c>
      <c r="AI124" s="60">
        <f t="shared" si="429"/>
        <v>15</v>
      </c>
      <c r="AJ124" s="60">
        <f t="shared" si="429"/>
        <v>0</v>
      </c>
      <c r="AK124" s="60">
        <v>35</v>
      </c>
      <c r="AL124" s="60">
        <v>15</v>
      </c>
      <c r="AM124" s="60">
        <f>AK124-AL124</f>
        <v>20</v>
      </c>
      <c r="AN124" s="60">
        <v>35</v>
      </c>
      <c r="AO124" s="60">
        <v>20</v>
      </c>
      <c r="AP124" s="60">
        <f>AN124-AO124</f>
        <v>15</v>
      </c>
      <c r="AQ124" s="60">
        <v>30</v>
      </c>
      <c r="AR124" s="60">
        <v>15</v>
      </c>
      <c r="AS124" s="60">
        <f>AQ124-AR124</f>
        <v>15</v>
      </c>
      <c r="AT124" s="60">
        <f t="shared" ref="AT124:AV125" si="430">AK124+AN124+AQ124</f>
        <v>100</v>
      </c>
      <c r="AU124" s="60">
        <f t="shared" si="430"/>
        <v>50</v>
      </c>
      <c r="AV124" s="60">
        <f t="shared" si="430"/>
        <v>50</v>
      </c>
      <c r="AW124" s="60">
        <v>35</v>
      </c>
      <c r="AX124" s="60">
        <v>15</v>
      </c>
      <c r="AY124" s="60">
        <f>AW124-AX124</f>
        <v>20</v>
      </c>
      <c r="AZ124" s="60">
        <v>20</v>
      </c>
      <c r="BA124" s="60">
        <v>10</v>
      </c>
      <c r="BB124" s="60">
        <f>AZ124-BA124</f>
        <v>10</v>
      </c>
      <c r="BC124" s="60">
        <v>20</v>
      </c>
      <c r="BD124" s="60">
        <v>10</v>
      </c>
      <c r="BE124" s="60">
        <f>BC124-BD124</f>
        <v>10</v>
      </c>
      <c r="BF124" s="60">
        <f t="shared" ref="BF124:BH125" si="431">AW124+AZ124+BC124</f>
        <v>75</v>
      </c>
      <c r="BG124" s="60">
        <f t="shared" si="431"/>
        <v>35</v>
      </c>
      <c r="BH124" s="60">
        <f t="shared" si="431"/>
        <v>40</v>
      </c>
      <c r="BI124" s="508"/>
      <c r="BJ124" s="488" t="str">
        <f t="shared" si="407"/>
        <v>Xé</v>
      </c>
      <c r="BK124" s="523">
        <f>ROUND(O124*G124*$B$6,-2)</f>
        <v>100</v>
      </c>
      <c r="BL124" s="523">
        <f>ROUND(R124*G124*$B$6,-2)</f>
        <v>100</v>
      </c>
      <c r="BM124" s="523">
        <f>ROUND(U124*G124*$B$6,-2)</f>
        <v>0</v>
      </c>
      <c r="BN124" s="523">
        <f>ROUND(X124*G124*$B$6,-2)</f>
        <v>100</v>
      </c>
      <c r="BO124" s="523">
        <f>ROUND(AA124*G124*$B$6,-2)</f>
        <v>0</v>
      </c>
      <c r="BP124" s="523">
        <f>ROUND(AD124*G124*$B$6,-2)</f>
        <v>0</v>
      </c>
      <c r="BQ124" s="523">
        <f>ROUND(AG124*G124*$B$6,-2)</f>
        <v>0</v>
      </c>
      <c r="BR124" s="523">
        <f>ROUND(AJ124*G124*$B$6,-2)</f>
        <v>0</v>
      </c>
      <c r="BS124" s="523">
        <f>ROUND(AM124*G124*$B$6,-2)</f>
        <v>100</v>
      </c>
      <c r="BT124" s="523">
        <f>ROUND(AP124*G124*$B$6,-2)</f>
        <v>100</v>
      </c>
      <c r="BU124" s="523">
        <f>ROUND(AS124*G124*$B$6,-2)</f>
        <v>100</v>
      </c>
      <c r="BV124" s="523">
        <f>ROUND(AV124*G124*$B$6,-2)</f>
        <v>200</v>
      </c>
      <c r="BW124" s="523">
        <f>ROUND(AY124*G124*$B$6,-2)</f>
        <v>100</v>
      </c>
      <c r="BX124" s="523">
        <f>ROUND(BB124*G124*$B$6,-2)</f>
        <v>0</v>
      </c>
      <c r="BY124" s="523">
        <f>ROUND(BE124*G124*$B$6,-2)</f>
        <v>0</v>
      </c>
      <c r="BZ124" s="523">
        <f>ROUND(BH124*G124*$B$6,-2)</f>
        <v>100</v>
      </c>
      <c r="CA124" s="354"/>
      <c r="CB124" s="354" t="str">
        <f t="shared" si="397"/>
        <v>X</v>
      </c>
      <c r="CC124" s="509" t="str">
        <f t="shared" si="398"/>
        <v>CGH1.</v>
      </c>
      <c r="CD124" s="509" t="str">
        <f t="shared" si="399"/>
        <v>CGH1.16,1</v>
      </c>
      <c r="CE124" s="351" t="str">
        <f t="shared" si="408"/>
        <v>Xé</v>
      </c>
      <c r="CF124" s="509" t="str">
        <f t="shared" si="400"/>
        <v>CGH1.Xé</v>
      </c>
      <c r="CG124" s="509"/>
      <c r="CH124" s="509"/>
    </row>
    <row r="125" spans="1:86" ht="24.75" customHeight="1" x14ac:dyDescent="0.25">
      <c r="A125" s="354" t="e">
        <f t="shared" si="415"/>
        <v>#REF!</v>
      </c>
      <c r="B125" s="484"/>
      <c r="C125" s="531" t="s">
        <v>20</v>
      </c>
      <c r="D125" s="447" t="s">
        <v>14</v>
      </c>
      <c r="E125" s="447"/>
      <c r="F125" s="447"/>
      <c r="G125" s="520">
        <v>13.1</v>
      </c>
      <c r="H125" s="521">
        <v>0.7</v>
      </c>
      <c r="I125" s="522">
        <f t="shared" si="427"/>
        <v>0</v>
      </c>
      <c r="J125" s="522">
        <f t="shared" si="427"/>
        <v>0</v>
      </c>
      <c r="K125" s="522">
        <f t="shared" si="427"/>
        <v>0</v>
      </c>
      <c r="L125" s="57">
        <f>BN125+BR125+BV125+BZ125</f>
        <v>0</v>
      </c>
      <c r="M125" s="60"/>
      <c r="N125" s="60"/>
      <c r="O125" s="60">
        <f>M125-N125</f>
        <v>0</v>
      </c>
      <c r="P125" s="60"/>
      <c r="Q125" s="60"/>
      <c r="R125" s="60">
        <f>P125-Q125</f>
        <v>0</v>
      </c>
      <c r="S125" s="824"/>
      <c r="T125" s="60"/>
      <c r="U125" s="60">
        <f>S125-T125</f>
        <v>0</v>
      </c>
      <c r="V125" s="60">
        <f t="shared" si="428"/>
        <v>0</v>
      </c>
      <c r="W125" s="60">
        <f t="shared" si="428"/>
        <v>0</v>
      </c>
      <c r="X125" s="60">
        <f t="shared" si="428"/>
        <v>0</v>
      </c>
      <c r="Y125" s="60"/>
      <c r="Z125" s="60"/>
      <c r="AA125" s="60">
        <f>Y125-Z125</f>
        <v>0</v>
      </c>
      <c r="AB125" s="60"/>
      <c r="AC125" s="60"/>
      <c r="AD125" s="60">
        <f>AB125-AC125</f>
        <v>0</v>
      </c>
      <c r="AE125" s="60"/>
      <c r="AF125" s="60"/>
      <c r="AG125" s="60">
        <f>AE125-AF125</f>
        <v>0</v>
      </c>
      <c r="AH125" s="60">
        <f t="shared" si="429"/>
        <v>0</v>
      </c>
      <c r="AI125" s="60">
        <f t="shared" si="429"/>
        <v>0</v>
      </c>
      <c r="AJ125" s="60">
        <f t="shared" si="429"/>
        <v>0</v>
      </c>
      <c r="AK125" s="60"/>
      <c r="AL125" s="60"/>
      <c r="AM125" s="60">
        <f>AK125-AL125</f>
        <v>0</v>
      </c>
      <c r="AN125" s="60"/>
      <c r="AO125" s="60"/>
      <c r="AP125" s="60">
        <f>AN125-AO125</f>
        <v>0</v>
      </c>
      <c r="AQ125" s="60"/>
      <c r="AR125" s="60"/>
      <c r="AS125" s="60">
        <f>AQ125-AR125</f>
        <v>0</v>
      </c>
      <c r="AT125" s="60">
        <f t="shared" si="430"/>
        <v>0</v>
      </c>
      <c r="AU125" s="60">
        <f t="shared" si="430"/>
        <v>0</v>
      </c>
      <c r="AV125" s="60">
        <f t="shared" si="430"/>
        <v>0</v>
      </c>
      <c r="AW125" s="60"/>
      <c r="AX125" s="60"/>
      <c r="AY125" s="60">
        <f>AW125-AX125</f>
        <v>0</v>
      </c>
      <c r="AZ125" s="60"/>
      <c r="BA125" s="60"/>
      <c r="BB125" s="60">
        <f>AZ125-BA125</f>
        <v>0</v>
      </c>
      <c r="BC125" s="60"/>
      <c r="BD125" s="60"/>
      <c r="BE125" s="60">
        <f>BC125-BD125</f>
        <v>0</v>
      </c>
      <c r="BF125" s="60">
        <f t="shared" si="431"/>
        <v>0</v>
      </c>
      <c r="BG125" s="60">
        <f t="shared" si="431"/>
        <v>0</v>
      </c>
      <c r="BH125" s="60">
        <f t="shared" si="431"/>
        <v>0</v>
      </c>
      <c r="BI125" s="508"/>
      <c r="BJ125" s="488" t="str">
        <f t="shared" si="407"/>
        <v>Xé</v>
      </c>
      <c r="BK125" s="523">
        <f>ROUND(O125*G125*$B$6,-2)</f>
        <v>0</v>
      </c>
      <c r="BL125" s="523">
        <f>ROUND(R125*G125*$B$6,-2)</f>
        <v>0</v>
      </c>
      <c r="BM125" s="523">
        <f>ROUND(U125*G125*$B$6,-2)</f>
        <v>0</v>
      </c>
      <c r="BN125" s="523">
        <f>ROUND(X125*G125*$B$6,-2)</f>
        <v>0</v>
      </c>
      <c r="BO125" s="523">
        <f>ROUND(AA125*G125*$B$6,-2)</f>
        <v>0</v>
      </c>
      <c r="BP125" s="523">
        <f>ROUND(AD125*G125*$B$6,-2)</f>
        <v>0</v>
      </c>
      <c r="BQ125" s="523">
        <f>ROUND(AG125*G125*$B$6,-2)</f>
        <v>0</v>
      </c>
      <c r="BR125" s="523">
        <f>ROUND(AJ125*G125*$B$6,-2)</f>
        <v>0</v>
      </c>
      <c r="BS125" s="523">
        <f>ROUND(AM125*G125*$B$6,-2)</f>
        <v>0</v>
      </c>
      <c r="BT125" s="523">
        <f>ROUND(AP125*G125*$B$6,-2)</f>
        <v>0</v>
      </c>
      <c r="BU125" s="523">
        <f>ROUND(AS125*G125*$B$6,-2)</f>
        <v>0</v>
      </c>
      <c r="BV125" s="523">
        <f>ROUND(AV125*G125*$B$6,-2)</f>
        <v>0</v>
      </c>
      <c r="BW125" s="523">
        <f>ROUND(AY125*G125*$B$6,-2)</f>
        <v>0</v>
      </c>
      <c r="BX125" s="523">
        <f>ROUND(BB125*G125*$B$6,-2)</f>
        <v>0</v>
      </c>
      <c r="BY125" s="523">
        <f>ROUND(BE125*G125*$B$6,-2)</f>
        <v>0</v>
      </c>
      <c r="BZ125" s="523">
        <f>ROUND(BH125*G125*$B$6,-2)</f>
        <v>0</v>
      </c>
      <c r="CA125" s="354"/>
      <c r="CB125" s="354" t="b">
        <f t="shared" si="397"/>
        <v>0</v>
      </c>
      <c r="CC125" s="509" t="str">
        <f t="shared" si="398"/>
        <v>CGH1.</v>
      </c>
      <c r="CD125" s="509" t="str">
        <f t="shared" si="399"/>
        <v>CGH1.13,1</v>
      </c>
      <c r="CE125" s="351" t="str">
        <f t="shared" si="408"/>
        <v>Xé</v>
      </c>
      <c r="CF125" s="509" t="str">
        <f t="shared" si="400"/>
        <v>CGH1.Xé</v>
      </c>
      <c r="CG125" s="509"/>
      <c r="CH125" s="509"/>
    </row>
    <row r="126" spans="1:86" ht="16.899999999999999" customHeight="1" x14ac:dyDescent="0.3">
      <c r="A126" s="354" t="e">
        <f>#REF!</f>
        <v>#REF!</v>
      </c>
      <c r="B126" s="503">
        <v>9</v>
      </c>
      <c r="C126" s="507" t="s">
        <v>450</v>
      </c>
      <c r="D126" s="505"/>
      <c r="E126" s="505"/>
      <c r="F126" s="505"/>
      <c r="G126" s="505"/>
      <c r="H126" s="505"/>
      <c r="I126" s="539">
        <f t="shared" ref="I126:AN126" si="432">SUM(I127:I137)/2</f>
        <v>521</v>
      </c>
      <c r="J126" s="539">
        <f t="shared" si="432"/>
        <v>167</v>
      </c>
      <c r="K126" s="539">
        <f t="shared" si="432"/>
        <v>354</v>
      </c>
      <c r="L126" s="539">
        <f t="shared" si="432"/>
        <v>2800</v>
      </c>
      <c r="M126" s="535">
        <f t="shared" si="432"/>
        <v>55</v>
      </c>
      <c r="N126" s="535">
        <f t="shared" si="432"/>
        <v>50</v>
      </c>
      <c r="O126" s="535">
        <f t="shared" si="432"/>
        <v>5</v>
      </c>
      <c r="P126" s="535">
        <f t="shared" si="432"/>
        <v>35</v>
      </c>
      <c r="Q126" s="535">
        <f t="shared" si="432"/>
        <v>20</v>
      </c>
      <c r="R126" s="535">
        <f t="shared" si="432"/>
        <v>15</v>
      </c>
      <c r="S126" s="828">
        <f t="shared" si="432"/>
        <v>35</v>
      </c>
      <c r="T126" s="535">
        <f t="shared" si="432"/>
        <v>20</v>
      </c>
      <c r="U126" s="535">
        <f t="shared" si="432"/>
        <v>15</v>
      </c>
      <c r="V126" s="535">
        <f t="shared" si="432"/>
        <v>125</v>
      </c>
      <c r="W126" s="535">
        <f t="shared" si="432"/>
        <v>90</v>
      </c>
      <c r="X126" s="535">
        <f t="shared" si="432"/>
        <v>35</v>
      </c>
      <c r="Y126" s="535">
        <f t="shared" si="432"/>
        <v>30</v>
      </c>
      <c r="Z126" s="535">
        <f t="shared" si="432"/>
        <v>25</v>
      </c>
      <c r="AA126" s="535">
        <f t="shared" si="432"/>
        <v>5</v>
      </c>
      <c r="AB126" s="535">
        <f t="shared" si="432"/>
        <v>35</v>
      </c>
      <c r="AC126" s="535">
        <f t="shared" si="432"/>
        <v>20</v>
      </c>
      <c r="AD126" s="535">
        <f t="shared" si="432"/>
        <v>15</v>
      </c>
      <c r="AE126" s="535">
        <f t="shared" si="432"/>
        <v>35</v>
      </c>
      <c r="AF126" s="535">
        <f t="shared" si="432"/>
        <v>22</v>
      </c>
      <c r="AG126" s="535">
        <f t="shared" si="432"/>
        <v>13</v>
      </c>
      <c r="AH126" s="535">
        <f t="shared" si="432"/>
        <v>100</v>
      </c>
      <c r="AI126" s="535">
        <f t="shared" si="432"/>
        <v>67</v>
      </c>
      <c r="AJ126" s="535">
        <f t="shared" si="432"/>
        <v>33</v>
      </c>
      <c r="AK126" s="535">
        <f t="shared" si="432"/>
        <v>125</v>
      </c>
      <c r="AL126" s="535">
        <f t="shared" si="432"/>
        <v>0</v>
      </c>
      <c r="AM126" s="535">
        <f t="shared" si="432"/>
        <v>125</v>
      </c>
      <c r="AN126" s="535">
        <f t="shared" si="432"/>
        <v>71</v>
      </c>
      <c r="AO126" s="535">
        <f t="shared" ref="AO126:BK126" si="433">SUM(AO127:AO137)/2</f>
        <v>10</v>
      </c>
      <c r="AP126" s="535">
        <f t="shared" si="433"/>
        <v>61</v>
      </c>
      <c r="AQ126" s="535">
        <f t="shared" si="433"/>
        <v>0</v>
      </c>
      <c r="AR126" s="535">
        <f t="shared" si="433"/>
        <v>0</v>
      </c>
      <c r="AS126" s="535">
        <f t="shared" si="433"/>
        <v>0</v>
      </c>
      <c r="AT126" s="535">
        <f t="shared" si="433"/>
        <v>196</v>
      </c>
      <c r="AU126" s="535">
        <f t="shared" si="433"/>
        <v>10</v>
      </c>
      <c r="AV126" s="535">
        <f t="shared" si="433"/>
        <v>186</v>
      </c>
      <c r="AW126" s="535">
        <f t="shared" si="433"/>
        <v>50</v>
      </c>
      <c r="AX126" s="535">
        <f t="shared" si="433"/>
        <v>0</v>
      </c>
      <c r="AY126" s="535">
        <f t="shared" si="433"/>
        <v>50</v>
      </c>
      <c r="AZ126" s="535">
        <f t="shared" si="433"/>
        <v>50</v>
      </c>
      <c r="BA126" s="535">
        <f t="shared" si="433"/>
        <v>0</v>
      </c>
      <c r="BB126" s="535">
        <f t="shared" si="433"/>
        <v>50</v>
      </c>
      <c r="BC126" s="535">
        <f t="shared" si="433"/>
        <v>0</v>
      </c>
      <c r="BD126" s="535">
        <f t="shared" si="433"/>
        <v>0</v>
      </c>
      <c r="BE126" s="535">
        <f t="shared" si="433"/>
        <v>0</v>
      </c>
      <c r="BF126" s="535">
        <f t="shared" si="433"/>
        <v>100</v>
      </c>
      <c r="BG126" s="535">
        <f t="shared" si="433"/>
        <v>0</v>
      </c>
      <c r="BH126" s="535">
        <f t="shared" si="433"/>
        <v>100</v>
      </c>
      <c r="BI126" s="508"/>
      <c r="BJ126" s="488" t="str">
        <f t="shared" si="407"/>
        <v>PX</v>
      </c>
      <c r="BK126" s="535">
        <f t="shared" si="433"/>
        <v>100</v>
      </c>
      <c r="BL126" s="535">
        <f t="shared" ref="BL126:BZ126" si="434">SUM(BL127:BL137)/2</f>
        <v>0</v>
      </c>
      <c r="BM126" s="535">
        <f t="shared" si="434"/>
        <v>0</v>
      </c>
      <c r="BN126" s="535">
        <f t="shared" si="434"/>
        <v>200</v>
      </c>
      <c r="BO126" s="535">
        <f t="shared" si="434"/>
        <v>0</v>
      </c>
      <c r="BP126" s="535">
        <f t="shared" si="434"/>
        <v>100</v>
      </c>
      <c r="BQ126" s="535">
        <f t="shared" si="434"/>
        <v>0</v>
      </c>
      <c r="BR126" s="535">
        <f t="shared" si="434"/>
        <v>100</v>
      </c>
      <c r="BS126" s="535">
        <f t="shared" si="434"/>
        <v>1000</v>
      </c>
      <c r="BT126" s="535">
        <f t="shared" si="434"/>
        <v>500</v>
      </c>
      <c r="BU126" s="535">
        <f t="shared" si="434"/>
        <v>0</v>
      </c>
      <c r="BV126" s="535">
        <f t="shared" si="434"/>
        <v>1500</v>
      </c>
      <c r="BW126" s="535">
        <f t="shared" si="434"/>
        <v>500</v>
      </c>
      <c r="BX126" s="535">
        <f t="shared" si="434"/>
        <v>500</v>
      </c>
      <c r="BY126" s="535">
        <f t="shared" si="434"/>
        <v>0</v>
      </c>
      <c r="BZ126" s="535">
        <f t="shared" si="434"/>
        <v>1000</v>
      </c>
      <c r="CA126" s="354"/>
      <c r="CB126" s="354" t="str">
        <f t="shared" si="397"/>
        <v>X</v>
      </c>
      <c r="CC126" s="534" t="s">
        <v>292</v>
      </c>
      <c r="CD126" s="509" t="str">
        <f t="shared" si="399"/>
        <v>KT9.</v>
      </c>
      <c r="CE126" s="351" t="str">
        <f t="shared" si="408"/>
        <v>PX</v>
      </c>
      <c r="CF126" s="509" t="str">
        <f t="shared" si="400"/>
        <v>KT9.PX</v>
      </c>
      <c r="CG126" s="509"/>
      <c r="CH126" s="509"/>
    </row>
    <row r="127" spans="1:86" s="358" customFormat="1" ht="19.5" customHeight="1" x14ac:dyDescent="0.25">
      <c r="A127" s="354" t="e">
        <f>#REF!</f>
        <v>#REF!</v>
      </c>
      <c r="B127" s="511" t="s">
        <v>8</v>
      </c>
      <c r="C127" s="512" t="s">
        <v>177</v>
      </c>
      <c r="D127" s="513"/>
      <c r="E127" s="513"/>
      <c r="F127" s="513"/>
      <c r="G127" s="514"/>
      <c r="H127" s="515"/>
      <c r="I127" s="69">
        <f t="shared" ref="I127:O127" si="435">SUM(I128:I134)</f>
        <v>281</v>
      </c>
      <c r="J127" s="69">
        <f t="shared" si="435"/>
        <v>25</v>
      </c>
      <c r="K127" s="69">
        <f t="shared" si="435"/>
        <v>256</v>
      </c>
      <c r="L127" s="69">
        <f t="shared" si="435"/>
        <v>2500</v>
      </c>
      <c r="M127" s="57">
        <f t="shared" si="435"/>
        <v>20</v>
      </c>
      <c r="N127" s="57">
        <f t="shared" si="435"/>
        <v>15</v>
      </c>
      <c r="O127" s="57">
        <f t="shared" si="435"/>
        <v>5</v>
      </c>
      <c r="P127" s="57">
        <f t="shared" ref="P127:U127" si="436">SUM(P128:P134)</f>
        <v>0</v>
      </c>
      <c r="Q127" s="57">
        <f t="shared" si="436"/>
        <v>0</v>
      </c>
      <c r="R127" s="57">
        <f t="shared" si="436"/>
        <v>0</v>
      </c>
      <c r="S127" s="830">
        <f t="shared" si="436"/>
        <v>0</v>
      </c>
      <c r="T127" s="57">
        <f t="shared" si="436"/>
        <v>0</v>
      </c>
      <c r="U127" s="57">
        <f t="shared" si="436"/>
        <v>0</v>
      </c>
      <c r="V127" s="211">
        <f t="shared" ref="V127:AG127" si="437">SUM(V128:V134)</f>
        <v>20</v>
      </c>
      <c r="W127" s="211">
        <f t="shared" si="437"/>
        <v>15</v>
      </c>
      <c r="X127" s="211">
        <f t="shared" si="437"/>
        <v>5</v>
      </c>
      <c r="Y127" s="57">
        <f t="shared" si="437"/>
        <v>0</v>
      </c>
      <c r="Z127" s="57">
        <f t="shared" si="437"/>
        <v>0</v>
      </c>
      <c r="AA127" s="57">
        <f t="shared" si="437"/>
        <v>0</v>
      </c>
      <c r="AB127" s="57">
        <f t="shared" si="437"/>
        <v>0</v>
      </c>
      <c r="AC127" s="57">
        <f t="shared" si="437"/>
        <v>0</v>
      </c>
      <c r="AD127" s="57">
        <f t="shared" si="437"/>
        <v>0</v>
      </c>
      <c r="AE127" s="57">
        <f t="shared" si="437"/>
        <v>0</v>
      </c>
      <c r="AF127" s="57">
        <f t="shared" si="437"/>
        <v>0</v>
      </c>
      <c r="AG127" s="57">
        <f t="shared" si="437"/>
        <v>0</v>
      </c>
      <c r="AH127" s="211">
        <f t="shared" ref="AH127:BE127" si="438">SUM(AH128:AH134)</f>
        <v>0</v>
      </c>
      <c r="AI127" s="211">
        <f t="shared" si="438"/>
        <v>0</v>
      </c>
      <c r="AJ127" s="211">
        <f t="shared" si="438"/>
        <v>0</v>
      </c>
      <c r="AK127" s="57">
        <f t="shared" si="438"/>
        <v>125</v>
      </c>
      <c r="AL127" s="57">
        <f t="shared" si="438"/>
        <v>0</v>
      </c>
      <c r="AM127" s="57">
        <f t="shared" si="438"/>
        <v>125</v>
      </c>
      <c r="AN127" s="57">
        <f t="shared" si="438"/>
        <v>36</v>
      </c>
      <c r="AO127" s="57">
        <f t="shared" si="438"/>
        <v>10</v>
      </c>
      <c r="AP127" s="57">
        <f t="shared" si="438"/>
        <v>26</v>
      </c>
      <c r="AQ127" s="57">
        <f t="shared" si="438"/>
        <v>0</v>
      </c>
      <c r="AR127" s="57">
        <f t="shared" si="438"/>
        <v>0</v>
      </c>
      <c r="AS127" s="57">
        <f t="shared" si="438"/>
        <v>0</v>
      </c>
      <c r="AT127" s="211">
        <f t="shared" si="438"/>
        <v>161</v>
      </c>
      <c r="AU127" s="211">
        <f t="shared" si="438"/>
        <v>10</v>
      </c>
      <c r="AV127" s="211">
        <f t="shared" si="438"/>
        <v>151</v>
      </c>
      <c r="AW127" s="57">
        <f t="shared" si="438"/>
        <v>50</v>
      </c>
      <c r="AX127" s="57">
        <f t="shared" si="438"/>
        <v>0</v>
      </c>
      <c r="AY127" s="57">
        <f t="shared" si="438"/>
        <v>50</v>
      </c>
      <c r="AZ127" s="57">
        <f t="shared" si="438"/>
        <v>50</v>
      </c>
      <c r="BA127" s="57">
        <f t="shared" si="438"/>
        <v>0</v>
      </c>
      <c r="BB127" s="57">
        <f t="shared" si="438"/>
        <v>50</v>
      </c>
      <c r="BC127" s="57">
        <f t="shared" si="438"/>
        <v>0</v>
      </c>
      <c r="BD127" s="57">
        <f t="shared" si="438"/>
        <v>0</v>
      </c>
      <c r="BE127" s="57">
        <f t="shared" si="438"/>
        <v>0</v>
      </c>
      <c r="BF127" s="211">
        <f>SUM(BF128:BF134)</f>
        <v>100</v>
      </c>
      <c r="BG127" s="211">
        <f>SUM(BG128:BG134)</f>
        <v>0</v>
      </c>
      <c r="BH127" s="211">
        <f>SUM(BH128:BH134)</f>
        <v>100</v>
      </c>
      <c r="BI127" s="516"/>
      <c r="BJ127" s="488" t="str">
        <f t="shared" si="407"/>
        <v>ĐL</v>
      </c>
      <c r="BK127" s="57">
        <f t="shared" ref="BK127:BZ127" si="439">SUM(BK128:BK134)</f>
        <v>100</v>
      </c>
      <c r="BL127" s="57">
        <f t="shared" si="439"/>
        <v>0</v>
      </c>
      <c r="BM127" s="57">
        <f t="shared" si="439"/>
        <v>0</v>
      </c>
      <c r="BN127" s="57">
        <f t="shared" si="439"/>
        <v>100</v>
      </c>
      <c r="BO127" s="57">
        <f t="shared" si="439"/>
        <v>0</v>
      </c>
      <c r="BP127" s="57">
        <f t="shared" si="439"/>
        <v>0</v>
      </c>
      <c r="BQ127" s="57">
        <f t="shared" si="439"/>
        <v>0</v>
      </c>
      <c r="BR127" s="57">
        <f t="shared" si="439"/>
        <v>0</v>
      </c>
      <c r="BS127" s="57">
        <f t="shared" si="439"/>
        <v>1000</v>
      </c>
      <c r="BT127" s="57">
        <f t="shared" si="439"/>
        <v>400</v>
      </c>
      <c r="BU127" s="57">
        <f t="shared" si="439"/>
        <v>0</v>
      </c>
      <c r="BV127" s="57">
        <f t="shared" si="439"/>
        <v>1400</v>
      </c>
      <c r="BW127" s="57">
        <f t="shared" si="439"/>
        <v>500</v>
      </c>
      <c r="BX127" s="57">
        <f t="shared" si="439"/>
        <v>500</v>
      </c>
      <c r="BY127" s="57">
        <f t="shared" si="439"/>
        <v>0</v>
      </c>
      <c r="BZ127" s="57">
        <f t="shared" si="439"/>
        <v>1000</v>
      </c>
      <c r="CA127" s="517">
        <f>I127-V127-AH127-AT127-BF127</f>
        <v>0</v>
      </c>
      <c r="CB127" s="510" t="str">
        <f t="shared" si="397"/>
        <v>X</v>
      </c>
      <c r="CC127" s="509" t="str">
        <f t="shared" si="398"/>
        <v>KT9.</v>
      </c>
      <c r="CD127" s="509" t="str">
        <f t="shared" si="399"/>
        <v>KT9.</v>
      </c>
      <c r="CE127" s="351" t="str">
        <f t="shared" si="408"/>
        <v>ĐL</v>
      </c>
      <c r="CF127" s="509" t="str">
        <f t="shared" si="400"/>
        <v>KT9.ĐL</v>
      </c>
      <c r="CG127" s="509"/>
      <c r="CH127" s="509"/>
    </row>
    <row r="128" spans="1:86" ht="24" customHeight="1" x14ac:dyDescent="0.25">
      <c r="A128" s="354" t="e">
        <f t="shared" si="415"/>
        <v>#REF!</v>
      </c>
      <c r="B128" s="518"/>
      <c r="C128" s="519" t="s">
        <v>665</v>
      </c>
      <c r="D128" s="447" t="s">
        <v>14</v>
      </c>
      <c r="E128" s="447"/>
      <c r="F128" s="447"/>
      <c r="G128" s="520">
        <v>11.2</v>
      </c>
      <c r="H128" s="521">
        <v>0.7</v>
      </c>
      <c r="I128" s="522">
        <f t="shared" ref="I128:I134" si="440">V128+AH128+AT128+BF128</f>
        <v>20</v>
      </c>
      <c r="J128" s="522">
        <f t="shared" ref="J128:J134" si="441">W128+AI128+AU128+BG128</f>
        <v>15</v>
      </c>
      <c r="K128" s="522">
        <f t="shared" ref="K128:K134" si="442">X128+AJ128+AV128+BH128</f>
        <v>5</v>
      </c>
      <c r="L128" s="57">
        <f t="shared" ref="L128:L134" si="443">BN128+BR128+BV128+BZ128</f>
        <v>100</v>
      </c>
      <c r="M128" s="60">
        <v>20</v>
      </c>
      <c r="N128" s="60">
        <v>15</v>
      </c>
      <c r="O128" s="60">
        <f t="shared" ref="O128:O134" si="444">M128-N128</f>
        <v>5</v>
      </c>
      <c r="P128" s="60"/>
      <c r="Q128" s="60"/>
      <c r="R128" s="60">
        <f t="shared" ref="R128:R134" si="445">P128-Q128</f>
        <v>0</v>
      </c>
      <c r="S128" s="824"/>
      <c r="T128" s="60"/>
      <c r="U128" s="60">
        <f t="shared" ref="U128:U134" si="446">S128-T128</f>
        <v>0</v>
      </c>
      <c r="V128" s="60">
        <f>M128+P128+S128</f>
        <v>20</v>
      </c>
      <c r="W128" s="60">
        <f>N128+Q128+T128</f>
        <v>15</v>
      </c>
      <c r="X128" s="60">
        <f>V128-W128</f>
        <v>5</v>
      </c>
      <c r="Y128" s="60"/>
      <c r="Z128" s="60"/>
      <c r="AA128" s="60">
        <f t="shared" ref="AA128:AA134" si="447">Y128-Z128</f>
        <v>0</v>
      </c>
      <c r="AB128" s="60"/>
      <c r="AC128" s="60"/>
      <c r="AD128" s="60">
        <f t="shared" ref="AD128:AD134" si="448">AB128-AC128</f>
        <v>0</v>
      </c>
      <c r="AE128" s="60"/>
      <c r="AF128" s="60"/>
      <c r="AG128" s="60">
        <f t="shared" ref="AG128:AG134" si="449">AE128-AF128</f>
        <v>0</v>
      </c>
      <c r="AH128" s="60">
        <f t="shared" ref="AH128:AH134" si="450">Y128+AB128+AE128</f>
        <v>0</v>
      </c>
      <c r="AI128" s="60">
        <f t="shared" ref="AI128:AI134" si="451">Z128+AC128+AF128</f>
        <v>0</v>
      </c>
      <c r="AJ128" s="60">
        <f t="shared" ref="AJ128:AJ134" si="452">AA128+AD128+AG128</f>
        <v>0</v>
      </c>
      <c r="AK128" s="60"/>
      <c r="AL128" s="60"/>
      <c r="AM128" s="60">
        <f t="shared" ref="AM128:AM134" si="453">AK128-AL128</f>
        <v>0</v>
      </c>
      <c r="AN128" s="60"/>
      <c r="AO128" s="60"/>
      <c r="AP128" s="60">
        <f t="shared" ref="AP128:AP134" si="454">AN128-AO128</f>
        <v>0</v>
      </c>
      <c r="AQ128" s="60"/>
      <c r="AR128" s="60"/>
      <c r="AS128" s="60">
        <f t="shared" ref="AS128:AS134" si="455">AQ128-AR128</f>
        <v>0</v>
      </c>
      <c r="AT128" s="60">
        <f t="shared" ref="AT128:AT134" si="456">AK128+AN128+AQ128</f>
        <v>0</v>
      </c>
      <c r="AU128" s="60">
        <f t="shared" ref="AU128:AU134" si="457">AL128+AO128+AR128</f>
        <v>0</v>
      </c>
      <c r="AV128" s="60">
        <f t="shared" ref="AV128:AV134" si="458">AM128+AP128+AS128</f>
        <v>0</v>
      </c>
      <c r="AW128" s="60"/>
      <c r="AX128" s="60"/>
      <c r="AY128" s="60">
        <f t="shared" ref="AY128:AY134" si="459">AW128-AX128</f>
        <v>0</v>
      </c>
      <c r="AZ128" s="60"/>
      <c r="BA128" s="60"/>
      <c r="BB128" s="60">
        <f t="shared" ref="BB128:BB134" si="460">AZ128-BA128</f>
        <v>0</v>
      </c>
      <c r="BC128" s="60"/>
      <c r="BD128" s="60"/>
      <c r="BE128" s="60">
        <f t="shared" ref="BE128:BE134" si="461">BC128-BD128</f>
        <v>0</v>
      </c>
      <c r="BF128" s="60">
        <f t="shared" ref="BF128:BF134" si="462">AW128+AZ128+BC128</f>
        <v>0</v>
      </c>
      <c r="BG128" s="60">
        <f t="shared" ref="BG128:BG134" si="463">AX128+BA128+BD128</f>
        <v>0</v>
      </c>
      <c r="BH128" s="60">
        <f t="shared" ref="BH128:BH134" si="464">AY128+BB128+BE128</f>
        <v>0</v>
      </c>
      <c r="BI128" s="508"/>
      <c r="BJ128" s="488" t="str">
        <f t="shared" si="407"/>
        <v>Lò</v>
      </c>
      <c r="BK128" s="523">
        <f t="shared" ref="BK128:BK134" si="465">ROUND(O128*G128*$C$3*$B$5,-2)</f>
        <v>100</v>
      </c>
      <c r="BL128" s="523">
        <f t="shared" ref="BL128:BL134" si="466">ROUND(R128*G128*$C$3*$B$5,-2)</f>
        <v>0</v>
      </c>
      <c r="BM128" s="523">
        <f t="shared" ref="BM128:BM134" si="467">ROUND(U128*G128*$C$3*$B$5,-2)</f>
        <v>0</v>
      </c>
      <c r="BN128" s="523">
        <f t="shared" ref="BN128:BN134" si="468">ROUND(X128*G128*$C$3*$B$5,-2)</f>
        <v>100</v>
      </c>
      <c r="BO128" s="523">
        <f t="shared" ref="BO128:BO134" si="469">ROUND(AA128*G128*$C$3*$B$5,-2)</f>
        <v>0</v>
      </c>
      <c r="BP128" s="523">
        <f t="shared" ref="BP128:BP134" si="470">ROUND(AD128*G128*$C$3*$B$5,-2)</f>
        <v>0</v>
      </c>
      <c r="BQ128" s="523">
        <f t="shared" ref="BQ128:BQ134" si="471">ROUND(AG128*G128*$C$3*$B$5,-2)</f>
        <v>0</v>
      </c>
      <c r="BR128" s="523">
        <f t="shared" ref="BR128:BR134" si="472">ROUND(AJ128*G128*$B$5*$C$3,-2)</f>
        <v>0</v>
      </c>
      <c r="BS128" s="523">
        <f t="shared" ref="BS128:BS134" si="473">ROUND(AM128*G128*$C$3*$B$5,-2)</f>
        <v>0</v>
      </c>
      <c r="BT128" s="523">
        <f t="shared" ref="BT128:BT134" si="474">ROUND(AP128*G128*$C$3*$B$5,-2)</f>
        <v>0</v>
      </c>
      <c r="BU128" s="523">
        <f t="shared" ref="BU128:BU134" si="475">ROUND(AS128*G128*$C$3*$B$5,-2)</f>
        <v>0</v>
      </c>
      <c r="BV128" s="523">
        <f t="shared" ref="BV128:BV134" si="476">ROUND(AV128*G128*$C$3*$B$5,-2)</f>
        <v>0</v>
      </c>
      <c r="BW128" s="523">
        <f t="shared" ref="BW128:BW134" si="477">ROUND(AY128*G128*$C$3*$B$5,-2)</f>
        <v>0</v>
      </c>
      <c r="BX128" s="523">
        <f t="shared" ref="BX128:BX134" si="478">ROUND(BB128*G128*$C$3*$B$5,-2)</f>
        <v>0</v>
      </c>
      <c r="BY128" s="523">
        <f t="shared" ref="BY128:BY134" si="479">ROUND(BE128*G128*$C$3*$B$5,-2)</f>
        <v>0</v>
      </c>
      <c r="BZ128" s="523">
        <f t="shared" ref="BZ128:BZ134" si="480">ROUND(BH128*G128*$C$3*$B$5,-2)</f>
        <v>0</v>
      </c>
      <c r="CA128" s="354"/>
      <c r="CB128" s="354" t="str">
        <f t="shared" si="397"/>
        <v>X</v>
      </c>
      <c r="CC128" s="509" t="str">
        <f t="shared" si="398"/>
        <v>KT9.</v>
      </c>
      <c r="CD128" s="509" t="str">
        <f t="shared" si="399"/>
        <v>KT9.11,2</v>
      </c>
      <c r="CE128" s="351" t="str">
        <f t="shared" si="408"/>
        <v>Lò</v>
      </c>
      <c r="CF128" s="509" t="str">
        <f t="shared" si="400"/>
        <v>KT9.Lò</v>
      </c>
      <c r="CG128" s="509"/>
      <c r="CH128" s="509"/>
    </row>
    <row r="129" spans="1:86" ht="24" customHeight="1" x14ac:dyDescent="0.25">
      <c r="A129" s="354" t="e">
        <f t="shared" si="415"/>
        <v>#REF!</v>
      </c>
      <c r="B129" s="518"/>
      <c r="C129" s="519" t="s">
        <v>666</v>
      </c>
      <c r="D129" s="447" t="s">
        <v>206</v>
      </c>
      <c r="E129" s="447"/>
      <c r="F129" s="447"/>
      <c r="G129" s="520">
        <v>5.4</v>
      </c>
      <c r="H129" s="521">
        <v>0.7</v>
      </c>
      <c r="I129" s="522">
        <f t="shared" si="440"/>
        <v>105</v>
      </c>
      <c r="J129" s="522">
        <f t="shared" si="441"/>
        <v>0</v>
      </c>
      <c r="K129" s="522">
        <f t="shared" si="442"/>
        <v>105</v>
      </c>
      <c r="L129" s="57">
        <f t="shared" si="443"/>
        <v>700</v>
      </c>
      <c r="M129" s="60"/>
      <c r="N129" s="60"/>
      <c r="O129" s="60">
        <f t="shared" si="444"/>
        <v>0</v>
      </c>
      <c r="P129" s="60"/>
      <c r="Q129" s="60"/>
      <c r="R129" s="60">
        <f t="shared" si="445"/>
        <v>0</v>
      </c>
      <c r="S129" s="824"/>
      <c r="T129" s="60"/>
      <c r="U129" s="60">
        <f t="shared" si="446"/>
        <v>0</v>
      </c>
      <c r="V129" s="60">
        <f>M129+P129+S129</f>
        <v>0</v>
      </c>
      <c r="W129" s="60"/>
      <c r="X129" s="60">
        <f t="shared" ref="X129:X134" si="481">V129-W129</f>
        <v>0</v>
      </c>
      <c r="Y129" s="60"/>
      <c r="Z129" s="60"/>
      <c r="AA129" s="60">
        <f t="shared" si="447"/>
        <v>0</v>
      </c>
      <c r="AB129" s="60"/>
      <c r="AC129" s="60"/>
      <c r="AD129" s="60">
        <f t="shared" si="448"/>
        <v>0</v>
      </c>
      <c r="AE129" s="60"/>
      <c r="AF129" s="60"/>
      <c r="AG129" s="60">
        <f t="shared" si="449"/>
        <v>0</v>
      </c>
      <c r="AH129" s="60">
        <f t="shared" si="450"/>
        <v>0</v>
      </c>
      <c r="AI129" s="60">
        <f t="shared" si="451"/>
        <v>0</v>
      </c>
      <c r="AJ129" s="60">
        <f t="shared" si="452"/>
        <v>0</v>
      </c>
      <c r="AK129" s="60">
        <v>105</v>
      </c>
      <c r="AL129" s="60"/>
      <c r="AM129" s="60">
        <f t="shared" si="453"/>
        <v>105</v>
      </c>
      <c r="AN129" s="60"/>
      <c r="AO129" s="60"/>
      <c r="AP129" s="60">
        <f t="shared" si="454"/>
        <v>0</v>
      </c>
      <c r="AQ129" s="60"/>
      <c r="AR129" s="60"/>
      <c r="AS129" s="60">
        <f t="shared" si="455"/>
        <v>0</v>
      </c>
      <c r="AT129" s="60">
        <f t="shared" si="456"/>
        <v>105</v>
      </c>
      <c r="AU129" s="60">
        <f t="shared" si="457"/>
        <v>0</v>
      </c>
      <c r="AV129" s="60">
        <f t="shared" si="458"/>
        <v>105</v>
      </c>
      <c r="AW129" s="60"/>
      <c r="AX129" s="60"/>
      <c r="AY129" s="60">
        <f t="shared" si="459"/>
        <v>0</v>
      </c>
      <c r="AZ129" s="60"/>
      <c r="BA129" s="60"/>
      <c r="BB129" s="60">
        <f t="shared" si="460"/>
        <v>0</v>
      </c>
      <c r="BC129" s="60"/>
      <c r="BD129" s="60"/>
      <c r="BE129" s="60">
        <f t="shared" si="461"/>
        <v>0</v>
      </c>
      <c r="BF129" s="60">
        <f t="shared" si="462"/>
        <v>0</v>
      </c>
      <c r="BG129" s="60">
        <f t="shared" si="463"/>
        <v>0</v>
      </c>
      <c r="BH129" s="60">
        <f t="shared" si="464"/>
        <v>0</v>
      </c>
      <c r="BI129" s="508"/>
      <c r="BJ129" s="488" t="str">
        <f t="shared" si="407"/>
        <v>Lò</v>
      </c>
      <c r="BK129" s="523">
        <f t="shared" si="465"/>
        <v>0</v>
      </c>
      <c r="BL129" s="523">
        <f t="shared" si="466"/>
        <v>0</v>
      </c>
      <c r="BM129" s="523">
        <f t="shared" si="467"/>
        <v>0</v>
      </c>
      <c r="BN129" s="523">
        <f t="shared" si="468"/>
        <v>0</v>
      </c>
      <c r="BO129" s="523">
        <f t="shared" si="469"/>
        <v>0</v>
      </c>
      <c r="BP129" s="523">
        <f t="shared" si="470"/>
        <v>0</v>
      </c>
      <c r="BQ129" s="523">
        <f t="shared" si="471"/>
        <v>0</v>
      </c>
      <c r="BR129" s="523">
        <f t="shared" si="472"/>
        <v>0</v>
      </c>
      <c r="BS129" s="523">
        <f t="shared" si="473"/>
        <v>700</v>
      </c>
      <c r="BT129" s="523">
        <f t="shared" si="474"/>
        <v>0</v>
      </c>
      <c r="BU129" s="523">
        <f t="shared" si="475"/>
        <v>0</v>
      </c>
      <c r="BV129" s="523">
        <f t="shared" si="476"/>
        <v>700</v>
      </c>
      <c r="BW129" s="523">
        <f t="shared" si="477"/>
        <v>0</v>
      </c>
      <c r="BX129" s="523">
        <f t="shared" si="478"/>
        <v>0</v>
      </c>
      <c r="BY129" s="523">
        <f t="shared" si="479"/>
        <v>0</v>
      </c>
      <c r="BZ129" s="523">
        <f t="shared" si="480"/>
        <v>0</v>
      </c>
      <c r="CA129" s="354"/>
      <c r="CB129" s="354" t="str">
        <f t="shared" si="397"/>
        <v>X</v>
      </c>
      <c r="CC129" s="509" t="str">
        <f t="shared" si="398"/>
        <v>KT9.</v>
      </c>
      <c r="CD129" s="509" t="str">
        <f t="shared" si="399"/>
        <v>KT9.5,4</v>
      </c>
      <c r="CE129" s="351" t="str">
        <f t="shared" si="408"/>
        <v>Lò</v>
      </c>
      <c r="CF129" s="509" t="str">
        <f t="shared" si="400"/>
        <v>KT9.Lò</v>
      </c>
      <c r="CG129" s="509"/>
      <c r="CH129" s="509"/>
    </row>
    <row r="130" spans="1:86" ht="24" customHeight="1" x14ac:dyDescent="0.25">
      <c r="A130" s="354" t="e">
        <f>A126</f>
        <v>#REF!</v>
      </c>
      <c r="B130" s="518"/>
      <c r="C130" s="519" t="s">
        <v>887</v>
      </c>
      <c r="D130" s="447" t="s">
        <v>14</v>
      </c>
      <c r="E130" s="447"/>
      <c r="F130" s="447"/>
      <c r="G130" s="520">
        <v>8.5</v>
      </c>
      <c r="H130" s="521">
        <v>0.7</v>
      </c>
      <c r="I130" s="522">
        <f t="shared" si="440"/>
        <v>100</v>
      </c>
      <c r="J130" s="522">
        <f t="shared" si="441"/>
        <v>0</v>
      </c>
      <c r="K130" s="522">
        <f t="shared" si="442"/>
        <v>100</v>
      </c>
      <c r="L130" s="57">
        <f t="shared" si="443"/>
        <v>1000</v>
      </c>
      <c r="M130" s="60"/>
      <c r="N130" s="60"/>
      <c r="O130" s="60">
        <f t="shared" si="444"/>
        <v>0</v>
      </c>
      <c r="P130" s="60"/>
      <c r="Q130" s="60"/>
      <c r="R130" s="60">
        <f t="shared" si="445"/>
        <v>0</v>
      </c>
      <c r="S130" s="824"/>
      <c r="T130" s="60"/>
      <c r="U130" s="60">
        <f t="shared" si="446"/>
        <v>0</v>
      </c>
      <c r="V130" s="60">
        <f>M130+P130+S130</f>
        <v>0</v>
      </c>
      <c r="W130" s="60"/>
      <c r="X130" s="60">
        <f>V130-W130</f>
        <v>0</v>
      </c>
      <c r="Y130" s="60"/>
      <c r="Z130" s="60"/>
      <c r="AA130" s="60">
        <f t="shared" si="447"/>
        <v>0</v>
      </c>
      <c r="AB130" s="60"/>
      <c r="AC130" s="60"/>
      <c r="AD130" s="60">
        <f t="shared" si="448"/>
        <v>0</v>
      </c>
      <c r="AE130" s="60"/>
      <c r="AF130" s="60"/>
      <c r="AG130" s="60">
        <f t="shared" si="449"/>
        <v>0</v>
      </c>
      <c r="AH130" s="60">
        <f t="shared" si="450"/>
        <v>0</v>
      </c>
      <c r="AI130" s="60">
        <f t="shared" si="451"/>
        <v>0</v>
      </c>
      <c r="AJ130" s="60">
        <f t="shared" si="452"/>
        <v>0</v>
      </c>
      <c r="AK130" s="60"/>
      <c r="AL130" s="60"/>
      <c r="AM130" s="60">
        <f t="shared" si="453"/>
        <v>0</v>
      </c>
      <c r="AN130" s="60"/>
      <c r="AO130" s="60"/>
      <c r="AP130" s="60">
        <f t="shared" si="454"/>
        <v>0</v>
      </c>
      <c r="AQ130" s="60"/>
      <c r="AR130" s="60"/>
      <c r="AS130" s="60">
        <f t="shared" si="455"/>
        <v>0</v>
      </c>
      <c r="AT130" s="60">
        <f t="shared" si="456"/>
        <v>0</v>
      </c>
      <c r="AU130" s="60">
        <f t="shared" si="457"/>
        <v>0</v>
      </c>
      <c r="AV130" s="60">
        <f t="shared" si="458"/>
        <v>0</v>
      </c>
      <c r="AW130" s="60">
        <v>50</v>
      </c>
      <c r="AX130" s="60"/>
      <c r="AY130" s="60">
        <f t="shared" si="459"/>
        <v>50</v>
      </c>
      <c r="AZ130" s="60">
        <v>50</v>
      </c>
      <c r="BA130" s="60"/>
      <c r="BB130" s="60">
        <f t="shared" si="460"/>
        <v>50</v>
      </c>
      <c r="BC130" s="60"/>
      <c r="BD130" s="60"/>
      <c r="BE130" s="60">
        <f t="shared" si="461"/>
        <v>0</v>
      </c>
      <c r="BF130" s="60">
        <f t="shared" si="462"/>
        <v>100</v>
      </c>
      <c r="BG130" s="60">
        <f t="shared" si="463"/>
        <v>0</v>
      </c>
      <c r="BH130" s="60">
        <f t="shared" si="464"/>
        <v>100</v>
      </c>
      <c r="BI130" s="508"/>
      <c r="BJ130" s="488" t="str">
        <f t="shared" si="407"/>
        <v>Lò</v>
      </c>
      <c r="BK130" s="523">
        <f t="shared" si="465"/>
        <v>0</v>
      </c>
      <c r="BL130" s="523">
        <f t="shared" si="466"/>
        <v>0</v>
      </c>
      <c r="BM130" s="523">
        <f t="shared" si="467"/>
        <v>0</v>
      </c>
      <c r="BN130" s="523">
        <f t="shared" si="468"/>
        <v>0</v>
      </c>
      <c r="BO130" s="523">
        <f t="shared" si="469"/>
        <v>0</v>
      </c>
      <c r="BP130" s="523">
        <f t="shared" si="470"/>
        <v>0</v>
      </c>
      <c r="BQ130" s="523">
        <f t="shared" si="471"/>
        <v>0</v>
      </c>
      <c r="BR130" s="523">
        <f t="shared" si="472"/>
        <v>0</v>
      </c>
      <c r="BS130" s="523">
        <f t="shared" si="473"/>
        <v>0</v>
      </c>
      <c r="BT130" s="523">
        <f t="shared" si="474"/>
        <v>0</v>
      </c>
      <c r="BU130" s="523">
        <f t="shared" si="475"/>
        <v>0</v>
      </c>
      <c r="BV130" s="523">
        <f t="shared" si="476"/>
        <v>0</v>
      </c>
      <c r="BW130" s="523">
        <f t="shared" si="477"/>
        <v>500</v>
      </c>
      <c r="BX130" s="523">
        <f t="shared" si="478"/>
        <v>500</v>
      </c>
      <c r="BY130" s="523">
        <f t="shared" si="479"/>
        <v>0</v>
      </c>
      <c r="BZ130" s="523">
        <f t="shared" si="480"/>
        <v>1000</v>
      </c>
      <c r="CA130" s="354"/>
      <c r="CB130" s="354" t="str">
        <f t="shared" si="397"/>
        <v>X</v>
      </c>
      <c r="CC130" s="509" t="str">
        <f>CC126</f>
        <v>KT9.</v>
      </c>
      <c r="CD130" s="509" t="str">
        <f t="shared" si="399"/>
        <v>KT9.8,5</v>
      </c>
      <c r="CE130" s="351" t="str">
        <f t="shared" si="408"/>
        <v>Lò</v>
      </c>
      <c r="CF130" s="509" t="str">
        <f t="shared" si="400"/>
        <v>KT9.Lò</v>
      </c>
      <c r="CG130" s="509"/>
      <c r="CH130" s="509"/>
    </row>
    <row r="131" spans="1:86" ht="24" customHeight="1" x14ac:dyDescent="0.25">
      <c r="A131" s="354" t="e">
        <f>A127</f>
        <v>#REF!</v>
      </c>
      <c r="B131" s="518"/>
      <c r="C131" s="519" t="s">
        <v>667</v>
      </c>
      <c r="D131" s="447" t="s">
        <v>14</v>
      </c>
      <c r="E131" s="447"/>
      <c r="F131" s="447"/>
      <c r="G131" s="520">
        <v>8.5</v>
      </c>
      <c r="H131" s="521">
        <v>0.7</v>
      </c>
      <c r="I131" s="522">
        <f t="shared" ref="I131:K132" si="482">V131+AH131+AT131+BF131</f>
        <v>0</v>
      </c>
      <c r="J131" s="522">
        <f t="shared" si="482"/>
        <v>0</v>
      </c>
      <c r="K131" s="522">
        <f t="shared" si="482"/>
        <v>0</v>
      </c>
      <c r="L131" s="57">
        <f>BN131+BR131+BV131+BZ131</f>
        <v>0</v>
      </c>
      <c r="M131" s="60"/>
      <c r="N131" s="60"/>
      <c r="O131" s="60">
        <f t="shared" si="444"/>
        <v>0</v>
      </c>
      <c r="P131" s="60"/>
      <c r="Q131" s="60"/>
      <c r="R131" s="60">
        <f t="shared" si="445"/>
        <v>0</v>
      </c>
      <c r="S131" s="824"/>
      <c r="T131" s="60"/>
      <c r="U131" s="60">
        <f t="shared" si="446"/>
        <v>0</v>
      </c>
      <c r="V131" s="60">
        <f>M131+P131+S131</f>
        <v>0</v>
      </c>
      <c r="W131" s="60"/>
      <c r="X131" s="60">
        <f>V131-W131</f>
        <v>0</v>
      </c>
      <c r="Y131" s="60"/>
      <c r="Z131" s="60"/>
      <c r="AA131" s="60">
        <f t="shared" si="447"/>
        <v>0</v>
      </c>
      <c r="AB131" s="60"/>
      <c r="AC131" s="60"/>
      <c r="AD131" s="60">
        <f t="shared" si="448"/>
        <v>0</v>
      </c>
      <c r="AE131" s="60"/>
      <c r="AF131" s="60"/>
      <c r="AG131" s="60">
        <f t="shared" si="449"/>
        <v>0</v>
      </c>
      <c r="AH131" s="60">
        <f t="shared" si="450"/>
        <v>0</v>
      </c>
      <c r="AI131" s="60">
        <f t="shared" si="451"/>
        <v>0</v>
      </c>
      <c r="AJ131" s="60">
        <f t="shared" si="452"/>
        <v>0</v>
      </c>
      <c r="AK131" s="60"/>
      <c r="AL131" s="60"/>
      <c r="AM131" s="60">
        <f t="shared" si="453"/>
        <v>0</v>
      </c>
      <c r="AN131" s="60"/>
      <c r="AO131" s="60"/>
      <c r="AP131" s="60">
        <f t="shared" si="454"/>
        <v>0</v>
      </c>
      <c r="AQ131" s="60"/>
      <c r="AR131" s="60"/>
      <c r="AS131" s="60">
        <f t="shared" si="455"/>
        <v>0</v>
      </c>
      <c r="AT131" s="60">
        <f t="shared" si="456"/>
        <v>0</v>
      </c>
      <c r="AU131" s="60">
        <f t="shared" si="457"/>
        <v>0</v>
      </c>
      <c r="AV131" s="60">
        <f t="shared" si="458"/>
        <v>0</v>
      </c>
      <c r="AW131" s="60"/>
      <c r="AX131" s="60"/>
      <c r="AY131" s="60">
        <f t="shared" si="459"/>
        <v>0</v>
      </c>
      <c r="AZ131" s="60"/>
      <c r="BA131" s="60"/>
      <c r="BB131" s="60">
        <f t="shared" si="460"/>
        <v>0</v>
      </c>
      <c r="BC131" s="60"/>
      <c r="BD131" s="60"/>
      <c r="BE131" s="60">
        <f t="shared" si="461"/>
        <v>0</v>
      </c>
      <c r="BF131" s="60">
        <f t="shared" si="462"/>
        <v>0</v>
      </c>
      <c r="BG131" s="60">
        <f t="shared" si="463"/>
        <v>0</v>
      </c>
      <c r="BH131" s="60">
        <f t="shared" si="464"/>
        <v>0</v>
      </c>
      <c r="BI131" s="508"/>
      <c r="BJ131" s="488" t="str">
        <f t="shared" si="407"/>
        <v>Lò</v>
      </c>
      <c r="BK131" s="523">
        <f t="shared" si="465"/>
        <v>0</v>
      </c>
      <c r="BL131" s="523">
        <f t="shared" si="466"/>
        <v>0</v>
      </c>
      <c r="BM131" s="523">
        <f t="shared" si="467"/>
        <v>0</v>
      </c>
      <c r="BN131" s="523">
        <f t="shared" si="468"/>
        <v>0</v>
      </c>
      <c r="BO131" s="523">
        <f t="shared" si="469"/>
        <v>0</v>
      </c>
      <c r="BP131" s="523">
        <f t="shared" si="470"/>
        <v>0</v>
      </c>
      <c r="BQ131" s="523">
        <f t="shared" si="471"/>
        <v>0</v>
      </c>
      <c r="BR131" s="523">
        <f t="shared" si="472"/>
        <v>0</v>
      </c>
      <c r="BS131" s="523">
        <f t="shared" si="473"/>
        <v>0</v>
      </c>
      <c r="BT131" s="523">
        <f t="shared" si="474"/>
        <v>0</v>
      </c>
      <c r="BU131" s="523">
        <f t="shared" si="475"/>
        <v>0</v>
      </c>
      <c r="BV131" s="523">
        <f t="shared" si="476"/>
        <v>0</v>
      </c>
      <c r="BW131" s="523">
        <f t="shared" si="477"/>
        <v>0</v>
      </c>
      <c r="BX131" s="523">
        <f t="shared" si="478"/>
        <v>0</v>
      </c>
      <c r="BY131" s="523">
        <f t="shared" si="479"/>
        <v>0</v>
      </c>
      <c r="BZ131" s="523">
        <f t="shared" si="480"/>
        <v>0</v>
      </c>
      <c r="CA131" s="354"/>
      <c r="CB131" s="354" t="b">
        <f>IF(SUM(I131:L131)&lt;&gt;0,"X")</f>
        <v>0</v>
      </c>
      <c r="CC131" s="509" t="str">
        <f>CC127</f>
        <v>KT9.</v>
      </c>
      <c r="CD131" s="509" t="str">
        <f>CC131&amp;G131</f>
        <v>KT9.8,5</v>
      </c>
      <c r="CE131" s="351" t="str">
        <f t="shared" si="408"/>
        <v>Lò</v>
      </c>
      <c r="CF131" s="509" t="str">
        <f>CC131&amp;CE131</f>
        <v>KT9.Lò</v>
      </c>
      <c r="CG131" s="509"/>
      <c r="CH131" s="509"/>
    </row>
    <row r="132" spans="1:86" ht="24" customHeight="1" x14ac:dyDescent="0.25">
      <c r="A132" s="354" t="e">
        <f>A128</f>
        <v>#REF!</v>
      </c>
      <c r="B132" s="518"/>
      <c r="C132" s="519" t="s">
        <v>688</v>
      </c>
      <c r="D132" s="447" t="s">
        <v>207</v>
      </c>
      <c r="E132" s="447" t="s">
        <v>207</v>
      </c>
      <c r="F132" s="447"/>
      <c r="G132" s="520">
        <v>13.1</v>
      </c>
      <c r="H132" s="521">
        <v>0.7</v>
      </c>
      <c r="I132" s="522">
        <f t="shared" si="482"/>
        <v>56</v>
      </c>
      <c r="J132" s="522">
        <f t="shared" si="482"/>
        <v>10</v>
      </c>
      <c r="K132" s="522">
        <f t="shared" si="482"/>
        <v>46</v>
      </c>
      <c r="L132" s="57">
        <f>BN132+BR132+BV132+BZ132</f>
        <v>700</v>
      </c>
      <c r="M132" s="60"/>
      <c r="N132" s="60"/>
      <c r="O132" s="60">
        <f t="shared" si="444"/>
        <v>0</v>
      </c>
      <c r="P132" s="60"/>
      <c r="Q132" s="60"/>
      <c r="R132" s="60">
        <f t="shared" si="445"/>
        <v>0</v>
      </c>
      <c r="S132" s="824"/>
      <c r="T132" s="60"/>
      <c r="U132" s="60">
        <f t="shared" si="446"/>
        <v>0</v>
      </c>
      <c r="V132" s="60">
        <f>M132+P132+S132</f>
        <v>0</v>
      </c>
      <c r="W132" s="60">
        <f>N132+Q132+T132</f>
        <v>0</v>
      </c>
      <c r="X132" s="60">
        <f>V132-W132</f>
        <v>0</v>
      </c>
      <c r="Y132" s="60"/>
      <c r="Z132" s="60"/>
      <c r="AA132" s="60">
        <f t="shared" si="447"/>
        <v>0</v>
      </c>
      <c r="AB132" s="60"/>
      <c r="AC132" s="60"/>
      <c r="AD132" s="60">
        <f t="shared" si="448"/>
        <v>0</v>
      </c>
      <c r="AE132" s="60"/>
      <c r="AF132" s="60"/>
      <c r="AG132" s="60">
        <f t="shared" si="449"/>
        <v>0</v>
      </c>
      <c r="AH132" s="60">
        <f t="shared" si="450"/>
        <v>0</v>
      </c>
      <c r="AI132" s="60">
        <f t="shared" si="451"/>
        <v>0</v>
      </c>
      <c r="AJ132" s="60">
        <f t="shared" si="452"/>
        <v>0</v>
      </c>
      <c r="AK132" s="60">
        <v>20</v>
      </c>
      <c r="AL132" s="60"/>
      <c r="AM132" s="60">
        <f t="shared" si="453"/>
        <v>20</v>
      </c>
      <c r="AN132" s="60">
        <v>36</v>
      </c>
      <c r="AO132" s="60">
        <v>10</v>
      </c>
      <c r="AP132" s="60">
        <f t="shared" si="454"/>
        <v>26</v>
      </c>
      <c r="AQ132" s="60"/>
      <c r="AR132" s="60"/>
      <c r="AS132" s="60">
        <f t="shared" si="455"/>
        <v>0</v>
      </c>
      <c r="AT132" s="60">
        <f t="shared" si="456"/>
        <v>56</v>
      </c>
      <c r="AU132" s="60">
        <f t="shared" si="457"/>
        <v>10</v>
      </c>
      <c r="AV132" s="60">
        <f t="shared" si="458"/>
        <v>46</v>
      </c>
      <c r="AW132" s="60"/>
      <c r="AX132" s="60"/>
      <c r="AY132" s="60">
        <f t="shared" si="459"/>
        <v>0</v>
      </c>
      <c r="AZ132" s="60"/>
      <c r="BA132" s="60"/>
      <c r="BB132" s="60">
        <f t="shared" si="460"/>
        <v>0</v>
      </c>
      <c r="BC132" s="60"/>
      <c r="BD132" s="60"/>
      <c r="BE132" s="60">
        <f t="shared" si="461"/>
        <v>0</v>
      </c>
      <c r="BF132" s="60">
        <f t="shared" si="462"/>
        <v>0</v>
      </c>
      <c r="BG132" s="60">
        <f t="shared" si="463"/>
        <v>0</v>
      </c>
      <c r="BH132" s="60">
        <f t="shared" si="464"/>
        <v>0</v>
      </c>
      <c r="BI132" s="508"/>
      <c r="BJ132" s="488" t="str">
        <f t="shared" si="407"/>
        <v>Lò</v>
      </c>
      <c r="BK132" s="523">
        <f t="shared" si="465"/>
        <v>0</v>
      </c>
      <c r="BL132" s="523">
        <f t="shared" si="466"/>
        <v>0</v>
      </c>
      <c r="BM132" s="523">
        <f t="shared" si="467"/>
        <v>0</v>
      </c>
      <c r="BN132" s="523">
        <f t="shared" si="468"/>
        <v>0</v>
      </c>
      <c r="BO132" s="523">
        <f t="shared" si="469"/>
        <v>0</v>
      </c>
      <c r="BP132" s="523">
        <f t="shared" si="470"/>
        <v>0</v>
      </c>
      <c r="BQ132" s="523">
        <f t="shared" si="471"/>
        <v>0</v>
      </c>
      <c r="BR132" s="523">
        <f t="shared" si="472"/>
        <v>0</v>
      </c>
      <c r="BS132" s="523">
        <f t="shared" si="473"/>
        <v>300</v>
      </c>
      <c r="BT132" s="523">
        <f t="shared" si="474"/>
        <v>400</v>
      </c>
      <c r="BU132" s="523">
        <f t="shared" si="475"/>
        <v>0</v>
      </c>
      <c r="BV132" s="523">
        <f t="shared" si="476"/>
        <v>700</v>
      </c>
      <c r="BW132" s="523">
        <f t="shared" si="477"/>
        <v>0</v>
      </c>
      <c r="BX132" s="523">
        <f t="shared" si="478"/>
        <v>0</v>
      </c>
      <c r="BY132" s="523">
        <f t="shared" si="479"/>
        <v>0</v>
      </c>
      <c r="BZ132" s="523">
        <f t="shared" si="480"/>
        <v>0</v>
      </c>
      <c r="CA132" s="354"/>
      <c r="CB132" s="354" t="str">
        <f>IF(SUM(I132:L132)&lt;&gt;0,"X")</f>
        <v>X</v>
      </c>
      <c r="CC132" s="509" t="str">
        <f>CC128</f>
        <v>KT9.</v>
      </c>
      <c r="CD132" s="509" t="str">
        <f>CC132&amp;G132</f>
        <v>KT9.13,1</v>
      </c>
      <c r="CE132" s="351" t="str">
        <f t="shared" si="408"/>
        <v>Lò</v>
      </c>
      <c r="CF132" s="509" t="str">
        <f>CC132&amp;CE132</f>
        <v>KT9.Lò</v>
      </c>
      <c r="CG132" s="509"/>
      <c r="CH132" s="509"/>
    </row>
    <row r="133" spans="1:86" ht="24" customHeight="1" x14ac:dyDescent="0.25">
      <c r="A133" s="354" t="e">
        <f>A129</f>
        <v>#REF!</v>
      </c>
      <c r="B133" s="518"/>
      <c r="C133" s="519" t="s">
        <v>562</v>
      </c>
      <c r="D133" s="447" t="s">
        <v>14</v>
      </c>
      <c r="E133" s="447"/>
      <c r="F133" s="447"/>
      <c r="G133" s="520">
        <v>9.5</v>
      </c>
      <c r="H133" s="521">
        <v>0.7</v>
      </c>
      <c r="I133" s="522">
        <f t="shared" si="440"/>
        <v>0</v>
      </c>
      <c r="J133" s="522">
        <f t="shared" si="441"/>
        <v>0</v>
      </c>
      <c r="K133" s="522">
        <f t="shared" si="442"/>
        <v>0</v>
      </c>
      <c r="L133" s="57">
        <f t="shared" si="443"/>
        <v>0</v>
      </c>
      <c r="M133" s="60"/>
      <c r="N133" s="60"/>
      <c r="O133" s="60">
        <f t="shared" si="444"/>
        <v>0</v>
      </c>
      <c r="P133" s="60"/>
      <c r="Q133" s="60"/>
      <c r="R133" s="60">
        <f t="shared" si="445"/>
        <v>0</v>
      </c>
      <c r="S133" s="824"/>
      <c r="T133" s="60"/>
      <c r="U133" s="60">
        <f t="shared" si="446"/>
        <v>0</v>
      </c>
      <c r="V133" s="60"/>
      <c r="W133" s="60"/>
      <c r="X133" s="60">
        <f t="shared" si="481"/>
        <v>0</v>
      </c>
      <c r="Y133" s="60"/>
      <c r="Z133" s="60"/>
      <c r="AA133" s="60">
        <f t="shared" si="447"/>
        <v>0</v>
      </c>
      <c r="AB133" s="60"/>
      <c r="AC133" s="60"/>
      <c r="AD133" s="60">
        <f t="shared" si="448"/>
        <v>0</v>
      </c>
      <c r="AE133" s="60"/>
      <c r="AF133" s="60"/>
      <c r="AG133" s="60">
        <f t="shared" si="449"/>
        <v>0</v>
      </c>
      <c r="AH133" s="60">
        <f t="shared" si="450"/>
        <v>0</v>
      </c>
      <c r="AI133" s="60">
        <f t="shared" si="451"/>
        <v>0</v>
      </c>
      <c r="AJ133" s="60">
        <f t="shared" si="452"/>
        <v>0</v>
      </c>
      <c r="AK133" s="60"/>
      <c r="AL133" s="60"/>
      <c r="AM133" s="60">
        <f t="shared" si="453"/>
        <v>0</v>
      </c>
      <c r="AN133" s="60"/>
      <c r="AO133" s="60"/>
      <c r="AP133" s="60">
        <f t="shared" si="454"/>
        <v>0</v>
      </c>
      <c r="AQ133" s="60"/>
      <c r="AR133" s="60"/>
      <c r="AS133" s="60">
        <f t="shared" si="455"/>
        <v>0</v>
      </c>
      <c r="AT133" s="60">
        <f t="shared" si="456"/>
        <v>0</v>
      </c>
      <c r="AU133" s="60">
        <f t="shared" si="457"/>
        <v>0</v>
      </c>
      <c r="AV133" s="60">
        <f t="shared" si="458"/>
        <v>0</v>
      </c>
      <c r="AW133" s="60"/>
      <c r="AX133" s="60"/>
      <c r="AY133" s="60">
        <f t="shared" si="459"/>
        <v>0</v>
      </c>
      <c r="AZ133" s="60"/>
      <c r="BA133" s="60"/>
      <c r="BB133" s="60">
        <f t="shared" si="460"/>
        <v>0</v>
      </c>
      <c r="BC133" s="60"/>
      <c r="BD133" s="60"/>
      <c r="BE133" s="60">
        <f t="shared" si="461"/>
        <v>0</v>
      </c>
      <c r="BF133" s="60">
        <f t="shared" si="462"/>
        <v>0</v>
      </c>
      <c r="BG133" s="60">
        <f t="shared" si="463"/>
        <v>0</v>
      </c>
      <c r="BH133" s="60">
        <f t="shared" si="464"/>
        <v>0</v>
      </c>
      <c r="BI133" s="508"/>
      <c r="BJ133" s="488" t="str">
        <f t="shared" si="407"/>
        <v>Lò</v>
      </c>
      <c r="BK133" s="523">
        <f t="shared" si="465"/>
        <v>0</v>
      </c>
      <c r="BL133" s="523">
        <f t="shared" si="466"/>
        <v>0</v>
      </c>
      <c r="BM133" s="523">
        <f t="shared" si="467"/>
        <v>0</v>
      </c>
      <c r="BN133" s="523">
        <f t="shared" si="468"/>
        <v>0</v>
      </c>
      <c r="BO133" s="523">
        <f t="shared" si="469"/>
        <v>0</v>
      </c>
      <c r="BP133" s="523">
        <f t="shared" si="470"/>
        <v>0</v>
      </c>
      <c r="BQ133" s="523">
        <f t="shared" si="471"/>
        <v>0</v>
      </c>
      <c r="BR133" s="523">
        <f t="shared" si="472"/>
        <v>0</v>
      </c>
      <c r="BS133" s="523">
        <f t="shared" si="473"/>
        <v>0</v>
      </c>
      <c r="BT133" s="523">
        <f t="shared" si="474"/>
        <v>0</v>
      </c>
      <c r="BU133" s="523">
        <f t="shared" si="475"/>
        <v>0</v>
      </c>
      <c r="BV133" s="523">
        <f t="shared" si="476"/>
        <v>0</v>
      </c>
      <c r="BW133" s="523">
        <f t="shared" si="477"/>
        <v>0</v>
      </c>
      <c r="BX133" s="523">
        <f t="shared" si="478"/>
        <v>0</v>
      </c>
      <c r="BY133" s="523">
        <f t="shared" si="479"/>
        <v>0</v>
      </c>
      <c r="BZ133" s="523">
        <f t="shared" si="480"/>
        <v>0</v>
      </c>
      <c r="CA133" s="354"/>
      <c r="CB133" s="354" t="b">
        <f t="shared" si="397"/>
        <v>0</v>
      </c>
      <c r="CC133" s="509" t="str">
        <f>CC129</f>
        <v>KT9.</v>
      </c>
      <c r="CD133" s="509" t="str">
        <f t="shared" si="399"/>
        <v>KT9.9,5</v>
      </c>
      <c r="CE133" s="351" t="str">
        <f t="shared" si="408"/>
        <v>Lò</v>
      </c>
      <c r="CF133" s="509" t="str">
        <f t="shared" si="400"/>
        <v>KT9.Lò</v>
      </c>
      <c r="CG133" s="509"/>
      <c r="CH133" s="509"/>
    </row>
    <row r="134" spans="1:86" ht="24" customHeight="1" x14ac:dyDescent="0.25">
      <c r="A134" s="354" t="e">
        <f t="shared" si="415"/>
        <v>#REF!</v>
      </c>
      <c r="B134" s="518"/>
      <c r="C134" s="519" t="s">
        <v>204</v>
      </c>
      <c r="D134" s="447" t="s">
        <v>14</v>
      </c>
      <c r="E134" s="447"/>
      <c r="F134" s="447"/>
      <c r="G134" s="520">
        <v>11.2</v>
      </c>
      <c r="H134" s="521">
        <v>0.7</v>
      </c>
      <c r="I134" s="522">
        <f t="shared" si="440"/>
        <v>0</v>
      </c>
      <c r="J134" s="522">
        <f t="shared" si="441"/>
        <v>0</v>
      </c>
      <c r="K134" s="522">
        <f t="shared" si="442"/>
        <v>0</v>
      </c>
      <c r="L134" s="57">
        <f t="shared" si="443"/>
        <v>0</v>
      </c>
      <c r="M134" s="60"/>
      <c r="N134" s="60"/>
      <c r="O134" s="60">
        <f t="shared" si="444"/>
        <v>0</v>
      </c>
      <c r="P134" s="60"/>
      <c r="Q134" s="60"/>
      <c r="R134" s="60">
        <f t="shared" si="445"/>
        <v>0</v>
      </c>
      <c r="S134" s="824"/>
      <c r="T134" s="60"/>
      <c r="U134" s="60">
        <f t="shared" si="446"/>
        <v>0</v>
      </c>
      <c r="V134" s="60"/>
      <c r="W134" s="60"/>
      <c r="X134" s="60">
        <f t="shared" si="481"/>
        <v>0</v>
      </c>
      <c r="Y134" s="60"/>
      <c r="Z134" s="60"/>
      <c r="AA134" s="60">
        <f t="shared" si="447"/>
        <v>0</v>
      </c>
      <c r="AB134" s="60"/>
      <c r="AC134" s="60"/>
      <c r="AD134" s="60">
        <f t="shared" si="448"/>
        <v>0</v>
      </c>
      <c r="AE134" s="60"/>
      <c r="AF134" s="60"/>
      <c r="AG134" s="60">
        <f t="shared" si="449"/>
        <v>0</v>
      </c>
      <c r="AH134" s="60">
        <f t="shared" si="450"/>
        <v>0</v>
      </c>
      <c r="AI134" s="60">
        <f t="shared" si="451"/>
        <v>0</v>
      </c>
      <c r="AJ134" s="60">
        <f t="shared" si="452"/>
        <v>0</v>
      </c>
      <c r="AK134" s="60"/>
      <c r="AL134" s="60"/>
      <c r="AM134" s="60">
        <f t="shared" si="453"/>
        <v>0</v>
      </c>
      <c r="AN134" s="60"/>
      <c r="AO134" s="60"/>
      <c r="AP134" s="60">
        <f t="shared" si="454"/>
        <v>0</v>
      </c>
      <c r="AQ134" s="60"/>
      <c r="AR134" s="60"/>
      <c r="AS134" s="60">
        <f t="shared" si="455"/>
        <v>0</v>
      </c>
      <c r="AT134" s="60">
        <f t="shared" si="456"/>
        <v>0</v>
      </c>
      <c r="AU134" s="60">
        <f t="shared" si="457"/>
        <v>0</v>
      </c>
      <c r="AV134" s="60">
        <f t="shared" si="458"/>
        <v>0</v>
      </c>
      <c r="AW134" s="60"/>
      <c r="AX134" s="60"/>
      <c r="AY134" s="60">
        <f t="shared" si="459"/>
        <v>0</v>
      </c>
      <c r="AZ134" s="60"/>
      <c r="BA134" s="60"/>
      <c r="BB134" s="60">
        <f t="shared" si="460"/>
        <v>0</v>
      </c>
      <c r="BC134" s="60"/>
      <c r="BD134" s="60"/>
      <c r="BE134" s="60">
        <f t="shared" si="461"/>
        <v>0</v>
      </c>
      <c r="BF134" s="60">
        <f t="shared" si="462"/>
        <v>0</v>
      </c>
      <c r="BG134" s="60">
        <f t="shared" si="463"/>
        <v>0</v>
      </c>
      <c r="BH134" s="60">
        <f t="shared" si="464"/>
        <v>0</v>
      </c>
      <c r="BI134" s="508"/>
      <c r="BJ134" s="488" t="str">
        <f t="shared" si="407"/>
        <v>Lò</v>
      </c>
      <c r="BK134" s="523">
        <f t="shared" si="465"/>
        <v>0</v>
      </c>
      <c r="BL134" s="523">
        <f t="shared" si="466"/>
        <v>0</v>
      </c>
      <c r="BM134" s="523">
        <f t="shared" si="467"/>
        <v>0</v>
      </c>
      <c r="BN134" s="523">
        <f t="shared" si="468"/>
        <v>0</v>
      </c>
      <c r="BO134" s="523">
        <f t="shared" si="469"/>
        <v>0</v>
      </c>
      <c r="BP134" s="523">
        <f t="shared" si="470"/>
        <v>0</v>
      </c>
      <c r="BQ134" s="523">
        <f t="shared" si="471"/>
        <v>0</v>
      </c>
      <c r="BR134" s="523">
        <f t="shared" si="472"/>
        <v>0</v>
      </c>
      <c r="BS134" s="523">
        <f t="shared" si="473"/>
        <v>0</v>
      </c>
      <c r="BT134" s="523">
        <f t="shared" si="474"/>
        <v>0</v>
      </c>
      <c r="BU134" s="523">
        <f t="shared" si="475"/>
        <v>0</v>
      </c>
      <c r="BV134" s="523">
        <f t="shared" si="476"/>
        <v>0</v>
      </c>
      <c r="BW134" s="523">
        <f t="shared" si="477"/>
        <v>0</v>
      </c>
      <c r="BX134" s="523">
        <f t="shared" si="478"/>
        <v>0</v>
      </c>
      <c r="BY134" s="523">
        <f t="shared" si="479"/>
        <v>0</v>
      </c>
      <c r="BZ134" s="523">
        <f t="shared" si="480"/>
        <v>0</v>
      </c>
      <c r="CA134" s="354"/>
      <c r="CB134" s="354" t="b">
        <f t="shared" si="397"/>
        <v>0</v>
      </c>
      <c r="CC134" s="509" t="str">
        <f t="shared" si="398"/>
        <v>KT9.</v>
      </c>
      <c r="CD134" s="509" t="str">
        <f t="shared" si="399"/>
        <v>KT9.11,2</v>
      </c>
      <c r="CE134" s="351" t="str">
        <f t="shared" si="408"/>
        <v>Lò</v>
      </c>
      <c r="CF134" s="509" t="str">
        <f t="shared" si="400"/>
        <v>KT9.Lò</v>
      </c>
      <c r="CG134" s="509"/>
      <c r="CH134" s="509"/>
    </row>
    <row r="135" spans="1:86" s="359" customFormat="1" ht="21.75" customHeight="1" x14ac:dyDescent="0.3">
      <c r="A135" s="354" t="e">
        <f t="shared" si="415"/>
        <v>#REF!</v>
      </c>
      <c r="B135" s="525" t="s">
        <v>37</v>
      </c>
      <c r="C135" s="526" t="s">
        <v>178</v>
      </c>
      <c r="D135" s="527"/>
      <c r="E135" s="527"/>
      <c r="F135" s="527"/>
      <c r="G135" s="528"/>
      <c r="H135" s="529"/>
      <c r="I135" s="70">
        <f t="shared" ref="I135:AN135" si="483">SUM(I136:I137)</f>
        <v>240</v>
      </c>
      <c r="J135" s="70">
        <f t="shared" si="483"/>
        <v>142</v>
      </c>
      <c r="K135" s="70">
        <f t="shared" si="483"/>
        <v>98</v>
      </c>
      <c r="L135" s="70">
        <f t="shared" si="483"/>
        <v>300</v>
      </c>
      <c r="M135" s="210">
        <f t="shared" si="483"/>
        <v>35</v>
      </c>
      <c r="N135" s="210">
        <f t="shared" si="483"/>
        <v>35</v>
      </c>
      <c r="O135" s="210">
        <f t="shared" si="483"/>
        <v>0</v>
      </c>
      <c r="P135" s="210">
        <f t="shared" si="483"/>
        <v>35</v>
      </c>
      <c r="Q135" s="210">
        <f t="shared" si="483"/>
        <v>20</v>
      </c>
      <c r="R135" s="210">
        <f t="shared" si="483"/>
        <v>15</v>
      </c>
      <c r="S135" s="829">
        <f t="shared" si="483"/>
        <v>35</v>
      </c>
      <c r="T135" s="210">
        <f t="shared" si="483"/>
        <v>20</v>
      </c>
      <c r="U135" s="210">
        <f t="shared" si="483"/>
        <v>15</v>
      </c>
      <c r="V135" s="224">
        <f t="shared" si="483"/>
        <v>105</v>
      </c>
      <c r="W135" s="224">
        <f t="shared" si="483"/>
        <v>75</v>
      </c>
      <c r="X135" s="224">
        <f t="shared" si="483"/>
        <v>30</v>
      </c>
      <c r="Y135" s="210">
        <f t="shared" si="483"/>
        <v>30</v>
      </c>
      <c r="Z135" s="210">
        <f t="shared" si="483"/>
        <v>25</v>
      </c>
      <c r="AA135" s="210">
        <f t="shared" si="483"/>
        <v>5</v>
      </c>
      <c r="AB135" s="210">
        <f t="shared" si="483"/>
        <v>35</v>
      </c>
      <c r="AC135" s="210">
        <f t="shared" si="483"/>
        <v>20</v>
      </c>
      <c r="AD135" s="210">
        <f t="shared" si="483"/>
        <v>15</v>
      </c>
      <c r="AE135" s="210">
        <f t="shared" si="483"/>
        <v>35</v>
      </c>
      <c r="AF135" s="210">
        <f t="shared" si="483"/>
        <v>22</v>
      </c>
      <c r="AG135" s="210">
        <f t="shared" si="483"/>
        <v>13</v>
      </c>
      <c r="AH135" s="224">
        <f t="shared" si="483"/>
        <v>100</v>
      </c>
      <c r="AI135" s="224">
        <f t="shared" si="483"/>
        <v>67</v>
      </c>
      <c r="AJ135" s="224">
        <f t="shared" si="483"/>
        <v>33</v>
      </c>
      <c r="AK135" s="210">
        <f t="shared" si="483"/>
        <v>0</v>
      </c>
      <c r="AL135" s="210">
        <f t="shared" si="483"/>
        <v>0</v>
      </c>
      <c r="AM135" s="210">
        <f t="shared" si="483"/>
        <v>0</v>
      </c>
      <c r="AN135" s="210">
        <f t="shared" si="483"/>
        <v>35</v>
      </c>
      <c r="AO135" s="210">
        <f t="shared" ref="AO135:BH135" si="484">SUM(AO136:AO137)</f>
        <v>0</v>
      </c>
      <c r="AP135" s="210">
        <f t="shared" si="484"/>
        <v>35</v>
      </c>
      <c r="AQ135" s="210">
        <f t="shared" si="484"/>
        <v>0</v>
      </c>
      <c r="AR135" s="210">
        <f t="shared" si="484"/>
        <v>0</v>
      </c>
      <c r="AS135" s="210">
        <f t="shared" si="484"/>
        <v>0</v>
      </c>
      <c r="AT135" s="224">
        <f t="shared" si="484"/>
        <v>35</v>
      </c>
      <c r="AU135" s="224">
        <f t="shared" si="484"/>
        <v>0</v>
      </c>
      <c r="AV135" s="224">
        <f t="shared" si="484"/>
        <v>35</v>
      </c>
      <c r="AW135" s="210">
        <f t="shared" si="484"/>
        <v>0</v>
      </c>
      <c r="AX135" s="210">
        <f t="shared" si="484"/>
        <v>0</v>
      </c>
      <c r="AY135" s="210">
        <f t="shared" si="484"/>
        <v>0</v>
      </c>
      <c r="AZ135" s="210">
        <f t="shared" si="484"/>
        <v>0</v>
      </c>
      <c r="BA135" s="210">
        <f t="shared" si="484"/>
        <v>0</v>
      </c>
      <c r="BB135" s="210">
        <f t="shared" si="484"/>
        <v>0</v>
      </c>
      <c r="BC135" s="210">
        <f t="shared" si="484"/>
        <v>0</v>
      </c>
      <c r="BD135" s="210">
        <f t="shared" si="484"/>
        <v>0</v>
      </c>
      <c r="BE135" s="210">
        <f t="shared" si="484"/>
        <v>0</v>
      </c>
      <c r="BF135" s="224">
        <f t="shared" si="484"/>
        <v>0</v>
      </c>
      <c r="BG135" s="224">
        <f t="shared" si="484"/>
        <v>0</v>
      </c>
      <c r="BH135" s="224">
        <f t="shared" si="484"/>
        <v>0</v>
      </c>
      <c r="BI135" s="530"/>
      <c r="BJ135" s="488" t="str">
        <f t="shared" si="407"/>
        <v>XL</v>
      </c>
      <c r="BK135" s="225">
        <f>SUM(BK136:BK137)</f>
        <v>0</v>
      </c>
      <c r="BL135" s="225">
        <f t="shared" ref="BL135:BZ135" si="485">SUM(BL136:BL137)</f>
        <v>0</v>
      </c>
      <c r="BM135" s="225">
        <f t="shared" si="485"/>
        <v>0</v>
      </c>
      <c r="BN135" s="225">
        <f t="shared" si="485"/>
        <v>100</v>
      </c>
      <c r="BO135" s="225">
        <f t="shared" si="485"/>
        <v>0</v>
      </c>
      <c r="BP135" s="225">
        <f t="shared" si="485"/>
        <v>100</v>
      </c>
      <c r="BQ135" s="225">
        <f t="shared" si="485"/>
        <v>0</v>
      </c>
      <c r="BR135" s="225">
        <f t="shared" si="485"/>
        <v>100</v>
      </c>
      <c r="BS135" s="225">
        <f t="shared" si="485"/>
        <v>0</v>
      </c>
      <c r="BT135" s="225">
        <f t="shared" si="485"/>
        <v>100</v>
      </c>
      <c r="BU135" s="225">
        <f t="shared" si="485"/>
        <v>0</v>
      </c>
      <c r="BV135" s="225">
        <f t="shared" si="485"/>
        <v>100</v>
      </c>
      <c r="BW135" s="225">
        <f t="shared" si="485"/>
        <v>0</v>
      </c>
      <c r="BX135" s="225">
        <f t="shared" si="485"/>
        <v>0</v>
      </c>
      <c r="BY135" s="225">
        <f t="shared" si="485"/>
        <v>0</v>
      </c>
      <c r="BZ135" s="225">
        <f t="shared" si="485"/>
        <v>0</v>
      </c>
      <c r="CA135" s="510"/>
      <c r="CB135" s="510" t="str">
        <f t="shared" si="397"/>
        <v>X</v>
      </c>
      <c r="CC135" s="509" t="str">
        <f t="shared" si="398"/>
        <v>KT9.</v>
      </c>
      <c r="CD135" s="509" t="str">
        <f t="shared" si="399"/>
        <v>KT9.</v>
      </c>
      <c r="CE135" s="351" t="str">
        <f t="shared" si="408"/>
        <v>XL</v>
      </c>
      <c r="CF135" s="509" t="str">
        <f t="shared" si="400"/>
        <v>KT9.XL</v>
      </c>
      <c r="CG135" s="509"/>
      <c r="CH135" s="509"/>
    </row>
    <row r="136" spans="1:86" ht="24" customHeight="1" x14ac:dyDescent="0.25">
      <c r="A136" s="354" t="e">
        <f t="shared" si="415"/>
        <v>#REF!</v>
      </c>
      <c r="B136" s="484"/>
      <c r="C136" s="531" t="s">
        <v>800</v>
      </c>
      <c r="D136" s="447" t="s">
        <v>14</v>
      </c>
      <c r="E136" s="447"/>
      <c r="F136" s="447"/>
      <c r="G136" s="520">
        <v>13.1</v>
      </c>
      <c r="H136" s="521">
        <v>0.7</v>
      </c>
      <c r="I136" s="522">
        <f t="shared" ref="I136:K137" si="486">V136+AH136+AT136+BF136</f>
        <v>125</v>
      </c>
      <c r="J136" s="522">
        <f t="shared" si="486"/>
        <v>90</v>
      </c>
      <c r="K136" s="522">
        <f t="shared" si="486"/>
        <v>35</v>
      </c>
      <c r="L136" s="57">
        <f>BN136+BR136+BV136+BZ136</f>
        <v>100</v>
      </c>
      <c r="M136" s="60">
        <v>35</v>
      </c>
      <c r="N136" s="60">
        <v>35</v>
      </c>
      <c r="O136" s="60">
        <f>M136-N136</f>
        <v>0</v>
      </c>
      <c r="P136" s="60">
        <v>35</v>
      </c>
      <c r="Q136" s="60">
        <v>20</v>
      </c>
      <c r="R136" s="60">
        <f>P136-Q136</f>
        <v>15</v>
      </c>
      <c r="S136" s="824">
        <v>35</v>
      </c>
      <c r="T136" s="60">
        <v>20</v>
      </c>
      <c r="U136" s="60">
        <f>S136-T136</f>
        <v>15</v>
      </c>
      <c r="V136" s="60">
        <f t="shared" ref="V136:X137" si="487">M136+P136+S136</f>
        <v>105</v>
      </c>
      <c r="W136" s="60">
        <f t="shared" si="487"/>
        <v>75</v>
      </c>
      <c r="X136" s="60">
        <f t="shared" si="487"/>
        <v>30</v>
      </c>
      <c r="Y136" s="60">
        <v>20</v>
      </c>
      <c r="Z136" s="60">
        <v>15</v>
      </c>
      <c r="AA136" s="60">
        <f>Y136-Z136</f>
        <v>5</v>
      </c>
      <c r="AB136" s="60"/>
      <c r="AC136" s="60"/>
      <c r="AD136" s="60">
        <f>AB136-AC136</f>
        <v>0</v>
      </c>
      <c r="AE136" s="60"/>
      <c r="AF136" s="60"/>
      <c r="AG136" s="60">
        <f>AE136-AF136</f>
        <v>0</v>
      </c>
      <c r="AH136" s="60">
        <f t="shared" ref="AH136:AJ137" si="488">Y136+AB136+AE136</f>
        <v>20</v>
      </c>
      <c r="AI136" s="60">
        <f t="shared" si="488"/>
        <v>15</v>
      </c>
      <c r="AJ136" s="60">
        <f t="shared" si="488"/>
        <v>5</v>
      </c>
      <c r="AK136" s="60"/>
      <c r="AL136" s="60"/>
      <c r="AM136" s="60">
        <f>AK136-AL136</f>
        <v>0</v>
      </c>
      <c r="AN136" s="60"/>
      <c r="AO136" s="60"/>
      <c r="AP136" s="60">
        <f>AN136-AO136</f>
        <v>0</v>
      </c>
      <c r="AQ136" s="60"/>
      <c r="AR136" s="60"/>
      <c r="AS136" s="60">
        <f>AQ136-AR136</f>
        <v>0</v>
      </c>
      <c r="AT136" s="60">
        <f t="shared" ref="AT136:AV137" si="489">AK136+AN136+AQ136</f>
        <v>0</v>
      </c>
      <c r="AU136" s="60">
        <f t="shared" si="489"/>
        <v>0</v>
      </c>
      <c r="AV136" s="60">
        <f t="shared" si="489"/>
        <v>0</v>
      </c>
      <c r="AW136" s="60"/>
      <c r="AX136" s="60"/>
      <c r="AY136" s="60">
        <f>AW136-AX136</f>
        <v>0</v>
      </c>
      <c r="AZ136" s="60"/>
      <c r="BA136" s="60"/>
      <c r="BB136" s="60">
        <f>AZ136-BA136</f>
        <v>0</v>
      </c>
      <c r="BC136" s="60"/>
      <c r="BD136" s="60"/>
      <c r="BE136" s="60">
        <f>BC136-BD136</f>
        <v>0</v>
      </c>
      <c r="BF136" s="60">
        <f t="shared" ref="BF136:BH137" si="490">AW136+AZ136+BC136</f>
        <v>0</v>
      </c>
      <c r="BG136" s="60">
        <f t="shared" si="490"/>
        <v>0</v>
      </c>
      <c r="BH136" s="60">
        <f t="shared" si="490"/>
        <v>0</v>
      </c>
      <c r="BI136" s="508"/>
      <c r="BJ136" s="488" t="str">
        <f t="shared" si="407"/>
        <v>Xé</v>
      </c>
      <c r="BK136" s="523">
        <f>ROUND(O136*G136*$B$6,-2)</f>
        <v>0</v>
      </c>
      <c r="BL136" s="523">
        <f>ROUND(R136*G136*$B$6,-2)</f>
        <v>0</v>
      </c>
      <c r="BM136" s="523">
        <f>ROUND(U136*G136*$B$6,-2)</f>
        <v>0</v>
      </c>
      <c r="BN136" s="523">
        <f>ROUND(X136*G136*$B$6,-2)</f>
        <v>100</v>
      </c>
      <c r="BO136" s="523">
        <f>ROUND(AA136*G136*$B$6,-2)</f>
        <v>0</v>
      </c>
      <c r="BP136" s="523">
        <f>ROUND(AD136*G136*$B$6,-2)</f>
        <v>0</v>
      </c>
      <c r="BQ136" s="523">
        <f>ROUND(AG136*G136*$B$6,-2)</f>
        <v>0</v>
      </c>
      <c r="BR136" s="523">
        <f>ROUND(AJ136*G136*$B$6,-2)</f>
        <v>0</v>
      </c>
      <c r="BS136" s="523">
        <f>ROUND(AM136*G136*$B$6,-2)</f>
        <v>0</v>
      </c>
      <c r="BT136" s="523">
        <f>ROUND(AP136*G136*$B$6,-2)</f>
        <v>0</v>
      </c>
      <c r="BU136" s="523">
        <f>ROUND(AS136*G136*$B$6,-2)</f>
        <v>0</v>
      </c>
      <c r="BV136" s="523">
        <f>ROUND(AV136*G136*$B$6,-2)</f>
        <v>0</v>
      </c>
      <c r="BW136" s="523">
        <f>ROUND(AY136*G136*$B$6,-2)</f>
        <v>0</v>
      </c>
      <c r="BX136" s="523">
        <f>ROUND(BB136*G136*$B$6,-2)</f>
        <v>0</v>
      </c>
      <c r="BY136" s="523">
        <f>ROUND(BE136*G136*$B$6,-2)</f>
        <v>0</v>
      </c>
      <c r="BZ136" s="523">
        <f>ROUND(BH136*G136*$B$6,-2)</f>
        <v>0</v>
      </c>
      <c r="CA136" s="354"/>
      <c r="CB136" s="354" t="str">
        <f t="shared" si="397"/>
        <v>X</v>
      </c>
      <c r="CC136" s="509" t="str">
        <f t="shared" si="398"/>
        <v>KT9.</v>
      </c>
      <c r="CD136" s="509" t="str">
        <f t="shared" si="399"/>
        <v>KT9.13,1</v>
      </c>
      <c r="CE136" s="351" t="str">
        <f t="shared" si="408"/>
        <v>Xé</v>
      </c>
      <c r="CF136" s="509" t="str">
        <f t="shared" si="400"/>
        <v>KT9.Xé</v>
      </c>
      <c r="CG136" s="509"/>
      <c r="CH136" s="509"/>
    </row>
    <row r="137" spans="1:86" ht="21" customHeight="1" x14ac:dyDescent="0.25">
      <c r="A137" s="354" t="e">
        <f t="shared" si="415"/>
        <v>#REF!</v>
      </c>
      <c r="B137" s="484"/>
      <c r="C137" s="531" t="s">
        <v>801</v>
      </c>
      <c r="D137" s="447" t="s">
        <v>14</v>
      </c>
      <c r="E137" s="447"/>
      <c r="F137" s="447"/>
      <c r="G137" s="520">
        <v>16.100000000000001</v>
      </c>
      <c r="H137" s="521">
        <v>0.7</v>
      </c>
      <c r="I137" s="522">
        <f t="shared" si="486"/>
        <v>115</v>
      </c>
      <c r="J137" s="522">
        <f t="shared" si="486"/>
        <v>52</v>
      </c>
      <c r="K137" s="522">
        <f t="shared" si="486"/>
        <v>63</v>
      </c>
      <c r="L137" s="57">
        <f>BN137+BR137+BV137+BZ137</f>
        <v>200</v>
      </c>
      <c r="M137" s="60"/>
      <c r="N137" s="60"/>
      <c r="O137" s="60">
        <f>M137-N137</f>
        <v>0</v>
      </c>
      <c r="P137" s="60"/>
      <c r="Q137" s="60"/>
      <c r="R137" s="60">
        <f>P137-Q137</f>
        <v>0</v>
      </c>
      <c r="S137" s="824"/>
      <c r="T137" s="60"/>
      <c r="U137" s="60">
        <f>S137-T137</f>
        <v>0</v>
      </c>
      <c r="V137" s="60">
        <f t="shared" si="487"/>
        <v>0</v>
      </c>
      <c r="W137" s="60">
        <f t="shared" si="487"/>
        <v>0</v>
      </c>
      <c r="X137" s="60">
        <f t="shared" si="487"/>
        <v>0</v>
      </c>
      <c r="Y137" s="60">
        <v>10</v>
      </c>
      <c r="Z137" s="60">
        <v>10</v>
      </c>
      <c r="AA137" s="60">
        <f>Y137-Z137</f>
        <v>0</v>
      </c>
      <c r="AB137" s="60">
        <v>35</v>
      </c>
      <c r="AC137" s="60">
        <v>20</v>
      </c>
      <c r="AD137" s="60">
        <f>AB137-AC137</f>
        <v>15</v>
      </c>
      <c r="AE137" s="60">
        <v>35</v>
      </c>
      <c r="AF137" s="60">
        <v>22</v>
      </c>
      <c r="AG137" s="60">
        <f>AE137-AF137</f>
        <v>13</v>
      </c>
      <c r="AH137" s="60">
        <f t="shared" si="488"/>
        <v>80</v>
      </c>
      <c r="AI137" s="60">
        <f t="shared" si="488"/>
        <v>52</v>
      </c>
      <c r="AJ137" s="60">
        <f t="shared" si="488"/>
        <v>28</v>
      </c>
      <c r="AK137" s="60"/>
      <c r="AL137" s="60"/>
      <c r="AM137" s="60">
        <f>AK137-AL137</f>
        <v>0</v>
      </c>
      <c r="AN137" s="60">
        <v>35</v>
      </c>
      <c r="AO137" s="60"/>
      <c r="AP137" s="60">
        <f>AN137-AO137</f>
        <v>35</v>
      </c>
      <c r="AQ137" s="60"/>
      <c r="AR137" s="60"/>
      <c r="AS137" s="60">
        <f>AQ137-AR137</f>
        <v>0</v>
      </c>
      <c r="AT137" s="60">
        <f t="shared" si="489"/>
        <v>35</v>
      </c>
      <c r="AU137" s="60">
        <f t="shared" si="489"/>
        <v>0</v>
      </c>
      <c r="AV137" s="60">
        <f t="shared" si="489"/>
        <v>35</v>
      </c>
      <c r="AW137" s="60"/>
      <c r="AX137" s="60"/>
      <c r="AY137" s="60">
        <f>AW137-AX137</f>
        <v>0</v>
      </c>
      <c r="AZ137" s="60"/>
      <c r="BA137" s="60"/>
      <c r="BB137" s="60">
        <f>AZ137-BA137</f>
        <v>0</v>
      </c>
      <c r="BC137" s="60"/>
      <c r="BD137" s="60"/>
      <c r="BE137" s="60">
        <f>BC137-BD137</f>
        <v>0</v>
      </c>
      <c r="BF137" s="60">
        <f t="shared" si="490"/>
        <v>0</v>
      </c>
      <c r="BG137" s="60">
        <f t="shared" si="490"/>
        <v>0</v>
      </c>
      <c r="BH137" s="60">
        <f t="shared" si="490"/>
        <v>0</v>
      </c>
      <c r="BI137" s="508"/>
      <c r="BJ137" s="488" t="str">
        <f t="shared" si="407"/>
        <v>Xé</v>
      </c>
      <c r="BK137" s="523">
        <f>ROUND(O137*G137*$B$6,-2)</f>
        <v>0</v>
      </c>
      <c r="BL137" s="523">
        <f>ROUND(R137*G137*$B$6,-2)</f>
        <v>0</v>
      </c>
      <c r="BM137" s="523">
        <f>ROUND(U137*G137*$B$6,-2)</f>
        <v>0</v>
      </c>
      <c r="BN137" s="523">
        <f>ROUND(X137*G137*$B$6,-2)</f>
        <v>0</v>
      </c>
      <c r="BO137" s="523">
        <f>ROUND(AA137*G137*$B$6,-2)</f>
        <v>0</v>
      </c>
      <c r="BP137" s="523">
        <f>ROUND(AD137*G137*$B$6,-2)</f>
        <v>100</v>
      </c>
      <c r="BQ137" s="523">
        <f>ROUND(AG137*G137*$B$6,-2)</f>
        <v>0</v>
      </c>
      <c r="BR137" s="523">
        <f>ROUND(AJ137*G137*$B$6,-2)</f>
        <v>100</v>
      </c>
      <c r="BS137" s="523">
        <f>ROUND(AM137*G137*$B$6,-2)</f>
        <v>0</v>
      </c>
      <c r="BT137" s="523">
        <f>ROUND(AP137*G137*$B$6,-2)</f>
        <v>100</v>
      </c>
      <c r="BU137" s="523">
        <f>ROUND(AS137*G137*$B$6,-2)</f>
        <v>0</v>
      </c>
      <c r="BV137" s="523">
        <f>ROUND(AV137*G137*$B$6,-2)</f>
        <v>100</v>
      </c>
      <c r="BW137" s="523">
        <f>ROUND(AY137*G137*$B$6,-2)</f>
        <v>0</v>
      </c>
      <c r="BX137" s="523">
        <f>ROUND(BB137*G137*$B$6,-2)</f>
        <v>0</v>
      </c>
      <c r="BY137" s="523">
        <f>ROUND(BE137*G137*$B$6,-2)</f>
        <v>0</v>
      </c>
      <c r="BZ137" s="523">
        <f>ROUND(BH137*G137*$B$6,-2)</f>
        <v>0</v>
      </c>
      <c r="CA137" s="354"/>
      <c r="CB137" s="354" t="str">
        <f t="shared" si="397"/>
        <v>X</v>
      </c>
      <c r="CC137" s="509" t="str">
        <f t="shared" si="398"/>
        <v>KT9.</v>
      </c>
      <c r="CD137" s="509" t="str">
        <f t="shared" si="399"/>
        <v>KT9.16,1</v>
      </c>
      <c r="CE137" s="351" t="str">
        <f t="shared" si="408"/>
        <v>Xé</v>
      </c>
      <c r="CF137" s="509" t="str">
        <f t="shared" si="400"/>
        <v>KT9.Xé</v>
      </c>
      <c r="CG137" s="509"/>
      <c r="CH137" s="509"/>
    </row>
    <row r="138" spans="1:86" ht="17.25" x14ac:dyDescent="0.3">
      <c r="A138" s="354" t="e">
        <f>#REF!</f>
        <v>#REF!</v>
      </c>
      <c r="B138" s="503">
        <v>10</v>
      </c>
      <c r="C138" s="507" t="s">
        <v>451</v>
      </c>
      <c r="D138" s="505"/>
      <c r="E138" s="505"/>
      <c r="F138" s="505"/>
      <c r="G138" s="505"/>
      <c r="H138" s="505"/>
      <c r="I138" s="59">
        <f t="shared" ref="I138:AN138" si="491">SUM(I139:I147)/2</f>
        <v>725</v>
      </c>
      <c r="J138" s="59">
        <f t="shared" si="491"/>
        <v>123</v>
      </c>
      <c r="K138" s="59">
        <f t="shared" si="491"/>
        <v>602</v>
      </c>
      <c r="L138" s="59">
        <f t="shared" si="491"/>
        <v>4700</v>
      </c>
      <c r="M138" s="209">
        <f t="shared" si="491"/>
        <v>45</v>
      </c>
      <c r="N138" s="209">
        <f t="shared" si="491"/>
        <v>25</v>
      </c>
      <c r="O138" s="209">
        <f t="shared" si="491"/>
        <v>20</v>
      </c>
      <c r="P138" s="209">
        <f t="shared" si="491"/>
        <v>30</v>
      </c>
      <c r="Q138" s="209">
        <f t="shared" si="491"/>
        <v>10</v>
      </c>
      <c r="R138" s="209">
        <f t="shared" si="491"/>
        <v>20</v>
      </c>
      <c r="S138" s="822">
        <f t="shared" si="491"/>
        <v>0</v>
      </c>
      <c r="T138" s="209">
        <f t="shared" si="491"/>
        <v>0</v>
      </c>
      <c r="U138" s="209">
        <f t="shared" si="491"/>
        <v>0</v>
      </c>
      <c r="V138" s="209">
        <f t="shared" si="491"/>
        <v>75</v>
      </c>
      <c r="W138" s="209">
        <f t="shared" si="491"/>
        <v>35</v>
      </c>
      <c r="X138" s="209">
        <f t="shared" si="491"/>
        <v>40</v>
      </c>
      <c r="Y138" s="209">
        <f t="shared" si="491"/>
        <v>0</v>
      </c>
      <c r="Z138" s="209">
        <f t="shared" si="491"/>
        <v>0</v>
      </c>
      <c r="AA138" s="209">
        <f t="shared" si="491"/>
        <v>0</v>
      </c>
      <c r="AB138" s="209">
        <f t="shared" si="491"/>
        <v>0</v>
      </c>
      <c r="AC138" s="209">
        <f t="shared" si="491"/>
        <v>0</v>
      </c>
      <c r="AD138" s="209">
        <f t="shared" si="491"/>
        <v>0</v>
      </c>
      <c r="AE138" s="209">
        <f t="shared" si="491"/>
        <v>60</v>
      </c>
      <c r="AF138" s="209">
        <f t="shared" si="491"/>
        <v>8</v>
      </c>
      <c r="AG138" s="209">
        <f t="shared" si="491"/>
        <v>52</v>
      </c>
      <c r="AH138" s="209">
        <f t="shared" si="491"/>
        <v>60</v>
      </c>
      <c r="AI138" s="209">
        <f t="shared" si="491"/>
        <v>8</v>
      </c>
      <c r="AJ138" s="209">
        <f t="shared" si="491"/>
        <v>52</v>
      </c>
      <c r="AK138" s="209">
        <f t="shared" si="491"/>
        <v>0</v>
      </c>
      <c r="AL138" s="209">
        <f t="shared" si="491"/>
        <v>0</v>
      </c>
      <c r="AM138" s="209">
        <f t="shared" si="491"/>
        <v>0</v>
      </c>
      <c r="AN138" s="209">
        <f t="shared" si="491"/>
        <v>100</v>
      </c>
      <c r="AO138" s="209">
        <f t="shared" ref="AO138:BH138" si="492">SUM(AO139:AO147)/2</f>
        <v>0</v>
      </c>
      <c r="AP138" s="209">
        <f t="shared" si="492"/>
        <v>100</v>
      </c>
      <c r="AQ138" s="209">
        <f t="shared" si="492"/>
        <v>100</v>
      </c>
      <c r="AR138" s="209">
        <f t="shared" si="492"/>
        <v>0</v>
      </c>
      <c r="AS138" s="209">
        <f t="shared" si="492"/>
        <v>100</v>
      </c>
      <c r="AT138" s="209">
        <f t="shared" si="492"/>
        <v>200</v>
      </c>
      <c r="AU138" s="209">
        <f t="shared" si="492"/>
        <v>0</v>
      </c>
      <c r="AV138" s="209">
        <f t="shared" si="492"/>
        <v>200</v>
      </c>
      <c r="AW138" s="209">
        <f t="shared" si="492"/>
        <v>100</v>
      </c>
      <c r="AX138" s="209">
        <f t="shared" si="492"/>
        <v>10</v>
      </c>
      <c r="AY138" s="209">
        <f t="shared" si="492"/>
        <v>90</v>
      </c>
      <c r="AZ138" s="209">
        <f t="shared" si="492"/>
        <v>70</v>
      </c>
      <c r="BA138" s="209">
        <f t="shared" si="492"/>
        <v>20</v>
      </c>
      <c r="BB138" s="209">
        <f t="shared" si="492"/>
        <v>50</v>
      </c>
      <c r="BC138" s="209">
        <f t="shared" si="492"/>
        <v>60</v>
      </c>
      <c r="BD138" s="209">
        <f t="shared" si="492"/>
        <v>0</v>
      </c>
      <c r="BE138" s="209">
        <f t="shared" si="492"/>
        <v>60</v>
      </c>
      <c r="BF138" s="209">
        <f t="shared" si="492"/>
        <v>390</v>
      </c>
      <c r="BG138" s="209">
        <f t="shared" si="492"/>
        <v>80</v>
      </c>
      <c r="BH138" s="209">
        <f t="shared" si="492"/>
        <v>310</v>
      </c>
      <c r="BI138" s="508"/>
      <c r="BJ138" s="488" t="str">
        <f t="shared" si="407"/>
        <v>PX</v>
      </c>
      <c r="BK138" s="209">
        <f t="shared" ref="BK138:BZ138" si="493">SUM(BK139:BK147)/2</f>
        <v>300</v>
      </c>
      <c r="BL138" s="209">
        <f t="shared" si="493"/>
        <v>300</v>
      </c>
      <c r="BM138" s="209">
        <f t="shared" si="493"/>
        <v>0</v>
      </c>
      <c r="BN138" s="209">
        <f t="shared" si="493"/>
        <v>500</v>
      </c>
      <c r="BO138" s="209">
        <f t="shared" si="493"/>
        <v>0</v>
      </c>
      <c r="BP138" s="209">
        <f t="shared" si="493"/>
        <v>0</v>
      </c>
      <c r="BQ138" s="209">
        <f t="shared" si="493"/>
        <v>300</v>
      </c>
      <c r="BR138" s="209">
        <f t="shared" si="493"/>
        <v>300</v>
      </c>
      <c r="BS138" s="209">
        <f t="shared" si="493"/>
        <v>0</v>
      </c>
      <c r="BT138" s="209">
        <f t="shared" si="493"/>
        <v>900</v>
      </c>
      <c r="BU138" s="209">
        <f t="shared" si="493"/>
        <v>900</v>
      </c>
      <c r="BV138" s="209">
        <f t="shared" si="493"/>
        <v>1800</v>
      </c>
      <c r="BW138" s="209">
        <f t="shared" si="493"/>
        <v>800</v>
      </c>
      <c r="BX138" s="209">
        <f t="shared" si="493"/>
        <v>500</v>
      </c>
      <c r="BY138" s="209">
        <f t="shared" si="493"/>
        <v>500</v>
      </c>
      <c r="BZ138" s="209">
        <f t="shared" si="493"/>
        <v>2100</v>
      </c>
      <c r="CA138" s="354"/>
      <c r="CB138" s="354" t="str">
        <f t="shared" si="397"/>
        <v>X</v>
      </c>
      <c r="CC138" s="534" t="s">
        <v>293</v>
      </c>
      <c r="CD138" s="509" t="str">
        <f t="shared" si="399"/>
        <v>KT10.</v>
      </c>
      <c r="CE138" s="351" t="str">
        <f t="shared" si="408"/>
        <v>PX</v>
      </c>
      <c r="CF138" s="509" t="str">
        <f t="shared" si="400"/>
        <v>KT10.PX</v>
      </c>
      <c r="CG138" s="509"/>
      <c r="CH138" s="509"/>
    </row>
    <row r="139" spans="1:86" s="358" customFormat="1" ht="19.5" customHeight="1" x14ac:dyDescent="0.25">
      <c r="A139" s="354" t="e">
        <f>#REF!</f>
        <v>#REF!</v>
      </c>
      <c r="B139" s="511" t="s">
        <v>8</v>
      </c>
      <c r="C139" s="512" t="s">
        <v>177</v>
      </c>
      <c r="D139" s="513"/>
      <c r="E139" s="513"/>
      <c r="F139" s="513"/>
      <c r="G139" s="514"/>
      <c r="H139" s="514"/>
      <c r="I139" s="69">
        <f t="shared" ref="I139:U139" si="494">SUM(I140:I144)</f>
        <v>465</v>
      </c>
      <c r="J139" s="69">
        <f t="shared" si="494"/>
        <v>43</v>
      </c>
      <c r="K139" s="69">
        <f t="shared" si="494"/>
        <v>422</v>
      </c>
      <c r="L139" s="69">
        <f t="shared" si="494"/>
        <v>4100</v>
      </c>
      <c r="M139" s="57">
        <f t="shared" si="494"/>
        <v>45</v>
      </c>
      <c r="N139" s="57">
        <f t="shared" si="494"/>
        <v>25</v>
      </c>
      <c r="O139" s="57">
        <f t="shared" si="494"/>
        <v>20</v>
      </c>
      <c r="P139" s="57">
        <f t="shared" si="494"/>
        <v>30</v>
      </c>
      <c r="Q139" s="57">
        <f t="shared" si="494"/>
        <v>10</v>
      </c>
      <c r="R139" s="57">
        <f t="shared" si="494"/>
        <v>20</v>
      </c>
      <c r="S139" s="57">
        <f t="shared" si="494"/>
        <v>0</v>
      </c>
      <c r="T139" s="57">
        <f t="shared" si="494"/>
        <v>0</v>
      </c>
      <c r="U139" s="57">
        <f t="shared" si="494"/>
        <v>0</v>
      </c>
      <c r="V139" s="211">
        <f t="shared" ref="V139:AG139" si="495">SUM(V140:V144)</f>
        <v>75</v>
      </c>
      <c r="W139" s="211">
        <f t="shared" si="495"/>
        <v>35</v>
      </c>
      <c r="X139" s="211">
        <f t="shared" si="495"/>
        <v>40</v>
      </c>
      <c r="Y139" s="57">
        <f t="shared" si="495"/>
        <v>0</v>
      </c>
      <c r="Z139" s="57">
        <f t="shared" si="495"/>
        <v>0</v>
      </c>
      <c r="AA139" s="57">
        <f t="shared" si="495"/>
        <v>0</v>
      </c>
      <c r="AB139" s="57">
        <f t="shared" si="495"/>
        <v>0</v>
      </c>
      <c r="AC139" s="57">
        <f t="shared" si="495"/>
        <v>0</v>
      </c>
      <c r="AD139" s="57">
        <f t="shared" si="495"/>
        <v>0</v>
      </c>
      <c r="AE139" s="57">
        <f t="shared" si="495"/>
        <v>60</v>
      </c>
      <c r="AF139" s="57">
        <f t="shared" si="495"/>
        <v>8</v>
      </c>
      <c r="AG139" s="57">
        <f t="shared" si="495"/>
        <v>52</v>
      </c>
      <c r="AH139" s="211">
        <f t="shared" ref="AH139:BE139" si="496">SUM(AH140:AH144)</f>
        <v>60</v>
      </c>
      <c r="AI139" s="211">
        <f t="shared" si="496"/>
        <v>8</v>
      </c>
      <c r="AJ139" s="211">
        <f t="shared" si="496"/>
        <v>52</v>
      </c>
      <c r="AK139" s="57">
        <f t="shared" si="496"/>
        <v>0</v>
      </c>
      <c r="AL139" s="57">
        <f t="shared" si="496"/>
        <v>0</v>
      </c>
      <c r="AM139" s="57">
        <f t="shared" si="496"/>
        <v>0</v>
      </c>
      <c r="AN139" s="57">
        <f t="shared" si="496"/>
        <v>80</v>
      </c>
      <c r="AO139" s="57">
        <f t="shared" si="496"/>
        <v>0</v>
      </c>
      <c r="AP139" s="57">
        <f t="shared" si="496"/>
        <v>80</v>
      </c>
      <c r="AQ139" s="57">
        <f t="shared" si="496"/>
        <v>80</v>
      </c>
      <c r="AR139" s="57">
        <f t="shared" si="496"/>
        <v>0</v>
      </c>
      <c r="AS139" s="57">
        <f t="shared" si="496"/>
        <v>80</v>
      </c>
      <c r="AT139" s="211">
        <f t="shared" si="496"/>
        <v>160</v>
      </c>
      <c r="AU139" s="211">
        <f t="shared" si="496"/>
        <v>0</v>
      </c>
      <c r="AV139" s="211">
        <f t="shared" si="496"/>
        <v>160</v>
      </c>
      <c r="AW139" s="57">
        <f t="shared" si="496"/>
        <v>80</v>
      </c>
      <c r="AX139" s="57">
        <f t="shared" si="496"/>
        <v>0</v>
      </c>
      <c r="AY139" s="57">
        <f t="shared" si="496"/>
        <v>80</v>
      </c>
      <c r="AZ139" s="57">
        <f t="shared" si="496"/>
        <v>50</v>
      </c>
      <c r="BA139" s="57">
        <f t="shared" si="496"/>
        <v>0</v>
      </c>
      <c r="BB139" s="57">
        <f t="shared" si="496"/>
        <v>50</v>
      </c>
      <c r="BC139" s="57">
        <f t="shared" si="496"/>
        <v>40</v>
      </c>
      <c r="BD139" s="57">
        <f t="shared" si="496"/>
        <v>0</v>
      </c>
      <c r="BE139" s="57">
        <f t="shared" si="496"/>
        <v>40</v>
      </c>
      <c r="BF139" s="211">
        <f>SUM(BF140:BF144)</f>
        <v>170</v>
      </c>
      <c r="BG139" s="211">
        <f>SUM(BG140:BG144)</f>
        <v>0</v>
      </c>
      <c r="BH139" s="211">
        <f>SUM(BH140:BH144)</f>
        <v>170</v>
      </c>
      <c r="BI139" s="516"/>
      <c r="BJ139" s="488" t="str">
        <f t="shared" si="407"/>
        <v>ĐL</v>
      </c>
      <c r="BK139" s="57">
        <f t="shared" ref="BK139:BZ139" si="497">SUM(BK140:BK144)</f>
        <v>300</v>
      </c>
      <c r="BL139" s="57">
        <f t="shared" si="497"/>
        <v>300</v>
      </c>
      <c r="BM139" s="57">
        <f t="shared" si="497"/>
        <v>0</v>
      </c>
      <c r="BN139" s="57">
        <f t="shared" si="497"/>
        <v>500</v>
      </c>
      <c r="BO139" s="57">
        <f t="shared" si="497"/>
        <v>0</v>
      </c>
      <c r="BP139" s="57">
        <f t="shared" si="497"/>
        <v>0</v>
      </c>
      <c r="BQ139" s="57">
        <f t="shared" si="497"/>
        <v>300</v>
      </c>
      <c r="BR139" s="57">
        <f t="shared" si="497"/>
        <v>300</v>
      </c>
      <c r="BS139" s="57">
        <f t="shared" si="497"/>
        <v>0</v>
      </c>
      <c r="BT139" s="57">
        <f t="shared" si="497"/>
        <v>800</v>
      </c>
      <c r="BU139" s="57">
        <f t="shared" si="497"/>
        <v>800</v>
      </c>
      <c r="BV139" s="57">
        <f t="shared" si="497"/>
        <v>1600</v>
      </c>
      <c r="BW139" s="57">
        <f t="shared" si="497"/>
        <v>800</v>
      </c>
      <c r="BX139" s="57">
        <f t="shared" si="497"/>
        <v>500</v>
      </c>
      <c r="BY139" s="57">
        <f t="shared" si="497"/>
        <v>400</v>
      </c>
      <c r="BZ139" s="57">
        <f t="shared" si="497"/>
        <v>1700</v>
      </c>
      <c r="CA139" s="517">
        <f>I139-V139-AH139-AT139-BF139</f>
        <v>0</v>
      </c>
      <c r="CB139" s="510" t="str">
        <f t="shared" si="397"/>
        <v>X</v>
      </c>
      <c r="CC139" s="509" t="str">
        <f t="shared" si="398"/>
        <v>KT10.</v>
      </c>
      <c r="CD139" s="509" t="str">
        <f t="shared" si="399"/>
        <v>KT10.</v>
      </c>
      <c r="CE139" s="351" t="str">
        <f t="shared" si="408"/>
        <v>ĐL</v>
      </c>
      <c r="CF139" s="509" t="str">
        <f t="shared" si="400"/>
        <v>KT10.ĐL</v>
      </c>
      <c r="CG139" s="509"/>
      <c r="CH139" s="509"/>
    </row>
    <row r="140" spans="1:86" ht="22.5" customHeight="1" x14ac:dyDescent="0.25">
      <c r="A140" s="354" t="e">
        <f t="shared" si="415"/>
        <v>#REF!</v>
      </c>
      <c r="B140" s="518"/>
      <c r="C140" s="519" t="s">
        <v>668</v>
      </c>
      <c r="D140" s="447" t="s">
        <v>14</v>
      </c>
      <c r="E140" s="447"/>
      <c r="F140" s="447"/>
      <c r="G140" s="520">
        <v>11.2</v>
      </c>
      <c r="H140" s="521">
        <v>0.7</v>
      </c>
      <c r="I140" s="522">
        <f t="shared" ref="I140:K144" si="498">V140+AH140+AT140+BF140</f>
        <v>0</v>
      </c>
      <c r="J140" s="522">
        <f t="shared" si="498"/>
        <v>0</v>
      </c>
      <c r="K140" s="522">
        <f t="shared" si="498"/>
        <v>0</v>
      </c>
      <c r="L140" s="57">
        <f>BN140+BR140+BV140+BZ140</f>
        <v>0</v>
      </c>
      <c r="M140" s="60"/>
      <c r="N140" s="60"/>
      <c r="O140" s="60">
        <f>M140-N140</f>
        <v>0</v>
      </c>
      <c r="P140" s="60"/>
      <c r="Q140" s="60"/>
      <c r="R140" s="60">
        <f>P140-Q140</f>
        <v>0</v>
      </c>
      <c r="S140" s="824"/>
      <c r="T140" s="60"/>
      <c r="U140" s="60">
        <f>S140-T140</f>
        <v>0</v>
      </c>
      <c r="V140" s="60">
        <f>M140+P140+S140</f>
        <v>0</v>
      </c>
      <c r="W140" s="60"/>
      <c r="X140" s="60">
        <f>V140-W140</f>
        <v>0</v>
      </c>
      <c r="Y140" s="60"/>
      <c r="Z140" s="60"/>
      <c r="AA140" s="60">
        <f>Y140-Z140</f>
        <v>0</v>
      </c>
      <c r="AB140" s="60"/>
      <c r="AC140" s="60"/>
      <c r="AD140" s="60">
        <f>AB140-AC140</f>
        <v>0</v>
      </c>
      <c r="AE140" s="60"/>
      <c r="AF140" s="60"/>
      <c r="AG140" s="60">
        <f>AE140-AF140</f>
        <v>0</v>
      </c>
      <c r="AH140" s="60"/>
      <c r="AI140" s="60"/>
      <c r="AJ140" s="60">
        <f>AH140-AI140</f>
        <v>0</v>
      </c>
      <c r="AK140" s="60"/>
      <c r="AL140" s="60"/>
      <c r="AM140" s="60">
        <f>AK140-AL140</f>
        <v>0</v>
      </c>
      <c r="AN140" s="60"/>
      <c r="AO140" s="60"/>
      <c r="AP140" s="60">
        <f>AN140-AO140</f>
        <v>0</v>
      </c>
      <c r="AQ140" s="60"/>
      <c r="AR140" s="60"/>
      <c r="AS140" s="60">
        <f>AQ140-AR140</f>
        <v>0</v>
      </c>
      <c r="AT140" s="60">
        <f t="shared" ref="AT140:AV142" si="499">AK140+AN140+AQ140</f>
        <v>0</v>
      </c>
      <c r="AU140" s="60">
        <f t="shared" si="499"/>
        <v>0</v>
      </c>
      <c r="AV140" s="60">
        <f t="shared" si="499"/>
        <v>0</v>
      </c>
      <c r="AW140" s="60"/>
      <c r="AX140" s="60"/>
      <c r="AY140" s="60">
        <f>AW140-AX140</f>
        <v>0</v>
      </c>
      <c r="AZ140" s="60"/>
      <c r="BA140" s="60"/>
      <c r="BB140" s="60">
        <f>AZ140-BA140</f>
        <v>0</v>
      </c>
      <c r="BC140" s="60"/>
      <c r="BD140" s="60"/>
      <c r="BE140" s="60">
        <f>BC140-BD140</f>
        <v>0</v>
      </c>
      <c r="BF140" s="60"/>
      <c r="BG140" s="60"/>
      <c r="BH140" s="60">
        <f>AY140+BB140+BE140</f>
        <v>0</v>
      </c>
      <c r="BI140" s="508"/>
      <c r="BJ140" s="488" t="str">
        <f t="shared" si="407"/>
        <v>Lò</v>
      </c>
      <c r="BK140" s="523">
        <f>ROUND(O140*G140*$C$3*$B$5,-2)</f>
        <v>0</v>
      </c>
      <c r="BL140" s="523">
        <f>ROUND(R140*G140*$C$3*$B$5,-2)</f>
        <v>0</v>
      </c>
      <c r="BM140" s="523">
        <f>ROUND(U140*G140*$C$3*$B$5,-2)</f>
        <v>0</v>
      </c>
      <c r="BN140" s="523">
        <f>ROUND(X140*G140*$C$3*$B$5,-2)</f>
        <v>0</v>
      </c>
      <c r="BO140" s="523">
        <f>ROUND(AA140*G140*$C$3*$B$5,-2)</f>
        <v>0</v>
      </c>
      <c r="BP140" s="523">
        <f>ROUND(AD140*G140*$C$3*$B$5,-2)</f>
        <v>0</v>
      </c>
      <c r="BQ140" s="523">
        <f>ROUND(AG140*G140*$C$3*$B$5,-2)</f>
        <v>0</v>
      </c>
      <c r="BR140" s="523">
        <f>ROUND(AJ140*G140*$B$5*$C$3,-2)</f>
        <v>0</v>
      </c>
      <c r="BS140" s="523">
        <f>ROUND(AM140*G140*$C$3*$B$5,-2)</f>
        <v>0</v>
      </c>
      <c r="BT140" s="523">
        <f>ROUND(AP140*G140*$C$3*$B$5,-2)</f>
        <v>0</v>
      </c>
      <c r="BU140" s="523">
        <f>ROUND(AS140*G140*$C$3*$B$5,-2)</f>
        <v>0</v>
      </c>
      <c r="BV140" s="523">
        <f>ROUND(AV140*G140*$C$3*$B$5,-2)</f>
        <v>0</v>
      </c>
      <c r="BW140" s="523">
        <f>ROUND(AY140*G140*$C$3*$B$5,-2)</f>
        <v>0</v>
      </c>
      <c r="BX140" s="523">
        <f>ROUND(BB140*G140*$C$3*$B$5,-2)</f>
        <v>0</v>
      </c>
      <c r="BY140" s="523">
        <f>ROUND(BE140*G140*$C$3*$B$5,-2)</f>
        <v>0</v>
      </c>
      <c r="BZ140" s="523">
        <f>ROUND(BH140*G140*$C$3*$B$5,-2)</f>
        <v>0</v>
      </c>
      <c r="CA140" s="354"/>
      <c r="CB140" s="354" t="b">
        <f t="shared" si="397"/>
        <v>0</v>
      </c>
      <c r="CC140" s="509" t="str">
        <f t="shared" si="398"/>
        <v>KT10.</v>
      </c>
      <c r="CD140" s="509" t="str">
        <f t="shared" si="399"/>
        <v>KT10.11,2</v>
      </c>
      <c r="CE140" s="351" t="str">
        <f t="shared" si="408"/>
        <v>Lò</v>
      </c>
      <c r="CF140" s="509" t="str">
        <f t="shared" si="400"/>
        <v>KT10.Lò</v>
      </c>
      <c r="CG140" s="509"/>
      <c r="CH140" s="509"/>
    </row>
    <row r="141" spans="1:86" ht="22.5" customHeight="1" x14ac:dyDescent="0.25">
      <c r="A141" s="354" t="e">
        <f t="shared" si="415"/>
        <v>#REF!</v>
      </c>
      <c r="B141" s="518"/>
      <c r="C141" s="519" t="s">
        <v>669</v>
      </c>
      <c r="D141" s="447" t="s">
        <v>14</v>
      </c>
      <c r="E141" s="447"/>
      <c r="F141" s="447"/>
      <c r="G141" s="520">
        <v>9.5</v>
      </c>
      <c r="H141" s="521">
        <v>0.7</v>
      </c>
      <c r="I141" s="522">
        <f t="shared" si="498"/>
        <v>0</v>
      </c>
      <c r="J141" s="522">
        <f t="shared" si="498"/>
        <v>0</v>
      </c>
      <c r="K141" s="522">
        <f t="shared" si="498"/>
        <v>0</v>
      </c>
      <c r="L141" s="57">
        <f>BN141+BR141+BV141+BZ141</f>
        <v>0</v>
      </c>
      <c r="M141" s="60"/>
      <c r="N141" s="60"/>
      <c r="O141" s="60">
        <f>M141-N141</f>
        <v>0</v>
      </c>
      <c r="P141" s="60"/>
      <c r="Q141" s="60"/>
      <c r="R141" s="60">
        <f>P141-Q141</f>
        <v>0</v>
      </c>
      <c r="S141" s="824"/>
      <c r="T141" s="60"/>
      <c r="U141" s="60">
        <f>S141-T141</f>
        <v>0</v>
      </c>
      <c r="V141" s="60">
        <f>M141+P141+S141</f>
        <v>0</v>
      </c>
      <c r="W141" s="60"/>
      <c r="X141" s="60">
        <f>V141-W141</f>
        <v>0</v>
      </c>
      <c r="Y141" s="60"/>
      <c r="Z141" s="60"/>
      <c r="AA141" s="60">
        <f>Y141-Z141</f>
        <v>0</v>
      </c>
      <c r="AB141" s="60"/>
      <c r="AC141" s="60"/>
      <c r="AD141" s="60">
        <f>AB141-AC141</f>
        <v>0</v>
      </c>
      <c r="AE141" s="60"/>
      <c r="AF141" s="60"/>
      <c r="AG141" s="60">
        <f>AE141-AF141</f>
        <v>0</v>
      </c>
      <c r="AH141" s="60"/>
      <c r="AI141" s="60"/>
      <c r="AJ141" s="60">
        <f>AH141-AI141</f>
        <v>0</v>
      </c>
      <c r="AK141" s="60"/>
      <c r="AL141" s="60"/>
      <c r="AM141" s="60">
        <f>AK141-AL141</f>
        <v>0</v>
      </c>
      <c r="AN141" s="60"/>
      <c r="AO141" s="60"/>
      <c r="AP141" s="60">
        <f>AN141-AO141</f>
        <v>0</v>
      </c>
      <c r="AQ141" s="60"/>
      <c r="AR141" s="60"/>
      <c r="AS141" s="60">
        <f>AQ141-AR141</f>
        <v>0</v>
      </c>
      <c r="AT141" s="60">
        <f t="shared" si="499"/>
        <v>0</v>
      </c>
      <c r="AU141" s="60">
        <f t="shared" si="499"/>
        <v>0</v>
      </c>
      <c r="AV141" s="60">
        <f t="shared" si="499"/>
        <v>0</v>
      </c>
      <c r="AW141" s="60"/>
      <c r="AX141" s="60"/>
      <c r="AY141" s="60">
        <f>AW141-AX141</f>
        <v>0</v>
      </c>
      <c r="AZ141" s="60"/>
      <c r="BA141" s="60"/>
      <c r="BB141" s="60">
        <f>AZ141-BA141</f>
        <v>0</v>
      </c>
      <c r="BC141" s="60"/>
      <c r="BD141" s="60"/>
      <c r="BE141" s="60">
        <f>BC141-BD141</f>
        <v>0</v>
      </c>
      <c r="BF141" s="60"/>
      <c r="BG141" s="60"/>
      <c r="BH141" s="60">
        <f>AY141+BB141+BE141</f>
        <v>0</v>
      </c>
      <c r="BI141" s="508"/>
      <c r="BJ141" s="488" t="str">
        <f t="shared" si="407"/>
        <v>Lò</v>
      </c>
      <c r="BK141" s="523">
        <f>ROUND(O141*G141*$C$3*$B$5,-2)</f>
        <v>0</v>
      </c>
      <c r="BL141" s="523">
        <f>ROUND(R141*G141*$C$3*$B$5,-2)</f>
        <v>0</v>
      </c>
      <c r="BM141" s="523">
        <f>ROUND(U141*G141*$C$3*$B$5,-2)</f>
        <v>0</v>
      </c>
      <c r="BN141" s="523">
        <f>ROUND(X141*G141*$C$3*$B$5,-2)</f>
        <v>0</v>
      </c>
      <c r="BO141" s="523">
        <f>ROUND(AA141*G141*$C$3*$B$5,-2)</f>
        <v>0</v>
      </c>
      <c r="BP141" s="523">
        <f>ROUND(AD141*G141*$C$3*$B$5,-2)</f>
        <v>0</v>
      </c>
      <c r="BQ141" s="523">
        <f>ROUND(AG141*G141*$C$3*$B$5,-2)</f>
        <v>0</v>
      </c>
      <c r="BR141" s="523">
        <f>ROUND(AJ141*G141*$B$5*$C$3,-2)</f>
        <v>0</v>
      </c>
      <c r="BS141" s="523">
        <f>ROUND(AM141*G141*$C$3*$B$5,-2)</f>
        <v>0</v>
      </c>
      <c r="BT141" s="523">
        <f>ROUND(AP141*G141*$C$3*$B$5,-2)</f>
        <v>0</v>
      </c>
      <c r="BU141" s="523">
        <f>ROUND(AS141*G141*$C$3*$B$5,-2)</f>
        <v>0</v>
      </c>
      <c r="BV141" s="523">
        <f>ROUND(AV141*G141*$C$3*$B$5,-2)</f>
        <v>0</v>
      </c>
      <c r="BW141" s="523">
        <f>ROUND(AY141*G141*$C$3*$B$5,-2)</f>
        <v>0</v>
      </c>
      <c r="BX141" s="523">
        <f>ROUND(BB141*G141*$C$3*$B$5,-2)</f>
        <v>0</v>
      </c>
      <c r="BY141" s="523">
        <f>ROUND(BE141*G141*$C$3*$B$5,-2)</f>
        <v>0</v>
      </c>
      <c r="BZ141" s="523">
        <f>ROUND(BH141*G141*$C$3*$B$5,-2)</f>
        <v>0</v>
      </c>
      <c r="CA141" s="354"/>
      <c r="CB141" s="354" t="b">
        <f t="shared" si="397"/>
        <v>0</v>
      </c>
      <c r="CC141" s="509" t="str">
        <f t="shared" si="398"/>
        <v>KT10.</v>
      </c>
      <c r="CD141" s="509" t="str">
        <f t="shared" si="399"/>
        <v>KT10.9,5</v>
      </c>
      <c r="CE141" s="351" t="str">
        <f t="shared" si="408"/>
        <v>Lò</v>
      </c>
      <c r="CF141" s="509" t="str">
        <f t="shared" si="400"/>
        <v>KT10.Lò</v>
      </c>
      <c r="CG141" s="509"/>
      <c r="CH141" s="509"/>
    </row>
    <row r="142" spans="1:86" ht="22.5" customHeight="1" x14ac:dyDescent="0.25">
      <c r="A142" s="354" t="e">
        <f t="shared" si="415"/>
        <v>#REF!</v>
      </c>
      <c r="B142" s="518"/>
      <c r="C142" s="519" t="s">
        <v>670</v>
      </c>
      <c r="D142" s="447" t="s">
        <v>14</v>
      </c>
      <c r="E142" s="447"/>
      <c r="F142" s="447"/>
      <c r="G142" s="520">
        <v>8.5</v>
      </c>
      <c r="H142" s="521">
        <v>0.7</v>
      </c>
      <c r="I142" s="522">
        <f t="shared" si="498"/>
        <v>330</v>
      </c>
      <c r="J142" s="522">
        <f t="shared" si="498"/>
        <v>0</v>
      </c>
      <c r="K142" s="522">
        <f t="shared" si="498"/>
        <v>330</v>
      </c>
      <c r="L142" s="57">
        <f>BN142+BR142+BV142+BZ142</f>
        <v>3300</v>
      </c>
      <c r="M142" s="60"/>
      <c r="N142" s="60"/>
      <c r="O142" s="60">
        <f>M142-N142</f>
        <v>0</v>
      </c>
      <c r="P142" s="60"/>
      <c r="Q142" s="60"/>
      <c r="R142" s="60">
        <f>P142-Q142</f>
        <v>0</v>
      </c>
      <c r="S142" s="824"/>
      <c r="T142" s="60"/>
      <c r="U142" s="60">
        <f>S142-T142</f>
        <v>0</v>
      </c>
      <c r="V142" s="60">
        <f>M142+P142+S142</f>
        <v>0</v>
      </c>
      <c r="W142" s="60"/>
      <c r="X142" s="60">
        <f>V142-W142</f>
        <v>0</v>
      </c>
      <c r="Y142" s="60"/>
      <c r="Z142" s="60"/>
      <c r="AA142" s="60">
        <f>Y142-Z142</f>
        <v>0</v>
      </c>
      <c r="AB142" s="60"/>
      <c r="AC142" s="60"/>
      <c r="AD142" s="60">
        <f>AB142-AC142</f>
        <v>0</v>
      </c>
      <c r="AE142" s="60"/>
      <c r="AF142" s="60"/>
      <c r="AG142" s="60">
        <f>AE142-AF142</f>
        <v>0</v>
      </c>
      <c r="AH142" s="60"/>
      <c r="AI142" s="60"/>
      <c r="AJ142" s="60">
        <f>AH142-AI142</f>
        <v>0</v>
      </c>
      <c r="AK142" s="60"/>
      <c r="AL142" s="60"/>
      <c r="AM142" s="60">
        <f>AK142-AL142</f>
        <v>0</v>
      </c>
      <c r="AN142" s="60">
        <v>80</v>
      </c>
      <c r="AO142" s="60"/>
      <c r="AP142" s="60">
        <f>AN142-AO142</f>
        <v>80</v>
      </c>
      <c r="AQ142" s="60">
        <v>80</v>
      </c>
      <c r="AR142" s="60"/>
      <c r="AS142" s="60">
        <f>AQ142-AR142</f>
        <v>80</v>
      </c>
      <c r="AT142" s="60">
        <f t="shared" si="499"/>
        <v>160</v>
      </c>
      <c r="AU142" s="60">
        <f t="shared" si="499"/>
        <v>0</v>
      </c>
      <c r="AV142" s="60">
        <f t="shared" si="499"/>
        <v>160</v>
      </c>
      <c r="AW142" s="60">
        <v>80</v>
      </c>
      <c r="AX142" s="60"/>
      <c r="AY142" s="60">
        <f>AW142-AX142</f>
        <v>80</v>
      </c>
      <c r="AZ142" s="60">
        <v>50</v>
      </c>
      <c r="BA142" s="60"/>
      <c r="BB142" s="60">
        <f>AZ142-BA142</f>
        <v>50</v>
      </c>
      <c r="BC142" s="60">
        <v>40</v>
      </c>
      <c r="BD142" s="60"/>
      <c r="BE142" s="60">
        <f>BC142-BD142</f>
        <v>40</v>
      </c>
      <c r="BF142" s="60">
        <f t="shared" ref="BF142:BG144" si="500">AW142+AZ142+BC142</f>
        <v>170</v>
      </c>
      <c r="BG142" s="60">
        <f t="shared" si="500"/>
        <v>0</v>
      </c>
      <c r="BH142" s="60">
        <f>AY142+BB142+BE142</f>
        <v>170</v>
      </c>
      <c r="BI142" s="508"/>
      <c r="BJ142" s="488" t="str">
        <f t="shared" si="407"/>
        <v>Lò</v>
      </c>
      <c r="BK142" s="523">
        <f>ROUND(O142*G142*$C$3*$B$5,-2)</f>
        <v>0</v>
      </c>
      <c r="BL142" s="523">
        <f>ROUND(R142*G142*$C$3*$B$5,-2)</f>
        <v>0</v>
      </c>
      <c r="BM142" s="523">
        <f>ROUND(U142*G142*$C$3*$B$5,-2)</f>
        <v>0</v>
      </c>
      <c r="BN142" s="523">
        <f>ROUND(X142*G142*$C$3*$B$5,-2)</f>
        <v>0</v>
      </c>
      <c r="BO142" s="523">
        <f>ROUND(AA142*G142*$C$3*$B$5,-2)</f>
        <v>0</v>
      </c>
      <c r="BP142" s="523">
        <f>ROUND(AD142*G142*$C$3*$B$5,-2)</f>
        <v>0</v>
      </c>
      <c r="BQ142" s="523">
        <f>ROUND(AG142*G142*$C$3*$B$5,-2)</f>
        <v>0</v>
      </c>
      <c r="BR142" s="523">
        <f>ROUND(AJ142*G142*$B$5*$C$3,-2)</f>
        <v>0</v>
      </c>
      <c r="BS142" s="523">
        <f>ROUND(AM142*G142*$C$3*$B$5,-2)</f>
        <v>0</v>
      </c>
      <c r="BT142" s="523">
        <f>ROUND(AP142*G142*$C$3*$B$5,-2)</f>
        <v>800</v>
      </c>
      <c r="BU142" s="523">
        <f>ROUND(AS142*G142*$C$3*$B$5,-2)</f>
        <v>800</v>
      </c>
      <c r="BV142" s="523">
        <f>ROUND(AV142*G142*$C$3*$B$5,-2)</f>
        <v>1600</v>
      </c>
      <c r="BW142" s="523">
        <f>ROUND(AY142*G142*$C$3*$B$5,-2)</f>
        <v>800</v>
      </c>
      <c r="BX142" s="523">
        <f>ROUND(BB142*G142*$C$3*$B$5,-2)</f>
        <v>500</v>
      </c>
      <c r="BY142" s="523">
        <f>ROUND(BE142*G142*$C$3*$B$5,-2)</f>
        <v>400</v>
      </c>
      <c r="BZ142" s="523">
        <f>ROUND(BH142*G142*$C$3*$B$5,-2)</f>
        <v>1700</v>
      </c>
      <c r="CA142" s="354"/>
      <c r="CB142" s="354" t="str">
        <f t="shared" si="397"/>
        <v>X</v>
      </c>
      <c r="CC142" s="509" t="str">
        <f t="shared" si="398"/>
        <v>KT10.</v>
      </c>
      <c r="CD142" s="509" t="str">
        <f t="shared" si="399"/>
        <v>KT10.8,5</v>
      </c>
      <c r="CE142" s="351" t="str">
        <f t="shared" si="408"/>
        <v>Lò</v>
      </c>
      <c r="CF142" s="509" t="str">
        <f t="shared" si="400"/>
        <v>KT10.Lò</v>
      </c>
      <c r="CG142" s="509"/>
      <c r="CH142" s="509"/>
    </row>
    <row r="143" spans="1:86" ht="22.5" customHeight="1" x14ac:dyDescent="0.25">
      <c r="A143" s="354" t="e">
        <f>A141</f>
        <v>#REF!</v>
      </c>
      <c r="B143" s="518"/>
      <c r="C143" s="519" t="s">
        <v>651</v>
      </c>
      <c r="D143" s="447" t="s">
        <v>206</v>
      </c>
      <c r="E143" s="447"/>
      <c r="F143" s="447"/>
      <c r="G143" s="520">
        <v>5.4</v>
      </c>
      <c r="H143" s="521">
        <v>0.7</v>
      </c>
      <c r="I143" s="522">
        <f t="shared" si="498"/>
        <v>60</v>
      </c>
      <c r="J143" s="522">
        <f t="shared" si="498"/>
        <v>8</v>
      </c>
      <c r="K143" s="522">
        <f t="shared" si="498"/>
        <v>52</v>
      </c>
      <c r="L143" s="57">
        <f>BN143+BR143+BV143+BZ143</f>
        <v>300</v>
      </c>
      <c r="M143" s="60"/>
      <c r="N143" s="60"/>
      <c r="O143" s="60">
        <f>M143-N143</f>
        <v>0</v>
      </c>
      <c r="P143" s="60"/>
      <c r="Q143" s="60"/>
      <c r="R143" s="60">
        <f>P143-Q143</f>
        <v>0</v>
      </c>
      <c r="S143" s="824"/>
      <c r="T143" s="60"/>
      <c r="U143" s="60">
        <f>S143-T143</f>
        <v>0</v>
      </c>
      <c r="V143" s="60">
        <f>M143+P143+S143</f>
        <v>0</v>
      </c>
      <c r="W143" s="60"/>
      <c r="X143" s="60">
        <f>V143-W143</f>
        <v>0</v>
      </c>
      <c r="Y143" s="60"/>
      <c r="Z143" s="60"/>
      <c r="AA143" s="60">
        <f>Y143-Z143</f>
        <v>0</v>
      </c>
      <c r="AB143" s="60"/>
      <c r="AC143" s="60"/>
      <c r="AD143" s="60">
        <f>AB143-AC143</f>
        <v>0</v>
      </c>
      <c r="AE143" s="60">
        <v>60</v>
      </c>
      <c r="AF143" s="60">
        <v>8</v>
      </c>
      <c r="AG143" s="60">
        <f>AE143-AF143</f>
        <v>52</v>
      </c>
      <c r="AH143" s="60">
        <f t="shared" ref="AH143:AJ144" si="501">Y143+AB143+AE143</f>
        <v>60</v>
      </c>
      <c r="AI143" s="60">
        <f t="shared" si="501"/>
        <v>8</v>
      </c>
      <c r="AJ143" s="60">
        <f t="shared" si="501"/>
        <v>52</v>
      </c>
      <c r="AK143" s="60"/>
      <c r="AL143" s="60"/>
      <c r="AM143" s="60">
        <f>AK143-AL143</f>
        <v>0</v>
      </c>
      <c r="AN143" s="60"/>
      <c r="AO143" s="60"/>
      <c r="AP143" s="60">
        <f>AN143-AO143</f>
        <v>0</v>
      </c>
      <c r="AQ143" s="60"/>
      <c r="AR143" s="60"/>
      <c r="AS143" s="60">
        <f>AQ143-AR143</f>
        <v>0</v>
      </c>
      <c r="AT143" s="60">
        <f t="shared" ref="AT143:AV144" si="502">AK143+AN143+AQ143</f>
        <v>0</v>
      </c>
      <c r="AU143" s="60">
        <f t="shared" si="502"/>
        <v>0</v>
      </c>
      <c r="AV143" s="60">
        <f t="shared" si="502"/>
        <v>0</v>
      </c>
      <c r="AW143" s="60"/>
      <c r="AX143" s="60"/>
      <c r="AY143" s="60">
        <f>AW143-AX143</f>
        <v>0</v>
      </c>
      <c r="AZ143" s="60"/>
      <c r="BA143" s="60"/>
      <c r="BB143" s="60">
        <f>AZ143-BA143</f>
        <v>0</v>
      </c>
      <c r="BC143" s="60"/>
      <c r="BD143" s="60"/>
      <c r="BE143" s="60">
        <f>BC143-BD143</f>
        <v>0</v>
      </c>
      <c r="BF143" s="60">
        <f t="shared" si="500"/>
        <v>0</v>
      </c>
      <c r="BG143" s="60">
        <f t="shared" si="500"/>
        <v>0</v>
      </c>
      <c r="BH143" s="60">
        <f>AY143+BB143+BE143</f>
        <v>0</v>
      </c>
      <c r="BI143" s="508"/>
      <c r="BJ143" s="488" t="str">
        <f t="shared" si="407"/>
        <v>Lò</v>
      </c>
      <c r="BK143" s="523">
        <f>ROUND(O143*G143*$C$3*$B$5,-2)</f>
        <v>0</v>
      </c>
      <c r="BL143" s="523">
        <f>ROUND(R143*G143*$C$3*$B$5,-2)</f>
        <v>0</v>
      </c>
      <c r="BM143" s="523">
        <f>ROUND(U143*G143*$C$3*$B$5,-2)</f>
        <v>0</v>
      </c>
      <c r="BN143" s="523">
        <f>ROUND(X143*G143*$C$3*$B$5,-2)</f>
        <v>0</v>
      </c>
      <c r="BO143" s="523">
        <f>ROUND(AA143*G143*$C$3*$B$5,-2)</f>
        <v>0</v>
      </c>
      <c r="BP143" s="523">
        <f>ROUND(AD143*G143*$C$3*$B$5,-2)</f>
        <v>0</v>
      </c>
      <c r="BQ143" s="523">
        <f>ROUND(AG143*G143*$C$3*$B$5,-2)</f>
        <v>300</v>
      </c>
      <c r="BR143" s="523">
        <f>ROUND(AJ143*G143*$B$5*$C$3,-2)</f>
        <v>300</v>
      </c>
      <c r="BS143" s="523">
        <f>ROUND(AM143*G143*$C$3*$B$5,-2)</f>
        <v>0</v>
      </c>
      <c r="BT143" s="523">
        <f>ROUND(AP143*G143*$C$3*$B$5,-2)</f>
        <v>0</v>
      </c>
      <c r="BU143" s="523">
        <f>ROUND(AS143*G143*$C$3*$B$5,-2)</f>
        <v>0</v>
      </c>
      <c r="BV143" s="523">
        <f>ROUND(AV143*G143*$C$3*$B$5,-2)</f>
        <v>0</v>
      </c>
      <c r="BW143" s="523">
        <f>ROUND(AY143*G143*$C$3*$B$5,-2)</f>
        <v>0</v>
      </c>
      <c r="BX143" s="523">
        <f>ROUND(BB143*G143*$C$3*$B$5,-2)</f>
        <v>0</v>
      </c>
      <c r="BY143" s="523">
        <f>ROUND(BE143*G143*$C$3*$B$5,-2)</f>
        <v>0</v>
      </c>
      <c r="BZ143" s="523">
        <f>ROUND(BH143*G143*$C$3*$B$5,-2)</f>
        <v>0</v>
      </c>
      <c r="CA143" s="354"/>
      <c r="CB143" s="354" t="str">
        <f>IF(SUM(I143:L143)&lt;&gt;0,"X")</f>
        <v>X</v>
      </c>
      <c r="CC143" s="509" t="str">
        <f>CC141</f>
        <v>KT10.</v>
      </c>
      <c r="CD143" s="509" t="str">
        <f>CC143&amp;G143</f>
        <v>KT10.5,4</v>
      </c>
      <c r="CE143" s="351" t="str">
        <f t="shared" si="408"/>
        <v>Lò</v>
      </c>
      <c r="CF143" s="509" t="str">
        <f>CC143&amp;CE143</f>
        <v>KT10.Lò</v>
      </c>
      <c r="CG143" s="509"/>
      <c r="CH143" s="509"/>
    </row>
    <row r="144" spans="1:86" ht="22.5" customHeight="1" x14ac:dyDescent="0.25">
      <c r="A144" s="354" t="e">
        <f>A142</f>
        <v>#REF!</v>
      </c>
      <c r="B144" s="518"/>
      <c r="C144" s="519" t="s">
        <v>845</v>
      </c>
      <c r="D144" s="447" t="s">
        <v>207</v>
      </c>
      <c r="E144" s="447" t="s">
        <v>207</v>
      </c>
      <c r="F144" s="447"/>
      <c r="G144" s="520">
        <v>11.2</v>
      </c>
      <c r="H144" s="521">
        <v>0.7</v>
      </c>
      <c r="I144" s="522">
        <f t="shared" si="498"/>
        <v>75</v>
      </c>
      <c r="J144" s="522">
        <f t="shared" si="498"/>
        <v>35</v>
      </c>
      <c r="K144" s="522">
        <f t="shared" si="498"/>
        <v>40</v>
      </c>
      <c r="L144" s="57">
        <f>BN144+BR144+BV144+BZ144</f>
        <v>500</v>
      </c>
      <c r="M144" s="60">
        <v>45</v>
      </c>
      <c r="N144" s="60">
        <v>25</v>
      </c>
      <c r="O144" s="60">
        <f>M144-N144</f>
        <v>20</v>
      </c>
      <c r="P144" s="60">
        <v>30</v>
      </c>
      <c r="Q144" s="60">
        <v>10</v>
      </c>
      <c r="R144" s="60">
        <f>P144-Q144</f>
        <v>20</v>
      </c>
      <c r="S144" s="824"/>
      <c r="T144" s="60"/>
      <c r="U144" s="60">
        <f>S144-T144</f>
        <v>0</v>
      </c>
      <c r="V144" s="60">
        <f>M144+P144+S144</f>
        <v>75</v>
      </c>
      <c r="W144" s="60">
        <f>N144+Q144+T144</f>
        <v>35</v>
      </c>
      <c r="X144" s="60">
        <f>O144+R144+U144</f>
        <v>40</v>
      </c>
      <c r="Y144" s="60"/>
      <c r="Z144" s="60"/>
      <c r="AA144" s="60">
        <f>Y144-Z144</f>
        <v>0</v>
      </c>
      <c r="AB144" s="60"/>
      <c r="AC144" s="60"/>
      <c r="AD144" s="60">
        <f>AB144-AC144</f>
        <v>0</v>
      </c>
      <c r="AE144" s="60"/>
      <c r="AF144" s="60"/>
      <c r="AG144" s="60">
        <f>AE144-AF144</f>
        <v>0</v>
      </c>
      <c r="AH144" s="60">
        <f t="shared" si="501"/>
        <v>0</v>
      </c>
      <c r="AI144" s="60">
        <f t="shared" si="501"/>
        <v>0</v>
      </c>
      <c r="AJ144" s="60">
        <f t="shared" si="501"/>
        <v>0</v>
      </c>
      <c r="AK144" s="60"/>
      <c r="AL144" s="60"/>
      <c r="AM144" s="60">
        <f>AK144-AL144</f>
        <v>0</v>
      </c>
      <c r="AN144" s="60"/>
      <c r="AO144" s="60"/>
      <c r="AP144" s="60">
        <f>AN144-AO144</f>
        <v>0</v>
      </c>
      <c r="AQ144" s="60"/>
      <c r="AR144" s="60"/>
      <c r="AS144" s="60">
        <f>AQ144-AR144</f>
        <v>0</v>
      </c>
      <c r="AT144" s="60">
        <f t="shared" si="502"/>
        <v>0</v>
      </c>
      <c r="AU144" s="60">
        <f t="shared" si="502"/>
        <v>0</v>
      </c>
      <c r="AV144" s="60">
        <f t="shared" si="502"/>
        <v>0</v>
      </c>
      <c r="AW144" s="60"/>
      <c r="AX144" s="60"/>
      <c r="AY144" s="60">
        <f>AW144-AX144</f>
        <v>0</v>
      </c>
      <c r="AZ144" s="60"/>
      <c r="BA144" s="60"/>
      <c r="BB144" s="60">
        <f>AZ144-BA144</f>
        <v>0</v>
      </c>
      <c r="BC144" s="60"/>
      <c r="BD144" s="60"/>
      <c r="BE144" s="60">
        <f>BC144-BD144</f>
        <v>0</v>
      </c>
      <c r="BF144" s="60">
        <f t="shared" si="500"/>
        <v>0</v>
      </c>
      <c r="BG144" s="60">
        <f t="shared" si="500"/>
        <v>0</v>
      </c>
      <c r="BH144" s="60">
        <f>AY144+BB144+BE144</f>
        <v>0</v>
      </c>
      <c r="BI144" s="508"/>
      <c r="BJ144" s="488" t="str">
        <f t="shared" si="407"/>
        <v>Lò</v>
      </c>
      <c r="BK144" s="523">
        <f>ROUND(O144*G144*$C$3*$B$5,-2)</f>
        <v>300</v>
      </c>
      <c r="BL144" s="523">
        <f>ROUND(R144*G144*$C$3*$B$5,-2)</f>
        <v>300</v>
      </c>
      <c r="BM144" s="523">
        <f>ROUND(U144*G144*$C$3*$B$5,-2)</f>
        <v>0</v>
      </c>
      <c r="BN144" s="523">
        <f>ROUND(X144*G144*$C$3*$B$5,-2)</f>
        <v>500</v>
      </c>
      <c r="BO144" s="523">
        <f>ROUND(AA144*G144*$C$3*$B$5,-2)</f>
        <v>0</v>
      </c>
      <c r="BP144" s="523">
        <f>ROUND(AD144*G144*$C$3*$B$5,-2)</f>
        <v>0</v>
      </c>
      <c r="BQ144" s="523">
        <f>ROUND(AG144*G144*$C$3*$B$5,-2)</f>
        <v>0</v>
      </c>
      <c r="BR144" s="523">
        <f>ROUND(AJ144*G144*$B$5*$C$3,-2)</f>
        <v>0</v>
      </c>
      <c r="BS144" s="523">
        <f>ROUND(AM144*G144*$C$3*$B$5,-2)</f>
        <v>0</v>
      </c>
      <c r="BT144" s="523">
        <f>ROUND(AP144*G144*$C$3*$B$5,-2)</f>
        <v>0</v>
      </c>
      <c r="BU144" s="523">
        <f>ROUND(AS144*G144*$C$3*$B$5,-2)</f>
        <v>0</v>
      </c>
      <c r="BV144" s="523">
        <f>ROUND(AV144*G144*$C$3*$B$5,-2)</f>
        <v>0</v>
      </c>
      <c r="BW144" s="523">
        <f>ROUND(AY144*G144*$C$3*$B$5,-2)</f>
        <v>0</v>
      </c>
      <c r="BX144" s="523">
        <f>ROUND(BB144*G144*$C$3*$B$5,-2)</f>
        <v>0</v>
      </c>
      <c r="BY144" s="523">
        <f>ROUND(BE144*G144*$C$3*$B$5,-2)</f>
        <v>0</v>
      </c>
      <c r="BZ144" s="523">
        <f>ROUND(BH144*G144*$C$3*$B$5,-2)</f>
        <v>0</v>
      </c>
      <c r="CA144" s="354"/>
      <c r="CB144" s="354" t="str">
        <f t="shared" si="397"/>
        <v>X</v>
      </c>
      <c r="CC144" s="509" t="str">
        <f>CC142</f>
        <v>KT10.</v>
      </c>
      <c r="CD144" s="509" t="str">
        <f t="shared" si="399"/>
        <v>KT10.11,2</v>
      </c>
      <c r="CE144" s="351" t="str">
        <f t="shared" si="408"/>
        <v>Lò</v>
      </c>
      <c r="CF144" s="509" t="str">
        <f t="shared" si="400"/>
        <v>KT10.Lò</v>
      </c>
      <c r="CG144" s="509"/>
      <c r="CH144" s="509"/>
    </row>
    <row r="145" spans="1:86" s="359" customFormat="1" ht="21.75" customHeight="1" x14ac:dyDescent="0.3">
      <c r="A145" s="354" t="e">
        <f>A144</f>
        <v>#REF!</v>
      </c>
      <c r="B145" s="525" t="s">
        <v>37</v>
      </c>
      <c r="C145" s="526" t="s">
        <v>178</v>
      </c>
      <c r="D145" s="527"/>
      <c r="E145" s="527"/>
      <c r="F145" s="527"/>
      <c r="G145" s="528"/>
      <c r="H145" s="529"/>
      <c r="I145" s="70">
        <f t="shared" ref="I145:AN145" si="503">SUM(I146:I147)</f>
        <v>260</v>
      </c>
      <c r="J145" s="70">
        <f t="shared" si="503"/>
        <v>80</v>
      </c>
      <c r="K145" s="70">
        <f t="shared" si="503"/>
        <v>180</v>
      </c>
      <c r="L145" s="70">
        <f t="shared" si="503"/>
        <v>600</v>
      </c>
      <c r="M145" s="210">
        <f t="shared" si="503"/>
        <v>0</v>
      </c>
      <c r="N145" s="210">
        <f t="shared" si="503"/>
        <v>0</v>
      </c>
      <c r="O145" s="210">
        <f t="shared" si="503"/>
        <v>0</v>
      </c>
      <c r="P145" s="210">
        <f t="shared" si="503"/>
        <v>0</v>
      </c>
      <c r="Q145" s="210">
        <f t="shared" si="503"/>
        <v>0</v>
      </c>
      <c r="R145" s="210">
        <f t="shared" si="503"/>
        <v>0</v>
      </c>
      <c r="S145" s="829">
        <f t="shared" si="503"/>
        <v>0</v>
      </c>
      <c r="T145" s="210">
        <f t="shared" si="503"/>
        <v>0</v>
      </c>
      <c r="U145" s="210">
        <f t="shared" si="503"/>
        <v>0</v>
      </c>
      <c r="V145" s="224">
        <f t="shared" si="503"/>
        <v>0</v>
      </c>
      <c r="W145" s="224">
        <f t="shared" si="503"/>
        <v>0</v>
      </c>
      <c r="X145" s="224">
        <f t="shared" si="503"/>
        <v>0</v>
      </c>
      <c r="Y145" s="210">
        <f t="shared" si="503"/>
        <v>0</v>
      </c>
      <c r="Z145" s="210">
        <f t="shared" si="503"/>
        <v>0</v>
      </c>
      <c r="AA145" s="210">
        <f t="shared" si="503"/>
        <v>0</v>
      </c>
      <c r="AB145" s="210">
        <f t="shared" si="503"/>
        <v>0</v>
      </c>
      <c r="AC145" s="210">
        <f t="shared" si="503"/>
        <v>0</v>
      </c>
      <c r="AD145" s="210">
        <f t="shared" si="503"/>
        <v>0</v>
      </c>
      <c r="AE145" s="210">
        <f t="shared" si="503"/>
        <v>0</v>
      </c>
      <c r="AF145" s="210">
        <f t="shared" si="503"/>
        <v>0</v>
      </c>
      <c r="AG145" s="210">
        <f t="shared" si="503"/>
        <v>0</v>
      </c>
      <c r="AH145" s="224">
        <f t="shared" si="503"/>
        <v>0</v>
      </c>
      <c r="AI145" s="224">
        <f t="shared" si="503"/>
        <v>0</v>
      </c>
      <c r="AJ145" s="224">
        <f t="shared" si="503"/>
        <v>0</v>
      </c>
      <c r="AK145" s="210">
        <f t="shared" si="503"/>
        <v>0</v>
      </c>
      <c r="AL145" s="210">
        <f t="shared" si="503"/>
        <v>0</v>
      </c>
      <c r="AM145" s="210">
        <f t="shared" si="503"/>
        <v>0</v>
      </c>
      <c r="AN145" s="210">
        <f t="shared" si="503"/>
        <v>20</v>
      </c>
      <c r="AO145" s="210">
        <f t="shared" ref="AO145:BH145" si="504">SUM(AO146:AO147)</f>
        <v>0</v>
      </c>
      <c r="AP145" s="210">
        <f t="shared" si="504"/>
        <v>20</v>
      </c>
      <c r="AQ145" s="210">
        <f t="shared" si="504"/>
        <v>20</v>
      </c>
      <c r="AR145" s="210">
        <f t="shared" si="504"/>
        <v>0</v>
      </c>
      <c r="AS145" s="210">
        <f t="shared" si="504"/>
        <v>20</v>
      </c>
      <c r="AT145" s="224">
        <f t="shared" si="504"/>
        <v>40</v>
      </c>
      <c r="AU145" s="224">
        <f t="shared" si="504"/>
        <v>0</v>
      </c>
      <c r="AV145" s="224">
        <f t="shared" si="504"/>
        <v>40</v>
      </c>
      <c r="AW145" s="210">
        <f t="shared" si="504"/>
        <v>20</v>
      </c>
      <c r="AX145" s="210">
        <f t="shared" si="504"/>
        <v>10</v>
      </c>
      <c r="AY145" s="210">
        <f t="shared" si="504"/>
        <v>10</v>
      </c>
      <c r="AZ145" s="210">
        <f t="shared" si="504"/>
        <v>20</v>
      </c>
      <c r="BA145" s="210">
        <v>20</v>
      </c>
      <c r="BB145" s="210">
        <f t="shared" si="504"/>
        <v>0</v>
      </c>
      <c r="BC145" s="210">
        <f t="shared" si="504"/>
        <v>20</v>
      </c>
      <c r="BD145" s="210">
        <f t="shared" si="504"/>
        <v>0</v>
      </c>
      <c r="BE145" s="210">
        <f t="shared" si="504"/>
        <v>20</v>
      </c>
      <c r="BF145" s="224">
        <f t="shared" si="504"/>
        <v>220</v>
      </c>
      <c r="BG145" s="224">
        <f t="shared" si="504"/>
        <v>80</v>
      </c>
      <c r="BH145" s="224">
        <f t="shared" si="504"/>
        <v>140</v>
      </c>
      <c r="BI145" s="530"/>
      <c r="BJ145" s="488" t="str">
        <f t="shared" ref="BJ145:BJ176" si="505">LEFT(C145,2)</f>
        <v>XL</v>
      </c>
      <c r="BK145" s="225">
        <f>SUM(BK146:BK147)</f>
        <v>0</v>
      </c>
      <c r="BL145" s="225">
        <f t="shared" ref="BL145:BZ145" si="506">SUM(BL146:BL147)</f>
        <v>0</v>
      </c>
      <c r="BM145" s="225">
        <f t="shared" si="506"/>
        <v>0</v>
      </c>
      <c r="BN145" s="225">
        <f t="shared" si="506"/>
        <v>0</v>
      </c>
      <c r="BO145" s="225">
        <f t="shared" si="506"/>
        <v>0</v>
      </c>
      <c r="BP145" s="225">
        <f t="shared" si="506"/>
        <v>0</v>
      </c>
      <c r="BQ145" s="225">
        <f t="shared" si="506"/>
        <v>0</v>
      </c>
      <c r="BR145" s="225">
        <f t="shared" si="506"/>
        <v>0</v>
      </c>
      <c r="BS145" s="225">
        <f t="shared" si="506"/>
        <v>0</v>
      </c>
      <c r="BT145" s="225">
        <f t="shared" si="506"/>
        <v>100</v>
      </c>
      <c r="BU145" s="225">
        <f t="shared" si="506"/>
        <v>100</v>
      </c>
      <c r="BV145" s="225">
        <f t="shared" si="506"/>
        <v>200</v>
      </c>
      <c r="BW145" s="225">
        <f t="shared" si="506"/>
        <v>0</v>
      </c>
      <c r="BX145" s="225">
        <f t="shared" si="506"/>
        <v>0</v>
      </c>
      <c r="BY145" s="225">
        <f t="shared" si="506"/>
        <v>100</v>
      </c>
      <c r="BZ145" s="225">
        <f t="shared" si="506"/>
        <v>400</v>
      </c>
      <c r="CA145" s="510"/>
      <c r="CB145" s="510" t="str">
        <f t="shared" si="397"/>
        <v>X</v>
      </c>
      <c r="CC145" s="509" t="str">
        <f>CC144</f>
        <v>KT10.</v>
      </c>
      <c r="CD145" s="509" t="str">
        <f t="shared" si="399"/>
        <v>KT10.</v>
      </c>
      <c r="CE145" s="351" t="str">
        <f t="shared" ref="CE145:CE176" si="507">LEFT(C145,2)</f>
        <v>XL</v>
      </c>
      <c r="CF145" s="509" t="str">
        <f t="shared" si="400"/>
        <v>KT10.XL</v>
      </c>
      <c r="CG145" s="509"/>
      <c r="CH145" s="509"/>
    </row>
    <row r="146" spans="1:86" ht="21" customHeight="1" x14ac:dyDescent="0.25">
      <c r="A146" s="354" t="e">
        <f t="shared" si="415"/>
        <v>#REF!</v>
      </c>
      <c r="B146" s="484"/>
      <c r="C146" s="531" t="s">
        <v>672</v>
      </c>
      <c r="D146" s="447" t="s">
        <v>14</v>
      </c>
      <c r="E146" s="447"/>
      <c r="F146" s="447"/>
      <c r="G146" s="520">
        <v>13.1</v>
      </c>
      <c r="H146" s="521">
        <v>0.7</v>
      </c>
      <c r="I146" s="522">
        <f t="shared" ref="I146:K147" si="508">V146+AH146+AT146+BF146</f>
        <v>220</v>
      </c>
      <c r="J146" s="522">
        <f t="shared" si="508"/>
        <v>80</v>
      </c>
      <c r="K146" s="522">
        <f t="shared" si="508"/>
        <v>140</v>
      </c>
      <c r="L146" s="57">
        <f>BN146+BR146+BV146+BZ146</f>
        <v>400</v>
      </c>
      <c r="M146" s="60"/>
      <c r="N146" s="60"/>
      <c r="O146" s="60">
        <f>M146-N146</f>
        <v>0</v>
      </c>
      <c r="P146" s="60"/>
      <c r="Q146" s="60"/>
      <c r="R146" s="60">
        <f>P146-Q146</f>
        <v>0</v>
      </c>
      <c r="S146" s="824"/>
      <c r="T146" s="60"/>
      <c r="U146" s="60">
        <f>S146-T146</f>
        <v>0</v>
      </c>
      <c r="V146" s="60">
        <f t="shared" ref="V146:X147" si="509">M146+P146+S146</f>
        <v>0</v>
      </c>
      <c r="W146" s="60">
        <f t="shared" si="509"/>
        <v>0</v>
      </c>
      <c r="X146" s="60">
        <f t="shared" si="509"/>
        <v>0</v>
      </c>
      <c r="Y146" s="60"/>
      <c r="Z146" s="60"/>
      <c r="AA146" s="60">
        <f>Y146-Z146</f>
        <v>0</v>
      </c>
      <c r="AB146" s="60"/>
      <c r="AC146" s="60"/>
      <c r="AD146" s="60">
        <f>AB146-AC146</f>
        <v>0</v>
      </c>
      <c r="AE146" s="60"/>
      <c r="AF146" s="60"/>
      <c r="AG146" s="60">
        <f>AE146-AF146</f>
        <v>0</v>
      </c>
      <c r="AH146" s="60">
        <f t="shared" ref="AH146:AJ147" si="510">Y146+AB146+AE146</f>
        <v>0</v>
      </c>
      <c r="AI146" s="60">
        <f t="shared" si="510"/>
        <v>0</v>
      </c>
      <c r="AJ146" s="60">
        <f t="shared" si="510"/>
        <v>0</v>
      </c>
      <c r="AK146" s="60"/>
      <c r="AL146" s="60"/>
      <c r="AM146" s="60">
        <f>AK146-AL146</f>
        <v>0</v>
      </c>
      <c r="AN146" s="60"/>
      <c r="AO146" s="60"/>
      <c r="AP146" s="60">
        <f>AN146-AO146</f>
        <v>0</v>
      </c>
      <c r="AQ146" s="60">
        <v>20</v>
      </c>
      <c r="AR146" s="60"/>
      <c r="AS146" s="60">
        <f>AQ146-AR146</f>
        <v>20</v>
      </c>
      <c r="AT146" s="60">
        <f t="shared" ref="AT146:AV147" si="511">AK146+AN146+AQ146</f>
        <v>20</v>
      </c>
      <c r="AU146" s="60">
        <f t="shared" si="511"/>
        <v>0</v>
      </c>
      <c r="AV146" s="60">
        <f t="shared" si="511"/>
        <v>20</v>
      </c>
      <c r="AW146" s="60">
        <v>20</v>
      </c>
      <c r="AX146" s="60">
        <v>10</v>
      </c>
      <c r="AY146" s="60">
        <f>AW146-AX146</f>
        <v>10</v>
      </c>
      <c r="AZ146" s="60">
        <v>20</v>
      </c>
      <c r="BA146" s="60">
        <v>20</v>
      </c>
      <c r="BB146" s="60">
        <f>AZ146-BA146</f>
        <v>0</v>
      </c>
      <c r="BC146" s="60"/>
      <c r="BD146" s="60"/>
      <c r="BE146" s="60">
        <f>BC146-BD146</f>
        <v>0</v>
      </c>
      <c r="BF146" s="60">
        <v>200</v>
      </c>
      <c r="BG146" s="60">
        <v>80</v>
      </c>
      <c r="BH146" s="60">
        <f>BF146-BG146</f>
        <v>120</v>
      </c>
      <c r="BI146" s="508"/>
      <c r="BJ146" s="488" t="str">
        <f t="shared" si="505"/>
        <v>Xé</v>
      </c>
      <c r="BK146" s="523">
        <f>ROUND(O146*G146*$B$6,-2)</f>
        <v>0</v>
      </c>
      <c r="BL146" s="523">
        <f>ROUND(R146*G146*$B$6,-2)</f>
        <v>0</v>
      </c>
      <c r="BM146" s="523">
        <f>ROUND(U146*G146*$B$6,-2)</f>
        <v>0</v>
      </c>
      <c r="BN146" s="523">
        <f>ROUND(X146*G146*$B$6,-2)</f>
        <v>0</v>
      </c>
      <c r="BO146" s="523">
        <f>ROUND(AA146*G146*$B$6,-2)</f>
        <v>0</v>
      </c>
      <c r="BP146" s="523">
        <f>ROUND(AD146*G146*$B$6,-2)</f>
        <v>0</v>
      </c>
      <c r="BQ146" s="523">
        <f>ROUND(AG146*G146*$B$6,-2)</f>
        <v>0</v>
      </c>
      <c r="BR146" s="523">
        <f>ROUND(AJ146*G146*$B$6,-2)</f>
        <v>0</v>
      </c>
      <c r="BS146" s="523">
        <f>ROUND(AM146*G146*$B$6,-2)</f>
        <v>0</v>
      </c>
      <c r="BT146" s="523">
        <f>ROUND(AP146*G146*$B$6,-2)</f>
        <v>0</v>
      </c>
      <c r="BU146" s="523">
        <f>ROUND(AS146*G146*$B$6,-2)</f>
        <v>100</v>
      </c>
      <c r="BV146" s="523">
        <f>ROUND(AV146*G146*$B$6,-2)</f>
        <v>100</v>
      </c>
      <c r="BW146" s="523">
        <f>ROUND(AY146*G146*$B$6,-2)</f>
        <v>0</v>
      </c>
      <c r="BX146" s="523">
        <f>ROUND(BB146*G146*$B$6,-2)</f>
        <v>0</v>
      </c>
      <c r="BY146" s="523">
        <f>ROUND(BE146*G146*$B$6,-2)</f>
        <v>0</v>
      </c>
      <c r="BZ146" s="523">
        <f>ROUND(BH146*G146*$B$6,-2)</f>
        <v>300</v>
      </c>
      <c r="CA146" s="354"/>
      <c r="CB146" s="354" t="str">
        <f t="shared" si="397"/>
        <v>X</v>
      </c>
      <c r="CC146" s="509" t="str">
        <f t="shared" si="398"/>
        <v>KT10.</v>
      </c>
      <c r="CD146" s="509" t="str">
        <f t="shared" si="399"/>
        <v>KT10.13,1</v>
      </c>
      <c r="CE146" s="351" t="str">
        <f t="shared" si="507"/>
        <v>Xé</v>
      </c>
      <c r="CF146" s="509" t="str">
        <f t="shared" si="400"/>
        <v>KT10.Xé</v>
      </c>
      <c r="CG146" s="509"/>
      <c r="CH146" s="509"/>
    </row>
    <row r="147" spans="1:86" ht="24.75" customHeight="1" x14ac:dyDescent="0.25">
      <c r="A147" s="354" t="e">
        <f t="shared" si="415"/>
        <v>#REF!</v>
      </c>
      <c r="B147" s="484"/>
      <c r="C147" s="531" t="s">
        <v>802</v>
      </c>
      <c r="D147" s="447" t="s">
        <v>14</v>
      </c>
      <c r="E147" s="447"/>
      <c r="F147" s="447"/>
      <c r="G147" s="520">
        <v>13.1</v>
      </c>
      <c r="H147" s="521">
        <v>0.7</v>
      </c>
      <c r="I147" s="522">
        <f t="shared" si="508"/>
        <v>40</v>
      </c>
      <c r="J147" s="522">
        <f t="shared" si="508"/>
        <v>0</v>
      </c>
      <c r="K147" s="522">
        <f t="shared" si="508"/>
        <v>40</v>
      </c>
      <c r="L147" s="57">
        <f>BN147+BR147+BV147+BZ147</f>
        <v>200</v>
      </c>
      <c r="M147" s="60"/>
      <c r="N147" s="60"/>
      <c r="O147" s="60">
        <f>M147-N147</f>
        <v>0</v>
      </c>
      <c r="P147" s="60"/>
      <c r="Q147" s="60"/>
      <c r="R147" s="60">
        <f>P147-Q147</f>
        <v>0</v>
      </c>
      <c r="S147" s="824"/>
      <c r="T147" s="60"/>
      <c r="U147" s="60">
        <f>S147-T147</f>
        <v>0</v>
      </c>
      <c r="V147" s="60">
        <f t="shared" si="509"/>
        <v>0</v>
      </c>
      <c r="W147" s="60">
        <f t="shared" si="509"/>
        <v>0</v>
      </c>
      <c r="X147" s="60">
        <f t="shared" si="509"/>
        <v>0</v>
      </c>
      <c r="Y147" s="60"/>
      <c r="Z147" s="60"/>
      <c r="AA147" s="60">
        <f>Y147-Z147</f>
        <v>0</v>
      </c>
      <c r="AB147" s="60"/>
      <c r="AC147" s="60"/>
      <c r="AD147" s="60">
        <f>AB147-AC147</f>
        <v>0</v>
      </c>
      <c r="AE147" s="60"/>
      <c r="AF147" s="60"/>
      <c r="AG147" s="60">
        <f>AE147-AF147</f>
        <v>0</v>
      </c>
      <c r="AH147" s="60">
        <f t="shared" si="510"/>
        <v>0</v>
      </c>
      <c r="AI147" s="60">
        <f t="shared" si="510"/>
        <v>0</v>
      </c>
      <c r="AJ147" s="60">
        <f t="shared" si="510"/>
        <v>0</v>
      </c>
      <c r="AK147" s="60"/>
      <c r="AL147" s="60"/>
      <c r="AM147" s="60">
        <f>AK147-AL147</f>
        <v>0</v>
      </c>
      <c r="AN147" s="60">
        <v>20</v>
      </c>
      <c r="AO147" s="60"/>
      <c r="AP147" s="60">
        <f>AN147-AO147</f>
        <v>20</v>
      </c>
      <c r="AQ147" s="60"/>
      <c r="AR147" s="60"/>
      <c r="AS147" s="60">
        <f>AQ147-AR147</f>
        <v>0</v>
      </c>
      <c r="AT147" s="60">
        <f t="shared" si="511"/>
        <v>20</v>
      </c>
      <c r="AU147" s="60">
        <f t="shared" si="511"/>
        <v>0</v>
      </c>
      <c r="AV147" s="60">
        <f t="shared" si="511"/>
        <v>20</v>
      </c>
      <c r="AW147" s="60"/>
      <c r="AX147" s="60"/>
      <c r="AY147" s="60">
        <f>AW147-AX147</f>
        <v>0</v>
      </c>
      <c r="AZ147" s="60"/>
      <c r="BA147" s="60"/>
      <c r="BB147" s="60">
        <f>AZ147-BA147</f>
        <v>0</v>
      </c>
      <c r="BC147" s="60">
        <v>20</v>
      </c>
      <c r="BD147" s="60"/>
      <c r="BE147" s="60">
        <f>BC147-BD147</f>
        <v>20</v>
      </c>
      <c r="BF147" s="60">
        <f>AW147+AZ147+BC147</f>
        <v>20</v>
      </c>
      <c r="BG147" s="60">
        <f>AX147+BA147+BD147</f>
        <v>0</v>
      </c>
      <c r="BH147" s="60">
        <f>AY147+BB147+BE147</f>
        <v>20</v>
      </c>
      <c r="BI147" s="508"/>
      <c r="BJ147" s="488" t="str">
        <f t="shared" si="505"/>
        <v>Xé</v>
      </c>
      <c r="BK147" s="523">
        <f>ROUND(O147*G147*$B$6,-2)</f>
        <v>0</v>
      </c>
      <c r="BL147" s="523">
        <f>ROUND(R147*G147*$B$6,-2)</f>
        <v>0</v>
      </c>
      <c r="BM147" s="523">
        <f>ROUND(U147*G147*$B$6,-2)</f>
        <v>0</v>
      </c>
      <c r="BN147" s="523">
        <f>ROUND(X147*G147*$B$6,-2)</f>
        <v>0</v>
      </c>
      <c r="BO147" s="523">
        <f>ROUND(AA147*G147*$B$6,-2)</f>
        <v>0</v>
      </c>
      <c r="BP147" s="523">
        <f>ROUND(AD147*G147*$B$6,-2)</f>
        <v>0</v>
      </c>
      <c r="BQ147" s="523">
        <f>ROUND(AG147*G147*$B$6,-2)</f>
        <v>0</v>
      </c>
      <c r="BR147" s="523">
        <f>ROUND(AJ147*G147*$B$6,-2)</f>
        <v>0</v>
      </c>
      <c r="BS147" s="523">
        <f>ROUND(AM147*G147*$B$6,-2)</f>
        <v>0</v>
      </c>
      <c r="BT147" s="523">
        <f>ROUND(AP147*G147*$B$6,-2)</f>
        <v>100</v>
      </c>
      <c r="BU147" s="523">
        <f>ROUND(AS147*G147*$B$6,-2)</f>
        <v>0</v>
      </c>
      <c r="BV147" s="523">
        <f>ROUND(AV147*G147*$B$6,-2)</f>
        <v>100</v>
      </c>
      <c r="BW147" s="523">
        <f>ROUND(AY147*G147*$B$6,-2)</f>
        <v>0</v>
      </c>
      <c r="BX147" s="523">
        <f>ROUND(BB147*G147*$B$6,-2)</f>
        <v>0</v>
      </c>
      <c r="BY147" s="523">
        <f>ROUND(BE147*G147*$B$6,-2)</f>
        <v>100</v>
      </c>
      <c r="BZ147" s="523">
        <f>ROUND(BH147*G147*$B$6,-2)</f>
        <v>100</v>
      </c>
      <c r="CA147" s="354"/>
      <c r="CB147" s="354" t="str">
        <f t="shared" si="397"/>
        <v>X</v>
      </c>
      <c r="CC147" s="509" t="str">
        <f t="shared" si="398"/>
        <v>KT10.</v>
      </c>
      <c r="CD147" s="509" t="str">
        <f t="shared" si="399"/>
        <v>KT10.13,1</v>
      </c>
      <c r="CE147" s="351" t="str">
        <f t="shared" si="507"/>
        <v>Xé</v>
      </c>
      <c r="CF147" s="509" t="str">
        <f t="shared" si="400"/>
        <v>KT10.Xé</v>
      </c>
      <c r="CG147" s="509"/>
      <c r="CH147" s="509"/>
    </row>
    <row r="148" spans="1:86" ht="17.25" x14ac:dyDescent="0.3">
      <c r="A148" s="354" t="e">
        <f>#REF!</f>
        <v>#REF!</v>
      </c>
      <c r="B148" s="503">
        <v>11</v>
      </c>
      <c r="C148" s="507" t="s">
        <v>452</v>
      </c>
      <c r="D148" s="505"/>
      <c r="E148" s="505"/>
      <c r="F148" s="505"/>
      <c r="G148" s="505"/>
      <c r="H148" s="505"/>
      <c r="I148" s="59">
        <f>SUM(I149:I164)/2</f>
        <v>575</v>
      </c>
      <c r="J148" s="59">
        <f>SUM(J149:J164)/2</f>
        <v>85</v>
      </c>
      <c r="K148" s="59">
        <f>SUM(K149:K164)/2</f>
        <v>490</v>
      </c>
      <c r="L148" s="59">
        <f>SUM(L149:L157)/2</f>
        <v>3500</v>
      </c>
      <c r="M148" s="209">
        <f t="shared" ref="M148:BH148" si="512">SUM(M149:M162)/2</f>
        <v>85</v>
      </c>
      <c r="N148" s="209">
        <f t="shared" si="512"/>
        <v>0</v>
      </c>
      <c r="O148" s="209">
        <f t="shared" si="512"/>
        <v>85</v>
      </c>
      <c r="P148" s="209">
        <f t="shared" si="512"/>
        <v>75</v>
      </c>
      <c r="Q148" s="209">
        <f t="shared" si="512"/>
        <v>5</v>
      </c>
      <c r="R148" s="209">
        <f t="shared" si="512"/>
        <v>70</v>
      </c>
      <c r="S148" s="822">
        <f t="shared" si="512"/>
        <v>35</v>
      </c>
      <c r="T148" s="209">
        <f t="shared" si="512"/>
        <v>10</v>
      </c>
      <c r="U148" s="209">
        <f t="shared" si="512"/>
        <v>25</v>
      </c>
      <c r="V148" s="209">
        <f t="shared" si="512"/>
        <v>195</v>
      </c>
      <c r="W148" s="209">
        <f t="shared" si="512"/>
        <v>15</v>
      </c>
      <c r="X148" s="209">
        <f t="shared" si="512"/>
        <v>180</v>
      </c>
      <c r="Y148" s="209">
        <f t="shared" si="512"/>
        <v>50</v>
      </c>
      <c r="Z148" s="209">
        <f t="shared" si="512"/>
        <v>5</v>
      </c>
      <c r="AA148" s="209">
        <f t="shared" si="512"/>
        <v>45</v>
      </c>
      <c r="AB148" s="209">
        <f t="shared" si="512"/>
        <v>100</v>
      </c>
      <c r="AC148" s="209">
        <f t="shared" si="512"/>
        <v>10</v>
      </c>
      <c r="AD148" s="209">
        <f t="shared" si="512"/>
        <v>90</v>
      </c>
      <c r="AE148" s="209">
        <f t="shared" si="512"/>
        <v>30</v>
      </c>
      <c r="AF148" s="209">
        <f t="shared" si="512"/>
        <v>10</v>
      </c>
      <c r="AG148" s="209">
        <f t="shared" si="512"/>
        <v>20</v>
      </c>
      <c r="AH148" s="209">
        <f t="shared" si="512"/>
        <v>180</v>
      </c>
      <c r="AI148" s="209">
        <f t="shared" si="512"/>
        <v>25</v>
      </c>
      <c r="AJ148" s="209">
        <f t="shared" si="512"/>
        <v>155</v>
      </c>
      <c r="AK148" s="209">
        <f t="shared" si="512"/>
        <v>40</v>
      </c>
      <c r="AL148" s="209">
        <f t="shared" si="512"/>
        <v>0</v>
      </c>
      <c r="AM148" s="209">
        <f t="shared" si="512"/>
        <v>40</v>
      </c>
      <c r="AN148" s="209">
        <f t="shared" si="512"/>
        <v>45</v>
      </c>
      <c r="AO148" s="209">
        <f t="shared" si="512"/>
        <v>5</v>
      </c>
      <c r="AP148" s="209">
        <f t="shared" si="512"/>
        <v>40</v>
      </c>
      <c r="AQ148" s="209">
        <f t="shared" si="512"/>
        <v>15</v>
      </c>
      <c r="AR148" s="209">
        <f t="shared" si="512"/>
        <v>15</v>
      </c>
      <c r="AS148" s="209">
        <f t="shared" si="512"/>
        <v>0</v>
      </c>
      <c r="AT148" s="209">
        <f t="shared" si="512"/>
        <v>100</v>
      </c>
      <c r="AU148" s="209">
        <f t="shared" si="512"/>
        <v>20</v>
      </c>
      <c r="AV148" s="209">
        <f t="shared" si="512"/>
        <v>80</v>
      </c>
      <c r="AW148" s="209">
        <f t="shared" si="512"/>
        <v>15</v>
      </c>
      <c r="AX148" s="209">
        <f t="shared" si="512"/>
        <v>5</v>
      </c>
      <c r="AY148" s="209">
        <f t="shared" si="512"/>
        <v>10</v>
      </c>
      <c r="AZ148" s="209">
        <f t="shared" si="512"/>
        <v>12.5</v>
      </c>
      <c r="BA148" s="209">
        <f t="shared" si="512"/>
        <v>0</v>
      </c>
      <c r="BB148" s="209">
        <f t="shared" si="512"/>
        <v>12.5</v>
      </c>
      <c r="BC148" s="209">
        <f t="shared" si="512"/>
        <v>0</v>
      </c>
      <c r="BD148" s="209">
        <f t="shared" si="512"/>
        <v>0</v>
      </c>
      <c r="BE148" s="209">
        <f t="shared" si="512"/>
        <v>0</v>
      </c>
      <c r="BF148" s="209">
        <f t="shared" si="512"/>
        <v>27.5</v>
      </c>
      <c r="BG148" s="209">
        <f t="shared" si="512"/>
        <v>5</v>
      </c>
      <c r="BH148" s="209">
        <f t="shared" si="512"/>
        <v>22.5</v>
      </c>
      <c r="BI148" s="536"/>
      <c r="BJ148" s="488" t="str">
        <f t="shared" si="505"/>
        <v>PX</v>
      </c>
      <c r="BK148" s="209">
        <f>SUM(BK149:BK164)/2</f>
        <v>600</v>
      </c>
      <c r="BL148" s="209">
        <f t="shared" ref="BL148:BZ148" si="513">SUM(BL149:BL164)/2</f>
        <v>900</v>
      </c>
      <c r="BM148" s="209">
        <f t="shared" si="513"/>
        <v>200</v>
      </c>
      <c r="BN148" s="209">
        <f t="shared" si="513"/>
        <v>1700</v>
      </c>
      <c r="BO148" s="209">
        <f t="shared" si="513"/>
        <v>600</v>
      </c>
      <c r="BP148" s="209">
        <f t="shared" si="513"/>
        <v>600</v>
      </c>
      <c r="BQ148" s="209">
        <f t="shared" si="513"/>
        <v>100</v>
      </c>
      <c r="BR148" s="209">
        <f t="shared" si="513"/>
        <v>1200</v>
      </c>
      <c r="BS148" s="209">
        <f t="shared" si="513"/>
        <v>400</v>
      </c>
      <c r="BT148" s="209">
        <f t="shared" si="513"/>
        <v>400</v>
      </c>
      <c r="BU148" s="209">
        <f t="shared" si="513"/>
        <v>0</v>
      </c>
      <c r="BV148" s="209">
        <f t="shared" si="513"/>
        <v>800</v>
      </c>
      <c r="BW148" s="209">
        <f t="shared" si="513"/>
        <v>0</v>
      </c>
      <c r="BX148" s="209">
        <f t="shared" si="513"/>
        <v>100</v>
      </c>
      <c r="BY148" s="209">
        <f t="shared" si="513"/>
        <v>0</v>
      </c>
      <c r="BZ148" s="209">
        <f t="shared" si="513"/>
        <v>100</v>
      </c>
      <c r="CA148" s="354"/>
      <c r="CB148" s="354" t="str">
        <f t="shared" si="397"/>
        <v>X</v>
      </c>
      <c r="CC148" s="534" t="s">
        <v>294</v>
      </c>
      <c r="CD148" s="509" t="str">
        <f t="shared" si="399"/>
        <v>KT11.</v>
      </c>
      <c r="CE148" s="351" t="str">
        <f t="shared" si="507"/>
        <v>PX</v>
      </c>
      <c r="CF148" s="509" t="str">
        <f t="shared" si="400"/>
        <v>KT11.PX</v>
      </c>
      <c r="CG148" s="509"/>
      <c r="CH148" s="509"/>
    </row>
    <row r="149" spans="1:86" s="358" customFormat="1" ht="19.5" customHeight="1" x14ac:dyDescent="0.25">
      <c r="A149" s="354" t="e">
        <f>#REF!</f>
        <v>#REF!</v>
      </c>
      <c r="B149" s="511" t="s">
        <v>8</v>
      </c>
      <c r="C149" s="512" t="s">
        <v>177</v>
      </c>
      <c r="D149" s="513"/>
      <c r="E149" s="513"/>
      <c r="F149" s="513"/>
      <c r="G149" s="514"/>
      <c r="H149" s="515"/>
      <c r="I149" s="211">
        <f t="shared" ref="I149:AN149" si="514">SUM(I150:I160)</f>
        <v>370</v>
      </c>
      <c r="J149" s="211">
        <f t="shared" si="514"/>
        <v>25</v>
      </c>
      <c r="K149" s="211">
        <f t="shared" si="514"/>
        <v>345</v>
      </c>
      <c r="L149" s="69">
        <f>SUM(L150:L160)</f>
        <v>3500</v>
      </c>
      <c r="M149" s="211">
        <f t="shared" si="514"/>
        <v>70</v>
      </c>
      <c r="N149" s="211">
        <f t="shared" si="514"/>
        <v>0</v>
      </c>
      <c r="O149" s="211">
        <f t="shared" si="514"/>
        <v>70</v>
      </c>
      <c r="P149" s="211">
        <f t="shared" si="514"/>
        <v>75</v>
      </c>
      <c r="Q149" s="211">
        <f t="shared" si="514"/>
        <v>5</v>
      </c>
      <c r="R149" s="211">
        <f t="shared" si="514"/>
        <v>70</v>
      </c>
      <c r="S149" s="823">
        <f t="shared" si="514"/>
        <v>20</v>
      </c>
      <c r="T149" s="211">
        <f t="shared" si="514"/>
        <v>10</v>
      </c>
      <c r="U149" s="211">
        <f t="shared" si="514"/>
        <v>10</v>
      </c>
      <c r="V149" s="211">
        <f t="shared" si="514"/>
        <v>165</v>
      </c>
      <c r="W149" s="211">
        <f t="shared" si="514"/>
        <v>15</v>
      </c>
      <c r="X149" s="211">
        <f t="shared" si="514"/>
        <v>150</v>
      </c>
      <c r="Y149" s="211">
        <f t="shared" si="514"/>
        <v>50</v>
      </c>
      <c r="Z149" s="211">
        <f t="shared" si="514"/>
        <v>5</v>
      </c>
      <c r="AA149" s="211">
        <f t="shared" si="514"/>
        <v>45</v>
      </c>
      <c r="AB149" s="211">
        <f t="shared" si="514"/>
        <v>70</v>
      </c>
      <c r="AC149" s="211">
        <f t="shared" si="514"/>
        <v>0</v>
      </c>
      <c r="AD149" s="211">
        <f t="shared" si="514"/>
        <v>70</v>
      </c>
      <c r="AE149" s="211">
        <f t="shared" si="514"/>
        <v>0</v>
      </c>
      <c r="AF149" s="211">
        <f t="shared" si="514"/>
        <v>0</v>
      </c>
      <c r="AG149" s="211">
        <f t="shared" si="514"/>
        <v>0</v>
      </c>
      <c r="AH149" s="211">
        <f t="shared" si="514"/>
        <v>120</v>
      </c>
      <c r="AI149" s="211">
        <f t="shared" si="514"/>
        <v>5</v>
      </c>
      <c r="AJ149" s="211">
        <f t="shared" si="514"/>
        <v>115</v>
      </c>
      <c r="AK149" s="211">
        <f t="shared" si="514"/>
        <v>40</v>
      </c>
      <c r="AL149" s="211">
        <f t="shared" si="514"/>
        <v>0</v>
      </c>
      <c r="AM149" s="211">
        <f t="shared" si="514"/>
        <v>40</v>
      </c>
      <c r="AN149" s="211">
        <f t="shared" si="514"/>
        <v>45</v>
      </c>
      <c r="AO149" s="211">
        <f t="shared" ref="AO149:BH149" si="515">SUM(AO150:AO160)</f>
        <v>5</v>
      </c>
      <c r="AP149" s="211">
        <f t="shared" si="515"/>
        <v>40</v>
      </c>
      <c r="AQ149" s="211">
        <f t="shared" si="515"/>
        <v>0</v>
      </c>
      <c r="AR149" s="211">
        <f t="shared" si="515"/>
        <v>0</v>
      </c>
      <c r="AS149" s="211">
        <f t="shared" si="515"/>
        <v>0</v>
      </c>
      <c r="AT149" s="211">
        <f t="shared" si="515"/>
        <v>85</v>
      </c>
      <c r="AU149" s="211">
        <f t="shared" si="515"/>
        <v>5</v>
      </c>
      <c r="AV149" s="211">
        <f t="shared" si="515"/>
        <v>80</v>
      </c>
      <c r="AW149" s="211">
        <f t="shared" si="515"/>
        <v>0</v>
      </c>
      <c r="AX149" s="211">
        <f t="shared" si="515"/>
        <v>0</v>
      </c>
      <c r="AY149" s="211">
        <f t="shared" si="515"/>
        <v>0</v>
      </c>
      <c r="AZ149" s="211">
        <f t="shared" si="515"/>
        <v>0</v>
      </c>
      <c r="BA149" s="211">
        <f t="shared" si="515"/>
        <v>0</v>
      </c>
      <c r="BB149" s="211">
        <f t="shared" si="515"/>
        <v>0</v>
      </c>
      <c r="BC149" s="211">
        <f t="shared" si="515"/>
        <v>0</v>
      </c>
      <c r="BD149" s="211">
        <f t="shared" si="515"/>
        <v>0</v>
      </c>
      <c r="BE149" s="211">
        <f t="shared" si="515"/>
        <v>0</v>
      </c>
      <c r="BF149" s="211">
        <f t="shared" si="515"/>
        <v>0</v>
      </c>
      <c r="BG149" s="211">
        <f t="shared" si="515"/>
        <v>0</v>
      </c>
      <c r="BH149" s="211">
        <f t="shared" si="515"/>
        <v>0</v>
      </c>
      <c r="BI149" s="516"/>
      <c r="BJ149" s="488" t="str">
        <f t="shared" si="505"/>
        <v>ĐL</v>
      </c>
      <c r="BK149" s="57">
        <f t="shared" ref="BK149:BZ149" si="516">SUM(BK150:BK160)</f>
        <v>500</v>
      </c>
      <c r="BL149" s="57">
        <f t="shared" si="516"/>
        <v>900</v>
      </c>
      <c r="BM149" s="57">
        <f t="shared" si="516"/>
        <v>100</v>
      </c>
      <c r="BN149" s="57">
        <f t="shared" si="516"/>
        <v>1600</v>
      </c>
      <c r="BO149" s="57">
        <f t="shared" si="516"/>
        <v>600</v>
      </c>
      <c r="BP149" s="57">
        <f t="shared" si="516"/>
        <v>500</v>
      </c>
      <c r="BQ149" s="57">
        <f t="shared" si="516"/>
        <v>0</v>
      </c>
      <c r="BR149" s="57">
        <f t="shared" si="516"/>
        <v>1100</v>
      </c>
      <c r="BS149" s="57">
        <f t="shared" si="516"/>
        <v>400</v>
      </c>
      <c r="BT149" s="57">
        <f t="shared" si="516"/>
        <v>400</v>
      </c>
      <c r="BU149" s="57">
        <f t="shared" si="516"/>
        <v>0</v>
      </c>
      <c r="BV149" s="57">
        <f t="shared" si="516"/>
        <v>800</v>
      </c>
      <c r="BW149" s="57">
        <f t="shared" si="516"/>
        <v>0</v>
      </c>
      <c r="BX149" s="57">
        <f t="shared" si="516"/>
        <v>0</v>
      </c>
      <c r="BY149" s="57">
        <f t="shared" si="516"/>
        <v>0</v>
      </c>
      <c r="BZ149" s="57">
        <f t="shared" si="516"/>
        <v>0</v>
      </c>
      <c r="CA149" s="517">
        <f>I149-V149-AH149-AT149-BF149</f>
        <v>0</v>
      </c>
      <c r="CB149" s="510" t="str">
        <f t="shared" si="397"/>
        <v>X</v>
      </c>
      <c r="CC149" s="509" t="str">
        <f t="shared" si="398"/>
        <v>KT11.</v>
      </c>
      <c r="CD149" s="509" t="str">
        <f t="shared" si="399"/>
        <v>KT11.</v>
      </c>
      <c r="CE149" s="351" t="str">
        <f t="shared" si="507"/>
        <v>ĐL</v>
      </c>
      <c r="CF149" s="509" t="str">
        <f t="shared" si="400"/>
        <v>KT11.ĐL</v>
      </c>
      <c r="CG149" s="509"/>
      <c r="CH149" s="509"/>
    </row>
    <row r="150" spans="1:86" ht="24" customHeight="1" x14ac:dyDescent="0.25">
      <c r="A150" s="354" t="e">
        <f t="shared" si="415"/>
        <v>#REF!</v>
      </c>
      <c r="B150" s="518"/>
      <c r="C150" s="519" t="s">
        <v>674</v>
      </c>
      <c r="D150" s="447" t="s">
        <v>206</v>
      </c>
      <c r="E150" s="447"/>
      <c r="F150" s="447"/>
      <c r="G150" s="520">
        <v>5.4</v>
      </c>
      <c r="H150" s="520">
        <v>0.7</v>
      </c>
      <c r="I150" s="522">
        <f t="shared" ref="I150:I160" si="517">V150+AH150+AT150+BF150</f>
        <v>70</v>
      </c>
      <c r="J150" s="522">
        <f t="shared" ref="J150:J160" si="518">W150+AI150+AU150+BG150</f>
        <v>0</v>
      </c>
      <c r="K150" s="522">
        <f t="shared" ref="K150:K160" si="519">X150+AJ150+AV150+BH150</f>
        <v>70</v>
      </c>
      <c r="L150" s="57">
        <f t="shared" ref="L150:L160" si="520">BN150+BR150+BV150+BZ150</f>
        <v>500</v>
      </c>
      <c r="M150" s="60">
        <v>70</v>
      </c>
      <c r="N150" s="60"/>
      <c r="O150" s="60">
        <f>M150-N150</f>
        <v>70</v>
      </c>
      <c r="P150" s="60"/>
      <c r="Q150" s="60"/>
      <c r="R150" s="60">
        <f>P150-Q150</f>
        <v>0</v>
      </c>
      <c r="S150" s="824"/>
      <c r="T150" s="60"/>
      <c r="U150" s="60">
        <f>S150-T150</f>
        <v>0</v>
      </c>
      <c r="V150" s="60">
        <f t="shared" ref="V150:X151" si="521">M150+P150+S150</f>
        <v>70</v>
      </c>
      <c r="W150" s="60">
        <f t="shared" si="521"/>
        <v>0</v>
      </c>
      <c r="X150" s="60">
        <f t="shared" si="521"/>
        <v>70</v>
      </c>
      <c r="Y150" s="60"/>
      <c r="Z150" s="60"/>
      <c r="AA150" s="60">
        <f>Y150-Z150</f>
        <v>0</v>
      </c>
      <c r="AB150" s="60"/>
      <c r="AC150" s="60"/>
      <c r="AD150" s="60">
        <f>AB150-AC150</f>
        <v>0</v>
      </c>
      <c r="AE150" s="60"/>
      <c r="AF150" s="60"/>
      <c r="AG150" s="60">
        <f>AE150-AF150</f>
        <v>0</v>
      </c>
      <c r="AH150" s="60">
        <f t="shared" ref="AH150:AJ151" si="522">Y150+AB150+AE150</f>
        <v>0</v>
      </c>
      <c r="AI150" s="60">
        <f t="shared" si="522"/>
        <v>0</v>
      </c>
      <c r="AJ150" s="60">
        <f t="shared" si="522"/>
        <v>0</v>
      </c>
      <c r="AK150" s="60"/>
      <c r="AL150" s="60"/>
      <c r="AM150" s="60">
        <f>AK150-AL150</f>
        <v>0</v>
      </c>
      <c r="AN150" s="60"/>
      <c r="AO150" s="60"/>
      <c r="AP150" s="60">
        <f>AN150-AO150</f>
        <v>0</v>
      </c>
      <c r="AQ150" s="60"/>
      <c r="AR150" s="60"/>
      <c r="AS150" s="60">
        <f>AQ150-AR150</f>
        <v>0</v>
      </c>
      <c r="AT150" s="60">
        <f t="shared" ref="AT150:AV151" si="523">AK150+AN150+AQ150</f>
        <v>0</v>
      </c>
      <c r="AU150" s="60">
        <f t="shared" si="523"/>
        <v>0</v>
      </c>
      <c r="AV150" s="60">
        <f t="shared" si="523"/>
        <v>0</v>
      </c>
      <c r="AW150" s="60"/>
      <c r="AX150" s="60"/>
      <c r="AY150" s="60">
        <f>AW150-AX150</f>
        <v>0</v>
      </c>
      <c r="AZ150" s="60"/>
      <c r="BA150" s="60"/>
      <c r="BB150" s="60">
        <f>AZ150-BA150</f>
        <v>0</v>
      </c>
      <c r="BC150" s="60"/>
      <c r="BD150" s="60"/>
      <c r="BE150" s="60">
        <f>BC150-BD150</f>
        <v>0</v>
      </c>
      <c r="BF150" s="60">
        <f t="shared" ref="BF150:BF160" si="524">AW150+AZ150+BC150</f>
        <v>0</v>
      </c>
      <c r="BG150" s="60">
        <f t="shared" ref="BG150:BG160" si="525">AX150+BA150+BD150</f>
        <v>0</v>
      </c>
      <c r="BH150" s="60">
        <f t="shared" ref="BH150:BH160" si="526">AY150+BB150+BE150</f>
        <v>0</v>
      </c>
      <c r="BI150" s="508"/>
      <c r="BJ150" s="488" t="str">
        <f t="shared" si="505"/>
        <v>Lò</v>
      </c>
      <c r="BK150" s="523">
        <f>ROUND(O150*G150*$C$3*$B$5,-2)</f>
        <v>500</v>
      </c>
      <c r="BL150" s="523">
        <f>ROUND(R150*G150*$C$3*$B$5,-2)</f>
        <v>0</v>
      </c>
      <c r="BM150" s="523">
        <f>ROUND(U150*G150*$C$3*$B$5,-2)</f>
        <v>0</v>
      </c>
      <c r="BN150" s="523">
        <f>ROUND(X150*G150*$C$3*$B$5,-2)</f>
        <v>500</v>
      </c>
      <c r="BO150" s="523">
        <f>ROUND(AA150*G150*$C$3*$B$5,-2)</f>
        <v>0</v>
      </c>
      <c r="BP150" s="523">
        <f>ROUND(AD150*G150*$C$3*$B$5,-2)</f>
        <v>0</v>
      </c>
      <c r="BQ150" s="523">
        <f>ROUND(AG150*G150*$C$3*$B$5,-2)</f>
        <v>0</v>
      </c>
      <c r="BR150" s="523">
        <f>ROUND(AJ150*G150*$B$5*$C$3,-2)</f>
        <v>0</v>
      </c>
      <c r="BS150" s="523">
        <f>ROUND(AM150*G150*$C$3*$B$5,-2)</f>
        <v>0</v>
      </c>
      <c r="BT150" s="523">
        <f>ROUND(AP150*G150*$C$3*$B$5,-2)</f>
        <v>0</v>
      </c>
      <c r="BU150" s="523">
        <f>ROUND(AS150*G150*$C$3*$B$5,-2)</f>
        <v>0</v>
      </c>
      <c r="BV150" s="523">
        <f>ROUND(AV150*G150*$C$3*$B$5,-2)</f>
        <v>0</v>
      </c>
      <c r="BW150" s="523">
        <f>ROUND(AY150*G150*$C$3*$B$5,-2)</f>
        <v>0</v>
      </c>
      <c r="BX150" s="523">
        <f>ROUND(BB150*G150*$C$3*$B$5,-2)</f>
        <v>0</v>
      </c>
      <c r="BY150" s="523">
        <f>ROUND(BE150*G150*$C$3*$B$5,-2)</f>
        <v>0</v>
      </c>
      <c r="BZ150" s="523">
        <f>ROUND(BH150*G150*$C$3*$B$5,-2)</f>
        <v>0</v>
      </c>
      <c r="CA150" s="354"/>
      <c r="CB150" s="354" t="str">
        <f t="shared" si="397"/>
        <v>X</v>
      </c>
      <c r="CC150" s="509" t="str">
        <f t="shared" si="398"/>
        <v>KT11.</v>
      </c>
      <c r="CD150" s="509" t="str">
        <f t="shared" si="399"/>
        <v>KT11.5,4</v>
      </c>
      <c r="CE150" s="351" t="str">
        <f t="shared" si="507"/>
        <v>Lò</v>
      </c>
      <c r="CF150" s="509" t="str">
        <f t="shared" si="400"/>
        <v>KT11.Lò</v>
      </c>
      <c r="CG150" s="509"/>
      <c r="CH150" s="509"/>
    </row>
    <row r="151" spans="1:86" ht="24" customHeight="1" x14ac:dyDescent="0.25">
      <c r="A151" s="354" t="e">
        <f t="shared" si="415"/>
        <v>#REF!</v>
      </c>
      <c r="B151" s="518"/>
      <c r="C151" s="519" t="s">
        <v>675</v>
      </c>
      <c r="D151" s="447" t="s">
        <v>14</v>
      </c>
      <c r="E151" s="447"/>
      <c r="F151" s="447"/>
      <c r="G151" s="520">
        <v>8.5</v>
      </c>
      <c r="H151" s="521">
        <v>0.7</v>
      </c>
      <c r="I151" s="522">
        <f t="shared" si="517"/>
        <v>85</v>
      </c>
      <c r="J151" s="522">
        <f t="shared" si="518"/>
        <v>5</v>
      </c>
      <c r="K151" s="522">
        <f t="shared" si="519"/>
        <v>80</v>
      </c>
      <c r="L151" s="57">
        <f t="shared" si="520"/>
        <v>800</v>
      </c>
      <c r="M151" s="60"/>
      <c r="N151" s="60"/>
      <c r="O151" s="60">
        <f>M151-N151</f>
        <v>0</v>
      </c>
      <c r="P151" s="60"/>
      <c r="Q151" s="60"/>
      <c r="R151" s="60">
        <f>P151-Q151</f>
        <v>0</v>
      </c>
      <c r="S151" s="824"/>
      <c r="T151" s="60"/>
      <c r="U151" s="60">
        <f>S151-T151</f>
        <v>0</v>
      </c>
      <c r="V151" s="60">
        <f t="shared" si="521"/>
        <v>0</v>
      </c>
      <c r="W151" s="60">
        <f t="shared" si="521"/>
        <v>0</v>
      </c>
      <c r="X151" s="60">
        <f t="shared" si="521"/>
        <v>0</v>
      </c>
      <c r="Y151" s="60"/>
      <c r="Z151" s="60"/>
      <c r="AA151" s="60">
        <f>Y151-Z151</f>
        <v>0</v>
      </c>
      <c r="AB151" s="60"/>
      <c r="AC151" s="60"/>
      <c r="AD151" s="60">
        <f>AB151-AC151</f>
        <v>0</v>
      </c>
      <c r="AE151" s="60"/>
      <c r="AF151" s="60"/>
      <c r="AG151" s="60">
        <f>AE151-AF151</f>
        <v>0</v>
      </c>
      <c r="AH151" s="60">
        <f t="shared" si="522"/>
        <v>0</v>
      </c>
      <c r="AI151" s="60">
        <f t="shared" si="522"/>
        <v>0</v>
      </c>
      <c r="AJ151" s="60">
        <f t="shared" si="522"/>
        <v>0</v>
      </c>
      <c r="AK151" s="60">
        <v>40</v>
      </c>
      <c r="AL151" s="60"/>
      <c r="AM151" s="60">
        <f>AK151-AL151</f>
        <v>40</v>
      </c>
      <c r="AN151" s="60">
        <v>45</v>
      </c>
      <c r="AO151" s="60">
        <v>5</v>
      </c>
      <c r="AP151" s="60">
        <f>AN151-AO151</f>
        <v>40</v>
      </c>
      <c r="AQ151" s="60"/>
      <c r="AR151" s="60"/>
      <c r="AS151" s="60">
        <f>AQ151-AR151</f>
        <v>0</v>
      </c>
      <c r="AT151" s="60">
        <f t="shared" si="523"/>
        <v>85</v>
      </c>
      <c r="AU151" s="60">
        <f t="shared" si="523"/>
        <v>5</v>
      </c>
      <c r="AV151" s="60">
        <f t="shared" si="523"/>
        <v>80</v>
      </c>
      <c r="AW151" s="60"/>
      <c r="AX151" s="60"/>
      <c r="AY151" s="60">
        <f>AW151-AX151</f>
        <v>0</v>
      </c>
      <c r="AZ151" s="60"/>
      <c r="BA151" s="60"/>
      <c r="BB151" s="60">
        <f>AZ151-BA151</f>
        <v>0</v>
      </c>
      <c r="BC151" s="60"/>
      <c r="BD151" s="60"/>
      <c r="BE151" s="60">
        <f>BC151-BD151</f>
        <v>0</v>
      </c>
      <c r="BF151" s="60">
        <f t="shared" si="524"/>
        <v>0</v>
      </c>
      <c r="BG151" s="60">
        <f t="shared" si="525"/>
        <v>0</v>
      </c>
      <c r="BH151" s="60">
        <f t="shared" si="526"/>
        <v>0</v>
      </c>
      <c r="BI151" s="508"/>
      <c r="BJ151" s="488" t="str">
        <f t="shared" si="505"/>
        <v>Lò</v>
      </c>
      <c r="BK151" s="523">
        <f>ROUND(O151*G151*$C$3*$B$5,-2)</f>
        <v>0</v>
      </c>
      <c r="BL151" s="523">
        <f>ROUND(R151*G151*$C$3*$B$5,-2)</f>
        <v>0</v>
      </c>
      <c r="BM151" s="523">
        <f>ROUND(U151*G151*$C$3*$B$5,-2)</f>
        <v>0</v>
      </c>
      <c r="BN151" s="523">
        <f>ROUND(X151*G151*$C$3*$B$5,-2)</f>
        <v>0</v>
      </c>
      <c r="BO151" s="523">
        <f>ROUND(AA151*G151*$C$3*$B$5,-2)</f>
        <v>0</v>
      </c>
      <c r="BP151" s="523">
        <f>ROUND(AD151*G151*$C$3*$B$5,-2)</f>
        <v>0</v>
      </c>
      <c r="BQ151" s="523">
        <f>ROUND(AG151*G151*$C$3*$B$5,-2)</f>
        <v>0</v>
      </c>
      <c r="BR151" s="523">
        <f>ROUND(AJ151*G151*$B$5*$C$3,-2)</f>
        <v>0</v>
      </c>
      <c r="BS151" s="523">
        <f>ROUND(AM151*G151*$C$3*$B$5,-2)</f>
        <v>400</v>
      </c>
      <c r="BT151" s="523">
        <f>ROUND(AP151*G151*$C$3*$B$5,-2)</f>
        <v>400</v>
      </c>
      <c r="BU151" s="523">
        <f>ROUND(AS151*G151*$C$3*$B$5,-2)</f>
        <v>0</v>
      </c>
      <c r="BV151" s="523">
        <f>ROUND(AV151*G151*$C$3*$B$5,-2)</f>
        <v>800</v>
      </c>
      <c r="BW151" s="523">
        <f>ROUND(AY151*G151*$C$3*$B$5,-2)</f>
        <v>0</v>
      </c>
      <c r="BX151" s="523">
        <f>ROUND(BB151*G151*$C$3*$B$5,-2)</f>
        <v>0</v>
      </c>
      <c r="BY151" s="523">
        <f>ROUND(BE151*G151*$C$3*$B$5,-2)</f>
        <v>0</v>
      </c>
      <c r="BZ151" s="523">
        <f>ROUND(BH151*G151*$C$3*$B$5,-2)</f>
        <v>0</v>
      </c>
      <c r="CA151" s="354"/>
      <c r="CB151" s="354" t="str">
        <f t="shared" si="397"/>
        <v>X</v>
      </c>
      <c r="CC151" s="509" t="str">
        <f t="shared" si="398"/>
        <v>KT11.</v>
      </c>
      <c r="CD151" s="509" t="str">
        <f t="shared" si="399"/>
        <v>KT11.8,5</v>
      </c>
      <c r="CE151" s="351" t="str">
        <f t="shared" si="507"/>
        <v>Lò</v>
      </c>
      <c r="CF151" s="509" t="str">
        <f t="shared" si="400"/>
        <v>KT11.Lò</v>
      </c>
      <c r="CG151" s="509"/>
      <c r="CH151" s="509"/>
    </row>
    <row r="152" spans="1:86" ht="24" customHeight="1" x14ac:dyDescent="0.25">
      <c r="A152" s="354" t="e">
        <f t="shared" si="415"/>
        <v>#REF!</v>
      </c>
      <c r="B152" s="518"/>
      <c r="C152" s="519" t="s">
        <v>673</v>
      </c>
      <c r="D152" s="447" t="s">
        <v>207</v>
      </c>
      <c r="E152" s="447" t="s">
        <v>207</v>
      </c>
      <c r="F152" s="447"/>
      <c r="G152" s="520">
        <v>9.5</v>
      </c>
      <c r="H152" s="521">
        <v>0.7</v>
      </c>
      <c r="I152" s="522">
        <f t="shared" si="517"/>
        <v>45</v>
      </c>
      <c r="J152" s="522">
        <f t="shared" si="518"/>
        <v>5</v>
      </c>
      <c r="K152" s="522">
        <f t="shared" si="519"/>
        <v>40</v>
      </c>
      <c r="L152" s="57">
        <f t="shared" si="520"/>
        <v>500</v>
      </c>
      <c r="M152" s="60"/>
      <c r="N152" s="60"/>
      <c r="O152" s="60">
        <f t="shared" ref="O152:O160" si="527">M152-N152</f>
        <v>0</v>
      </c>
      <c r="P152" s="60">
        <v>45</v>
      </c>
      <c r="Q152" s="60">
        <v>5</v>
      </c>
      <c r="R152" s="60">
        <f t="shared" ref="R152:R160" si="528">P152-Q152</f>
        <v>40</v>
      </c>
      <c r="S152" s="824"/>
      <c r="T152" s="60"/>
      <c r="U152" s="60">
        <f t="shared" ref="U152:U160" si="529">S152-T152</f>
        <v>0</v>
      </c>
      <c r="V152" s="60">
        <f>M152+P152+S152</f>
        <v>45</v>
      </c>
      <c r="W152" s="60">
        <f>N152+Q152+T152</f>
        <v>5</v>
      </c>
      <c r="X152" s="60">
        <f>O152+R152+U152</f>
        <v>40</v>
      </c>
      <c r="Y152" s="60"/>
      <c r="Z152" s="60"/>
      <c r="AA152" s="60">
        <f t="shared" ref="AA152:AA160" si="530">Y152-Z152</f>
        <v>0</v>
      </c>
      <c r="AB152" s="60"/>
      <c r="AC152" s="60"/>
      <c r="AD152" s="60">
        <f t="shared" ref="AD152:AD160" si="531">AB152-AC152</f>
        <v>0</v>
      </c>
      <c r="AE152" s="60"/>
      <c r="AF152" s="60"/>
      <c r="AG152" s="60">
        <f t="shared" ref="AG152:AG160" si="532">AE152-AF152</f>
        <v>0</v>
      </c>
      <c r="AH152" s="60">
        <f t="shared" ref="AH152:AI154" si="533">Y152+AB152+AE152</f>
        <v>0</v>
      </c>
      <c r="AI152" s="60">
        <f t="shared" si="533"/>
        <v>0</v>
      </c>
      <c r="AJ152" s="60">
        <f>AA152+AD152+AG152</f>
        <v>0</v>
      </c>
      <c r="AK152" s="60"/>
      <c r="AL152" s="60"/>
      <c r="AM152" s="60">
        <f t="shared" ref="AM152:AM160" si="534">AK152-AL152</f>
        <v>0</v>
      </c>
      <c r="AN152" s="60"/>
      <c r="AO152" s="60"/>
      <c r="AP152" s="60">
        <f t="shared" ref="AP152:AP160" si="535">AN152-AO152</f>
        <v>0</v>
      </c>
      <c r="AQ152" s="60"/>
      <c r="AR152" s="60"/>
      <c r="AS152" s="60">
        <f t="shared" ref="AS152:AS160" si="536">AQ152-AR152</f>
        <v>0</v>
      </c>
      <c r="AT152" s="60">
        <f t="shared" ref="AT152:AV153" si="537">AK152+AN152+AQ152</f>
        <v>0</v>
      </c>
      <c r="AU152" s="60">
        <f t="shared" si="537"/>
        <v>0</v>
      </c>
      <c r="AV152" s="60">
        <f t="shared" si="537"/>
        <v>0</v>
      </c>
      <c r="AW152" s="60"/>
      <c r="AX152" s="60"/>
      <c r="AY152" s="60">
        <f t="shared" ref="AY152:AY160" si="538">AW152-AX152</f>
        <v>0</v>
      </c>
      <c r="AZ152" s="60"/>
      <c r="BA152" s="60"/>
      <c r="BB152" s="60">
        <f t="shared" ref="BB152:BB160" si="539">AZ152-BA152</f>
        <v>0</v>
      </c>
      <c r="BC152" s="60"/>
      <c r="BD152" s="60"/>
      <c r="BE152" s="60">
        <f t="shared" ref="BE152:BE160" si="540">BC152-BD152</f>
        <v>0</v>
      </c>
      <c r="BF152" s="60">
        <f t="shared" si="524"/>
        <v>0</v>
      </c>
      <c r="BG152" s="60">
        <f t="shared" si="525"/>
        <v>0</v>
      </c>
      <c r="BH152" s="60">
        <f t="shared" si="526"/>
        <v>0</v>
      </c>
      <c r="BI152" s="508"/>
      <c r="BJ152" s="488" t="str">
        <f t="shared" si="505"/>
        <v>Lò</v>
      </c>
      <c r="BK152" s="523">
        <f>ROUND(O152*G152*$C$3*$B$5,-2)</f>
        <v>0</v>
      </c>
      <c r="BL152" s="523">
        <f>ROUND(R152*G152*$C$3*$B$5,-2)</f>
        <v>500</v>
      </c>
      <c r="BM152" s="523">
        <f>ROUND(U152*G152*$C$3*$B$5,-2)</f>
        <v>0</v>
      </c>
      <c r="BN152" s="523">
        <f>ROUND(X152*G152*$C$3*$B$5,-2)</f>
        <v>500</v>
      </c>
      <c r="BO152" s="523">
        <f>ROUND(AA152*G152*$C$3*$B$5,-2)</f>
        <v>0</v>
      </c>
      <c r="BP152" s="523">
        <f>ROUND(AD152*G152*$C$3*$B$5,-2)</f>
        <v>0</v>
      </c>
      <c r="BQ152" s="523">
        <f>ROUND(AG152*G152*$C$3*$B$5,-2)</f>
        <v>0</v>
      </c>
      <c r="BR152" s="523">
        <f>ROUND(AJ152*G152*$B$5*$C$3,-2)</f>
        <v>0</v>
      </c>
      <c r="BS152" s="523">
        <f>ROUND(AM152*G152*$C$3*$B$5,-2)</f>
        <v>0</v>
      </c>
      <c r="BT152" s="523">
        <f>ROUND(AP152*G152*$C$3*$B$5,-2)</f>
        <v>0</v>
      </c>
      <c r="BU152" s="523">
        <f>ROUND(AS152*G152*$C$3*$B$5,-2)</f>
        <v>0</v>
      </c>
      <c r="BV152" s="523">
        <f>ROUND(AV152*G152*$C$3*$B$5,-2)</f>
        <v>0</v>
      </c>
      <c r="BW152" s="523">
        <f>ROUND(AY152*G152*$C$3*$B$5,-2)</f>
        <v>0</v>
      </c>
      <c r="BX152" s="523">
        <f>ROUND(BB152*G152*$C$3*$B$5,-2)</f>
        <v>0</v>
      </c>
      <c r="BY152" s="523">
        <f>ROUND(BE152*G152*$C$3*$B$5,-2)</f>
        <v>0</v>
      </c>
      <c r="BZ152" s="523">
        <f>ROUND(BH152*G152*$C$3*$B$5,-2)</f>
        <v>0</v>
      </c>
      <c r="CA152" s="354"/>
      <c r="CB152" s="354" t="str">
        <f t="shared" si="397"/>
        <v>X</v>
      </c>
      <c r="CC152" s="509" t="str">
        <f t="shared" si="398"/>
        <v>KT11.</v>
      </c>
      <c r="CD152" s="509" t="str">
        <f t="shared" si="399"/>
        <v>KT11.9,5</v>
      </c>
      <c r="CE152" s="351" t="str">
        <f t="shared" si="507"/>
        <v>Lò</v>
      </c>
      <c r="CF152" s="509" t="str">
        <f t="shared" si="400"/>
        <v>KT11.Lò</v>
      </c>
      <c r="CG152" s="509"/>
      <c r="CH152" s="509"/>
    </row>
    <row r="153" spans="1:86" ht="24" customHeight="1" x14ac:dyDescent="0.25">
      <c r="A153" s="354" t="e">
        <f>A149</f>
        <v>#REF!</v>
      </c>
      <c r="B153" s="518"/>
      <c r="C153" s="519" t="s">
        <v>676</v>
      </c>
      <c r="D153" s="447" t="s">
        <v>14</v>
      </c>
      <c r="E153" s="447"/>
      <c r="F153" s="447"/>
      <c r="G153" s="520">
        <v>8.5</v>
      </c>
      <c r="H153" s="521">
        <v>0.7</v>
      </c>
      <c r="I153" s="522">
        <f>V153+AH153+AT153+BF153</f>
        <v>100</v>
      </c>
      <c r="J153" s="522">
        <f>W153+AI153+AU153+BG153</f>
        <v>15</v>
      </c>
      <c r="K153" s="522">
        <f>X153+AJ153+AV153+BH153</f>
        <v>85</v>
      </c>
      <c r="L153" s="57">
        <f>BN153+BR153+BV153+BZ153</f>
        <v>1200</v>
      </c>
      <c r="M153" s="60"/>
      <c r="N153" s="60"/>
      <c r="O153" s="60">
        <f>M153-N153</f>
        <v>0</v>
      </c>
      <c r="P153" s="60">
        <v>30</v>
      </c>
      <c r="Q153" s="60"/>
      <c r="R153" s="60">
        <f>P153-Q153</f>
        <v>30</v>
      </c>
      <c r="S153" s="824">
        <v>20</v>
      </c>
      <c r="T153" s="60">
        <v>10</v>
      </c>
      <c r="U153" s="60">
        <f>S153-T153</f>
        <v>10</v>
      </c>
      <c r="V153" s="60">
        <f t="shared" ref="V153:X158" si="541">M153+P153+S153</f>
        <v>50</v>
      </c>
      <c r="W153" s="60">
        <f t="shared" si="541"/>
        <v>10</v>
      </c>
      <c r="X153" s="60">
        <f t="shared" si="541"/>
        <v>40</v>
      </c>
      <c r="Y153" s="60">
        <v>50</v>
      </c>
      <c r="Z153" s="60">
        <v>5</v>
      </c>
      <c r="AA153" s="60">
        <f>Y153-Z153</f>
        <v>45</v>
      </c>
      <c r="AB153" s="60"/>
      <c r="AC153" s="60"/>
      <c r="AD153" s="60">
        <f>AB153-AC153</f>
        <v>0</v>
      </c>
      <c r="AE153" s="60"/>
      <c r="AF153" s="60"/>
      <c r="AG153" s="60">
        <f>AE153-AF153</f>
        <v>0</v>
      </c>
      <c r="AH153" s="60">
        <f t="shared" si="533"/>
        <v>50</v>
      </c>
      <c r="AI153" s="60">
        <f t="shared" si="533"/>
        <v>5</v>
      </c>
      <c r="AJ153" s="60">
        <f>AA153+AD153+AG153</f>
        <v>45</v>
      </c>
      <c r="AK153" s="60"/>
      <c r="AL153" s="60"/>
      <c r="AM153" s="60">
        <f>AK153-AL153</f>
        <v>0</v>
      </c>
      <c r="AN153" s="60"/>
      <c r="AO153" s="60"/>
      <c r="AP153" s="60">
        <f>AN153-AO153</f>
        <v>0</v>
      </c>
      <c r="AQ153" s="60"/>
      <c r="AR153" s="60"/>
      <c r="AS153" s="60">
        <f>AQ153-AR153</f>
        <v>0</v>
      </c>
      <c r="AT153" s="60">
        <f t="shared" si="537"/>
        <v>0</v>
      </c>
      <c r="AU153" s="60">
        <f t="shared" si="537"/>
        <v>0</v>
      </c>
      <c r="AV153" s="60">
        <f t="shared" si="537"/>
        <v>0</v>
      </c>
      <c r="AW153" s="60"/>
      <c r="AX153" s="60"/>
      <c r="AY153" s="60">
        <f>AW153-AX153</f>
        <v>0</v>
      </c>
      <c r="AZ153" s="60"/>
      <c r="BA153" s="60"/>
      <c r="BB153" s="60">
        <f>AZ153-BA153</f>
        <v>0</v>
      </c>
      <c r="BC153" s="60"/>
      <c r="BD153" s="60"/>
      <c r="BE153" s="60">
        <f>BC153-BD153</f>
        <v>0</v>
      </c>
      <c r="BF153" s="60">
        <f>AW153+AZ153+BC153</f>
        <v>0</v>
      </c>
      <c r="BG153" s="60">
        <f>AX153+BA153+BD153</f>
        <v>0</v>
      </c>
      <c r="BH153" s="60">
        <f>AY153+BB153+BE153</f>
        <v>0</v>
      </c>
      <c r="BI153" s="508"/>
      <c r="BJ153" s="488" t="str">
        <f t="shared" si="505"/>
        <v>Lò</v>
      </c>
      <c r="BK153" s="523">
        <f>ROUND(O153*G153*$C$3,-1)</f>
        <v>0</v>
      </c>
      <c r="BL153" s="523">
        <f>ROUND(R153*G153*$C$3,-2)</f>
        <v>400</v>
      </c>
      <c r="BM153" s="523">
        <f>ROUND(U153*G153*$C$3,-2)</f>
        <v>100</v>
      </c>
      <c r="BN153" s="523">
        <f>ROUND(X153*G153*$C$3,-2)</f>
        <v>600</v>
      </c>
      <c r="BO153" s="523">
        <f>ROUND(AA153*G153*$C$3,-2)</f>
        <v>600</v>
      </c>
      <c r="BP153" s="523">
        <f>ROUND(AD153*G153*$C$3,-1)</f>
        <v>0</v>
      </c>
      <c r="BQ153" s="523">
        <f>ROUND(AG153*G153*$C$3,-1)</f>
        <v>0</v>
      </c>
      <c r="BR153" s="523">
        <f>ROUND(AJ153*G153*$C$3,-2)</f>
        <v>600</v>
      </c>
      <c r="BS153" s="523">
        <f>ROUND(AM153*G153*$C$3,-1)</f>
        <v>0</v>
      </c>
      <c r="BT153" s="523">
        <f>ROUND(AP153*G153*$C$3,-1)</f>
        <v>0</v>
      </c>
      <c r="BU153" s="523">
        <f>ROUND(AS153*G153*$C$3,-1)</f>
        <v>0</v>
      </c>
      <c r="BV153" s="523">
        <f>ROUND(AV153*G153*$C$3,-1)</f>
        <v>0</v>
      </c>
      <c r="BW153" s="523">
        <f>ROUND(AY153*G153*$C$3,-1)</f>
        <v>0</v>
      </c>
      <c r="BX153" s="523">
        <f>ROUND(BB153*G153*$C$3,-1)</f>
        <v>0</v>
      </c>
      <c r="BY153" s="523">
        <f>ROUND(BE153*G153*$C$3,-1)</f>
        <v>0</v>
      </c>
      <c r="BZ153" s="523">
        <f>ROUND(BH153*G153*$C$3,-1)</f>
        <v>0</v>
      </c>
      <c r="CA153" s="354"/>
      <c r="CB153" s="354" t="str">
        <f>IF(SUM(I153:L153)&lt;&gt;0,"X")</f>
        <v>X</v>
      </c>
      <c r="CC153" s="509" t="str">
        <f>CC149</f>
        <v>KT11.</v>
      </c>
      <c r="CD153" s="509" t="str">
        <f>CC153&amp;G153</f>
        <v>KT11.8,5</v>
      </c>
      <c r="CE153" s="351" t="str">
        <f t="shared" si="507"/>
        <v>Lò</v>
      </c>
      <c r="CF153" s="509" t="str">
        <f>CC153&amp;CE153</f>
        <v>KT11.Lò</v>
      </c>
      <c r="CG153" s="509"/>
      <c r="CH153" s="509"/>
    </row>
    <row r="154" spans="1:86" ht="24" customHeight="1" x14ac:dyDescent="0.25">
      <c r="A154" s="354" t="e">
        <f>A150</f>
        <v>#REF!</v>
      </c>
      <c r="B154" s="518"/>
      <c r="C154" s="519" t="s">
        <v>538</v>
      </c>
      <c r="D154" s="447" t="s">
        <v>206</v>
      </c>
      <c r="E154" s="447"/>
      <c r="F154" s="447"/>
      <c r="G154" s="520">
        <v>5.4</v>
      </c>
      <c r="H154" s="521">
        <v>0.7</v>
      </c>
      <c r="I154" s="522">
        <f t="shared" si="517"/>
        <v>70</v>
      </c>
      <c r="J154" s="522">
        <f t="shared" si="518"/>
        <v>0</v>
      </c>
      <c r="K154" s="522">
        <f t="shared" si="519"/>
        <v>70</v>
      </c>
      <c r="L154" s="57">
        <f t="shared" si="520"/>
        <v>500</v>
      </c>
      <c r="M154" s="60"/>
      <c r="N154" s="60"/>
      <c r="O154" s="60">
        <f t="shared" si="527"/>
        <v>0</v>
      </c>
      <c r="P154" s="60"/>
      <c r="Q154" s="60"/>
      <c r="R154" s="60">
        <f t="shared" si="528"/>
        <v>0</v>
      </c>
      <c r="S154" s="824"/>
      <c r="T154" s="60"/>
      <c r="U154" s="60">
        <f t="shared" si="529"/>
        <v>0</v>
      </c>
      <c r="V154" s="60">
        <f t="shared" si="541"/>
        <v>0</v>
      </c>
      <c r="W154" s="60">
        <f t="shared" si="541"/>
        <v>0</v>
      </c>
      <c r="X154" s="60">
        <f t="shared" si="541"/>
        <v>0</v>
      </c>
      <c r="Y154" s="60"/>
      <c r="Z154" s="60"/>
      <c r="AA154" s="60">
        <f t="shared" si="530"/>
        <v>0</v>
      </c>
      <c r="AB154" s="60">
        <v>70</v>
      </c>
      <c r="AC154" s="60"/>
      <c r="AD154" s="60">
        <f t="shared" si="531"/>
        <v>70</v>
      </c>
      <c r="AE154" s="60"/>
      <c r="AF154" s="60"/>
      <c r="AG154" s="60">
        <f t="shared" si="532"/>
        <v>0</v>
      </c>
      <c r="AH154" s="60">
        <f t="shared" si="533"/>
        <v>70</v>
      </c>
      <c r="AI154" s="60">
        <f t="shared" si="533"/>
        <v>0</v>
      </c>
      <c r="AJ154" s="60">
        <f>AA154+AD154+AG154</f>
        <v>70</v>
      </c>
      <c r="AK154" s="60"/>
      <c r="AL154" s="60"/>
      <c r="AM154" s="60">
        <f t="shared" si="534"/>
        <v>0</v>
      </c>
      <c r="AN154" s="60"/>
      <c r="AO154" s="60"/>
      <c r="AP154" s="60">
        <f t="shared" si="535"/>
        <v>0</v>
      </c>
      <c r="AQ154" s="60"/>
      <c r="AR154" s="60"/>
      <c r="AS154" s="60">
        <f t="shared" si="536"/>
        <v>0</v>
      </c>
      <c r="AT154" s="60">
        <f t="shared" ref="AT154:AV158" si="542">AK154+AN154+AQ154</f>
        <v>0</v>
      </c>
      <c r="AU154" s="60">
        <f t="shared" si="542"/>
        <v>0</v>
      </c>
      <c r="AV154" s="60">
        <f t="shared" si="542"/>
        <v>0</v>
      </c>
      <c r="AW154" s="60"/>
      <c r="AX154" s="60"/>
      <c r="AY154" s="60">
        <f t="shared" si="538"/>
        <v>0</v>
      </c>
      <c r="AZ154" s="60"/>
      <c r="BA154" s="60"/>
      <c r="BB154" s="60">
        <f t="shared" si="539"/>
        <v>0</v>
      </c>
      <c r="BC154" s="60"/>
      <c r="BD154" s="60"/>
      <c r="BE154" s="60">
        <f t="shared" si="540"/>
        <v>0</v>
      </c>
      <c r="BF154" s="60">
        <f t="shared" si="524"/>
        <v>0</v>
      </c>
      <c r="BG154" s="60">
        <f t="shared" si="525"/>
        <v>0</v>
      </c>
      <c r="BH154" s="60">
        <f t="shared" si="526"/>
        <v>0</v>
      </c>
      <c r="BI154" s="508"/>
      <c r="BJ154" s="488" t="str">
        <f t="shared" si="505"/>
        <v>Lò</v>
      </c>
      <c r="BK154" s="523">
        <f>ROUND(O154*G154*$C$3*$B$5,-2)</f>
        <v>0</v>
      </c>
      <c r="BL154" s="523">
        <f>ROUND(R154*G154*$C$3*$B$5,-2)</f>
        <v>0</v>
      </c>
      <c r="BM154" s="523">
        <f>ROUND(U154*G154*$C$3*$B$5,-2)</f>
        <v>0</v>
      </c>
      <c r="BN154" s="523">
        <f>ROUND(X154*G154*$C$3*$B$5,-2)</f>
        <v>0</v>
      </c>
      <c r="BO154" s="523">
        <f>ROUND(AA154*G154*$C$3*$B$5,-2)</f>
        <v>0</v>
      </c>
      <c r="BP154" s="523">
        <f>ROUND(AD154*G154*$C$3*$B$5,-2)</f>
        <v>500</v>
      </c>
      <c r="BQ154" s="523">
        <f>ROUND(AG154*G154*$C$3*$B$5,-2)</f>
        <v>0</v>
      </c>
      <c r="BR154" s="523">
        <f>ROUND(AJ154*G154*$B$5*$C$3,-2)</f>
        <v>500</v>
      </c>
      <c r="BS154" s="523">
        <f>ROUND(AM154*G154*$C$3*$B$5,-2)</f>
        <v>0</v>
      </c>
      <c r="BT154" s="523">
        <f>ROUND(AP154*G154*$C$3*$B$5,-2)</f>
        <v>0</v>
      </c>
      <c r="BU154" s="523">
        <f>ROUND(AS154*G154*$C$3*$B$5,-2)</f>
        <v>0</v>
      </c>
      <c r="BV154" s="523">
        <f>ROUND(AV154*G154*$C$3*$B$5,-2)</f>
        <v>0</v>
      </c>
      <c r="BW154" s="523">
        <f>ROUND(AY154*G154*$C$3*$B$5,-2)</f>
        <v>0</v>
      </c>
      <c r="BX154" s="523">
        <f>ROUND(BB154*G154*$C$3*$B$5,-2)</f>
        <v>0</v>
      </c>
      <c r="BY154" s="523">
        <f>ROUND(BE154*G154*$C$3*$B$5,-2)</f>
        <v>0</v>
      </c>
      <c r="BZ154" s="523">
        <f>ROUND(BH154*G154*$C$3*$B$5,-2)</f>
        <v>0</v>
      </c>
      <c r="CA154" s="354"/>
      <c r="CB154" s="354" t="str">
        <f t="shared" si="397"/>
        <v>X</v>
      </c>
      <c r="CC154" s="509" t="str">
        <f>CC150</f>
        <v>KT11.</v>
      </c>
      <c r="CD154" s="509" t="str">
        <f t="shared" si="399"/>
        <v>KT11.5,4</v>
      </c>
      <c r="CE154" s="351" t="str">
        <f t="shared" si="507"/>
        <v>Lò</v>
      </c>
      <c r="CF154" s="509" t="str">
        <f t="shared" si="400"/>
        <v>KT11.Lò</v>
      </c>
      <c r="CG154" s="509"/>
      <c r="CH154" s="509"/>
    </row>
    <row r="155" spans="1:86" ht="24" customHeight="1" x14ac:dyDescent="0.25">
      <c r="A155" s="354" t="e">
        <f>A151</f>
        <v>#REF!</v>
      </c>
      <c r="B155" s="518"/>
      <c r="C155" s="519"/>
      <c r="D155" s="447" t="s">
        <v>14</v>
      </c>
      <c r="E155" s="447"/>
      <c r="F155" s="447"/>
      <c r="G155" s="520">
        <v>8.5</v>
      </c>
      <c r="H155" s="521">
        <v>0.7</v>
      </c>
      <c r="I155" s="522">
        <f t="shared" si="517"/>
        <v>0</v>
      </c>
      <c r="J155" s="522">
        <f t="shared" si="518"/>
        <v>0</v>
      </c>
      <c r="K155" s="522">
        <f t="shared" si="519"/>
        <v>0</v>
      </c>
      <c r="L155" s="57">
        <f t="shared" si="520"/>
        <v>0</v>
      </c>
      <c r="M155" s="60"/>
      <c r="N155" s="60"/>
      <c r="O155" s="60">
        <f t="shared" si="527"/>
        <v>0</v>
      </c>
      <c r="P155" s="60"/>
      <c r="Q155" s="60"/>
      <c r="R155" s="60">
        <f t="shared" si="528"/>
        <v>0</v>
      </c>
      <c r="S155" s="824"/>
      <c r="T155" s="60"/>
      <c r="U155" s="60">
        <f t="shared" si="529"/>
        <v>0</v>
      </c>
      <c r="V155" s="60">
        <f t="shared" si="541"/>
        <v>0</v>
      </c>
      <c r="W155" s="60">
        <f t="shared" si="541"/>
        <v>0</v>
      </c>
      <c r="X155" s="60">
        <f t="shared" si="541"/>
        <v>0</v>
      </c>
      <c r="Y155" s="60"/>
      <c r="Z155" s="60"/>
      <c r="AA155" s="60">
        <f t="shared" si="530"/>
        <v>0</v>
      </c>
      <c r="AB155" s="60"/>
      <c r="AC155" s="60"/>
      <c r="AD155" s="60">
        <f t="shared" si="531"/>
        <v>0</v>
      </c>
      <c r="AE155" s="60"/>
      <c r="AF155" s="60"/>
      <c r="AG155" s="60">
        <f t="shared" si="532"/>
        <v>0</v>
      </c>
      <c r="AH155" s="60"/>
      <c r="AI155" s="60"/>
      <c r="AJ155" s="60">
        <f>AH155-AI155</f>
        <v>0</v>
      </c>
      <c r="AK155" s="60"/>
      <c r="AL155" s="60"/>
      <c r="AM155" s="60">
        <f t="shared" si="534"/>
        <v>0</v>
      </c>
      <c r="AN155" s="60"/>
      <c r="AO155" s="60"/>
      <c r="AP155" s="60">
        <f t="shared" si="535"/>
        <v>0</v>
      </c>
      <c r="AQ155" s="60"/>
      <c r="AR155" s="60"/>
      <c r="AS155" s="60">
        <f t="shared" si="536"/>
        <v>0</v>
      </c>
      <c r="AT155" s="60">
        <f t="shared" si="542"/>
        <v>0</v>
      </c>
      <c r="AU155" s="60">
        <f t="shared" si="542"/>
        <v>0</v>
      </c>
      <c r="AV155" s="60">
        <f t="shared" si="542"/>
        <v>0</v>
      </c>
      <c r="AW155" s="60"/>
      <c r="AX155" s="60"/>
      <c r="AY155" s="60">
        <f t="shared" si="538"/>
        <v>0</v>
      </c>
      <c r="AZ155" s="60"/>
      <c r="BA155" s="60"/>
      <c r="BB155" s="60">
        <f t="shared" si="539"/>
        <v>0</v>
      </c>
      <c r="BC155" s="60"/>
      <c r="BD155" s="60"/>
      <c r="BE155" s="60">
        <f t="shared" si="540"/>
        <v>0</v>
      </c>
      <c r="BF155" s="60">
        <f t="shared" si="524"/>
        <v>0</v>
      </c>
      <c r="BG155" s="60">
        <f t="shared" si="525"/>
        <v>0</v>
      </c>
      <c r="BH155" s="60">
        <f t="shared" si="526"/>
        <v>0</v>
      </c>
      <c r="BI155" s="508"/>
      <c r="BJ155" s="488" t="str">
        <f t="shared" si="505"/>
        <v/>
      </c>
      <c r="BK155" s="523">
        <f>ROUND(O155*G155*$C$3,-1)</f>
        <v>0</v>
      </c>
      <c r="BL155" s="523">
        <f>ROUND(R155*G155*$C$3,-1)</f>
        <v>0</v>
      </c>
      <c r="BM155" s="523">
        <f>ROUND(U155*G155*$C$3,-1)</f>
        <v>0</v>
      </c>
      <c r="BN155" s="523">
        <f>ROUND(X155*G155*$C$3,-1)</f>
        <v>0</v>
      </c>
      <c r="BO155" s="523">
        <f>ROUND(AA155*G155*$C$3,-1)</f>
        <v>0</v>
      </c>
      <c r="BP155" s="523">
        <f>ROUND(AD155*G155*$C$3,-1)</f>
        <v>0</v>
      </c>
      <c r="BQ155" s="523">
        <f>ROUND(AG155*G155*$C$3,-1)</f>
        <v>0</v>
      </c>
      <c r="BR155" s="523">
        <f>ROUND(AJ155*G155*$C$3,-1)</f>
        <v>0</v>
      </c>
      <c r="BS155" s="523">
        <f>ROUND(AM155*G155*$C$3,-1)</f>
        <v>0</v>
      </c>
      <c r="BT155" s="523">
        <f>ROUND(AP155*G155*$C$3,-1)</f>
        <v>0</v>
      </c>
      <c r="BU155" s="523">
        <f>ROUND(AS155*G155*$C$3,-1)</f>
        <v>0</v>
      </c>
      <c r="BV155" s="523">
        <f>ROUND(AV155*G155*$C$3,-1)</f>
        <v>0</v>
      </c>
      <c r="BW155" s="523">
        <f>ROUND(AY155*G155*$C$3,-1)</f>
        <v>0</v>
      </c>
      <c r="BX155" s="523">
        <f>ROUND(BB155*G155*$C$3,-1)</f>
        <v>0</v>
      </c>
      <c r="BY155" s="523">
        <f>ROUND(BE155*G155*$C$3,-1)</f>
        <v>0</v>
      </c>
      <c r="BZ155" s="523">
        <f>ROUND(BH155*G155*$C$3,-1)</f>
        <v>0</v>
      </c>
      <c r="CA155" s="354"/>
      <c r="CB155" s="354" t="b">
        <f t="shared" si="397"/>
        <v>0</v>
      </c>
      <c r="CC155" s="509" t="str">
        <f>CC151</f>
        <v>KT11.</v>
      </c>
      <c r="CD155" s="509" t="str">
        <f t="shared" si="399"/>
        <v>KT11.8,5</v>
      </c>
      <c r="CE155" s="351" t="str">
        <f t="shared" si="507"/>
        <v/>
      </c>
      <c r="CF155" s="509" t="str">
        <f t="shared" si="400"/>
        <v>KT11.</v>
      </c>
      <c r="CG155" s="509"/>
      <c r="CH155" s="509"/>
    </row>
    <row r="156" spans="1:86" ht="24" customHeight="1" x14ac:dyDescent="0.25">
      <c r="A156" s="354" t="e">
        <f>A152</f>
        <v>#REF!</v>
      </c>
      <c r="B156" s="518"/>
      <c r="C156" s="519" t="s">
        <v>539</v>
      </c>
      <c r="D156" s="447" t="s">
        <v>206</v>
      </c>
      <c r="E156" s="447"/>
      <c r="F156" s="447"/>
      <c r="G156" s="520">
        <v>5.4</v>
      </c>
      <c r="H156" s="521">
        <v>0.7</v>
      </c>
      <c r="I156" s="522">
        <f t="shared" ref="I156:K159" si="543">V156+AH156+AT156+BF156</f>
        <v>0</v>
      </c>
      <c r="J156" s="522">
        <f t="shared" si="543"/>
        <v>0</v>
      </c>
      <c r="K156" s="522">
        <f t="shared" si="543"/>
        <v>0</v>
      </c>
      <c r="L156" s="57">
        <f>BN156+BR156+BV156+BZ156</f>
        <v>0</v>
      </c>
      <c r="M156" s="60"/>
      <c r="N156" s="60"/>
      <c r="O156" s="60">
        <f>M156-N156</f>
        <v>0</v>
      </c>
      <c r="P156" s="60"/>
      <c r="Q156" s="60"/>
      <c r="R156" s="60">
        <f>P156-Q156</f>
        <v>0</v>
      </c>
      <c r="S156" s="824"/>
      <c r="T156" s="60"/>
      <c r="U156" s="60">
        <f>S156-T156</f>
        <v>0</v>
      </c>
      <c r="V156" s="60">
        <f t="shared" si="541"/>
        <v>0</v>
      </c>
      <c r="W156" s="60">
        <f t="shared" si="541"/>
        <v>0</v>
      </c>
      <c r="X156" s="60">
        <f t="shared" si="541"/>
        <v>0</v>
      </c>
      <c r="Y156" s="60"/>
      <c r="Z156" s="60"/>
      <c r="AA156" s="60">
        <f>Y156-Z156</f>
        <v>0</v>
      </c>
      <c r="AB156" s="60"/>
      <c r="AC156" s="60"/>
      <c r="AD156" s="60">
        <f>AB156-AC156</f>
        <v>0</v>
      </c>
      <c r="AE156" s="60"/>
      <c r="AF156" s="60"/>
      <c r="AG156" s="60">
        <f>AE156-AF156</f>
        <v>0</v>
      </c>
      <c r="AH156" s="60">
        <f>Y156+AB156+AE156</f>
        <v>0</v>
      </c>
      <c r="AI156" s="60">
        <f>Z156+AC156+AF156</f>
        <v>0</v>
      </c>
      <c r="AJ156" s="60">
        <f>AA156+AD156+AG156</f>
        <v>0</v>
      </c>
      <c r="AK156" s="60"/>
      <c r="AL156" s="60"/>
      <c r="AM156" s="60">
        <f>AK156-AL156</f>
        <v>0</v>
      </c>
      <c r="AN156" s="60"/>
      <c r="AO156" s="60"/>
      <c r="AP156" s="60">
        <f>AN156-AO156</f>
        <v>0</v>
      </c>
      <c r="AQ156" s="60"/>
      <c r="AR156" s="60"/>
      <c r="AS156" s="60">
        <f>AQ156-AR156</f>
        <v>0</v>
      </c>
      <c r="AT156" s="60">
        <f t="shared" si="542"/>
        <v>0</v>
      </c>
      <c r="AU156" s="60">
        <f t="shared" si="542"/>
        <v>0</v>
      </c>
      <c r="AV156" s="60">
        <f t="shared" si="542"/>
        <v>0</v>
      </c>
      <c r="AW156" s="60"/>
      <c r="AX156" s="60"/>
      <c r="AY156" s="60">
        <f>AW156-AX156</f>
        <v>0</v>
      </c>
      <c r="AZ156" s="60"/>
      <c r="BA156" s="60"/>
      <c r="BB156" s="60">
        <f>AZ156-BA156</f>
        <v>0</v>
      </c>
      <c r="BC156" s="60"/>
      <c r="BD156" s="60"/>
      <c r="BE156" s="60">
        <f>BC156-BD156</f>
        <v>0</v>
      </c>
      <c r="BF156" s="60">
        <f>AW156+AZ156+BC156</f>
        <v>0</v>
      </c>
      <c r="BG156" s="60">
        <f>AX156+BA156+BD156</f>
        <v>0</v>
      </c>
      <c r="BH156" s="60">
        <f>AY156+BB156+BE156</f>
        <v>0</v>
      </c>
      <c r="BI156" s="508"/>
      <c r="BJ156" s="488" t="str">
        <f t="shared" si="505"/>
        <v>Lò</v>
      </c>
      <c r="BK156" s="523">
        <f>ROUND(O156*G156*$C$3*$B$5,-2)</f>
        <v>0</v>
      </c>
      <c r="BL156" s="523">
        <f>ROUND(R156*G156*$C$3*$B$5,-2)</f>
        <v>0</v>
      </c>
      <c r="BM156" s="523">
        <f>ROUND(U156*G156*$C$3*$B$5,-2)</f>
        <v>0</v>
      </c>
      <c r="BN156" s="523">
        <f>ROUND(X156*G156*$C$3*$B$5,-2)</f>
        <v>0</v>
      </c>
      <c r="BO156" s="523">
        <f>ROUND(AA156*G156*$C$3*$B$5,-2)</f>
        <v>0</v>
      </c>
      <c r="BP156" s="523">
        <f>ROUND(AD156*G156*$C$3*$B$5,-2)</f>
        <v>0</v>
      </c>
      <c r="BQ156" s="523">
        <f>ROUND(AG156*G156*$C$3*$B$5,-2)</f>
        <v>0</v>
      </c>
      <c r="BR156" s="523">
        <f>ROUND(AJ156*G156*$B$5*$C$3,-2)</f>
        <v>0</v>
      </c>
      <c r="BS156" s="523">
        <f>ROUND(AM156*G156*$C$3*$B$5,-2)</f>
        <v>0</v>
      </c>
      <c r="BT156" s="523">
        <f>ROUND(AP156*G156*$C$3*$B$5,-2)</f>
        <v>0</v>
      </c>
      <c r="BU156" s="523">
        <f>ROUND(AS156*G156*$C$3*$B$5,-2)</f>
        <v>0</v>
      </c>
      <c r="BV156" s="523">
        <f>ROUND(AV156*G156*$C$3*$B$5,-2)</f>
        <v>0</v>
      </c>
      <c r="BW156" s="523">
        <f>ROUND(AY156*G156*$C$3*$B$5,-2)</f>
        <v>0</v>
      </c>
      <c r="BX156" s="523">
        <f>ROUND(BB156*G156*$C$3*$B$5,-2)</f>
        <v>0</v>
      </c>
      <c r="BY156" s="523">
        <f>ROUND(BE156*G156*$C$3*$B$5,-2)</f>
        <v>0</v>
      </c>
      <c r="BZ156" s="523">
        <f>ROUND(BH156*G156*$C$3*$B$5,-2)</f>
        <v>0</v>
      </c>
      <c r="CA156" s="354"/>
      <c r="CB156" s="354" t="b">
        <f>IF(SUM(I156:L156)&lt;&gt;0,"X")</f>
        <v>0</v>
      </c>
      <c r="CC156" s="509" t="str">
        <f>CC152</f>
        <v>KT11.</v>
      </c>
      <c r="CD156" s="509" t="str">
        <f>CC156&amp;G156</f>
        <v>KT11.5,4</v>
      </c>
      <c r="CE156" s="351" t="str">
        <f t="shared" si="507"/>
        <v>Lò</v>
      </c>
      <c r="CF156" s="509" t="str">
        <f>CC156&amp;CE156</f>
        <v>KT11.Lò</v>
      </c>
      <c r="CG156" s="509"/>
      <c r="CH156" s="509"/>
    </row>
    <row r="157" spans="1:86" ht="24" customHeight="1" x14ac:dyDescent="0.25">
      <c r="A157" s="354" t="e">
        <f>A150</f>
        <v>#REF!</v>
      </c>
      <c r="B157" s="518"/>
      <c r="C157" s="519" t="s">
        <v>540</v>
      </c>
      <c r="D157" s="447" t="s">
        <v>14</v>
      </c>
      <c r="E157" s="447"/>
      <c r="F157" s="447"/>
      <c r="G157" s="520">
        <v>9.5</v>
      </c>
      <c r="H157" s="521">
        <v>0.7</v>
      </c>
      <c r="I157" s="522">
        <f t="shared" si="543"/>
        <v>0</v>
      </c>
      <c r="J157" s="522">
        <f t="shared" si="543"/>
        <v>0</v>
      </c>
      <c r="K157" s="522">
        <f t="shared" si="543"/>
        <v>0</v>
      </c>
      <c r="L157" s="57">
        <f>BN157+BR157+BV157+BZ157</f>
        <v>0</v>
      </c>
      <c r="M157" s="60"/>
      <c r="N157" s="60"/>
      <c r="O157" s="60">
        <f>M157-N157</f>
        <v>0</v>
      </c>
      <c r="P157" s="60"/>
      <c r="Q157" s="60"/>
      <c r="R157" s="60">
        <f>P157-Q157</f>
        <v>0</v>
      </c>
      <c r="S157" s="824"/>
      <c r="T157" s="60"/>
      <c r="U157" s="60">
        <f>S157-T157</f>
        <v>0</v>
      </c>
      <c r="V157" s="60">
        <f t="shared" si="541"/>
        <v>0</v>
      </c>
      <c r="W157" s="60">
        <f t="shared" si="541"/>
        <v>0</v>
      </c>
      <c r="X157" s="60">
        <f t="shared" si="541"/>
        <v>0</v>
      </c>
      <c r="Y157" s="60"/>
      <c r="Z157" s="60"/>
      <c r="AA157" s="60">
        <f>Y157-Z157</f>
        <v>0</v>
      </c>
      <c r="AB157" s="60"/>
      <c r="AC157" s="60"/>
      <c r="AD157" s="60">
        <f>AB157-AC157</f>
        <v>0</v>
      </c>
      <c r="AE157" s="60"/>
      <c r="AF157" s="60"/>
      <c r="AG157" s="60">
        <f>AE157-AF157</f>
        <v>0</v>
      </c>
      <c r="AH157" s="60"/>
      <c r="AI157" s="60"/>
      <c r="AJ157" s="60">
        <f>AA157+AD157+AG157</f>
        <v>0</v>
      </c>
      <c r="AK157" s="60"/>
      <c r="AL157" s="60"/>
      <c r="AM157" s="60">
        <f>AK157-AL157</f>
        <v>0</v>
      </c>
      <c r="AN157" s="60"/>
      <c r="AO157" s="60"/>
      <c r="AP157" s="60">
        <f>AN157-AO157</f>
        <v>0</v>
      </c>
      <c r="AQ157" s="60"/>
      <c r="AR157" s="60"/>
      <c r="AS157" s="60">
        <f>AQ157-AR157</f>
        <v>0</v>
      </c>
      <c r="AT157" s="60">
        <f t="shared" si="542"/>
        <v>0</v>
      </c>
      <c r="AU157" s="60">
        <f t="shared" si="542"/>
        <v>0</v>
      </c>
      <c r="AV157" s="60">
        <f t="shared" si="542"/>
        <v>0</v>
      </c>
      <c r="AW157" s="60"/>
      <c r="AX157" s="60"/>
      <c r="AY157" s="60">
        <f>AW157-AX157</f>
        <v>0</v>
      </c>
      <c r="AZ157" s="60"/>
      <c r="BA157" s="60"/>
      <c r="BB157" s="60">
        <f>AZ157-BA157</f>
        <v>0</v>
      </c>
      <c r="BC157" s="60"/>
      <c r="BD157" s="60"/>
      <c r="BE157" s="60">
        <f>BC157-BD157</f>
        <v>0</v>
      </c>
      <c r="BF157" s="60">
        <f t="shared" ref="BF157:BH159" si="544">AW157+AZ157+BC157</f>
        <v>0</v>
      </c>
      <c r="BG157" s="60">
        <f t="shared" si="544"/>
        <v>0</v>
      </c>
      <c r="BH157" s="60">
        <f t="shared" si="544"/>
        <v>0</v>
      </c>
      <c r="BI157" s="508"/>
      <c r="BJ157" s="488" t="str">
        <f t="shared" si="505"/>
        <v>Lò</v>
      </c>
      <c r="BK157" s="523">
        <f>ROUND(O157*G157*$C$3*$B$5,-2)</f>
        <v>0</v>
      </c>
      <c r="BL157" s="523">
        <f>ROUND(R157*G157*$C$3*$B$5,-2)</f>
        <v>0</v>
      </c>
      <c r="BM157" s="523">
        <f>ROUND(U157*G157*$C$3*$B$5,-2)</f>
        <v>0</v>
      </c>
      <c r="BN157" s="523">
        <f>ROUND(X157*G157*$C$3*$B$5,-2)</f>
        <v>0</v>
      </c>
      <c r="BO157" s="523">
        <f>ROUND(AA157*G157*$C$3*$B$5,-2)</f>
        <v>0</v>
      </c>
      <c r="BP157" s="523">
        <f>ROUND(AD157*G157*$C$3*$B$5,-2)</f>
        <v>0</v>
      </c>
      <c r="BQ157" s="523">
        <f>ROUND(AG157*G157*$C$3*$B$5,-2)</f>
        <v>0</v>
      </c>
      <c r="BR157" s="523">
        <f>ROUND(AJ157*G157*$B$5*$C$3,-2)</f>
        <v>0</v>
      </c>
      <c r="BS157" s="523">
        <f>ROUND(AM157*G157*$C$3*$B$5,-2)</f>
        <v>0</v>
      </c>
      <c r="BT157" s="523">
        <f>ROUND(AP157*G157*$C$3*$B$5,-2)</f>
        <v>0</v>
      </c>
      <c r="BU157" s="523">
        <f>ROUND(AS157*G157*$C$3*$B$5,-2)</f>
        <v>0</v>
      </c>
      <c r="BV157" s="523">
        <f>ROUND(AV157*G157*$C$3*$B$5,-2)</f>
        <v>0</v>
      </c>
      <c r="BW157" s="523">
        <f>ROUND(AY157*G157*$C$3*$B$5,-2)</f>
        <v>0</v>
      </c>
      <c r="BX157" s="523">
        <f>ROUND(BB157*G157*$C$3*$B$5,-2)</f>
        <v>0</v>
      </c>
      <c r="BY157" s="523">
        <f>ROUND(BE157*G157*$C$3*$B$5,-2)</f>
        <v>0</v>
      </c>
      <c r="BZ157" s="523">
        <f>ROUND(BH157*G157*$C$3*$B$5,-2)</f>
        <v>0</v>
      </c>
      <c r="CA157" s="354"/>
      <c r="CB157" s="354" t="b">
        <f>IF(SUM(I157:L157)&lt;&gt;0,"X")</f>
        <v>0</v>
      </c>
      <c r="CC157" s="509" t="str">
        <f>CC150</f>
        <v>KT11.</v>
      </c>
      <c r="CD157" s="509" t="str">
        <f>CC157&amp;G157</f>
        <v>KT11.9,5</v>
      </c>
      <c r="CE157" s="351" t="str">
        <f t="shared" si="507"/>
        <v>Lò</v>
      </c>
      <c r="CF157" s="509" t="str">
        <f>CC157&amp;CE157</f>
        <v>KT11.Lò</v>
      </c>
      <c r="CG157" s="509"/>
      <c r="CH157" s="509"/>
    </row>
    <row r="158" spans="1:86" ht="24" customHeight="1" x14ac:dyDescent="0.25">
      <c r="A158" s="354" t="e">
        <f>A151</f>
        <v>#REF!</v>
      </c>
      <c r="B158" s="518"/>
      <c r="C158" s="519" t="s">
        <v>541</v>
      </c>
      <c r="D158" s="447" t="s">
        <v>14</v>
      </c>
      <c r="E158" s="447"/>
      <c r="F158" s="447"/>
      <c r="G158" s="520">
        <v>9.5</v>
      </c>
      <c r="H158" s="521">
        <v>0.7</v>
      </c>
      <c r="I158" s="522">
        <f t="shared" si="543"/>
        <v>0</v>
      </c>
      <c r="J158" s="522">
        <f t="shared" si="543"/>
        <v>0</v>
      </c>
      <c r="K158" s="522">
        <f t="shared" si="543"/>
        <v>0</v>
      </c>
      <c r="L158" s="57">
        <f>BN158+BR158+BV158+BZ158</f>
        <v>0</v>
      </c>
      <c r="M158" s="60"/>
      <c r="N158" s="60"/>
      <c r="O158" s="60">
        <f>M158-N158</f>
        <v>0</v>
      </c>
      <c r="P158" s="60"/>
      <c r="Q158" s="60"/>
      <c r="R158" s="60">
        <f>P158-Q158</f>
        <v>0</v>
      </c>
      <c r="S158" s="824"/>
      <c r="T158" s="60"/>
      <c r="U158" s="60">
        <f>S158-T158</f>
        <v>0</v>
      </c>
      <c r="V158" s="60">
        <f t="shared" si="541"/>
        <v>0</v>
      </c>
      <c r="W158" s="60">
        <f t="shared" si="541"/>
        <v>0</v>
      </c>
      <c r="X158" s="60">
        <f t="shared" si="541"/>
        <v>0</v>
      </c>
      <c r="Y158" s="60"/>
      <c r="Z158" s="60"/>
      <c r="AA158" s="60">
        <f>Y158-Z158</f>
        <v>0</v>
      </c>
      <c r="AB158" s="60"/>
      <c r="AC158" s="60"/>
      <c r="AD158" s="60">
        <f>AB158-AC158</f>
        <v>0</v>
      </c>
      <c r="AE158" s="60"/>
      <c r="AF158" s="60"/>
      <c r="AG158" s="60">
        <f>AE158-AF158</f>
        <v>0</v>
      </c>
      <c r="AH158" s="60"/>
      <c r="AI158" s="60"/>
      <c r="AJ158" s="60">
        <f>AA158+AD158+AG158</f>
        <v>0</v>
      </c>
      <c r="AK158" s="60"/>
      <c r="AL158" s="60"/>
      <c r="AM158" s="60">
        <f>AK158-AL158</f>
        <v>0</v>
      </c>
      <c r="AN158" s="60"/>
      <c r="AO158" s="60"/>
      <c r="AP158" s="60">
        <f>AN158-AO158</f>
        <v>0</v>
      </c>
      <c r="AQ158" s="60"/>
      <c r="AR158" s="60"/>
      <c r="AS158" s="60">
        <f>AQ158-AR158</f>
        <v>0</v>
      </c>
      <c r="AT158" s="60">
        <f t="shared" si="542"/>
        <v>0</v>
      </c>
      <c r="AU158" s="60">
        <f t="shared" si="542"/>
        <v>0</v>
      </c>
      <c r="AV158" s="60">
        <f t="shared" si="542"/>
        <v>0</v>
      </c>
      <c r="AW158" s="60"/>
      <c r="AX158" s="60"/>
      <c r="AY158" s="60">
        <f>AW158-AX158</f>
        <v>0</v>
      </c>
      <c r="AZ158" s="60"/>
      <c r="BA158" s="60"/>
      <c r="BB158" s="60">
        <f>AZ158-BA158</f>
        <v>0</v>
      </c>
      <c r="BC158" s="60"/>
      <c r="BD158" s="60"/>
      <c r="BE158" s="60">
        <f>BC158-BD158</f>
        <v>0</v>
      </c>
      <c r="BF158" s="60">
        <f t="shared" si="544"/>
        <v>0</v>
      </c>
      <c r="BG158" s="60">
        <f t="shared" si="544"/>
        <v>0</v>
      </c>
      <c r="BH158" s="60">
        <f t="shared" si="544"/>
        <v>0</v>
      </c>
      <c r="BI158" s="508"/>
      <c r="BJ158" s="488" t="str">
        <f t="shared" si="505"/>
        <v>Lò</v>
      </c>
      <c r="BK158" s="523">
        <f>ROUND(O158*G158*$C$3*$B$5,-2)</f>
        <v>0</v>
      </c>
      <c r="BL158" s="523">
        <f>ROUND(R158*G158*$C$3*$B$5,-2)</f>
        <v>0</v>
      </c>
      <c r="BM158" s="523">
        <f>ROUND(U158*G158*$C$3*$B$5,-2)</f>
        <v>0</v>
      </c>
      <c r="BN158" s="523">
        <f>ROUND(X158*G158*$C$3*$B$5,-2)</f>
        <v>0</v>
      </c>
      <c r="BO158" s="523">
        <f>ROUND(AA158*G158*$C$3*$B$5,-2)</f>
        <v>0</v>
      </c>
      <c r="BP158" s="523">
        <f>ROUND(AD158*G158*$C$3*$B$5,-2)</f>
        <v>0</v>
      </c>
      <c r="BQ158" s="523">
        <f>ROUND(AG158*G158*$C$3*$B$5,-2)</f>
        <v>0</v>
      </c>
      <c r="BR158" s="523">
        <f>ROUND(AJ158*G158*$B$5*$C$3,-2)</f>
        <v>0</v>
      </c>
      <c r="BS158" s="523">
        <f>ROUND(AM158*G158*$C$3*$B$5,-2)</f>
        <v>0</v>
      </c>
      <c r="BT158" s="523">
        <f>ROUND(AP158*G158*$C$3*$B$5,-2)</f>
        <v>0</v>
      </c>
      <c r="BU158" s="523">
        <f>ROUND(AS158*G158*$C$3*$B$5,-2)</f>
        <v>0</v>
      </c>
      <c r="BV158" s="523">
        <f>ROUND(AV158*G158*$C$3*$B$5,-2)</f>
        <v>0</v>
      </c>
      <c r="BW158" s="523">
        <f>ROUND(AY158*G158*$C$3*$B$5,-2)</f>
        <v>0</v>
      </c>
      <c r="BX158" s="523">
        <f>ROUND(BB158*G158*$C$3*$B$5,-2)</f>
        <v>0</v>
      </c>
      <c r="BY158" s="523">
        <f>ROUND(BE158*G158*$C$3*$B$5,-2)</f>
        <v>0</v>
      </c>
      <c r="BZ158" s="523">
        <f>ROUND(BH158*G158*$C$3*$B$5,-2)</f>
        <v>0</v>
      </c>
      <c r="CA158" s="354"/>
      <c r="CB158" s="354" t="b">
        <f>IF(SUM(I158:L158)&lt;&gt;0,"X")</f>
        <v>0</v>
      </c>
      <c r="CC158" s="509" t="str">
        <f>CC151</f>
        <v>KT11.</v>
      </c>
      <c r="CD158" s="509" t="str">
        <f>CC158&amp;G158</f>
        <v>KT11.9,5</v>
      </c>
      <c r="CE158" s="351" t="str">
        <f t="shared" si="507"/>
        <v>Lò</v>
      </c>
      <c r="CF158" s="509" t="str">
        <f>CC158&amp;CE158</f>
        <v>KT11.Lò</v>
      </c>
      <c r="CG158" s="509"/>
      <c r="CH158" s="509"/>
    </row>
    <row r="159" spans="1:86" ht="24" customHeight="1" x14ac:dyDescent="0.25">
      <c r="A159" s="354" t="e">
        <f>A155</f>
        <v>#REF!</v>
      </c>
      <c r="B159" s="518"/>
      <c r="C159" s="519" t="s">
        <v>542</v>
      </c>
      <c r="D159" s="447" t="s">
        <v>206</v>
      </c>
      <c r="E159" s="447"/>
      <c r="F159" s="447"/>
      <c r="G159" s="520">
        <v>5.4</v>
      </c>
      <c r="H159" s="521">
        <v>0.7</v>
      </c>
      <c r="I159" s="522">
        <f t="shared" si="543"/>
        <v>0</v>
      </c>
      <c r="J159" s="522">
        <f t="shared" si="543"/>
        <v>0</v>
      </c>
      <c r="K159" s="522">
        <f t="shared" si="543"/>
        <v>0</v>
      </c>
      <c r="L159" s="57">
        <f>BN159+BR159+BV159+BZ159</f>
        <v>0</v>
      </c>
      <c r="M159" s="60"/>
      <c r="N159" s="60"/>
      <c r="O159" s="60">
        <f>M159-N159</f>
        <v>0</v>
      </c>
      <c r="P159" s="60"/>
      <c r="Q159" s="60"/>
      <c r="R159" s="60">
        <f>P159-Q159</f>
        <v>0</v>
      </c>
      <c r="S159" s="824"/>
      <c r="T159" s="60"/>
      <c r="U159" s="60">
        <f>S159-T159</f>
        <v>0</v>
      </c>
      <c r="V159" s="60">
        <f t="shared" ref="V159:X160" si="545">M159+P159+S159</f>
        <v>0</v>
      </c>
      <c r="W159" s="60">
        <f t="shared" si="545"/>
        <v>0</v>
      </c>
      <c r="X159" s="60">
        <f t="shared" si="545"/>
        <v>0</v>
      </c>
      <c r="Y159" s="60"/>
      <c r="Z159" s="60"/>
      <c r="AA159" s="60">
        <f>Y159-Z159</f>
        <v>0</v>
      </c>
      <c r="AB159" s="60"/>
      <c r="AC159" s="60"/>
      <c r="AD159" s="60">
        <f>AB159-AC159</f>
        <v>0</v>
      </c>
      <c r="AE159" s="60"/>
      <c r="AF159" s="60"/>
      <c r="AG159" s="60">
        <f>AE159-AF159</f>
        <v>0</v>
      </c>
      <c r="AH159" s="60">
        <f>Y159+AB159+AE159</f>
        <v>0</v>
      </c>
      <c r="AI159" s="60">
        <f>Z159+AC159+AF159</f>
        <v>0</v>
      </c>
      <c r="AJ159" s="60">
        <f>AA159+AD159+AG159</f>
        <v>0</v>
      </c>
      <c r="AK159" s="60"/>
      <c r="AL159" s="60"/>
      <c r="AM159" s="60">
        <f>AK159-AL159</f>
        <v>0</v>
      </c>
      <c r="AN159" s="60"/>
      <c r="AO159" s="60"/>
      <c r="AP159" s="60">
        <f>AN159-AO159</f>
        <v>0</v>
      </c>
      <c r="AQ159" s="60"/>
      <c r="AR159" s="60"/>
      <c r="AS159" s="60">
        <f>AQ159-AR159</f>
        <v>0</v>
      </c>
      <c r="AT159" s="60"/>
      <c r="AU159" s="60"/>
      <c r="AV159" s="60">
        <f>AT159-AU159</f>
        <v>0</v>
      </c>
      <c r="AW159" s="60"/>
      <c r="AX159" s="60"/>
      <c r="AY159" s="60">
        <f>AW159-AX159</f>
        <v>0</v>
      </c>
      <c r="AZ159" s="60"/>
      <c r="BA159" s="60"/>
      <c r="BB159" s="60">
        <f>AZ159-BA159</f>
        <v>0</v>
      </c>
      <c r="BC159" s="60"/>
      <c r="BD159" s="60"/>
      <c r="BE159" s="60">
        <f>BC159-BD159</f>
        <v>0</v>
      </c>
      <c r="BF159" s="60">
        <f t="shared" si="544"/>
        <v>0</v>
      </c>
      <c r="BG159" s="60">
        <f t="shared" si="544"/>
        <v>0</v>
      </c>
      <c r="BH159" s="60">
        <f t="shared" si="544"/>
        <v>0</v>
      </c>
      <c r="BI159" s="508"/>
      <c r="BJ159" s="488" t="str">
        <f t="shared" si="505"/>
        <v>Lò</v>
      </c>
      <c r="BK159" s="523">
        <f>ROUND(O159*G159*$C$3*$B$5,-2)</f>
        <v>0</v>
      </c>
      <c r="BL159" s="523">
        <f>ROUND(R159*G159*$C$3*$B$5,-2)</f>
        <v>0</v>
      </c>
      <c r="BM159" s="523">
        <f>ROUND(U159*G159*$C$3*$B$5,-2)</f>
        <v>0</v>
      </c>
      <c r="BN159" s="523">
        <f>ROUND(X159*G159*$C$3*$B$5,-2)</f>
        <v>0</v>
      </c>
      <c r="BO159" s="523">
        <f>ROUND(AA159*G159*$C$3*$B$5,-2)</f>
        <v>0</v>
      </c>
      <c r="BP159" s="523">
        <f>ROUND(AD159*G159*$C$3*$B$5,-2)</f>
        <v>0</v>
      </c>
      <c r="BQ159" s="523">
        <f>ROUND(AG159*G159*$C$3*$B$5,-2)</f>
        <v>0</v>
      </c>
      <c r="BR159" s="523">
        <f>ROUND(AJ159*G159*$B$5*$C$3,-2)</f>
        <v>0</v>
      </c>
      <c r="BS159" s="523">
        <f>ROUND(AM159*G159*$C$3*$B$5,-2)</f>
        <v>0</v>
      </c>
      <c r="BT159" s="523">
        <f>ROUND(AP159*G159*$C$3*$B$5,-2)</f>
        <v>0</v>
      </c>
      <c r="BU159" s="523">
        <f>ROUND(AS159*G159*$C$3*$B$5,-2)</f>
        <v>0</v>
      </c>
      <c r="BV159" s="523">
        <f>ROUND(AV159*G159*$C$3*$B$5,-2)</f>
        <v>0</v>
      </c>
      <c r="BW159" s="523">
        <f>ROUND(AY159*G159*$C$3*$B$5,-2)</f>
        <v>0</v>
      </c>
      <c r="BX159" s="523">
        <f>ROUND(BB159*G159*$C$3*$B$5,-2)</f>
        <v>0</v>
      </c>
      <c r="BY159" s="523">
        <f>ROUND(BE159*G159*$C$3*$B$5,-2)</f>
        <v>0</v>
      </c>
      <c r="BZ159" s="523">
        <f>ROUND(BH159*G159*$C$3*$B$5,-2)</f>
        <v>0</v>
      </c>
      <c r="CA159" s="354"/>
      <c r="CB159" s="354" t="b">
        <f>IF(SUM(I159:L159)&lt;&gt;0,"X")</f>
        <v>0</v>
      </c>
      <c r="CC159" s="509" t="str">
        <f>CC155</f>
        <v>KT11.</v>
      </c>
      <c r="CD159" s="509" t="str">
        <f>CC159&amp;G159</f>
        <v>KT11.5,4</v>
      </c>
      <c r="CE159" s="351" t="str">
        <f t="shared" si="507"/>
        <v>Lò</v>
      </c>
      <c r="CF159" s="509" t="str">
        <f>CC159&amp;CE159</f>
        <v>KT11.Lò</v>
      </c>
      <c r="CG159" s="509"/>
      <c r="CH159" s="509"/>
    </row>
    <row r="160" spans="1:86" ht="24" customHeight="1" x14ac:dyDescent="0.25">
      <c r="A160" s="354" t="e">
        <f>A152</f>
        <v>#REF!</v>
      </c>
      <c r="B160" s="518"/>
      <c r="C160" s="519" t="s">
        <v>543</v>
      </c>
      <c r="D160" s="447" t="s">
        <v>14</v>
      </c>
      <c r="E160" s="447"/>
      <c r="F160" s="447"/>
      <c r="G160" s="520">
        <v>8.5</v>
      </c>
      <c r="H160" s="521">
        <v>0.7</v>
      </c>
      <c r="I160" s="522">
        <f t="shared" si="517"/>
        <v>0</v>
      </c>
      <c r="J160" s="522">
        <f t="shared" si="518"/>
        <v>0</v>
      </c>
      <c r="K160" s="522">
        <f t="shared" si="519"/>
        <v>0</v>
      </c>
      <c r="L160" s="57">
        <f t="shared" si="520"/>
        <v>0</v>
      </c>
      <c r="M160" s="60"/>
      <c r="N160" s="60"/>
      <c r="O160" s="60">
        <f t="shared" si="527"/>
        <v>0</v>
      </c>
      <c r="P160" s="60"/>
      <c r="Q160" s="60"/>
      <c r="R160" s="60">
        <f t="shared" si="528"/>
        <v>0</v>
      </c>
      <c r="S160" s="824"/>
      <c r="T160" s="60"/>
      <c r="U160" s="60">
        <f t="shared" si="529"/>
        <v>0</v>
      </c>
      <c r="V160" s="60">
        <f t="shared" si="545"/>
        <v>0</v>
      </c>
      <c r="W160" s="60">
        <f t="shared" si="545"/>
        <v>0</v>
      </c>
      <c r="X160" s="60">
        <f t="shared" si="545"/>
        <v>0</v>
      </c>
      <c r="Y160" s="60"/>
      <c r="Z160" s="60"/>
      <c r="AA160" s="60">
        <f t="shared" si="530"/>
        <v>0</v>
      </c>
      <c r="AB160" s="60"/>
      <c r="AC160" s="60"/>
      <c r="AD160" s="60">
        <f t="shared" si="531"/>
        <v>0</v>
      </c>
      <c r="AE160" s="60"/>
      <c r="AF160" s="60"/>
      <c r="AG160" s="60">
        <f t="shared" si="532"/>
        <v>0</v>
      </c>
      <c r="AH160" s="60">
        <f>Y160+AB160+AE160</f>
        <v>0</v>
      </c>
      <c r="AI160" s="60">
        <f>Z160+AC160+AF160</f>
        <v>0</v>
      </c>
      <c r="AJ160" s="60">
        <f>AA160+AD160+AG160</f>
        <v>0</v>
      </c>
      <c r="AK160" s="60"/>
      <c r="AL160" s="60"/>
      <c r="AM160" s="60">
        <f t="shared" si="534"/>
        <v>0</v>
      </c>
      <c r="AN160" s="60"/>
      <c r="AO160" s="60"/>
      <c r="AP160" s="60">
        <f t="shared" si="535"/>
        <v>0</v>
      </c>
      <c r="AQ160" s="60"/>
      <c r="AR160" s="60"/>
      <c r="AS160" s="60">
        <f t="shared" si="536"/>
        <v>0</v>
      </c>
      <c r="AT160" s="60">
        <f>AK160+AN160+AQ160</f>
        <v>0</v>
      </c>
      <c r="AU160" s="60">
        <f>AL160+AO160+AR160</f>
        <v>0</v>
      </c>
      <c r="AV160" s="60">
        <f>AM160+AP160+AS160</f>
        <v>0</v>
      </c>
      <c r="AW160" s="60"/>
      <c r="AX160" s="60"/>
      <c r="AY160" s="60">
        <f t="shared" si="538"/>
        <v>0</v>
      </c>
      <c r="AZ160" s="60"/>
      <c r="BA160" s="60"/>
      <c r="BB160" s="60">
        <f t="shared" si="539"/>
        <v>0</v>
      </c>
      <c r="BC160" s="60"/>
      <c r="BD160" s="60"/>
      <c r="BE160" s="60">
        <f t="shared" si="540"/>
        <v>0</v>
      </c>
      <c r="BF160" s="60">
        <f t="shared" si="524"/>
        <v>0</v>
      </c>
      <c r="BG160" s="60">
        <f t="shared" si="525"/>
        <v>0</v>
      </c>
      <c r="BH160" s="60">
        <f t="shared" si="526"/>
        <v>0</v>
      </c>
      <c r="BI160" s="508"/>
      <c r="BJ160" s="488" t="str">
        <f t="shared" si="505"/>
        <v>Lò</v>
      </c>
      <c r="BK160" s="523">
        <f>ROUND(O160*G160*$C$3*$B$5,-2)</f>
        <v>0</v>
      </c>
      <c r="BL160" s="523">
        <f>ROUND(R160*G160*$C$3*$B$5,-2)</f>
        <v>0</v>
      </c>
      <c r="BM160" s="523">
        <f>ROUND(U160*G160*$C$3*$B$5,-2)</f>
        <v>0</v>
      </c>
      <c r="BN160" s="523">
        <f>ROUND(X160*G160*$C$3*$B$5,-2)</f>
        <v>0</v>
      </c>
      <c r="BO160" s="523">
        <f>ROUND(AA160*G160*$C$3*$B$5,-2)</f>
        <v>0</v>
      </c>
      <c r="BP160" s="523">
        <f>ROUND(AD160*G160*$C$3*$B$5,-2)</f>
        <v>0</v>
      </c>
      <c r="BQ160" s="523">
        <f>ROUND(AG160*G160*$C$3*$B$5,-2)</f>
        <v>0</v>
      </c>
      <c r="BR160" s="523">
        <f>ROUND(AJ160*G160*$B$5*$C$3,-2)</f>
        <v>0</v>
      </c>
      <c r="BS160" s="523">
        <f>ROUND(AM160*G160*$C$3*$B$5,-2)</f>
        <v>0</v>
      </c>
      <c r="BT160" s="523">
        <f>ROUND(AP160*G160*$C$3*$B$5,-2)</f>
        <v>0</v>
      </c>
      <c r="BU160" s="523">
        <f>ROUND(AS160*G160*$C$3*$B$5,-2)</f>
        <v>0</v>
      </c>
      <c r="BV160" s="523">
        <f>ROUND(AV160*G160*$C$3*$B$5,-2)</f>
        <v>0</v>
      </c>
      <c r="BW160" s="523">
        <f>ROUND(AY160*G160*$C$3*$B$5,-2)</f>
        <v>0</v>
      </c>
      <c r="BX160" s="523">
        <f>ROUND(BB160*G160*$C$3*$B$5,-2)</f>
        <v>0</v>
      </c>
      <c r="BY160" s="523">
        <f>ROUND(BE160*G160*$C$3*$B$5,-2)</f>
        <v>0</v>
      </c>
      <c r="BZ160" s="523">
        <f>ROUND(BH160*G160*$C$3*$B$5,-2)</f>
        <v>0</v>
      </c>
      <c r="CA160" s="354"/>
      <c r="CB160" s="354" t="b">
        <f t="shared" si="397"/>
        <v>0</v>
      </c>
      <c r="CC160" s="509" t="str">
        <f>CC152</f>
        <v>KT11.</v>
      </c>
      <c r="CD160" s="509" t="str">
        <f t="shared" si="399"/>
        <v>KT11.8,5</v>
      </c>
      <c r="CE160" s="351" t="str">
        <f t="shared" si="507"/>
        <v>Lò</v>
      </c>
      <c r="CF160" s="509" t="str">
        <f t="shared" si="400"/>
        <v>KT11.Lò</v>
      </c>
      <c r="CG160" s="509"/>
      <c r="CH160" s="509"/>
    </row>
    <row r="161" spans="1:86" s="359" customFormat="1" ht="21.75" customHeight="1" x14ac:dyDescent="0.3">
      <c r="A161" s="354" t="e">
        <f t="shared" si="415"/>
        <v>#REF!</v>
      </c>
      <c r="B161" s="525" t="s">
        <v>37</v>
      </c>
      <c r="C161" s="526" t="s">
        <v>178</v>
      </c>
      <c r="D161" s="527"/>
      <c r="E161" s="527"/>
      <c r="F161" s="527"/>
      <c r="G161" s="528"/>
      <c r="H161" s="529"/>
      <c r="I161" s="70">
        <f t="shared" ref="I161:AN161" si="546">SUM(I162:I164)</f>
        <v>205</v>
      </c>
      <c r="J161" s="70">
        <f t="shared" si="546"/>
        <v>60</v>
      </c>
      <c r="K161" s="70">
        <f t="shared" si="546"/>
        <v>145</v>
      </c>
      <c r="L161" s="70">
        <f t="shared" si="546"/>
        <v>300</v>
      </c>
      <c r="M161" s="210">
        <f t="shared" si="546"/>
        <v>30</v>
      </c>
      <c r="N161" s="210">
        <f t="shared" si="546"/>
        <v>0</v>
      </c>
      <c r="O161" s="210">
        <f t="shared" si="546"/>
        <v>30</v>
      </c>
      <c r="P161" s="210">
        <f t="shared" si="546"/>
        <v>0</v>
      </c>
      <c r="Q161" s="210">
        <f t="shared" si="546"/>
        <v>0</v>
      </c>
      <c r="R161" s="210">
        <f t="shared" si="546"/>
        <v>0</v>
      </c>
      <c r="S161" s="829">
        <f t="shared" si="546"/>
        <v>30</v>
      </c>
      <c r="T161" s="210">
        <f t="shared" si="546"/>
        <v>0</v>
      </c>
      <c r="U161" s="210">
        <f t="shared" si="546"/>
        <v>30</v>
      </c>
      <c r="V161" s="224">
        <f t="shared" si="546"/>
        <v>60</v>
      </c>
      <c r="W161" s="224">
        <f t="shared" si="546"/>
        <v>0</v>
      </c>
      <c r="X161" s="224">
        <f t="shared" si="546"/>
        <v>60</v>
      </c>
      <c r="Y161" s="210">
        <f t="shared" si="546"/>
        <v>0</v>
      </c>
      <c r="Z161" s="210">
        <f t="shared" si="546"/>
        <v>0</v>
      </c>
      <c r="AA161" s="210">
        <f t="shared" si="546"/>
        <v>0</v>
      </c>
      <c r="AB161" s="210">
        <f t="shared" si="546"/>
        <v>30</v>
      </c>
      <c r="AC161" s="210">
        <f t="shared" si="546"/>
        <v>10</v>
      </c>
      <c r="AD161" s="210">
        <f t="shared" si="546"/>
        <v>20</v>
      </c>
      <c r="AE161" s="210">
        <f t="shared" si="546"/>
        <v>30</v>
      </c>
      <c r="AF161" s="210">
        <f t="shared" si="546"/>
        <v>10</v>
      </c>
      <c r="AG161" s="210">
        <f t="shared" si="546"/>
        <v>20</v>
      </c>
      <c r="AH161" s="224">
        <f t="shared" si="546"/>
        <v>60</v>
      </c>
      <c r="AI161" s="224">
        <f t="shared" si="546"/>
        <v>20</v>
      </c>
      <c r="AJ161" s="224">
        <f t="shared" si="546"/>
        <v>40</v>
      </c>
      <c r="AK161" s="210">
        <f t="shared" si="546"/>
        <v>0</v>
      </c>
      <c r="AL161" s="210">
        <f t="shared" si="546"/>
        <v>0</v>
      </c>
      <c r="AM161" s="210">
        <f t="shared" si="546"/>
        <v>0</v>
      </c>
      <c r="AN161" s="210">
        <f t="shared" si="546"/>
        <v>0</v>
      </c>
      <c r="AO161" s="210">
        <f t="shared" ref="AO161:BH161" si="547">SUM(AO162:AO164)</f>
        <v>0</v>
      </c>
      <c r="AP161" s="210">
        <f t="shared" si="547"/>
        <v>0</v>
      </c>
      <c r="AQ161" s="210">
        <f t="shared" si="547"/>
        <v>30</v>
      </c>
      <c r="AR161" s="210">
        <f t="shared" si="547"/>
        <v>30</v>
      </c>
      <c r="AS161" s="210">
        <f t="shared" si="547"/>
        <v>0</v>
      </c>
      <c r="AT161" s="224">
        <f t="shared" si="547"/>
        <v>30</v>
      </c>
      <c r="AU161" s="224">
        <f t="shared" si="547"/>
        <v>30</v>
      </c>
      <c r="AV161" s="224">
        <f t="shared" si="547"/>
        <v>0</v>
      </c>
      <c r="AW161" s="210">
        <f t="shared" si="547"/>
        <v>30</v>
      </c>
      <c r="AX161" s="210">
        <f t="shared" si="547"/>
        <v>10</v>
      </c>
      <c r="AY161" s="210">
        <f t="shared" si="547"/>
        <v>20</v>
      </c>
      <c r="AZ161" s="210">
        <f t="shared" si="547"/>
        <v>25</v>
      </c>
      <c r="BA161" s="210">
        <f t="shared" si="547"/>
        <v>0</v>
      </c>
      <c r="BB161" s="210">
        <f t="shared" si="547"/>
        <v>25</v>
      </c>
      <c r="BC161" s="210">
        <f t="shared" si="547"/>
        <v>0</v>
      </c>
      <c r="BD161" s="210">
        <f t="shared" si="547"/>
        <v>0</v>
      </c>
      <c r="BE161" s="210">
        <f t="shared" si="547"/>
        <v>0</v>
      </c>
      <c r="BF161" s="224">
        <f t="shared" si="547"/>
        <v>55</v>
      </c>
      <c r="BG161" s="224">
        <f t="shared" si="547"/>
        <v>10</v>
      </c>
      <c r="BH161" s="224">
        <f t="shared" si="547"/>
        <v>45</v>
      </c>
      <c r="BI161" s="530"/>
      <c r="BJ161" s="488" t="str">
        <f t="shared" si="505"/>
        <v>XL</v>
      </c>
      <c r="BK161" s="225">
        <f>SUM(BK162:BK164)</f>
        <v>100</v>
      </c>
      <c r="BL161" s="225">
        <f t="shared" ref="BL161:BZ161" si="548">SUM(BL162:BL164)</f>
        <v>0</v>
      </c>
      <c r="BM161" s="225">
        <f t="shared" si="548"/>
        <v>100</v>
      </c>
      <c r="BN161" s="225">
        <f t="shared" si="548"/>
        <v>100</v>
      </c>
      <c r="BO161" s="225">
        <f t="shared" si="548"/>
        <v>0</v>
      </c>
      <c r="BP161" s="225">
        <f t="shared" si="548"/>
        <v>100</v>
      </c>
      <c r="BQ161" s="225">
        <f t="shared" si="548"/>
        <v>100</v>
      </c>
      <c r="BR161" s="225">
        <f t="shared" si="548"/>
        <v>100</v>
      </c>
      <c r="BS161" s="225">
        <f t="shared" si="548"/>
        <v>0</v>
      </c>
      <c r="BT161" s="225">
        <f t="shared" si="548"/>
        <v>0</v>
      </c>
      <c r="BU161" s="225">
        <f t="shared" si="548"/>
        <v>0</v>
      </c>
      <c r="BV161" s="225">
        <f t="shared" si="548"/>
        <v>0</v>
      </c>
      <c r="BW161" s="225">
        <f t="shared" si="548"/>
        <v>0</v>
      </c>
      <c r="BX161" s="225">
        <f t="shared" si="548"/>
        <v>100</v>
      </c>
      <c r="BY161" s="225">
        <f t="shared" si="548"/>
        <v>0</v>
      </c>
      <c r="BZ161" s="225">
        <f t="shared" si="548"/>
        <v>100</v>
      </c>
      <c r="CA161" s="510"/>
      <c r="CB161" s="510" t="str">
        <f t="shared" si="397"/>
        <v>X</v>
      </c>
      <c r="CC161" s="509" t="str">
        <f t="shared" si="398"/>
        <v>KT11.</v>
      </c>
      <c r="CD161" s="509" t="str">
        <f t="shared" si="399"/>
        <v>KT11.</v>
      </c>
      <c r="CE161" s="351" t="str">
        <f t="shared" si="507"/>
        <v>XL</v>
      </c>
      <c r="CF161" s="509" t="str">
        <f t="shared" si="400"/>
        <v>KT11.XL</v>
      </c>
      <c r="CG161" s="509"/>
      <c r="CH161" s="509"/>
    </row>
    <row r="162" spans="1:86" ht="24.75" customHeight="1" x14ac:dyDescent="0.25">
      <c r="A162" s="354" t="e">
        <f t="shared" si="415"/>
        <v>#REF!</v>
      </c>
      <c r="B162" s="484"/>
      <c r="C162" s="531" t="s">
        <v>679</v>
      </c>
      <c r="D162" s="447" t="s">
        <v>14</v>
      </c>
      <c r="E162" s="447"/>
      <c r="F162" s="447"/>
      <c r="G162" s="520">
        <v>13.1</v>
      </c>
      <c r="H162" s="521">
        <v>0.7</v>
      </c>
      <c r="I162" s="522">
        <f t="shared" ref="I162:K164" si="549">V162+AH162+AT162+BF162</f>
        <v>60</v>
      </c>
      <c r="J162" s="522">
        <f t="shared" si="549"/>
        <v>20</v>
      </c>
      <c r="K162" s="522">
        <f t="shared" si="549"/>
        <v>40</v>
      </c>
      <c r="L162" s="57">
        <f>BN162+BR162+BV162+BZ162</f>
        <v>100</v>
      </c>
      <c r="M162" s="60"/>
      <c r="N162" s="60"/>
      <c r="O162" s="60">
        <f>M162-N162</f>
        <v>0</v>
      </c>
      <c r="P162" s="60"/>
      <c r="Q162" s="60"/>
      <c r="R162" s="60">
        <f>P162-Q162</f>
        <v>0</v>
      </c>
      <c r="S162" s="824"/>
      <c r="T162" s="60"/>
      <c r="U162" s="60">
        <f>S162-T162</f>
        <v>0</v>
      </c>
      <c r="V162" s="60">
        <f t="shared" ref="V162:X164" si="550">M162+P162+S162</f>
        <v>0</v>
      </c>
      <c r="W162" s="60">
        <f t="shared" si="550"/>
        <v>0</v>
      </c>
      <c r="X162" s="60">
        <f t="shared" si="550"/>
        <v>0</v>
      </c>
      <c r="Y162" s="60"/>
      <c r="Z162" s="60"/>
      <c r="AA162" s="60">
        <f>Y162-Z162</f>
        <v>0</v>
      </c>
      <c r="AB162" s="60">
        <v>30</v>
      </c>
      <c r="AC162" s="60">
        <v>10</v>
      </c>
      <c r="AD162" s="60">
        <f>AB162-AC162</f>
        <v>20</v>
      </c>
      <c r="AE162" s="60">
        <v>30</v>
      </c>
      <c r="AF162" s="60">
        <v>10</v>
      </c>
      <c r="AG162" s="60">
        <f>AE162-AF162</f>
        <v>20</v>
      </c>
      <c r="AH162" s="60">
        <f t="shared" ref="AH162:AJ164" si="551">Y162+AB162+AE162</f>
        <v>60</v>
      </c>
      <c r="AI162" s="60">
        <f t="shared" si="551"/>
        <v>20</v>
      </c>
      <c r="AJ162" s="60">
        <f t="shared" si="551"/>
        <v>40</v>
      </c>
      <c r="AK162" s="60"/>
      <c r="AL162" s="60"/>
      <c r="AM162" s="60">
        <f>AK162-AL162</f>
        <v>0</v>
      </c>
      <c r="AN162" s="60"/>
      <c r="AO162" s="60"/>
      <c r="AP162" s="60">
        <f>AN162-AO162</f>
        <v>0</v>
      </c>
      <c r="AQ162" s="60"/>
      <c r="AR162" s="60"/>
      <c r="AS162" s="60">
        <f>AQ162-AR162</f>
        <v>0</v>
      </c>
      <c r="AT162" s="60">
        <f t="shared" ref="AT162:AV164" si="552">AK162+AN162+AQ162</f>
        <v>0</v>
      </c>
      <c r="AU162" s="60">
        <f t="shared" si="552"/>
        <v>0</v>
      </c>
      <c r="AV162" s="60">
        <f t="shared" si="552"/>
        <v>0</v>
      </c>
      <c r="AW162" s="60"/>
      <c r="AX162" s="60"/>
      <c r="AY162" s="60">
        <f>AW162-AX162</f>
        <v>0</v>
      </c>
      <c r="AZ162" s="60"/>
      <c r="BA162" s="60"/>
      <c r="BB162" s="60">
        <f>AZ162-BA162</f>
        <v>0</v>
      </c>
      <c r="BC162" s="60"/>
      <c r="BD162" s="60"/>
      <c r="BE162" s="60">
        <f>BC162-BD162</f>
        <v>0</v>
      </c>
      <c r="BF162" s="60">
        <f>AW162+AZ162+BC162</f>
        <v>0</v>
      </c>
      <c r="BG162" s="60">
        <f>AX162+BA162+BD162</f>
        <v>0</v>
      </c>
      <c r="BH162" s="60">
        <f>AY162+BB162+BE162</f>
        <v>0</v>
      </c>
      <c r="BI162" s="508"/>
      <c r="BJ162" s="488" t="str">
        <f t="shared" si="505"/>
        <v>Xé</v>
      </c>
      <c r="BK162" s="523">
        <f>ROUND(O162*G162*$B$6,-2)</f>
        <v>0</v>
      </c>
      <c r="BL162" s="523">
        <f>ROUND(R162*G162*$B$6,-2)</f>
        <v>0</v>
      </c>
      <c r="BM162" s="523">
        <f>ROUND(U162*G162*$B$6,-2)</f>
        <v>0</v>
      </c>
      <c r="BN162" s="523">
        <f>ROUND(X162*G162*$B$6,-2)</f>
        <v>0</v>
      </c>
      <c r="BO162" s="523">
        <f>ROUND(AA162*G162*$B$6,-2)</f>
        <v>0</v>
      </c>
      <c r="BP162" s="523">
        <f>ROUND(AD162*G162*$B$6,-2)</f>
        <v>100</v>
      </c>
      <c r="BQ162" s="523">
        <f>ROUND(AG162*G162*$B$6,-2)</f>
        <v>100</v>
      </c>
      <c r="BR162" s="523">
        <f>ROUND(AJ162*G162*$B$6,-2)</f>
        <v>100</v>
      </c>
      <c r="BS162" s="523">
        <f>ROUND(AM162*G162*$B$6,-2)</f>
        <v>0</v>
      </c>
      <c r="BT162" s="523">
        <f>ROUND(AP162*G162*$B$6,-2)</f>
        <v>0</v>
      </c>
      <c r="BU162" s="523">
        <f>ROUND(AS162*G162*$B$6,-2)</f>
        <v>0</v>
      </c>
      <c r="BV162" s="523">
        <f>ROUND(AV162*G162*$B$6,-2)</f>
        <v>0</v>
      </c>
      <c r="BW162" s="523">
        <f>ROUND(AY162*G162*$B$6,-2)</f>
        <v>0</v>
      </c>
      <c r="BX162" s="523">
        <f>ROUND(BB162*G162*$B$6,-2)</f>
        <v>0</v>
      </c>
      <c r="BY162" s="523">
        <f>ROUND(BE162*G162*$B$6,-2)</f>
        <v>0</v>
      </c>
      <c r="BZ162" s="523">
        <f>ROUND(BH162*G162*$B$6,-2)</f>
        <v>0</v>
      </c>
      <c r="CA162" s="354"/>
      <c r="CB162" s="354" t="str">
        <f t="shared" si="397"/>
        <v>X</v>
      </c>
      <c r="CC162" s="509" t="str">
        <f t="shared" si="398"/>
        <v>KT11.</v>
      </c>
      <c r="CD162" s="509" t="str">
        <f t="shared" si="399"/>
        <v>KT11.13,1</v>
      </c>
      <c r="CE162" s="351" t="str">
        <f t="shared" si="507"/>
        <v>Xé</v>
      </c>
      <c r="CF162" s="509" t="str">
        <f t="shared" si="400"/>
        <v>KT11.Xé</v>
      </c>
      <c r="CG162" s="509"/>
      <c r="CH162" s="509"/>
    </row>
    <row r="163" spans="1:86" ht="24.75" customHeight="1" x14ac:dyDescent="0.25">
      <c r="A163" s="354"/>
      <c r="B163" s="484"/>
      <c r="C163" s="531" t="s">
        <v>678</v>
      </c>
      <c r="D163" s="447" t="s">
        <v>14</v>
      </c>
      <c r="E163" s="447"/>
      <c r="F163" s="447"/>
      <c r="G163" s="520">
        <v>11.2</v>
      </c>
      <c r="H163" s="521">
        <v>0.7</v>
      </c>
      <c r="I163" s="522">
        <f>V163+AH163+AT163+BF163</f>
        <v>0</v>
      </c>
      <c r="J163" s="522">
        <f>W163+AI163+AU163+BG163</f>
        <v>0</v>
      </c>
      <c r="K163" s="522">
        <f>X163+AJ163+AV163+BH163</f>
        <v>0</v>
      </c>
      <c r="L163" s="57">
        <f>BN163+BR163+BV163+BZ163</f>
        <v>0</v>
      </c>
      <c r="M163" s="60"/>
      <c r="N163" s="60"/>
      <c r="O163" s="60"/>
      <c r="P163" s="60"/>
      <c r="Q163" s="60"/>
      <c r="R163" s="60"/>
      <c r="S163" s="824"/>
      <c r="T163" s="60"/>
      <c r="U163" s="60"/>
      <c r="V163" s="60"/>
      <c r="W163" s="60"/>
      <c r="X163" s="60"/>
      <c r="Y163" s="60"/>
      <c r="Z163" s="60"/>
      <c r="AA163" s="60"/>
      <c r="AB163" s="60"/>
      <c r="AC163" s="60"/>
      <c r="AD163" s="60"/>
      <c r="AE163" s="60"/>
      <c r="AF163" s="60"/>
      <c r="AG163" s="60">
        <f>AE163-AF163</f>
        <v>0</v>
      </c>
      <c r="AH163" s="60">
        <f t="shared" si="551"/>
        <v>0</v>
      </c>
      <c r="AI163" s="60">
        <f t="shared" si="551"/>
        <v>0</v>
      </c>
      <c r="AJ163" s="60">
        <f t="shared" si="551"/>
        <v>0</v>
      </c>
      <c r="AK163" s="60"/>
      <c r="AL163" s="60"/>
      <c r="AM163" s="60">
        <f>AK163-AL163</f>
        <v>0</v>
      </c>
      <c r="AN163" s="60"/>
      <c r="AO163" s="60">
        <v>0</v>
      </c>
      <c r="AP163" s="60">
        <f>AN163-AO163</f>
        <v>0</v>
      </c>
      <c r="AQ163" s="60"/>
      <c r="AR163" s="60"/>
      <c r="AS163" s="60"/>
      <c r="AT163" s="60">
        <f>AK163+AN163+AQ163</f>
        <v>0</v>
      </c>
      <c r="AU163" s="60">
        <f>AL163+AO163+AR163</f>
        <v>0</v>
      </c>
      <c r="AV163" s="60">
        <f>AM163+AP163+AS163</f>
        <v>0</v>
      </c>
      <c r="AW163" s="60"/>
      <c r="AX163" s="60"/>
      <c r="AY163" s="60"/>
      <c r="AZ163" s="60"/>
      <c r="BA163" s="60"/>
      <c r="BB163" s="60"/>
      <c r="BC163" s="60"/>
      <c r="BD163" s="60"/>
      <c r="BE163" s="60"/>
      <c r="BF163" s="60"/>
      <c r="BG163" s="60"/>
      <c r="BH163" s="60"/>
      <c r="BI163" s="508"/>
      <c r="BJ163" s="488" t="str">
        <f t="shared" si="505"/>
        <v>Xé</v>
      </c>
      <c r="BK163" s="523"/>
      <c r="BL163" s="523"/>
      <c r="BM163" s="523"/>
      <c r="BN163" s="523"/>
      <c r="BO163" s="523"/>
      <c r="BP163" s="523"/>
      <c r="BQ163" s="523"/>
      <c r="BR163" s="523"/>
      <c r="BS163" s="523"/>
      <c r="BT163" s="523"/>
      <c r="BU163" s="523"/>
      <c r="BV163" s="523"/>
      <c r="BW163" s="523"/>
      <c r="BX163" s="523"/>
      <c r="BY163" s="523"/>
      <c r="BZ163" s="523"/>
      <c r="CA163" s="354"/>
      <c r="CB163" s="354" t="b">
        <f>IF(SUM(I163:L163)&lt;&gt;0,"X")</f>
        <v>0</v>
      </c>
      <c r="CC163" s="509" t="str">
        <f t="shared" si="398"/>
        <v>KT11.</v>
      </c>
      <c r="CD163" s="509" t="str">
        <f>CC163&amp;G163</f>
        <v>KT11.11,2</v>
      </c>
      <c r="CE163" s="351" t="str">
        <f t="shared" si="507"/>
        <v>Xé</v>
      </c>
      <c r="CF163" s="509" t="str">
        <f>CC163&amp;CE163</f>
        <v>KT11.Xé</v>
      </c>
      <c r="CG163" s="509"/>
      <c r="CH163" s="509"/>
    </row>
    <row r="164" spans="1:86" ht="24.75" customHeight="1" x14ac:dyDescent="0.25">
      <c r="A164" s="354" t="e">
        <f>A162</f>
        <v>#REF!</v>
      </c>
      <c r="B164" s="484"/>
      <c r="C164" s="531" t="s">
        <v>677</v>
      </c>
      <c r="D164" s="447" t="s">
        <v>14</v>
      </c>
      <c r="E164" s="447"/>
      <c r="F164" s="447"/>
      <c r="G164" s="520">
        <v>11.2</v>
      </c>
      <c r="H164" s="521">
        <v>0.7</v>
      </c>
      <c r="I164" s="522">
        <f t="shared" si="549"/>
        <v>145</v>
      </c>
      <c r="J164" s="522">
        <f t="shared" si="549"/>
        <v>40</v>
      </c>
      <c r="K164" s="522">
        <f t="shared" si="549"/>
        <v>105</v>
      </c>
      <c r="L164" s="57">
        <f>BN164+BR164+BV164+BZ164</f>
        <v>200</v>
      </c>
      <c r="M164" s="60">
        <v>30</v>
      </c>
      <c r="N164" s="60"/>
      <c r="O164" s="60">
        <f>M164-N164</f>
        <v>30</v>
      </c>
      <c r="P164" s="60"/>
      <c r="Q164" s="60"/>
      <c r="R164" s="60">
        <f>P164-Q164</f>
        <v>0</v>
      </c>
      <c r="S164" s="824">
        <v>30</v>
      </c>
      <c r="T164" s="60"/>
      <c r="U164" s="60">
        <f>S164-T164</f>
        <v>30</v>
      </c>
      <c r="V164" s="60">
        <f t="shared" si="550"/>
        <v>60</v>
      </c>
      <c r="W164" s="60">
        <f t="shared" si="550"/>
        <v>0</v>
      </c>
      <c r="X164" s="60">
        <f t="shared" si="550"/>
        <v>60</v>
      </c>
      <c r="Y164" s="60"/>
      <c r="Z164" s="60"/>
      <c r="AA164" s="60">
        <f>Y164-Z164</f>
        <v>0</v>
      </c>
      <c r="AB164" s="60"/>
      <c r="AC164" s="60"/>
      <c r="AD164" s="60">
        <f>AB164-AC164</f>
        <v>0</v>
      </c>
      <c r="AE164" s="60"/>
      <c r="AF164" s="60"/>
      <c r="AG164" s="60">
        <f>AE164-AF164</f>
        <v>0</v>
      </c>
      <c r="AH164" s="60">
        <f t="shared" si="551"/>
        <v>0</v>
      </c>
      <c r="AI164" s="60">
        <f t="shared" si="551"/>
        <v>0</v>
      </c>
      <c r="AJ164" s="60">
        <f t="shared" si="551"/>
        <v>0</v>
      </c>
      <c r="AK164" s="60"/>
      <c r="AL164" s="60"/>
      <c r="AM164" s="60">
        <f>AK164-AL164</f>
        <v>0</v>
      </c>
      <c r="AN164" s="60"/>
      <c r="AO164" s="60"/>
      <c r="AP164" s="60">
        <f>AN164-AO164</f>
        <v>0</v>
      </c>
      <c r="AQ164" s="60">
        <v>30</v>
      </c>
      <c r="AR164" s="60">
        <v>30</v>
      </c>
      <c r="AS164" s="60">
        <f>AQ164-AR164</f>
        <v>0</v>
      </c>
      <c r="AT164" s="60">
        <f t="shared" si="552"/>
        <v>30</v>
      </c>
      <c r="AU164" s="60">
        <f t="shared" si="552"/>
        <v>30</v>
      </c>
      <c r="AV164" s="60">
        <f t="shared" si="552"/>
        <v>0</v>
      </c>
      <c r="AW164" s="60">
        <v>30</v>
      </c>
      <c r="AX164" s="60">
        <v>10</v>
      </c>
      <c r="AY164" s="60">
        <f>AW164-AX164</f>
        <v>20</v>
      </c>
      <c r="AZ164" s="60">
        <v>25</v>
      </c>
      <c r="BA164" s="60"/>
      <c r="BB164" s="60">
        <f>AZ164-BA164</f>
        <v>25</v>
      </c>
      <c r="BC164" s="60"/>
      <c r="BD164" s="60"/>
      <c r="BE164" s="60">
        <f>BC164-BD164</f>
        <v>0</v>
      </c>
      <c r="BF164" s="60">
        <f>AW164+AZ164+BC164</f>
        <v>55</v>
      </c>
      <c r="BG164" s="60">
        <f>AX164+BA164+BD164</f>
        <v>10</v>
      </c>
      <c r="BH164" s="60">
        <f>AY164+BB164+BE164</f>
        <v>45</v>
      </c>
      <c r="BI164" s="508"/>
      <c r="BJ164" s="488" t="str">
        <f t="shared" si="505"/>
        <v>Xé</v>
      </c>
      <c r="BK164" s="523">
        <f>ROUND(O164*G164*$B$6,-2)</f>
        <v>100</v>
      </c>
      <c r="BL164" s="523">
        <f>ROUND(R164*G164*$B$6,-2)</f>
        <v>0</v>
      </c>
      <c r="BM164" s="523">
        <f>ROUND(U164*G164*$B$6,-2)</f>
        <v>100</v>
      </c>
      <c r="BN164" s="523">
        <f>ROUND(X164*G164*$B$6,-2)</f>
        <v>100</v>
      </c>
      <c r="BO164" s="523">
        <f>ROUND(AA164*G164*$B$6,-2)</f>
        <v>0</v>
      </c>
      <c r="BP164" s="523">
        <f>ROUND(AD164*G164*$B$6,-2)</f>
        <v>0</v>
      </c>
      <c r="BQ164" s="523">
        <f>ROUND(AG164*G164*$B$6,-2)</f>
        <v>0</v>
      </c>
      <c r="BR164" s="523">
        <f>ROUND(AJ164*G164*$B$6,-2)</f>
        <v>0</v>
      </c>
      <c r="BS164" s="523">
        <f>ROUND(AM164*G164*$B$6,-2)</f>
        <v>0</v>
      </c>
      <c r="BT164" s="523">
        <f>ROUND(AP164*G164*$B$6,-2)</f>
        <v>0</v>
      </c>
      <c r="BU164" s="523">
        <f>ROUND(AS164*G164*$B$6,-2)</f>
        <v>0</v>
      </c>
      <c r="BV164" s="523">
        <f>ROUND(AV164*G164*$B$6,-2)</f>
        <v>0</v>
      </c>
      <c r="BW164" s="523">
        <f>ROUND(AY164*G164*$B$6,-2)</f>
        <v>0</v>
      </c>
      <c r="BX164" s="523">
        <f>ROUND(BB164*G164*$B$6,-2)</f>
        <v>100</v>
      </c>
      <c r="BY164" s="523">
        <f>ROUND(BE164*G164*$B$6,-2)</f>
        <v>0</v>
      </c>
      <c r="BZ164" s="523">
        <f>ROUND(BH164*G164*$B$6,-2)</f>
        <v>100</v>
      </c>
      <c r="CA164" s="354"/>
      <c r="CB164" s="354" t="str">
        <f t="shared" si="397"/>
        <v>X</v>
      </c>
      <c r="CC164" s="509" t="str">
        <f>CC162</f>
        <v>KT11.</v>
      </c>
      <c r="CD164" s="509" t="str">
        <f t="shared" si="399"/>
        <v>KT11.11,2</v>
      </c>
      <c r="CE164" s="351" t="str">
        <f t="shared" si="507"/>
        <v>Xé</v>
      </c>
      <c r="CF164" s="509" t="str">
        <f t="shared" si="400"/>
        <v>KT11.Xé</v>
      </c>
      <c r="CG164" s="509"/>
      <c r="CH164" s="509"/>
    </row>
    <row r="165" spans="1:86" ht="17.25" x14ac:dyDescent="0.3">
      <c r="A165" s="354" t="e">
        <f>#REF!</f>
        <v>#REF!</v>
      </c>
      <c r="B165" s="503">
        <v>12</v>
      </c>
      <c r="C165" s="507" t="s">
        <v>453</v>
      </c>
      <c r="D165" s="505"/>
      <c r="E165" s="505"/>
      <c r="F165" s="505"/>
      <c r="G165" s="505"/>
      <c r="H165" s="505"/>
      <c r="I165" s="63">
        <f t="shared" ref="I165:AN165" si="553">SUM(I166:I189)/2</f>
        <v>3245</v>
      </c>
      <c r="J165" s="63">
        <f t="shared" si="553"/>
        <v>825</v>
      </c>
      <c r="K165" s="63">
        <f t="shared" si="553"/>
        <v>2420</v>
      </c>
      <c r="L165" s="63">
        <f t="shared" si="553"/>
        <v>45300</v>
      </c>
      <c r="M165" s="209">
        <f t="shared" si="553"/>
        <v>305</v>
      </c>
      <c r="N165" s="209">
        <f t="shared" si="553"/>
        <v>115</v>
      </c>
      <c r="O165" s="209">
        <f t="shared" si="553"/>
        <v>190</v>
      </c>
      <c r="P165" s="209">
        <f t="shared" si="553"/>
        <v>195</v>
      </c>
      <c r="Q165" s="209">
        <f t="shared" si="553"/>
        <v>80</v>
      </c>
      <c r="R165" s="209">
        <f t="shared" si="553"/>
        <v>115</v>
      </c>
      <c r="S165" s="822">
        <f t="shared" si="553"/>
        <v>285</v>
      </c>
      <c r="T165" s="209">
        <f t="shared" si="553"/>
        <v>90</v>
      </c>
      <c r="U165" s="209">
        <f t="shared" si="553"/>
        <v>195</v>
      </c>
      <c r="V165" s="209">
        <f t="shared" si="553"/>
        <v>785</v>
      </c>
      <c r="W165" s="209">
        <f t="shared" si="553"/>
        <v>285</v>
      </c>
      <c r="X165" s="209">
        <f t="shared" si="553"/>
        <v>500</v>
      </c>
      <c r="Y165" s="209">
        <f t="shared" si="553"/>
        <v>250</v>
      </c>
      <c r="Z165" s="209">
        <f t="shared" si="553"/>
        <v>65</v>
      </c>
      <c r="AA165" s="209">
        <f t="shared" si="553"/>
        <v>185</v>
      </c>
      <c r="AB165" s="209">
        <f t="shared" si="553"/>
        <v>270</v>
      </c>
      <c r="AC165" s="209">
        <f t="shared" si="553"/>
        <v>40</v>
      </c>
      <c r="AD165" s="209">
        <f t="shared" si="553"/>
        <v>230</v>
      </c>
      <c r="AE165" s="209">
        <f t="shared" si="553"/>
        <v>275</v>
      </c>
      <c r="AF165" s="209">
        <f t="shared" si="553"/>
        <v>50</v>
      </c>
      <c r="AG165" s="209">
        <f t="shared" si="553"/>
        <v>225</v>
      </c>
      <c r="AH165" s="209">
        <f t="shared" si="553"/>
        <v>795</v>
      </c>
      <c r="AI165" s="209">
        <f t="shared" si="553"/>
        <v>155</v>
      </c>
      <c r="AJ165" s="209">
        <f t="shared" si="553"/>
        <v>640</v>
      </c>
      <c r="AK165" s="209">
        <f t="shared" si="553"/>
        <v>275</v>
      </c>
      <c r="AL165" s="209">
        <f t="shared" si="553"/>
        <v>65</v>
      </c>
      <c r="AM165" s="209">
        <f t="shared" si="553"/>
        <v>210</v>
      </c>
      <c r="AN165" s="209">
        <f t="shared" si="553"/>
        <v>255</v>
      </c>
      <c r="AO165" s="209">
        <f t="shared" ref="AO165:BH165" si="554">SUM(AO166:AO189)/2</f>
        <v>55</v>
      </c>
      <c r="AP165" s="209">
        <f t="shared" si="554"/>
        <v>200</v>
      </c>
      <c r="AQ165" s="209">
        <f t="shared" si="554"/>
        <v>260</v>
      </c>
      <c r="AR165" s="209">
        <f t="shared" si="554"/>
        <v>60</v>
      </c>
      <c r="AS165" s="209">
        <f t="shared" si="554"/>
        <v>200</v>
      </c>
      <c r="AT165" s="209">
        <f t="shared" si="554"/>
        <v>790</v>
      </c>
      <c r="AU165" s="209">
        <f t="shared" si="554"/>
        <v>180</v>
      </c>
      <c r="AV165" s="209">
        <f t="shared" si="554"/>
        <v>610</v>
      </c>
      <c r="AW165" s="209">
        <f t="shared" si="554"/>
        <v>280</v>
      </c>
      <c r="AX165" s="209">
        <f t="shared" si="554"/>
        <v>65</v>
      </c>
      <c r="AY165" s="209">
        <f t="shared" si="554"/>
        <v>215</v>
      </c>
      <c r="AZ165" s="209">
        <f t="shared" si="554"/>
        <v>275</v>
      </c>
      <c r="BA165" s="209">
        <f t="shared" si="554"/>
        <v>65</v>
      </c>
      <c r="BB165" s="209">
        <f t="shared" si="554"/>
        <v>210</v>
      </c>
      <c r="BC165" s="209">
        <f t="shared" si="554"/>
        <v>320</v>
      </c>
      <c r="BD165" s="209">
        <f t="shared" si="554"/>
        <v>75</v>
      </c>
      <c r="BE165" s="209">
        <f t="shared" si="554"/>
        <v>245</v>
      </c>
      <c r="BF165" s="209">
        <f t="shared" si="554"/>
        <v>875</v>
      </c>
      <c r="BG165" s="209">
        <f t="shared" si="554"/>
        <v>205</v>
      </c>
      <c r="BH165" s="209">
        <f t="shared" si="554"/>
        <v>670</v>
      </c>
      <c r="BI165" s="536"/>
      <c r="BJ165" s="488" t="str">
        <f t="shared" si="505"/>
        <v>PX</v>
      </c>
      <c r="BK165" s="209">
        <f t="shared" ref="BK165:BZ165" si="555">SUM(BK166:BK189)/2</f>
        <v>3700</v>
      </c>
      <c r="BL165" s="209">
        <f t="shared" si="555"/>
        <v>2300</v>
      </c>
      <c r="BM165" s="209">
        <f t="shared" si="555"/>
        <v>4000</v>
      </c>
      <c r="BN165" s="209">
        <f t="shared" si="555"/>
        <v>9800</v>
      </c>
      <c r="BO165" s="209">
        <f t="shared" si="555"/>
        <v>3300</v>
      </c>
      <c r="BP165" s="209">
        <f t="shared" si="555"/>
        <v>4100</v>
      </c>
      <c r="BQ165" s="209">
        <f t="shared" si="555"/>
        <v>3600</v>
      </c>
      <c r="BR165" s="209">
        <f t="shared" si="555"/>
        <v>10900</v>
      </c>
      <c r="BS165" s="209">
        <f t="shared" si="555"/>
        <v>3700</v>
      </c>
      <c r="BT165" s="209">
        <f t="shared" si="555"/>
        <v>3700</v>
      </c>
      <c r="BU165" s="209">
        <f t="shared" si="555"/>
        <v>3900</v>
      </c>
      <c r="BV165" s="209">
        <f t="shared" si="555"/>
        <v>11300</v>
      </c>
      <c r="BW165" s="209">
        <f t="shared" si="555"/>
        <v>4400</v>
      </c>
      <c r="BX165" s="209">
        <f t="shared" si="555"/>
        <v>4300</v>
      </c>
      <c r="BY165" s="209">
        <f t="shared" si="555"/>
        <v>4700</v>
      </c>
      <c r="BZ165" s="209">
        <f t="shared" si="555"/>
        <v>13500</v>
      </c>
      <c r="CA165" s="354"/>
      <c r="CB165" s="354" t="str">
        <f t="shared" si="397"/>
        <v>X</v>
      </c>
      <c r="CC165" s="534" t="s">
        <v>295</v>
      </c>
      <c r="CD165" s="509" t="str">
        <f t="shared" si="399"/>
        <v>CGĐB.</v>
      </c>
      <c r="CE165" s="351" t="str">
        <f t="shared" si="507"/>
        <v>PX</v>
      </c>
      <c r="CF165" s="509" t="str">
        <f t="shared" si="400"/>
        <v>CGĐB.PX</v>
      </c>
      <c r="CG165" s="509"/>
      <c r="CH165" s="509"/>
    </row>
    <row r="166" spans="1:86" s="358" customFormat="1" ht="19.5" customHeight="1" x14ac:dyDescent="0.25">
      <c r="A166" s="354" t="e">
        <f>A165</f>
        <v>#REF!</v>
      </c>
      <c r="B166" s="511" t="s">
        <v>8</v>
      </c>
      <c r="C166" s="512" t="s">
        <v>177</v>
      </c>
      <c r="D166" s="513"/>
      <c r="E166" s="513"/>
      <c r="F166" s="513"/>
      <c r="G166" s="514"/>
      <c r="H166" s="515"/>
      <c r="I166" s="211">
        <f>SUM(I167:I184)</f>
        <v>2885</v>
      </c>
      <c r="J166" s="211">
        <f>SUM(J167:J184)</f>
        <v>535</v>
      </c>
      <c r="K166" s="211">
        <f>SUM(K167:K184)</f>
        <v>2350</v>
      </c>
      <c r="L166" s="211">
        <f>SUM(L167:L184)</f>
        <v>45100</v>
      </c>
      <c r="M166" s="211">
        <f>SUM(M167:M184)</f>
        <v>305</v>
      </c>
      <c r="N166" s="211">
        <f t="shared" ref="N166:BH166" si="556">SUM(N167:N184)</f>
        <v>115</v>
      </c>
      <c r="O166" s="211">
        <f t="shared" si="556"/>
        <v>190</v>
      </c>
      <c r="P166" s="211">
        <f t="shared" si="556"/>
        <v>195</v>
      </c>
      <c r="Q166" s="211">
        <f t="shared" si="556"/>
        <v>80</v>
      </c>
      <c r="R166" s="211">
        <f t="shared" si="556"/>
        <v>115</v>
      </c>
      <c r="S166" s="823">
        <f t="shared" si="556"/>
        <v>285</v>
      </c>
      <c r="T166" s="211">
        <f t="shared" si="556"/>
        <v>90</v>
      </c>
      <c r="U166" s="211">
        <f t="shared" si="556"/>
        <v>195</v>
      </c>
      <c r="V166" s="211">
        <f t="shared" si="556"/>
        <v>785</v>
      </c>
      <c r="W166" s="211">
        <f t="shared" si="556"/>
        <v>285</v>
      </c>
      <c r="X166" s="211">
        <f t="shared" si="556"/>
        <v>500</v>
      </c>
      <c r="Y166" s="211">
        <f t="shared" si="556"/>
        <v>210</v>
      </c>
      <c r="Z166" s="211">
        <f t="shared" si="556"/>
        <v>45</v>
      </c>
      <c r="AA166" s="211">
        <f t="shared" si="556"/>
        <v>165</v>
      </c>
      <c r="AB166" s="211">
        <f t="shared" si="556"/>
        <v>230</v>
      </c>
      <c r="AC166" s="211">
        <f t="shared" si="556"/>
        <v>25</v>
      </c>
      <c r="AD166" s="211">
        <f t="shared" si="556"/>
        <v>205</v>
      </c>
      <c r="AE166" s="211">
        <f t="shared" si="556"/>
        <v>235</v>
      </c>
      <c r="AF166" s="211">
        <f t="shared" si="556"/>
        <v>35</v>
      </c>
      <c r="AG166" s="211">
        <f t="shared" si="556"/>
        <v>200</v>
      </c>
      <c r="AH166" s="211">
        <f t="shared" si="556"/>
        <v>675</v>
      </c>
      <c r="AI166" s="211">
        <f t="shared" si="556"/>
        <v>105</v>
      </c>
      <c r="AJ166" s="211">
        <f t="shared" si="556"/>
        <v>570</v>
      </c>
      <c r="AK166" s="211">
        <f t="shared" si="556"/>
        <v>235</v>
      </c>
      <c r="AL166" s="211">
        <f t="shared" si="556"/>
        <v>25</v>
      </c>
      <c r="AM166" s="211">
        <f t="shared" si="556"/>
        <v>210</v>
      </c>
      <c r="AN166" s="211">
        <f t="shared" si="556"/>
        <v>215</v>
      </c>
      <c r="AO166" s="211">
        <f t="shared" si="556"/>
        <v>15</v>
      </c>
      <c r="AP166" s="211">
        <f t="shared" si="556"/>
        <v>200</v>
      </c>
      <c r="AQ166" s="211">
        <f t="shared" si="556"/>
        <v>220</v>
      </c>
      <c r="AR166" s="211">
        <f t="shared" si="556"/>
        <v>20</v>
      </c>
      <c r="AS166" s="211">
        <f t="shared" si="556"/>
        <v>200</v>
      </c>
      <c r="AT166" s="211">
        <f t="shared" si="556"/>
        <v>670</v>
      </c>
      <c r="AU166" s="211">
        <f t="shared" si="556"/>
        <v>60</v>
      </c>
      <c r="AV166" s="211">
        <f t="shared" si="556"/>
        <v>610</v>
      </c>
      <c r="AW166" s="211">
        <f t="shared" si="556"/>
        <v>240</v>
      </c>
      <c r="AX166" s="211">
        <f t="shared" si="556"/>
        <v>25</v>
      </c>
      <c r="AY166" s="211">
        <f t="shared" si="556"/>
        <v>215</v>
      </c>
      <c r="AZ166" s="211">
        <f t="shared" si="556"/>
        <v>235</v>
      </c>
      <c r="BA166" s="211">
        <f t="shared" si="556"/>
        <v>25</v>
      </c>
      <c r="BB166" s="211">
        <f t="shared" si="556"/>
        <v>210</v>
      </c>
      <c r="BC166" s="211">
        <f t="shared" si="556"/>
        <v>280</v>
      </c>
      <c r="BD166" s="211">
        <f t="shared" si="556"/>
        <v>35</v>
      </c>
      <c r="BE166" s="211">
        <f t="shared" si="556"/>
        <v>245</v>
      </c>
      <c r="BF166" s="211">
        <f t="shared" si="556"/>
        <v>755</v>
      </c>
      <c r="BG166" s="211">
        <f t="shared" si="556"/>
        <v>85</v>
      </c>
      <c r="BH166" s="211">
        <f t="shared" si="556"/>
        <v>670</v>
      </c>
      <c r="BI166" s="516"/>
      <c r="BJ166" s="488" t="str">
        <f t="shared" si="505"/>
        <v>ĐL</v>
      </c>
      <c r="BK166" s="57">
        <f>SUM(BK167:BK184)</f>
        <v>3700</v>
      </c>
      <c r="BL166" s="57">
        <f t="shared" ref="BL166:BZ166" si="557">SUM(BL167:BL184)</f>
        <v>2300</v>
      </c>
      <c r="BM166" s="57">
        <f t="shared" si="557"/>
        <v>4000</v>
      </c>
      <c r="BN166" s="57">
        <f t="shared" si="557"/>
        <v>9800</v>
      </c>
      <c r="BO166" s="57">
        <f t="shared" si="557"/>
        <v>3200</v>
      </c>
      <c r="BP166" s="57">
        <f t="shared" si="557"/>
        <v>4000</v>
      </c>
      <c r="BQ166" s="57">
        <f t="shared" si="557"/>
        <v>3500</v>
      </c>
      <c r="BR166" s="57">
        <f>SUM(BR167:BR186)</f>
        <v>10900</v>
      </c>
      <c r="BS166" s="57">
        <f t="shared" si="557"/>
        <v>3700</v>
      </c>
      <c r="BT166" s="57">
        <f t="shared" si="557"/>
        <v>3700</v>
      </c>
      <c r="BU166" s="57">
        <f t="shared" si="557"/>
        <v>3900</v>
      </c>
      <c r="BV166" s="57">
        <f t="shared" si="557"/>
        <v>11300</v>
      </c>
      <c r="BW166" s="57">
        <f t="shared" si="557"/>
        <v>4400</v>
      </c>
      <c r="BX166" s="57">
        <f t="shared" si="557"/>
        <v>4300</v>
      </c>
      <c r="BY166" s="57">
        <f t="shared" si="557"/>
        <v>4700</v>
      </c>
      <c r="BZ166" s="57">
        <f t="shared" si="557"/>
        <v>13500</v>
      </c>
      <c r="CA166" s="517">
        <f>I166-V166-AH166-AT166-BF166</f>
        <v>0</v>
      </c>
      <c r="CB166" s="510" t="str">
        <f t="shared" si="397"/>
        <v>X</v>
      </c>
      <c r="CC166" s="509" t="str">
        <f t="shared" si="398"/>
        <v>CGĐB.</v>
      </c>
      <c r="CD166" s="509" t="str">
        <f t="shared" si="399"/>
        <v>CGĐB.</v>
      </c>
      <c r="CE166" s="351" t="str">
        <f t="shared" si="507"/>
        <v>ĐL</v>
      </c>
      <c r="CF166" s="509" t="str">
        <f t="shared" si="400"/>
        <v>CGĐB.ĐL</v>
      </c>
      <c r="CG166" s="509"/>
      <c r="CH166" s="509"/>
    </row>
    <row r="167" spans="1:86" ht="24" customHeight="1" x14ac:dyDescent="0.25">
      <c r="A167" s="354" t="e">
        <f>A166</f>
        <v>#REF!</v>
      </c>
      <c r="B167" s="932" t="s">
        <v>544</v>
      </c>
      <c r="C167" s="540" t="s">
        <v>681</v>
      </c>
      <c r="D167" s="447" t="s">
        <v>14</v>
      </c>
      <c r="E167" s="447" t="s">
        <v>868</v>
      </c>
      <c r="F167" s="447"/>
      <c r="G167" s="520">
        <v>16.100000000000001</v>
      </c>
      <c r="H167" s="521">
        <v>0.7</v>
      </c>
      <c r="I167" s="522">
        <f t="shared" ref="I167:I181" si="558">V167+AH167+AT167+BF167</f>
        <v>400</v>
      </c>
      <c r="J167" s="522">
        <f t="shared" ref="J167:J181" si="559">W167+AI167+AU167+BG167</f>
        <v>80</v>
      </c>
      <c r="K167" s="522">
        <f t="shared" ref="K167:K181" si="560">X167+AJ167+AV167+BH167</f>
        <v>320</v>
      </c>
      <c r="L167" s="57">
        <f t="shared" ref="L167:L181" si="561">BN167+BR167+BV167+BZ167</f>
        <v>6100</v>
      </c>
      <c r="M167" s="60">
        <v>120</v>
      </c>
      <c r="N167" s="60">
        <v>30</v>
      </c>
      <c r="O167" s="60">
        <f>M167-N167</f>
        <v>90</v>
      </c>
      <c r="P167" s="60">
        <v>60</v>
      </c>
      <c r="Q167" s="60">
        <v>20</v>
      </c>
      <c r="R167" s="60">
        <f>P167-Q167</f>
        <v>40</v>
      </c>
      <c r="S167" s="824">
        <v>120</v>
      </c>
      <c r="T167" s="60">
        <v>20</v>
      </c>
      <c r="U167" s="60">
        <f>S167-T167</f>
        <v>100</v>
      </c>
      <c r="V167" s="60">
        <f t="shared" ref="V167:X170" si="562">M167+P167+S167</f>
        <v>300</v>
      </c>
      <c r="W167" s="60">
        <f t="shared" si="562"/>
        <v>70</v>
      </c>
      <c r="X167" s="60">
        <f t="shared" si="562"/>
        <v>230</v>
      </c>
      <c r="Y167" s="60">
        <v>100</v>
      </c>
      <c r="Z167" s="60">
        <v>10</v>
      </c>
      <c r="AA167" s="60">
        <f>Y167-Z167</f>
        <v>90</v>
      </c>
      <c r="AB167" s="60"/>
      <c r="AC167" s="60"/>
      <c r="AD167" s="60">
        <f>AB167-AC167</f>
        <v>0</v>
      </c>
      <c r="AE167" s="60"/>
      <c r="AF167" s="60"/>
      <c r="AG167" s="60">
        <f>AE167-AF167</f>
        <v>0</v>
      </c>
      <c r="AH167" s="60">
        <f t="shared" ref="AH167:AJ168" si="563">Y167+AB167+AE167</f>
        <v>100</v>
      </c>
      <c r="AI167" s="60">
        <f t="shared" si="563"/>
        <v>10</v>
      </c>
      <c r="AJ167" s="60">
        <f t="shared" si="563"/>
        <v>90</v>
      </c>
      <c r="AK167" s="60"/>
      <c r="AL167" s="60"/>
      <c r="AM167" s="60">
        <f>AK167-AL167</f>
        <v>0</v>
      </c>
      <c r="AN167" s="60"/>
      <c r="AO167" s="60"/>
      <c r="AP167" s="60">
        <f>AN167-AO167</f>
        <v>0</v>
      </c>
      <c r="AQ167" s="60"/>
      <c r="AR167" s="60"/>
      <c r="AS167" s="60">
        <f>AQ167-AR167</f>
        <v>0</v>
      </c>
      <c r="AT167" s="60"/>
      <c r="AU167" s="60"/>
      <c r="AV167" s="60">
        <f>AT167-AU167</f>
        <v>0</v>
      </c>
      <c r="AW167" s="60"/>
      <c r="AX167" s="60"/>
      <c r="AY167" s="60">
        <f>AW167-AX167</f>
        <v>0</v>
      </c>
      <c r="AZ167" s="60"/>
      <c r="BA167" s="60"/>
      <c r="BB167" s="60">
        <f>AZ167-BA167</f>
        <v>0</v>
      </c>
      <c r="BC167" s="60"/>
      <c r="BD167" s="60"/>
      <c r="BE167" s="60">
        <f>BC167-BD167</f>
        <v>0</v>
      </c>
      <c r="BF167" s="60">
        <f t="shared" ref="BF167:BF177" si="564">AW167+AZ167+BC167</f>
        <v>0</v>
      </c>
      <c r="BG167" s="60">
        <f t="shared" ref="BG167:BG177" si="565">AX167+BA167+BD167</f>
        <v>0</v>
      </c>
      <c r="BH167" s="60">
        <f t="shared" ref="BH167:BH177" si="566">AY167+BB167+BE167</f>
        <v>0</v>
      </c>
      <c r="BI167" s="508"/>
      <c r="BJ167" s="488" t="str">
        <f t="shared" si="505"/>
        <v>Lò</v>
      </c>
      <c r="BK167" s="523">
        <f t="shared" ref="BK167:BK181" si="567">ROUND(O167*G167*$C$3*$B$5,-2)</f>
        <v>1700</v>
      </c>
      <c r="BL167" s="523">
        <f t="shared" ref="BL167:BL181" si="568">ROUND(R167*G167*$C$3*$B$5,-2)</f>
        <v>800</v>
      </c>
      <c r="BM167" s="523">
        <f t="shared" ref="BM167:BM181" si="569">ROUND(U167*G167*$C$3*$B$5,-2)</f>
        <v>1900</v>
      </c>
      <c r="BN167" s="523">
        <f t="shared" ref="BN167:BN181" si="570">ROUND(X167*G167*$C$3*$B$5,-2)</f>
        <v>4400</v>
      </c>
      <c r="BO167" s="523">
        <f t="shared" ref="BO167:BO181" si="571">ROUND(AA167*G167*$C$3*$B$5,-2)</f>
        <v>1700</v>
      </c>
      <c r="BP167" s="523">
        <f t="shared" ref="BP167:BP181" si="572">ROUND(AD167*G167*$C$3*$B$5,-2)</f>
        <v>0</v>
      </c>
      <c r="BQ167" s="523">
        <f t="shared" ref="BQ167:BQ181" si="573">ROUND(AG167*G167*$C$3*$B$5,-2)</f>
        <v>0</v>
      </c>
      <c r="BR167" s="523">
        <f t="shared" ref="BR167:BR181" si="574">ROUND(AJ167*G167*$B$5*$C$3,-2)</f>
        <v>1700</v>
      </c>
      <c r="BS167" s="523">
        <f t="shared" ref="BS167:BS181" si="575">ROUND(AM167*G167*$C$3*$B$5,-2)</f>
        <v>0</v>
      </c>
      <c r="BT167" s="523">
        <f t="shared" ref="BT167:BT181" si="576">ROUND(AP167*G167*$C$3*$B$5,-2)</f>
        <v>0</v>
      </c>
      <c r="BU167" s="523">
        <f t="shared" ref="BU167:BU181" si="577">ROUND(AS167*G167*$C$3*$B$5,-2)</f>
        <v>0</v>
      </c>
      <c r="BV167" s="523">
        <f t="shared" ref="BV167:BV181" si="578">ROUND(AV167*G167*$C$3*$B$5,-2)</f>
        <v>0</v>
      </c>
      <c r="BW167" s="523">
        <f t="shared" ref="BW167:BW181" si="579">ROUND(AY167*G167*$C$3*$B$5,-2)</f>
        <v>0</v>
      </c>
      <c r="BX167" s="523">
        <f t="shared" ref="BX167:BX181" si="580">ROUND(BB167*G167*$C$3*$B$5,-2)</f>
        <v>0</v>
      </c>
      <c r="BY167" s="523">
        <f t="shared" ref="BY167:BY181" si="581">ROUND(BE167*G167*$C$3*$B$5,-2)</f>
        <v>0</v>
      </c>
      <c r="BZ167" s="523">
        <f t="shared" ref="BZ167:BZ181" si="582">ROUND(BH167*G167*$C$3*$B$5,-2)</f>
        <v>0</v>
      </c>
      <c r="CA167" s="354"/>
      <c r="CB167" s="354" t="str">
        <f t="shared" si="397"/>
        <v>X</v>
      </c>
      <c r="CC167" s="509" t="str">
        <f t="shared" si="398"/>
        <v>CGĐB.</v>
      </c>
      <c r="CD167" s="509" t="str">
        <f t="shared" si="399"/>
        <v>CGĐB.16,1</v>
      </c>
      <c r="CE167" s="351" t="str">
        <f t="shared" si="507"/>
        <v>Lò</v>
      </c>
      <c r="CF167" s="509" t="str">
        <f t="shared" si="400"/>
        <v>CGĐB.Lò</v>
      </c>
      <c r="CG167" s="509"/>
      <c r="CH167" s="509"/>
    </row>
    <row r="168" spans="1:86" ht="24" customHeight="1" x14ac:dyDescent="0.25">
      <c r="A168" s="354" t="e">
        <f>A167</f>
        <v>#REF!</v>
      </c>
      <c r="B168" s="933"/>
      <c r="C168" s="519" t="s">
        <v>680</v>
      </c>
      <c r="D168" s="447" t="s">
        <v>14</v>
      </c>
      <c r="E168" s="447" t="s">
        <v>868</v>
      </c>
      <c r="F168" s="447"/>
      <c r="G168" s="520">
        <v>16.100000000000001</v>
      </c>
      <c r="H168" s="521">
        <v>0.7</v>
      </c>
      <c r="I168" s="522">
        <f t="shared" si="558"/>
        <v>600</v>
      </c>
      <c r="J168" s="522">
        <f t="shared" si="559"/>
        <v>20</v>
      </c>
      <c r="K168" s="522">
        <f t="shared" si="560"/>
        <v>580</v>
      </c>
      <c r="L168" s="57">
        <f t="shared" si="561"/>
        <v>11200</v>
      </c>
      <c r="M168" s="60"/>
      <c r="N168" s="60"/>
      <c r="O168" s="60">
        <f>M168-N168</f>
        <v>0</v>
      </c>
      <c r="P168" s="60"/>
      <c r="Q168" s="60"/>
      <c r="R168" s="60">
        <f>P168-Q168</f>
        <v>0</v>
      </c>
      <c r="S168" s="824"/>
      <c r="T168" s="60"/>
      <c r="U168" s="60">
        <f>S168-T168</f>
        <v>0</v>
      </c>
      <c r="V168" s="60">
        <f t="shared" si="562"/>
        <v>0</v>
      </c>
      <c r="W168" s="60">
        <f t="shared" si="562"/>
        <v>0</v>
      </c>
      <c r="X168" s="60">
        <f t="shared" si="562"/>
        <v>0</v>
      </c>
      <c r="Y168" s="60"/>
      <c r="Z168" s="60"/>
      <c r="AA168" s="60">
        <f>Y168-Z168</f>
        <v>0</v>
      </c>
      <c r="AB168" s="60">
        <v>120</v>
      </c>
      <c r="AC168" s="60"/>
      <c r="AD168" s="60">
        <f>AB168-AC168</f>
        <v>120</v>
      </c>
      <c r="AE168" s="60">
        <v>120</v>
      </c>
      <c r="AF168" s="60">
        <v>10</v>
      </c>
      <c r="AG168" s="60">
        <f>AE168-AF168</f>
        <v>110</v>
      </c>
      <c r="AH168" s="60">
        <f t="shared" si="563"/>
        <v>240</v>
      </c>
      <c r="AI168" s="60">
        <f t="shared" si="563"/>
        <v>10</v>
      </c>
      <c r="AJ168" s="60">
        <f t="shared" si="563"/>
        <v>230</v>
      </c>
      <c r="AK168" s="60">
        <v>120</v>
      </c>
      <c r="AL168" s="60">
        <v>10</v>
      </c>
      <c r="AM168" s="60">
        <f>AK168-AL168</f>
        <v>110</v>
      </c>
      <c r="AN168" s="60">
        <v>120</v>
      </c>
      <c r="AO168" s="60"/>
      <c r="AP168" s="60">
        <f>AN168-AO168</f>
        <v>120</v>
      </c>
      <c r="AQ168" s="60">
        <v>120</v>
      </c>
      <c r="AR168" s="60"/>
      <c r="AS168" s="60">
        <f>AQ168-AR168</f>
        <v>120</v>
      </c>
      <c r="AT168" s="60">
        <f t="shared" ref="AT168:AV173" si="583">AK168+AN168+AQ168</f>
        <v>360</v>
      </c>
      <c r="AU168" s="60">
        <f t="shared" si="583"/>
        <v>10</v>
      </c>
      <c r="AV168" s="60">
        <f t="shared" si="583"/>
        <v>350</v>
      </c>
      <c r="AW168" s="60"/>
      <c r="AX168" s="60"/>
      <c r="AY168" s="60">
        <f>AW168-AX168</f>
        <v>0</v>
      </c>
      <c r="AZ168" s="60"/>
      <c r="BA168" s="60"/>
      <c r="BB168" s="60">
        <f>AZ168-BA168</f>
        <v>0</v>
      </c>
      <c r="BC168" s="60"/>
      <c r="BD168" s="60"/>
      <c r="BE168" s="60">
        <f>BC168-BD168</f>
        <v>0</v>
      </c>
      <c r="BF168" s="60">
        <f t="shared" si="564"/>
        <v>0</v>
      </c>
      <c r="BG168" s="60">
        <f t="shared" si="565"/>
        <v>0</v>
      </c>
      <c r="BH168" s="60">
        <f t="shared" si="566"/>
        <v>0</v>
      </c>
      <c r="BI168" s="508"/>
      <c r="BJ168" s="488" t="str">
        <f t="shared" si="505"/>
        <v>Lò</v>
      </c>
      <c r="BK168" s="523">
        <f t="shared" si="567"/>
        <v>0</v>
      </c>
      <c r="BL168" s="523">
        <f t="shared" si="568"/>
        <v>0</v>
      </c>
      <c r="BM168" s="523">
        <f t="shared" si="569"/>
        <v>0</v>
      </c>
      <c r="BN168" s="523">
        <f t="shared" si="570"/>
        <v>0</v>
      </c>
      <c r="BO168" s="523">
        <f t="shared" si="571"/>
        <v>0</v>
      </c>
      <c r="BP168" s="523">
        <f t="shared" si="572"/>
        <v>2300</v>
      </c>
      <c r="BQ168" s="523">
        <f t="shared" si="573"/>
        <v>2100</v>
      </c>
      <c r="BR168" s="523">
        <f t="shared" si="574"/>
        <v>4400</v>
      </c>
      <c r="BS168" s="523">
        <f t="shared" si="575"/>
        <v>2100</v>
      </c>
      <c r="BT168" s="523">
        <f t="shared" si="576"/>
        <v>2300</v>
      </c>
      <c r="BU168" s="523">
        <f t="shared" si="577"/>
        <v>2300</v>
      </c>
      <c r="BV168" s="523">
        <f t="shared" si="578"/>
        <v>6800</v>
      </c>
      <c r="BW168" s="523">
        <f t="shared" si="579"/>
        <v>0</v>
      </c>
      <c r="BX168" s="523">
        <f t="shared" si="580"/>
        <v>0</v>
      </c>
      <c r="BY168" s="523">
        <f t="shared" si="581"/>
        <v>0</v>
      </c>
      <c r="BZ168" s="523">
        <f t="shared" si="582"/>
        <v>0</v>
      </c>
      <c r="CA168" s="354"/>
      <c r="CB168" s="354" t="str">
        <f t="shared" si="397"/>
        <v>X</v>
      </c>
      <c r="CC168" s="509" t="str">
        <f t="shared" si="398"/>
        <v>CGĐB.</v>
      </c>
      <c r="CD168" s="509" t="str">
        <f t="shared" si="399"/>
        <v>CGĐB.16,1</v>
      </c>
      <c r="CE168" s="351" t="str">
        <f t="shared" si="507"/>
        <v>Lò</v>
      </c>
      <c r="CF168" s="509" t="str">
        <f t="shared" si="400"/>
        <v>CGĐB.Lò</v>
      </c>
      <c r="CG168" s="509"/>
      <c r="CH168" s="509"/>
    </row>
    <row r="169" spans="1:86" s="445" customFormat="1" ht="24" customHeight="1" x14ac:dyDescent="0.25">
      <c r="A169" s="354" t="e">
        <f>A158</f>
        <v>#REF!</v>
      </c>
      <c r="B169" s="934"/>
      <c r="C169" s="519" t="s">
        <v>682</v>
      </c>
      <c r="D169" s="447" t="s">
        <v>14</v>
      </c>
      <c r="E169" s="447" t="s">
        <v>868</v>
      </c>
      <c r="F169" s="447"/>
      <c r="G169" s="520">
        <v>16.100000000000001</v>
      </c>
      <c r="H169" s="521">
        <v>0.7</v>
      </c>
      <c r="I169" s="522">
        <f t="shared" si="558"/>
        <v>0</v>
      </c>
      <c r="J169" s="522">
        <f t="shared" si="559"/>
        <v>0</v>
      </c>
      <c r="K169" s="522">
        <f t="shared" si="560"/>
        <v>0</v>
      </c>
      <c r="L169" s="57">
        <f t="shared" si="561"/>
        <v>0</v>
      </c>
      <c r="M169" s="60"/>
      <c r="N169" s="60"/>
      <c r="O169" s="60">
        <f>M169-N169</f>
        <v>0</v>
      </c>
      <c r="P169" s="60"/>
      <c r="Q169" s="60"/>
      <c r="R169" s="60">
        <f>P169-Q169</f>
        <v>0</v>
      </c>
      <c r="S169" s="824"/>
      <c r="T169" s="60"/>
      <c r="U169" s="60">
        <f>S169-T169</f>
        <v>0</v>
      </c>
      <c r="V169" s="60">
        <f t="shared" si="562"/>
        <v>0</v>
      </c>
      <c r="W169" s="60">
        <f t="shared" si="562"/>
        <v>0</v>
      </c>
      <c r="X169" s="60">
        <f t="shared" si="562"/>
        <v>0</v>
      </c>
      <c r="Y169" s="60"/>
      <c r="Z169" s="60"/>
      <c r="AA169" s="60">
        <f>Y169-Z169</f>
        <v>0</v>
      </c>
      <c r="AB169" s="60"/>
      <c r="AC169" s="60"/>
      <c r="AD169" s="60">
        <f>AB169-AC169</f>
        <v>0</v>
      </c>
      <c r="AE169" s="60"/>
      <c r="AF169" s="60"/>
      <c r="AG169" s="60">
        <f>AE169-AF169</f>
        <v>0</v>
      </c>
      <c r="AH169" s="60"/>
      <c r="AI169" s="60"/>
      <c r="AJ169" s="60">
        <f t="shared" ref="AJ169:AJ175" si="584">AH169-AI169</f>
        <v>0</v>
      </c>
      <c r="AK169" s="60"/>
      <c r="AL169" s="60"/>
      <c r="AM169" s="60">
        <f>AK169-AL169</f>
        <v>0</v>
      </c>
      <c r="AN169" s="60"/>
      <c r="AO169" s="60"/>
      <c r="AP169" s="60">
        <f>AN169-AO169</f>
        <v>0</v>
      </c>
      <c r="AQ169" s="60"/>
      <c r="AR169" s="60"/>
      <c r="AS169" s="60">
        <f>AQ169-AR169</f>
        <v>0</v>
      </c>
      <c r="AT169" s="60">
        <f t="shared" si="583"/>
        <v>0</v>
      </c>
      <c r="AU169" s="60">
        <f t="shared" si="583"/>
        <v>0</v>
      </c>
      <c r="AV169" s="60">
        <f t="shared" si="583"/>
        <v>0</v>
      </c>
      <c r="AW169" s="60"/>
      <c r="AX169" s="60"/>
      <c r="AY169" s="60">
        <f>AW169-AX169</f>
        <v>0</v>
      </c>
      <c r="AZ169" s="60"/>
      <c r="BA169" s="60"/>
      <c r="BB169" s="60">
        <f>AZ169-BA169</f>
        <v>0</v>
      </c>
      <c r="BC169" s="60"/>
      <c r="BD169" s="60"/>
      <c r="BE169" s="60">
        <f>BC169-BD169</f>
        <v>0</v>
      </c>
      <c r="BF169" s="60">
        <f t="shared" si="564"/>
        <v>0</v>
      </c>
      <c r="BG169" s="60">
        <f t="shared" si="565"/>
        <v>0</v>
      </c>
      <c r="BH169" s="60">
        <f t="shared" si="566"/>
        <v>0</v>
      </c>
      <c r="BI169" s="508"/>
      <c r="BJ169" s="488" t="str">
        <f t="shared" si="505"/>
        <v>Lò</v>
      </c>
      <c r="BK169" s="523">
        <f t="shared" si="567"/>
        <v>0</v>
      </c>
      <c r="BL169" s="523">
        <f t="shared" si="568"/>
        <v>0</v>
      </c>
      <c r="BM169" s="523">
        <f t="shared" si="569"/>
        <v>0</v>
      </c>
      <c r="BN169" s="523">
        <f t="shared" si="570"/>
        <v>0</v>
      </c>
      <c r="BO169" s="523">
        <f t="shared" si="571"/>
        <v>0</v>
      </c>
      <c r="BP169" s="523">
        <f t="shared" si="572"/>
        <v>0</v>
      </c>
      <c r="BQ169" s="523">
        <f t="shared" si="573"/>
        <v>0</v>
      </c>
      <c r="BR169" s="523">
        <f t="shared" si="574"/>
        <v>0</v>
      </c>
      <c r="BS169" s="523">
        <f t="shared" si="575"/>
        <v>0</v>
      </c>
      <c r="BT169" s="523">
        <f t="shared" si="576"/>
        <v>0</v>
      </c>
      <c r="BU169" s="523">
        <f t="shared" si="577"/>
        <v>0</v>
      </c>
      <c r="BV169" s="523">
        <f t="shared" si="578"/>
        <v>0</v>
      </c>
      <c r="BW169" s="523">
        <f t="shared" si="579"/>
        <v>0</v>
      </c>
      <c r="BX169" s="523">
        <f t="shared" si="580"/>
        <v>0</v>
      </c>
      <c r="BY169" s="523">
        <f t="shared" si="581"/>
        <v>0</v>
      </c>
      <c r="BZ169" s="523">
        <f t="shared" si="582"/>
        <v>0</v>
      </c>
      <c r="CA169" s="354"/>
      <c r="CB169" s="354" t="b">
        <f t="shared" si="397"/>
        <v>0</v>
      </c>
      <c r="CC169" s="509" t="str">
        <f>CC167</f>
        <v>CGĐB.</v>
      </c>
      <c r="CD169" s="509" t="str">
        <f t="shared" si="399"/>
        <v>CGĐB.16,1</v>
      </c>
      <c r="CE169" s="351" t="str">
        <f t="shared" si="507"/>
        <v>Lò</v>
      </c>
      <c r="CF169" s="509" t="str">
        <f t="shared" si="400"/>
        <v>CGĐB.Lò</v>
      </c>
      <c r="CG169" s="509"/>
      <c r="CH169" s="509"/>
    </row>
    <row r="170" spans="1:86" ht="24" customHeight="1" x14ac:dyDescent="0.25">
      <c r="A170" s="354" t="e">
        <f>A159</f>
        <v>#REF!</v>
      </c>
      <c r="B170" s="932" t="s">
        <v>545</v>
      </c>
      <c r="C170" s="519" t="s">
        <v>683</v>
      </c>
      <c r="D170" s="447" t="s">
        <v>14</v>
      </c>
      <c r="E170" s="447"/>
      <c r="F170" s="447"/>
      <c r="G170" s="520">
        <v>16.100000000000001</v>
      </c>
      <c r="H170" s="521">
        <v>0.7</v>
      </c>
      <c r="I170" s="522">
        <f>V170+AH170+AT170+BF170</f>
        <v>120</v>
      </c>
      <c r="J170" s="522">
        <f>W170+AI170+AU170+BG170</f>
        <v>120</v>
      </c>
      <c r="K170" s="522">
        <f>X170+AJ170+AV170+BH170</f>
        <v>0</v>
      </c>
      <c r="L170" s="57">
        <f>BN170+BR170+BV170+BZ170</f>
        <v>0</v>
      </c>
      <c r="M170" s="60">
        <v>45</v>
      </c>
      <c r="N170" s="60">
        <v>45</v>
      </c>
      <c r="O170" s="60">
        <f>M170-N170</f>
        <v>0</v>
      </c>
      <c r="P170" s="60">
        <v>30</v>
      </c>
      <c r="Q170" s="60">
        <v>30</v>
      </c>
      <c r="R170" s="60">
        <f>P170-Q170</f>
        <v>0</v>
      </c>
      <c r="S170" s="824">
        <v>45</v>
      </c>
      <c r="T170" s="60">
        <v>45</v>
      </c>
      <c r="U170" s="60">
        <f>S170-T170</f>
        <v>0</v>
      </c>
      <c r="V170" s="60">
        <f t="shared" si="562"/>
        <v>120</v>
      </c>
      <c r="W170" s="60">
        <f t="shared" si="562"/>
        <v>120</v>
      </c>
      <c r="X170" s="60">
        <f t="shared" si="562"/>
        <v>0</v>
      </c>
      <c r="Y170" s="60"/>
      <c r="Z170" s="60"/>
      <c r="AA170" s="60">
        <f>Y170-Z170</f>
        <v>0</v>
      </c>
      <c r="AB170" s="60"/>
      <c r="AC170" s="60"/>
      <c r="AD170" s="60">
        <f>AB170-AC170</f>
        <v>0</v>
      </c>
      <c r="AE170" s="60"/>
      <c r="AF170" s="60"/>
      <c r="AG170" s="60">
        <f>AE170-AF170</f>
        <v>0</v>
      </c>
      <c r="AH170" s="60"/>
      <c r="AI170" s="60"/>
      <c r="AJ170" s="60">
        <f t="shared" si="584"/>
        <v>0</v>
      </c>
      <c r="AK170" s="60"/>
      <c r="AL170" s="60"/>
      <c r="AM170" s="60">
        <f>AK170-AL170</f>
        <v>0</v>
      </c>
      <c r="AN170" s="60"/>
      <c r="AO170" s="60"/>
      <c r="AP170" s="60">
        <f>AN170-AO170</f>
        <v>0</v>
      </c>
      <c r="AQ170" s="60"/>
      <c r="AR170" s="60"/>
      <c r="AS170" s="60">
        <f>AQ170-AR170</f>
        <v>0</v>
      </c>
      <c r="AT170" s="60">
        <f t="shared" si="583"/>
        <v>0</v>
      </c>
      <c r="AU170" s="60">
        <f t="shared" si="583"/>
        <v>0</v>
      </c>
      <c r="AV170" s="60">
        <f t="shared" si="583"/>
        <v>0</v>
      </c>
      <c r="AW170" s="60"/>
      <c r="AX170" s="60"/>
      <c r="AY170" s="60">
        <f>AW170-AX170</f>
        <v>0</v>
      </c>
      <c r="AZ170" s="60"/>
      <c r="BA170" s="60"/>
      <c r="BB170" s="60">
        <f>AZ170-BA170</f>
        <v>0</v>
      </c>
      <c r="BC170" s="60"/>
      <c r="BD170" s="60"/>
      <c r="BE170" s="60">
        <f>BC170-BD170</f>
        <v>0</v>
      </c>
      <c r="BF170" s="60">
        <f t="shared" si="564"/>
        <v>0</v>
      </c>
      <c r="BG170" s="60">
        <f t="shared" si="565"/>
        <v>0</v>
      </c>
      <c r="BH170" s="60">
        <f t="shared" si="566"/>
        <v>0</v>
      </c>
      <c r="BI170" s="508"/>
      <c r="BJ170" s="488" t="str">
        <f t="shared" si="505"/>
        <v>Lò</v>
      </c>
      <c r="BK170" s="523">
        <f t="shared" si="567"/>
        <v>0</v>
      </c>
      <c r="BL170" s="523">
        <f t="shared" si="568"/>
        <v>0</v>
      </c>
      <c r="BM170" s="523">
        <f t="shared" si="569"/>
        <v>0</v>
      </c>
      <c r="BN170" s="523">
        <f t="shared" si="570"/>
        <v>0</v>
      </c>
      <c r="BO170" s="523">
        <f t="shared" si="571"/>
        <v>0</v>
      </c>
      <c r="BP170" s="523">
        <f t="shared" si="572"/>
        <v>0</v>
      </c>
      <c r="BQ170" s="523">
        <f t="shared" si="573"/>
        <v>0</v>
      </c>
      <c r="BR170" s="523">
        <f t="shared" si="574"/>
        <v>0</v>
      </c>
      <c r="BS170" s="523">
        <f t="shared" si="575"/>
        <v>0</v>
      </c>
      <c r="BT170" s="523">
        <f t="shared" si="576"/>
        <v>0</v>
      </c>
      <c r="BU170" s="523">
        <f t="shared" si="577"/>
        <v>0</v>
      </c>
      <c r="BV170" s="523">
        <f t="shared" si="578"/>
        <v>0</v>
      </c>
      <c r="BW170" s="523">
        <f t="shared" si="579"/>
        <v>0</v>
      </c>
      <c r="BX170" s="523">
        <f t="shared" si="580"/>
        <v>0</v>
      </c>
      <c r="BY170" s="523">
        <f t="shared" si="581"/>
        <v>0</v>
      </c>
      <c r="BZ170" s="523">
        <f t="shared" si="582"/>
        <v>0</v>
      </c>
      <c r="CA170" s="354"/>
      <c r="CB170" s="354" t="str">
        <f>IF(SUM(I170:L170)&lt;&gt;0,"X")</f>
        <v>X</v>
      </c>
      <c r="CC170" s="509" t="str">
        <f>CC168</f>
        <v>CGĐB.</v>
      </c>
      <c r="CD170" s="509" t="str">
        <f>CC170&amp;G170</f>
        <v>CGĐB.16,1</v>
      </c>
      <c r="CE170" s="351" t="str">
        <f t="shared" si="507"/>
        <v>Lò</v>
      </c>
      <c r="CF170" s="509" t="str">
        <f>CC170&amp;CE170</f>
        <v>CGĐB.Lò</v>
      </c>
      <c r="CG170" s="509"/>
      <c r="CH170" s="509"/>
    </row>
    <row r="171" spans="1:86" ht="24" customHeight="1" x14ac:dyDescent="0.25">
      <c r="A171" s="354" t="e">
        <f>A168</f>
        <v>#REF!</v>
      </c>
      <c r="B171" s="933"/>
      <c r="C171" s="519" t="s">
        <v>684</v>
      </c>
      <c r="D171" s="447" t="s">
        <v>14</v>
      </c>
      <c r="E171" s="447"/>
      <c r="F171" s="447"/>
      <c r="G171" s="520">
        <v>16.100000000000001</v>
      </c>
      <c r="H171" s="521">
        <v>0.5</v>
      </c>
      <c r="I171" s="522">
        <f t="shared" si="558"/>
        <v>100</v>
      </c>
      <c r="J171" s="522">
        <f t="shared" si="559"/>
        <v>25</v>
      </c>
      <c r="K171" s="522">
        <f t="shared" si="560"/>
        <v>75</v>
      </c>
      <c r="L171" s="57">
        <f t="shared" si="561"/>
        <v>1400</v>
      </c>
      <c r="M171" s="60"/>
      <c r="N171" s="60"/>
      <c r="O171" s="60">
        <f t="shared" ref="O171:O181" si="585">M171-N171</f>
        <v>0</v>
      </c>
      <c r="P171" s="60"/>
      <c r="Q171" s="60"/>
      <c r="R171" s="60">
        <f t="shared" ref="R171:R181" si="586">P171-Q171</f>
        <v>0</v>
      </c>
      <c r="S171" s="824"/>
      <c r="T171" s="60"/>
      <c r="U171" s="60">
        <f t="shared" ref="U171:U181" si="587">S171-T171</f>
        <v>0</v>
      </c>
      <c r="V171" s="60"/>
      <c r="W171" s="60"/>
      <c r="X171" s="60">
        <f>V171-W171</f>
        <v>0</v>
      </c>
      <c r="Y171" s="60">
        <v>50</v>
      </c>
      <c r="Z171" s="60">
        <v>15</v>
      </c>
      <c r="AA171" s="60">
        <f t="shared" ref="AA171:AA181" si="588">Y171-Z171</f>
        <v>35</v>
      </c>
      <c r="AB171" s="60">
        <v>50</v>
      </c>
      <c r="AC171" s="60">
        <v>10</v>
      </c>
      <c r="AD171" s="60">
        <f t="shared" ref="AD171:AD181" si="589">AB171-AC171</f>
        <v>40</v>
      </c>
      <c r="AE171" s="60"/>
      <c r="AF171" s="60"/>
      <c r="AG171" s="60">
        <f t="shared" ref="AG171:AG181" si="590">AE171-AF171</f>
        <v>0</v>
      </c>
      <c r="AH171" s="60">
        <f t="shared" ref="AH171:AJ172" si="591">Y171+AB171+AE171</f>
        <v>100</v>
      </c>
      <c r="AI171" s="60">
        <f t="shared" si="591"/>
        <v>25</v>
      </c>
      <c r="AJ171" s="60">
        <f t="shared" si="591"/>
        <v>75</v>
      </c>
      <c r="AK171" s="60"/>
      <c r="AL171" s="60"/>
      <c r="AM171" s="60">
        <f t="shared" ref="AM171:AM181" si="592">AK171-AL171</f>
        <v>0</v>
      </c>
      <c r="AN171" s="60"/>
      <c r="AO171" s="60"/>
      <c r="AP171" s="60">
        <f t="shared" ref="AP171:AP181" si="593">AN171-AO171</f>
        <v>0</v>
      </c>
      <c r="AQ171" s="60"/>
      <c r="AR171" s="60"/>
      <c r="AS171" s="60">
        <f t="shared" ref="AS171:AS181" si="594">AQ171-AR171</f>
        <v>0</v>
      </c>
      <c r="AT171" s="60">
        <f t="shared" si="583"/>
        <v>0</v>
      </c>
      <c r="AU171" s="60">
        <f t="shared" si="583"/>
        <v>0</v>
      </c>
      <c r="AV171" s="60">
        <f t="shared" si="583"/>
        <v>0</v>
      </c>
      <c r="AW171" s="60"/>
      <c r="AX171" s="60"/>
      <c r="AY171" s="60">
        <f t="shared" ref="AY171:AY181" si="595">AW171-AX171</f>
        <v>0</v>
      </c>
      <c r="AZ171" s="60"/>
      <c r="BA171" s="60"/>
      <c r="BB171" s="60">
        <f t="shared" ref="BB171:BB181" si="596">AZ171-BA171</f>
        <v>0</v>
      </c>
      <c r="BC171" s="60"/>
      <c r="BD171" s="60"/>
      <c r="BE171" s="60">
        <f t="shared" ref="BE171:BE181" si="597">BC171-BD171</f>
        <v>0</v>
      </c>
      <c r="BF171" s="60">
        <f t="shared" si="564"/>
        <v>0</v>
      </c>
      <c r="BG171" s="60">
        <f t="shared" si="565"/>
        <v>0</v>
      </c>
      <c r="BH171" s="60">
        <f t="shared" si="566"/>
        <v>0</v>
      </c>
      <c r="BI171" s="508"/>
      <c r="BJ171" s="488" t="str">
        <f t="shared" si="505"/>
        <v>Lò</v>
      </c>
      <c r="BK171" s="523">
        <f t="shared" si="567"/>
        <v>0</v>
      </c>
      <c r="BL171" s="523">
        <f t="shared" si="568"/>
        <v>0</v>
      </c>
      <c r="BM171" s="523">
        <f t="shared" si="569"/>
        <v>0</v>
      </c>
      <c r="BN171" s="523">
        <f t="shared" si="570"/>
        <v>0</v>
      </c>
      <c r="BO171" s="523">
        <f t="shared" si="571"/>
        <v>700</v>
      </c>
      <c r="BP171" s="523">
        <f t="shared" si="572"/>
        <v>800</v>
      </c>
      <c r="BQ171" s="523">
        <f t="shared" si="573"/>
        <v>0</v>
      </c>
      <c r="BR171" s="523">
        <f t="shared" si="574"/>
        <v>1400</v>
      </c>
      <c r="BS171" s="523">
        <f t="shared" si="575"/>
        <v>0</v>
      </c>
      <c r="BT171" s="523">
        <f t="shared" si="576"/>
        <v>0</v>
      </c>
      <c r="BU171" s="523">
        <f t="shared" si="577"/>
        <v>0</v>
      </c>
      <c r="BV171" s="523">
        <f t="shared" si="578"/>
        <v>0</v>
      </c>
      <c r="BW171" s="523">
        <f t="shared" si="579"/>
        <v>0</v>
      </c>
      <c r="BX171" s="523">
        <f t="shared" si="580"/>
        <v>0</v>
      </c>
      <c r="BY171" s="523">
        <f t="shared" si="581"/>
        <v>0</v>
      </c>
      <c r="BZ171" s="523">
        <f t="shared" si="582"/>
        <v>0</v>
      </c>
      <c r="CA171" s="354"/>
      <c r="CB171" s="354" t="str">
        <f t="shared" si="397"/>
        <v>X</v>
      </c>
      <c r="CC171" s="509" t="str">
        <f>CC168</f>
        <v>CGĐB.</v>
      </c>
      <c r="CD171" s="509" t="str">
        <f t="shared" si="399"/>
        <v>CGĐB.16,1</v>
      </c>
      <c r="CE171" s="351" t="str">
        <f t="shared" si="507"/>
        <v>Lò</v>
      </c>
      <c r="CF171" s="509" t="str">
        <f t="shared" si="400"/>
        <v>CGĐB.Lò</v>
      </c>
      <c r="CG171" s="509"/>
      <c r="CH171" s="509"/>
    </row>
    <row r="172" spans="1:86" ht="24" customHeight="1" x14ac:dyDescent="0.25">
      <c r="A172" s="354" t="e">
        <f>A165</f>
        <v>#REF!</v>
      </c>
      <c r="B172" s="933"/>
      <c r="C172" s="519" t="s">
        <v>685</v>
      </c>
      <c r="D172" s="447" t="s">
        <v>14</v>
      </c>
      <c r="E172" s="447"/>
      <c r="F172" s="447"/>
      <c r="G172" s="520">
        <v>16.100000000000001</v>
      </c>
      <c r="H172" s="521">
        <v>0.5</v>
      </c>
      <c r="I172" s="522">
        <f t="shared" si="558"/>
        <v>145</v>
      </c>
      <c r="J172" s="522">
        <f t="shared" si="559"/>
        <v>30</v>
      </c>
      <c r="K172" s="522">
        <f t="shared" si="560"/>
        <v>115</v>
      </c>
      <c r="L172" s="57">
        <f t="shared" si="561"/>
        <v>2300</v>
      </c>
      <c r="M172" s="60"/>
      <c r="N172" s="60"/>
      <c r="O172" s="60">
        <f t="shared" si="585"/>
        <v>0</v>
      </c>
      <c r="P172" s="60"/>
      <c r="Q172" s="60"/>
      <c r="R172" s="60">
        <f t="shared" si="586"/>
        <v>0</v>
      </c>
      <c r="S172" s="824"/>
      <c r="T172" s="60"/>
      <c r="U172" s="60">
        <f t="shared" si="587"/>
        <v>0</v>
      </c>
      <c r="V172" s="60"/>
      <c r="W172" s="60"/>
      <c r="X172" s="60">
        <f>V172-W172</f>
        <v>0</v>
      </c>
      <c r="Y172" s="60"/>
      <c r="Z172" s="60"/>
      <c r="AA172" s="60">
        <f t="shared" si="588"/>
        <v>0</v>
      </c>
      <c r="AB172" s="60"/>
      <c r="AC172" s="60"/>
      <c r="AD172" s="60">
        <f t="shared" si="589"/>
        <v>0</v>
      </c>
      <c r="AE172" s="60">
        <v>65</v>
      </c>
      <c r="AF172" s="60">
        <v>15</v>
      </c>
      <c r="AG172" s="60">
        <f t="shared" si="590"/>
        <v>50</v>
      </c>
      <c r="AH172" s="60">
        <f t="shared" si="591"/>
        <v>65</v>
      </c>
      <c r="AI172" s="60">
        <f t="shared" si="591"/>
        <v>15</v>
      </c>
      <c r="AJ172" s="60">
        <f t="shared" si="591"/>
        <v>50</v>
      </c>
      <c r="AK172" s="60">
        <v>65</v>
      </c>
      <c r="AL172" s="60">
        <v>10</v>
      </c>
      <c r="AM172" s="60">
        <f t="shared" si="592"/>
        <v>55</v>
      </c>
      <c r="AN172" s="60">
        <v>15</v>
      </c>
      <c r="AO172" s="60">
        <v>5</v>
      </c>
      <c r="AP172" s="60">
        <f t="shared" si="593"/>
        <v>10</v>
      </c>
      <c r="AQ172" s="60"/>
      <c r="AR172" s="60"/>
      <c r="AS172" s="60">
        <f t="shared" si="594"/>
        <v>0</v>
      </c>
      <c r="AT172" s="60">
        <f t="shared" si="583"/>
        <v>80</v>
      </c>
      <c r="AU172" s="60">
        <f t="shared" si="583"/>
        <v>15</v>
      </c>
      <c r="AV172" s="60">
        <f t="shared" si="583"/>
        <v>65</v>
      </c>
      <c r="AW172" s="60"/>
      <c r="AX172" s="60"/>
      <c r="AY172" s="60">
        <f t="shared" si="595"/>
        <v>0</v>
      </c>
      <c r="AZ172" s="60"/>
      <c r="BA172" s="60"/>
      <c r="BB172" s="60">
        <f t="shared" si="596"/>
        <v>0</v>
      </c>
      <c r="BC172" s="60"/>
      <c r="BD172" s="60"/>
      <c r="BE172" s="60">
        <f t="shared" si="597"/>
        <v>0</v>
      </c>
      <c r="BF172" s="60">
        <f t="shared" si="564"/>
        <v>0</v>
      </c>
      <c r="BG172" s="60">
        <f t="shared" si="565"/>
        <v>0</v>
      </c>
      <c r="BH172" s="60">
        <f t="shared" si="566"/>
        <v>0</v>
      </c>
      <c r="BI172" s="508"/>
      <c r="BJ172" s="488" t="str">
        <f t="shared" si="505"/>
        <v>Lò</v>
      </c>
      <c r="BK172" s="523">
        <f t="shared" si="567"/>
        <v>0</v>
      </c>
      <c r="BL172" s="523">
        <f t="shared" si="568"/>
        <v>0</v>
      </c>
      <c r="BM172" s="523">
        <f t="shared" si="569"/>
        <v>0</v>
      </c>
      <c r="BN172" s="523">
        <f t="shared" si="570"/>
        <v>0</v>
      </c>
      <c r="BO172" s="523">
        <f t="shared" si="571"/>
        <v>0</v>
      </c>
      <c r="BP172" s="523">
        <f t="shared" si="572"/>
        <v>0</v>
      </c>
      <c r="BQ172" s="523">
        <f t="shared" si="573"/>
        <v>1000</v>
      </c>
      <c r="BR172" s="523">
        <f t="shared" si="574"/>
        <v>1000</v>
      </c>
      <c r="BS172" s="523">
        <f t="shared" si="575"/>
        <v>1100</v>
      </c>
      <c r="BT172" s="523">
        <f t="shared" si="576"/>
        <v>200</v>
      </c>
      <c r="BU172" s="523">
        <f t="shared" si="577"/>
        <v>0</v>
      </c>
      <c r="BV172" s="523">
        <f t="shared" si="578"/>
        <v>1300</v>
      </c>
      <c r="BW172" s="523">
        <f t="shared" si="579"/>
        <v>0</v>
      </c>
      <c r="BX172" s="523">
        <f t="shared" si="580"/>
        <v>0</v>
      </c>
      <c r="BY172" s="523">
        <f t="shared" si="581"/>
        <v>0</v>
      </c>
      <c r="BZ172" s="523">
        <f t="shared" si="582"/>
        <v>0</v>
      </c>
      <c r="CA172" s="354"/>
      <c r="CB172" s="354" t="str">
        <f t="shared" si="397"/>
        <v>X</v>
      </c>
      <c r="CC172" s="509" t="str">
        <f t="shared" si="398"/>
        <v>CGĐB.</v>
      </c>
      <c r="CD172" s="509" t="str">
        <f t="shared" si="399"/>
        <v>CGĐB.16,1</v>
      </c>
      <c r="CE172" s="351" t="str">
        <f t="shared" si="507"/>
        <v>Lò</v>
      </c>
      <c r="CF172" s="509" t="str">
        <f t="shared" si="400"/>
        <v>CGĐB.Lò</v>
      </c>
      <c r="CG172" s="509"/>
      <c r="CH172" s="509"/>
    </row>
    <row r="173" spans="1:86" s="445" customFormat="1" ht="24" customHeight="1" x14ac:dyDescent="0.25">
      <c r="A173" s="354" t="e">
        <f>A166</f>
        <v>#REF!</v>
      </c>
      <c r="B173" s="933"/>
      <c r="C173" s="519" t="s">
        <v>864</v>
      </c>
      <c r="D173" s="447" t="s">
        <v>14</v>
      </c>
      <c r="E173" s="447"/>
      <c r="F173" s="447"/>
      <c r="G173" s="520">
        <v>16.100000000000001</v>
      </c>
      <c r="H173" s="521">
        <v>0.7</v>
      </c>
      <c r="I173" s="522">
        <f t="shared" si="558"/>
        <v>60</v>
      </c>
      <c r="J173" s="522">
        <f t="shared" si="559"/>
        <v>20</v>
      </c>
      <c r="K173" s="522">
        <f t="shared" si="560"/>
        <v>40</v>
      </c>
      <c r="L173" s="57">
        <f t="shared" si="561"/>
        <v>800</v>
      </c>
      <c r="M173" s="60"/>
      <c r="N173" s="60"/>
      <c r="O173" s="60">
        <f t="shared" si="585"/>
        <v>0</v>
      </c>
      <c r="P173" s="60"/>
      <c r="Q173" s="60"/>
      <c r="R173" s="60">
        <f t="shared" si="586"/>
        <v>0</v>
      </c>
      <c r="S173" s="824"/>
      <c r="T173" s="60"/>
      <c r="U173" s="60">
        <f t="shared" si="587"/>
        <v>0</v>
      </c>
      <c r="V173" s="60"/>
      <c r="W173" s="60"/>
      <c r="X173" s="60">
        <f>V173-W173</f>
        <v>0</v>
      </c>
      <c r="Y173" s="60"/>
      <c r="Z173" s="60"/>
      <c r="AA173" s="60">
        <f t="shared" si="588"/>
        <v>0</v>
      </c>
      <c r="AB173" s="60"/>
      <c r="AC173" s="60"/>
      <c r="AD173" s="60">
        <f t="shared" si="589"/>
        <v>0</v>
      </c>
      <c r="AE173" s="60"/>
      <c r="AF173" s="60"/>
      <c r="AG173" s="60">
        <f t="shared" si="590"/>
        <v>0</v>
      </c>
      <c r="AH173" s="60"/>
      <c r="AI173" s="60"/>
      <c r="AJ173" s="60">
        <f t="shared" si="584"/>
        <v>0</v>
      </c>
      <c r="AK173" s="60"/>
      <c r="AL173" s="60"/>
      <c r="AM173" s="60">
        <f t="shared" si="592"/>
        <v>0</v>
      </c>
      <c r="AN173" s="60">
        <v>20</v>
      </c>
      <c r="AO173" s="60">
        <v>5</v>
      </c>
      <c r="AP173" s="60">
        <f t="shared" si="593"/>
        <v>15</v>
      </c>
      <c r="AQ173" s="60">
        <v>40</v>
      </c>
      <c r="AR173" s="60">
        <v>15</v>
      </c>
      <c r="AS173" s="60">
        <f t="shared" si="594"/>
        <v>25</v>
      </c>
      <c r="AT173" s="60">
        <f t="shared" si="583"/>
        <v>60</v>
      </c>
      <c r="AU173" s="60">
        <f t="shared" si="583"/>
        <v>20</v>
      </c>
      <c r="AV173" s="60">
        <f t="shared" si="583"/>
        <v>40</v>
      </c>
      <c r="AW173" s="60"/>
      <c r="AX173" s="60"/>
      <c r="AY173" s="60">
        <f t="shared" si="595"/>
        <v>0</v>
      </c>
      <c r="AZ173" s="60"/>
      <c r="BA173" s="60"/>
      <c r="BB173" s="60">
        <f t="shared" si="596"/>
        <v>0</v>
      </c>
      <c r="BC173" s="60"/>
      <c r="BD173" s="60"/>
      <c r="BE173" s="60">
        <f t="shared" si="597"/>
        <v>0</v>
      </c>
      <c r="BF173" s="60">
        <f t="shared" si="564"/>
        <v>0</v>
      </c>
      <c r="BG173" s="60">
        <f t="shared" si="565"/>
        <v>0</v>
      </c>
      <c r="BH173" s="60">
        <f t="shared" si="566"/>
        <v>0</v>
      </c>
      <c r="BI173" s="508"/>
      <c r="BJ173" s="488" t="str">
        <f t="shared" si="505"/>
        <v>Lò</v>
      </c>
      <c r="BK173" s="523">
        <f t="shared" si="567"/>
        <v>0</v>
      </c>
      <c r="BL173" s="523">
        <f t="shared" si="568"/>
        <v>0</v>
      </c>
      <c r="BM173" s="523">
        <f t="shared" si="569"/>
        <v>0</v>
      </c>
      <c r="BN173" s="523">
        <f t="shared" si="570"/>
        <v>0</v>
      </c>
      <c r="BO173" s="523">
        <f t="shared" si="571"/>
        <v>0</v>
      </c>
      <c r="BP173" s="523">
        <f t="shared" si="572"/>
        <v>0</v>
      </c>
      <c r="BQ173" s="523">
        <f t="shared" si="573"/>
        <v>0</v>
      </c>
      <c r="BR173" s="523">
        <f t="shared" si="574"/>
        <v>0</v>
      </c>
      <c r="BS173" s="523">
        <f t="shared" si="575"/>
        <v>0</v>
      </c>
      <c r="BT173" s="523">
        <f t="shared" si="576"/>
        <v>300</v>
      </c>
      <c r="BU173" s="523">
        <f t="shared" si="577"/>
        <v>500</v>
      </c>
      <c r="BV173" s="523">
        <f t="shared" si="578"/>
        <v>800</v>
      </c>
      <c r="BW173" s="523">
        <f t="shared" si="579"/>
        <v>0</v>
      </c>
      <c r="BX173" s="523">
        <f t="shared" si="580"/>
        <v>0</v>
      </c>
      <c r="BY173" s="523">
        <f t="shared" si="581"/>
        <v>0</v>
      </c>
      <c r="BZ173" s="523">
        <f t="shared" si="582"/>
        <v>0</v>
      </c>
      <c r="CA173" s="354"/>
      <c r="CB173" s="354" t="str">
        <f t="shared" si="397"/>
        <v>X</v>
      </c>
      <c r="CC173" s="509" t="str">
        <f t="shared" si="398"/>
        <v>CGĐB.</v>
      </c>
      <c r="CD173" s="509" t="str">
        <f t="shared" si="399"/>
        <v>CGĐB.16,1</v>
      </c>
      <c r="CE173" s="351" t="str">
        <f t="shared" si="507"/>
        <v>Lò</v>
      </c>
      <c r="CF173" s="509" t="str">
        <f t="shared" si="400"/>
        <v>CGĐB.Lò</v>
      </c>
      <c r="CG173" s="509"/>
      <c r="CH173" s="509"/>
    </row>
    <row r="174" spans="1:86" s="445" customFormat="1" ht="24" customHeight="1" x14ac:dyDescent="0.25">
      <c r="A174" s="354" t="e">
        <f>A167</f>
        <v>#REF!</v>
      </c>
      <c r="B174" s="933"/>
      <c r="C174" s="519" t="s">
        <v>874</v>
      </c>
      <c r="D174" s="447" t="s">
        <v>14</v>
      </c>
      <c r="E174" s="447" t="s">
        <v>868</v>
      </c>
      <c r="F174" s="447"/>
      <c r="G174" s="520">
        <v>16.100000000000001</v>
      </c>
      <c r="H174" s="521">
        <v>0.7</v>
      </c>
      <c r="I174" s="522">
        <f>V174+AH174+AT174+BF174</f>
        <v>360</v>
      </c>
      <c r="J174" s="522">
        <f>W174+AI174+AU174+BG174</f>
        <v>20</v>
      </c>
      <c r="K174" s="522">
        <f>X174+AJ174+AV174+BH174</f>
        <v>340</v>
      </c>
      <c r="L174" s="57">
        <f>BN174+BR174+BV174+BZ174</f>
        <v>6600</v>
      </c>
      <c r="M174" s="60"/>
      <c r="N174" s="60"/>
      <c r="O174" s="60">
        <f>M174-N174</f>
        <v>0</v>
      </c>
      <c r="P174" s="60"/>
      <c r="Q174" s="60"/>
      <c r="R174" s="60">
        <f>P174-Q174</f>
        <v>0</v>
      </c>
      <c r="S174" s="824"/>
      <c r="T174" s="60"/>
      <c r="U174" s="60">
        <f>S174-T174</f>
        <v>0</v>
      </c>
      <c r="V174" s="60"/>
      <c r="W174" s="60"/>
      <c r="X174" s="60">
        <f>V174-W174</f>
        <v>0</v>
      </c>
      <c r="Y174" s="60"/>
      <c r="Z174" s="60"/>
      <c r="AA174" s="60">
        <f>Y174-Z174</f>
        <v>0</v>
      </c>
      <c r="AB174" s="60"/>
      <c r="AC174" s="60"/>
      <c r="AD174" s="60">
        <f>AB174-AC174</f>
        <v>0</v>
      </c>
      <c r="AE174" s="60"/>
      <c r="AF174" s="60"/>
      <c r="AG174" s="60">
        <f>AE174-AF174</f>
        <v>0</v>
      </c>
      <c r="AH174" s="60"/>
      <c r="AI174" s="60"/>
      <c r="AJ174" s="60">
        <f>AH174-AI174</f>
        <v>0</v>
      </c>
      <c r="AK174" s="60"/>
      <c r="AL174" s="60"/>
      <c r="AM174" s="60">
        <f>AK174-AL174</f>
        <v>0</v>
      </c>
      <c r="AN174" s="60"/>
      <c r="AO174" s="60"/>
      <c r="AP174" s="60">
        <f>AN174-AO174</f>
        <v>0</v>
      </c>
      <c r="AQ174" s="60"/>
      <c r="AR174" s="60"/>
      <c r="AS174" s="60">
        <f>AQ174-AR174</f>
        <v>0</v>
      </c>
      <c r="AT174" s="60">
        <f>AK174+AN174+AQ174</f>
        <v>0</v>
      </c>
      <c r="AU174" s="60">
        <f>AL174+AO174+AR174</f>
        <v>0</v>
      </c>
      <c r="AV174" s="60">
        <f>AM174+AP174+AS174</f>
        <v>0</v>
      </c>
      <c r="AW174" s="60">
        <v>120</v>
      </c>
      <c r="AX174" s="60"/>
      <c r="AY174" s="60">
        <f>AW174-AX174</f>
        <v>120</v>
      </c>
      <c r="AZ174" s="60">
        <v>120</v>
      </c>
      <c r="BA174" s="60">
        <v>10</v>
      </c>
      <c r="BB174" s="60">
        <f>AZ174-BA174</f>
        <v>110</v>
      </c>
      <c r="BC174" s="60">
        <v>120</v>
      </c>
      <c r="BD174" s="60">
        <v>10</v>
      </c>
      <c r="BE174" s="60">
        <f>BC174-BD174</f>
        <v>110</v>
      </c>
      <c r="BF174" s="60">
        <f>AW174+AZ174+BC174</f>
        <v>360</v>
      </c>
      <c r="BG174" s="60">
        <f>AX174+BA174+BD174</f>
        <v>20</v>
      </c>
      <c r="BH174" s="60">
        <f>AY174+BB174+BE174</f>
        <v>340</v>
      </c>
      <c r="BI174" s="508"/>
      <c r="BJ174" s="488" t="str">
        <f t="shared" si="505"/>
        <v>Lò</v>
      </c>
      <c r="BK174" s="523">
        <f>ROUND(O174*G174*$C$3*$B$5,-2)</f>
        <v>0</v>
      </c>
      <c r="BL174" s="523">
        <f>ROUND(R174*G174*$C$3*$B$5,-2)</f>
        <v>0</v>
      </c>
      <c r="BM174" s="523">
        <f>ROUND(U174*G174*$C$3*$B$5,-2)</f>
        <v>0</v>
      </c>
      <c r="BN174" s="523">
        <f>ROUND(X174*G174*$C$3*$B$5,-2)</f>
        <v>0</v>
      </c>
      <c r="BO174" s="523">
        <f>ROUND(AA174*G174*$C$3*$B$5,-2)</f>
        <v>0</v>
      </c>
      <c r="BP174" s="523">
        <f>ROUND(AD174*G174*$C$3*$B$5,-2)</f>
        <v>0</v>
      </c>
      <c r="BQ174" s="523">
        <f>ROUND(AG174*G174*$C$3*$B$5,-2)</f>
        <v>0</v>
      </c>
      <c r="BR174" s="523">
        <f>ROUND(AJ174*G174*$B$5*$C$3,-2)</f>
        <v>0</v>
      </c>
      <c r="BS174" s="523">
        <f>ROUND(AM174*G174*$C$3*$B$5,-2)</f>
        <v>0</v>
      </c>
      <c r="BT174" s="523">
        <f>ROUND(AP174*G174*$C$3*$B$5,-2)</f>
        <v>0</v>
      </c>
      <c r="BU174" s="523">
        <f>ROUND(AS174*G174*$C$3*$B$5,-2)</f>
        <v>0</v>
      </c>
      <c r="BV174" s="523">
        <f>ROUND(AV174*G174*$C$3*$B$5,-2)</f>
        <v>0</v>
      </c>
      <c r="BW174" s="523">
        <f>ROUND(AY174*G174*$C$3*$B$5,-2)</f>
        <v>2300</v>
      </c>
      <c r="BX174" s="523">
        <f>ROUND(BB174*G174*$C$3*$B$5,-2)</f>
        <v>2100</v>
      </c>
      <c r="BY174" s="523">
        <f>ROUND(BE174*G174*$C$3*$B$5,-2)</f>
        <v>2100</v>
      </c>
      <c r="BZ174" s="523">
        <f>ROUND(BH174*G174*$C$3*$B$5,-2)</f>
        <v>6600</v>
      </c>
      <c r="CA174" s="354"/>
      <c r="CB174" s="354" t="str">
        <f>IF(SUM(I174:L174)&lt;&gt;0,"X")</f>
        <v>X</v>
      </c>
      <c r="CC174" s="509" t="str">
        <f t="shared" si="398"/>
        <v>CGĐB.</v>
      </c>
      <c r="CD174" s="509" t="str">
        <f>CC174&amp;G174</f>
        <v>CGĐB.16,1</v>
      </c>
      <c r="CE174" s="351" t="str">
        <f t="shared" si="507"/>
        <v>Lò</v>
      </c>
      <c r="CF174" s="509" t="str">
        <f>CC174&amp;CE174</f>
        <v>CGĐB.Lò</v>
      </c>
      <c r="CG174" s="509"/>
      <c r="CH174" s="509"/>
    </row>
    <row r="175" spans="1:86" ht="24" customHeight="1" x14ac:dyDescent="0.25">
      <c r="A175" s="354" t="e">
        <f>A167</f>
        <v>#REF!</v>
      </c>
      <c r="B175" s="933"/>
      <c r="C175" s="519" t="s">
        <v>687</v>
      </c>
      <c r="D175" s="447" t="s">
        <v>14</v>
      </c>
      <c r="E175" s="447" t="s">
        <v>868</v>
      </c>
      <c r="F175" s="447"/>
      <c r="G175" s="520">
        <v>16.100000000000001</v>
      </c>
      <c r="H175" s="521">
        <v>0.7</v>
      </c>
      <c r="I175" s="522">
        <f t="shared" si="558"/>
        <v>120</v>
      </c>
      <c r="J175" s="522">
        <f t="shared" si="559"/>
        <v>20</v>
      </c>
      <c r="K175" s="522">
        <f t="shared" si="560"/>
        <v>100</v>
      </c>
      <c r="L175" s="57">
        <f t="shared" si="561"/>
        <v>1900</v>
      </c>
      <c r="M175" s="60"/>
      <c r="N175" s="60"/>
      <c r="O175" s="60">
        <f t="shared" si="585"/>
        <v>0</v>
      </c>
      <c r="P175" s="60"/>
      <c r="Q175" s="60"/>
      <c r="R175" s="60">
        <f t="shared" si="586"/>
        <v>0</v>
      </c>
      <c r="S175" s="824"/>
      <c r="T175" s="60"/>
      <c r="U175" s="60">
        <f t="shared" si="587"/>
        <v>0</v>
      </c>
      <c r="V175" s="60"/>
      <c r="W175" s="60"/>
      <c r="X175" s="60">
        <f>V175-W175</f>
        <v>0</v>
      </c>
      <c r="Y175" s="60"/>
      <c r="Z175" s="60"/>
      <c r="AA175" s="60">
        <f t="shared" si="588"/>
        <v>0</v>
      </c>
      <c r="AB175" s="60"/>
      <c r="AC175" s="60"/>
      <c r="AD175" s="60">
        <f t="shared" si="589"/>
        <v>0</v>
      </c>
      <c r="AE175" s="60"/>
      <c r="AF175" s="60"/>
      <c r="AG175" s="60">
        <f t="shared" si="590"/>
        <v>0</v>
      </c>
      <c r="AH175" s="60"/>
      <c r="AI175" s="60"/>
      <c r="AJ175" s="60">
        <f t="shared" si="584"/>
        <v>0</v>
      </c>
      <c r="AK175" s="60"/>
      <c r="AL175" s="60"/>
      <c r="AM175" s="60">
        <f t="shared" si="592"/>
        <v>0</v>
      </c>
      <c r="AN175" s="60"/>
      <c r="AO175" s="60"/>
      <c r="AP175" s="60">
        <f t="shared" si="593"/>
        <v>0</v>
      </c>
      <c r="AQ175" s="60"/>
      <c r="AR175" s="60"/>
      <c r="AS175" s="60">
        <f t="shared" si="594"/>
        <v>0</v>
      </c>
      <c r="AT175" s="60">
        <f t="shared" ref="AT175:AV180" si="598">AK175+AN175+AQ175</f>
        <v>0</v>
      </c>
      <c r="AU175" s="60">
        <f t="shared" si="598"/>
        <v>0</v>
      </c>
      <c r="AV175" s="60">
        <f t="shared" si="598"/>
        <v>0</v>
      </c>
      <c r="AW175" s="60"/>
      <c r="AX175" s="60"/>
      <c r="AY175" s="60">
        <f t="shared" si="595"/>
        <v>0</v>
      </c>
      <c r="AZ175" s="60"/>
      <c r="BA175" s="60"/>
      <c r="BB175" s="60">
        <f t="shared" si="596"/>
        <v>0</v>
      </c>
      <c r="BC175" s="60">
        <v>120</v>
      </c>
      <c r="BD175" s="60">
        <v>20</v>
      </c>
      <c r="BE175" s="60">
        <f t="shared" si="597"/>
        <v>100</v>
      </c>
      <c r="BF175" s="60">
        <f t="shared" si="564"/>
        <v>120</v>
      </c>
      <c r="BG175" s="60">
        <f t="shared" si="565"/>
        <v>20</v>
      </c>
      <c r="BH175" s="60">
        <f t="shared" si="566"/>
        <v>100</v>
      </c>
      <c r="BI175" s="508"/>
      <c r="BJ175" s="488" t="str">
        <f t="shared" si="505"/>
        <v>Lò</v>
      </c>
      <c r="BK175" s="523">
        <f t="shared" si="567"/>
        <v>0</v>
      </c>
      <c r="BL175" s="523">
        <f t="shared" si="568"/>
        <v>0</v>
      </c>
      <c r="BM175" s="523">
        <f t="shared" si="569"/>
        <v>0</v>
      </c>
      <c r="BN175" s="523">
        <f t="shared" si="570"/>
        <v>0</v>
      </c>
      <c r="BO175" s="523">
        <f t="shared" si="571"/>
        <v>0</v>
      </c>
      <c r="BP175" s="523">
        <f t="shared" si="572"/>
        <v>0</v>
      </c>
      <c r="BQ175" s="523">
        <f t="shared" si="573"/>
        <v>0</v>
      </c>
      <c r="BR175" s="523">
        <f t="shared" si="574"/>
        <v>0</v>
      </c>
      <c r="BS175" s="523">
        <f t="shared" si="575"/>
        <v>0</v>
      </c>
      <c r="BT175" s="523">
        <f t="shared" si="576"/>
        <v>0</v>
      </c>
      <c r="BU175" s="523">
        <f t="shared" si="577"/>
        <v>0</v>
      </c>
      <c r="BV175" s="523">
        <f t="shared" si="578"/>
        <v>0</v>
      </c>
      <c r="BW175" s="523">
        <f t="shared" si="579"/>
        <v>0</v>
      </c>
      <c r="BX175" s="523">
        <f t="shared" si="580"/>
        <v>0</v>
      </c>
      <c r="BY175" s="523">
        <f t="shared" si="581"/>
        <v>1900</v>
      </c>
      <c r="BZ175" s="523">
        <f t="shared" si="582"/>
        <v>1900</v>
      </c>
      <c r="CA175" s="354"/>
      <c r="CB175" s="354" t="str">
        <f t="shared" si="397"/>
        <v>X</v>
      </c>
      <c r="CC175" s="509" t="str">
        <f>CC173</f>
        <v>CGĐB.</v>
      </c>
      <c r="CD175" s="509" t="str">
        <f t="shared" si="399"/>
        <v>CGĐB.16,1</v>
      </c>
      <c r="CE175" s="351" t="str">
        <f t="shared" si="507"/>
        <v>Lò</v>
      </c>
      <c r="CF175" s="509" t="str">
        <f t="shared" si="400"/>
        <v>CGĐB.Lò</v>
      </c>
      <c r="CG175" s="509"/>
      <c r="CH175" s="509"/>
    </row>
    <row r="176" spans="1:86" s="445" customFormat="1" ht="24" customHeight="1" x14ac:dyDescent="0.25">
      <c r="A176" s="354"/>
      <c r="B176" s="934"/>
      <c r="C176" s="519" t="s">
        <v>686</v>
      </c>
      <c r="D176" s="447" t="s">
        <v>14</v>
      </c>
      <c r="E176" s="447"/>
      <c r="F176" s="447"/>
      <c r="G176" s="520">
        <v>20.5</v>
      </c>
      <c r="H176" s="521">
        <v>0.5</v>
      </c>
      <c r="I176" s="522">
        <f>V176+AH176+AT176+BF176</f>
        <v>120</v>
      </c>
      <c r="J176" s="522">
        <f>W176+AI176+AU176+BG176</f>
        <v>20</v>
      </c>
      <c r="K176" s="522">
        <f>X176+AJ176+AV176+BH176</f>
        <v>100</v>
      </c>
      <c r="L176" s="57">
        <f t="shared" si="561"/>
        <v>2500</v>
      </c>
      <c r="M176" s="60"/>
      <c r="N176" s="60"/>
      <c r="O176" s="60"/>
      <c r="P176" s="60"/>
      <c r="Q176" s="60"/>
      <c r="R176" s="60"/>
      <c r="S176" s="824"/>
      <c r="T176" s="60"/>
      <c r="U176" s="60"/>
      <c r="V176" s="60"/>
      <c r="W176" s="60"/>
      <c r="X176" s="60"/>
      <c r="Y176" s="60"/>
      <c r="Z176" s="60"/>
      <c r="AA176" s="60"/>
      <c r="AB176" s="60"/>
      <c r="AC176" s="60"/>
      <c r="AD176" s="60"/>
      <c r="AE176" s="60"/>
      <c r="AF176" s="60"/>
      <c r="AG176" s="60"/>
      <c r="AH176" s="60"/>
      <c r="AI176" s="60"/>
      <c r="AJ176" s="60"/>
      <c r="AK176" s="60"/>
      <c r="AL176" s="60"/>
      <c r="AM176" s="60"/>
      <c r="AN176" s="60"/>
      <c r="AO176" s="60"/>
      <c r="AP176" s="60"/>
      <c r="AQ176" s="60"/>
      <c r="AR176" s="60"/>
      <c r="AS176" s="60"/>
      <c r="AT176" s="60">
        <f t="shared" si="598"/>
        <v>0</v>
      </c>
      <c r="AU176" s="60">
        <f t="shared" si="598"/>
        <v>0</v>
      </c>
      <c r="AV176" s="60">
        <f t="shared" si="598"/>
        <v>0</v>
      </c>
      <c r="AW176" s="60">
        <v>60</v>
      </c>
      <c r="AX176" s="60">
        <v>10</v>
      </c>
      <c r="AY176" s="60">
        <f>AW176-AX176</f>
        <v>50</v>
      </c>
      <c r="AZ176" s="60">
        <v>60</v>
      </c>
      <c r="BA176" s="60">
        <v>10</v>
      </c>
      <c r="BB176" s="60">
        <f t="shared" si="596"/>
        <v>50</v>
      </c>
      <c r="BC176" s="60"/>
      <c r="BD176" s="60"/>
      <c r="BE176" s="60"/>
      <c r="BF176" s="60">
        <f t="shared" si="564"/>
        <v>120</v>
      </c>
      <c r="BG176" s="60">
        <f t="shared" si="565"/>
        <v>20</v>
      </c>
      <c r="BH176" s="60">
        <f t="shared" si="566"/>
        <v>100</v>
      </c>
      <c r="BI176" s="508"/>
      <c r="BJ176" s="488" t="str">
        <f t="shared" si="505"/>
        <v>Lò</v>
      </c>
      <c r="BK176" s="523">
        <f>ROUND(O176*G176*$C$3*$B$5,-2)</f>
        <v>0</v>
      </c>
      <c r="BL176" s="523">
        <f>ROUND(R176*G176*$C$3*$B$5,-2)</f>
        <v>0</v>
      </c>
      <c r="BM176" s="523">
        <f>ROUND(U176*G176*$C$3*$B$5,-2)</f>
        <v>0</v>
      </c>
      <c r="BN176" s="523">
        <f>ROUND(X176*G176*$C$3*$B$5,-2)</f>
        <v>0</v>
      </c>
      <c r="BO176" s="523">
        <f>ROUND(AA176*G176*$C$3*$B$5,-2)</f>
        <v>0</v>
      </c>
      <c r="BP176" s="523">
        <f>ROUND(AD176*G176*$C$3*$B$5,-2)</f>
        <v>0</v>
      </c>
      <c r="BQ176" s="523">
        <f>ROUND(AG176*G176*$C$3*$B$5,-2)</f>
        <v>0</v>
      </c>
      <c r="BR176" s="523">
        <f>ROUND(AJ176*G176*$B$5*$C$3,-2)</f>
        <v>0</v>
      </c>
      <c r="BS176" s="523">
        <f>ROUND(AM176*G176*$C$3*$B$5,-2)</f>
        <v>0</v>
      </c>
      <c r="BT176" s="523">
        <f>ROUND(AP176*G176*$C$3*$B$5,-2)</f>
        <v>0</v>
      </c>
      <c r="BU176" s="523">
        <f>ROUND(AS176*G176*$C$3*$B$5,-2)</f>
        <v>0</v>
      </c>
      <c r="BV176" s="523">
        <f>ROUND(AV176*G176*$C$3*$B$5,-2)</f>
        <v>0</v>
      </c>
      <c r="BW176" s="523">
        <f>ROUND(AY176*G176*$C$3*$B$5,-2)</f>
        <v>1200</v>
      </c>
      <c r="BX176" s="523">
        <f>ROUND(BB176*G176*$C$3*$B$5,-2)</f>
        <v>1200</v>
      </c>
      <c r="BY176" s="523">
        <f>ROUND(BE176*G176*$C$3*$B$5,-2)</f>
        <v>0</v>
      </c>
      <c r="BZ176" s="523">
        <f>ROUND(BH176*G176*$C$3*$B$5,-2)</f>
        <v>2500</v>
      </c>
      <c r="CA176" s="354"/>
      <c r="CB176" s="354" t="str">
        <f>IF(SUM(I176:L176)&lt;&gt;0,"X")</f>
        <v>X</v>
      </c>
      <c r="CC176" s="509" t="str">
        <f t="shared" si="398"/>
        <v>CGĐB.</v>
      </c>
      <c r="CD176" s="509" t="str">
        <f>CC176&amp;G176</f>
        <v>CGĐB.20,5</v>
      </c>
      <c r="CE176" s="351" t="str">
        <f t="shared" si="507"/>
        <v>Lò</v>
      </c>
      <c r="CF176" s="509" t="str">
        <f>CC176&amp;CE176</f>
        <v>CGĐB.Lò</v>
      </c>
      <c r="CG176" s="509"/>
      <c r="CH176" s="509"/>
    </row>
    <row r="177" spans="1:86" ht="24" customHeight="1" x14ac:dyDescent="0.25">
      <c r="A177" s="354" t="e">
        <f>A168</f>
        <v>#REF!</v>
      </c>
      <c r="B177" s="932" t="s">
        <v>546</v>
      </c>
      <c r="C177" s="519" t="s">
        <v>554</v>
      </c>
      <c r="D177" s="447" t="s">
        <v>14</v>
      </c>
      <c r="E177" s="447" t="s">
        <v>876</v>
      </c>
      <c r="F177" s="447"/>
      <c r="G177" s="520">
        <v>16.100000000000001</v>
      </c>
      <c r="H177" s="521">
        <v>0.7</v>
      </c>
      <c r="I177" s="522">
        <f t="shared" si="558"/>
        <v>260</v>
      </c>
      <c r="J177" s="522">
        <f t="shared" si="559"/>
        <v>70</v>
      </c>
      <c r="K177" s="522">
        <f t="shared" si="560"/>
        <v>190</v>
      </c>
      <c r="L177" s="57">
        <f t="shared" si="561"/>
        <v>3600</v>
      </c>
      <c r="M177" s="60">
        <v>30</v>
      </c>
      <c r="N177" s="60">
        <v>10</v>
      </c>
      <c r="O177" s="60">
        <f t="shared" si="585"/>
        <v>20</v>
      </c>
      <c r="P177" s="60">
        <v>40</v>
      </c>
      <c r="Q177" s="60">
        <v>10</v>
      </c>
      <c r="R177" s="60">
        <f t="shared" si="586"/>
        <v>30</v>
      </c>
      <c r="S177" s="824">
        <v>70</v>
      </c>
      <c r="T177" s="60">
        <v>15</v>
      </c>
      <c r="U177" s="60">
        <f t="shared" si="587"/>
        <v>55</v>
      </c>
      <c r="V177" s="60">
        <f t="shared" ref="V177:X184" si="599">M177+P177+S177</f>
        <v>140</v>
      </c>
      <c r="W177" s="60">
        <f t="shared" si="599"/>
        <v>35</v>
      </c>
      <c r="X177" s="60">
        <f t="shared" si="599"/>
        <v>105</v>
      </c>
      <c r="Y177" s="60">
        <v>60</v>
      </c>
      <c r="Z177" s="60">
        <v>20</v>
      </c>
      <c r="AA177" s="60">
        <f t="shared" si="588"/>
        <v>40</v>
      </c>
      <c r="AB177" s="60">
        <v>60</v>
      </c>
      <c r="AC177" s="60">
        <v>15</v>
      </c>
      <c r="AD177" s="60">
        <f t="shared" si="589"/>
        <v>45</v>
      </c>
      <c r="AE177" s="60"/>
      <c r="AF177" s="60"/>
      <c r="AG177" s="60">
        <f t="shared" si="590"/>
        <v>0</v>
      </c>
      <c r="AH177" s="60">
        <f t="shared" ref="AH177:AJ178" si="600">Y177+AB177+AE177</f>
        <v>120</v>
      </c>
      <c r="AI177" s="60">
        <f t="shared" si="600"/>
        <v>35</v>
      </c>
      <c r="AJ177" s="60">
        <f t="shared" si="600"/>
        <v>85</v>
      </c>
      <c r="AK177" s="60"/>
      <c r="AL177" s="60"/>
      <c r="AM177" s="60">
        <f t="shared" si="592"/>
        <v>0</v>
      </c>
      <c r="AN177" s="60"/>
      <c r="AO177" s="60"/>
      <c r="AP177" s="60">
        <f t="shared" si="593"/>
        <v>0</v>
      </c>
      <c r="AQ177" s="60"/>
      <c r="AR177" s="60"/>
      <c r="AS177" s="60">
        <f t="shared" si="594"/>
        <v>0</v>
      </c>
      <c r="AT177" s="60">
        <f t="shared" si="598"/>
        <v>0</v>
      </c>
      <c r="AU177" s="60">
        <f t="shared" si="598"/>
        <v>0</v>
      </c>
      <c r="AV177" s="60">
        <f t="shared" si="598"/>
        <v>0</v>
      </c>
      <c r="AW177" s="60"/>
      <c r="AX177" s="60"/>
      <c r="AY177" s="60">
        <f t="shared" si="595"/>
        <v>0</v>
      </c>
      <c r="AZ177" s="60"/>
      <c r="BA177" s="60"/>
      <c r="BB177" s="60">
        <f t="shared" si="596"/>
        <v>0</v>
      </c>
      <c r="BC177" s="60"/>
      <c r="BD177" s="60"/>
      <c r="BE177" s="60">
        <f t="shared" si="597"/>
        <v>0</v>
      </c>
      <c r="BF177" s="60">
        <f t="shared" si="564"/>
        <v>0</v>
      </c>
      <c r="BG177" s="60">
        <f t="shared" si="565"/>
        <v>0</v>
      </c>
      <c r="BH177" s="60">
        <f t="shared" si="566"/>
        <v>0</v>
      </c>
      <c r="BI177" s="508"/>
      <c r="BJ177" s="488" t="str">
        <f t="shared" ref="BJ177:BJ195" si="601">LEFT(C177,2)</f>
        <v>Lò</v>
      </c>
      <c r="BK177" s="523">
        <f t="shared" si="567"/>
        <v>400</v>
      </c>
      <c r="BL177" s="523">
        <f t="shared" si="568"/>
        <v>600</v>
      </c>
      <c r="BM177" s="523">
        <f t="shared" si="569"/>
        <v>1100</v>
      </c>
      <c r="BN177" s="523">
        <f t="shared" si="570"/>
        <v>2000</v>
      </c>
      <c r="BO177" s="523">
        <f t="shared" si="571"/>
        <v>800</v>
      </c>
      <c r="BP177" s="523">
        <f t="shared" si="572"/>
        <v>900</v>
      </c>
      <c r="BQ177" s="523">
        <f t="shared" si="573"/>
        <v>0</v>
      </c>
      <c r="BR177" s="523">
        <f t="shared" si="574"/>
        <v>1600</v>
      </c>
      <c r="BS177" s="523">
        <f t="shared" si="575"/>
        <v>0</v>
      </c>
      <c r="BT177" s="523">
        <f t="shared" si="576"/>
        <v>0</v>
      </c>
      <c r="BU177" s="523">
        <f t="shared" si="577"/>
        <v>0</v>
      </c>
      <c r="BV177" s="523">
        <f t="shared" si="578"/>
        <v>0</v>
      </c>
      <c r="BW177" s="523">
        <f t="shared" si="579"/>
        <v>0</v>
      </c>
      <c r="BX177" s="523">
        <f t="shared" si="580"/>
        <v>0</v>
      </c>
      <c r="BY177" s="523">
        <f t="shared" si="581"/>
        <v>0</v>
      </c>
      <c r="BZ177" s="523">
        <f t="shared" si="582"/>
        <v>0</v>
      </c>
      <c r="CA177" s="354"/>
      <c r="CB177" s="354" t="str">
        <f>IF(SUM(I177:L177)&lt;&gt;0,"X")</f>
        <v>X</v>
      </c>
      <c r="CC177" s="509" t="str">
        <f t="shared" si="398"/>
        <v>CGĐB.</v>
      </c>
      <c r="CD177" s="509" t="str">
        <f>CC177&amp;G177</f>
        <v>CGĐB.16,1</v>
      </c>
      <c r="CE177" s="351" t="str">
        <f t="shared" ref="CE177:CE195" si="602">LEFT(C177,2)</f>
        <v>Lò</v>
      </c>
      <c r="CF177" s="509" t="str">
        <f>CC177&amp;CE177</f>
        <v>CGĐB.Lò</v>
      </c>
      <c r="CG177" s="509"/>
      <c r="CH177" s="509"/>
    </row>
    <row r="178" spans="1:86" ht="24" customHeight="1" x14ac:dyDescent="0.25">
      <c r="A178" s="354" t="e">
        <f>A166</f>
        <v>#REF!</v>
      </c>
      <c r="B178" s="933"/>
      <c r="C178" s="519" t="s">
        <v>581</v>
      </c>
      <c r="D178" s="447" t="s">
        <v>14</v>
      </c>
      <c r="E178" s="447"/>
      <c r="F178" s="447"/>
      <c r="G178" s="520">
        <v>8.5</v>
      </c>
      <c r="H178" s="521">
        <v>0.7</v>
      </c>
      <c r="I178" s="522">
        <f t="shared" si="558"/>
        <v>120</v>
      </c>
      <c r="J178" s="522">
        <f t="shared" si="559"/>
        <v>15</v>
      </c>
      <c r="K178" s="522">
        <f t="shared" si="560"/>
        <v>105</v>
      </c>
      <c r="L178" s="57">
        <f t="shared" si="561"/>
        <v>1100</v>
      </c>
      <c r="M178" s="60"/>
      <c r="N178" s="60"/>
      <c r="O178" s="60">
        <f t="shared" si="585"/>
        <v>0</v>
      </c>
      <c r="P178" s="60"/>
      <c r="Q178" s="60"/>
      <c r="R178" s="60">
        <f t="shared" si="586"/>
        <v>0</v>
      </c>
      <c r="S178" s="824"/>
      <c r="T178" s="60"/>
      <c r="U178" s="60">
        <f t="shared" si="587"/>
        <v>0</v>
      </c>
      <c r="V178" s="60">
        <f t="shared" si="599"/>
        <v>0</v>
      </c>
      <c r="W178" s="60">
        <f t="shared" si="599"/>
        <v>0</v>
      </c>
      <c r="X178" s="60">
        <f t="shared" si="599"/>
        <v>0</v>
      </c>
      <c r="Y178" s="60"/>
      <c r="Z178" s="60"/>
      <c r="AA178" s="60">
        <f t="shared" si="588"/>
        <v>0</v>
      </c>
      <c r="AB178" s="60"/>
      <c r="AC178" s="60"/>
      <c r="AD178" s="60">
        <f t="shared" si="589"/>
        <v>0</v>
      </c>
      <c r="AE178" s="60">
        <v>50</v>
      </c>
      <c r="AF178" s="60">
        <v>10</v>
      </c>
      <c r="AG178" s="60">
        <f t="shared" si="590"/>
        <v>40</v>
      </c>
      <c r="AH178" s="60">
        <f t="shared" si="600"/>
        <v>50</v>
      </c>
      <c r="AI178" s="60">
        <f t="shared" si="600"/>
        <v>10</v>
      </c>
      <c r="AJ178" s="60">
        <f t="shared" si="600"/>
        <v>40</v>
      </c>
      <c r="AK178" s="60">
        <v>50</v>
      </c>
      <c r="AL178" s="60">
        <v>5</v>
      </c>
      <c r="AM178" s="60">
        <f t="shared" si="592"/>
        <v>45</v>
      </c>
      <c r="AN178" s="60">
        <v>20</v>
      </c>
      <c r="AO178" s="60"/>
      <c r="AP178" s="60">
        <f t="shared" si="593"/>
        <v>20</v>
      </c>
      <c r="AQ178" s="60"/>
      <c r="AR178" s="60"/>
      <c r="AS178" s="60">
        <f t="shared" si="594"/>
        <v>0</v>
      </c>
      <c r="AT178" s="60">
        <f t="shared" si="598"/>
        <v>70</v>
      </c>
      <c r="AU178" s="60">
        <f t="shared" si="598"/>
        <v>5</v>
      </c>
      <c r="AV178" s="60">
        <f t="shared" si="598"/>
        <v>65</v>
      </c>
      <c r="AW178" s="60"/>
      <c r="AX178" s="60"/>
      <c r="AY178" s="60">
        <f t="shared" si="595"/>
        <v>0</v>
      </c>
      <c r="AZ178" s="60"/>
      <c r="BA178" s="60"/>
      <c r="BB178" s="60">
        <f t="shared" si="596"/>
        <v>0</v>
      </c>
      <c r="BC178" s="60"/>
      <c r="BD178" s="60"/>
      <c r="BE178" s="60">
        <f t="shared" si="597"/>
        <v>0</v>
      </c>
      <c r="BF178" s="60"/>
      <c r="BG178" s="60"/>
      <c r="BH178" s="60">
        <f>BF178-BG178</f>
        <v>0</v>
      </c>
      <c r="BI178" s="508"/>
      <c r="BJ178" s="488" t="str">
        <f t="shared" si="601"/>
        <v>Lò</v>
      </c>
      <c r="BK178" s="523">
        <f t="shared" si="567"/>
        <v>0</v>
      </c>
      <c r="BL178" s="523">
        <f t="shared" si="568"/>
        <v>0</v>
      </c>
      <c r="BM178" s="523">
        <f t="shared" si="569"/>
        <v>0</v>
      </c>
      <c r="BN178" s="523">
        <f t="shared" si="570"/>
        <v>0</v>
      </c>
      <c r="BO178" s="523">
        <f t="shared" si="571"/>
        <v>0</v>
      </c>
      <c r="BP178" s="523">
        <f t="shared" si="572"/>
        <v>0</v>
      </c>
      <c r="BQ178" s="523">
        <f t="shared" si="573"/>
        <v>400</v>
      </c>
      <c r="BR178" s="523">
        <f t="shared" si="574"/>
        <v>400</v>
      </c>
      <c r="BS178" s="523">
        <f t="shared" si="575"/>
        <v>500</v>
      </c>
      <c r="BT178" s="523">
        <f t="shared" si="576"/>
        <v>200</v>
      </c>
      <c r="BU178" s="523">
        <f t="shared" si="577"/>
        <v>0</v>
      </c>
      <c r="BV178" s="523">
        <f t="shared" si="578"/>
        <v>700</v>
      </c>
      <c r="BW178" s="523">
        <f t="shared" si="579"/>
        <v>0</v>
      </c>
      <c r="BX178" s="523">
        <f t="shared" si="580"/>
        <v>0</v>
      </c>
      <c r="BY178" s="523">
        <f t="shared" si="581"/>
        <v>0</v>
      </c>
      <c r="BZ178" s="523">
        <f t="shared" si="582"/>
        <v>0</v>
      </c>
      <c r="CA178" s="354"/>
      <c r="CB178" s="354" t="str">
        <f t="shared" si="397"/>
        <v>X</v>
      </c>
      <c r="CC178" s="509" t="str">
        <f t="shared" si="398"/>
        <v>CGĐB.</v>
      </c>
      <c r="CD178" s="509" t="str">
        <f t="shared" si="399"/>
        <v>CGĐB.8,5</v>
      </c>
      <c r="CE178" s="351" t="str">
        <f t="shared" si="602"/>
        <v>Lò</v>
      </c>
      <c r="CF178" s="509" t="str">
        <f t="shared" si="400"/>
        <v>CGĐB.Lò</v>
      </c>
      <c r="CG178" s="509"/>
      <c r="CH178" s="509"/>
    </row>
    <row r="179" spans="1:86" ht="24" customHeight="1" x14ac:dyDescent="0.25">
      <c r="A179" s="354" t="e">
        <f>A167</f>
        <v>#REF!</v>
      </c>
      <c r="B179" s="933"/>
      <c r="C179" s="519" t="s">
        <v>582</v>
      </c>
      <c r="D179" s="447" t="s">
        <v>14</v>
      </c>
      <c r="E179" s="447"/>
      <c r="F179" s="447"/>
      <c r="G179" s="520">
        <v>16.100000000000001</v>
      </c>
      <c r="H179" s="521">
        <v>0.7</v>
      </c>
      <c r="I179" s="522">
        <f t="shared" si="558"/>
        <v>30</v>
      </c>
      <c r="J179" s="522">
        <f t="shared" si="559"/>
        <v>10</v>
      </c>
      <c r="K179" s="522">
        <f t="shared" si="560"/>
        <v>20</v>
      </c>
      <c r="L179" s="57">
        <f t="shared" si="561"/>
        <v>400</v>
      </c>
      <c r="M179" s="60">
        <v>30</v>
      </c>
      <c r="N179" s="60">
        <v>10</v>
      </c>
      <c r="O179" s="60">
        <f t="shared" si="585"/>
        <v>20</v>
      </c>
      <c r="P179" s="60"/>
      <c r="Q179" s="60"/>
      <c r="R179" s="60">
        <f t="shared" si="586"/>
        <v>0</v>
      </c>
      <c r="S179" s="824"/>
      <c r="T179" s="60"/>
      <c r="U179" s="60">
        <f t="shared" si="587"/>
        <v>0</v>
      </c>
      <c r="V179" s="60">
        <f t="shared" si="599"/>
        <v>30</v>
      </c>
      <c r="W179" s="60">
        <f t="shared" si="599"/>
        <v>10</v>
      </c>
      <c r="X179" s="60">
        <f t="shared" si="599"/>
        <v>20</v>
      </c>
      <c r="Y179" s="60"/>
      <c r="Z179" s="60"/>
      <c r="AA179" s="60">
        <f t="shared" si="588"/>
        <v>0</v>
      </c>
      <c r="AB179" s="60"/>
      <c r="AC179" s="60"/>
      <c r="AD179" s="60">
        <f t="shared" si="589"/>
        <v>0</v>
      </c>
      <c r="AE179" s="60"/>
      <c r="AF179" s="60"/>
      <c r="AG179" s="60">
        <f t="shared" si="590"/>
        <v>0</v>
      </c>
      <c r="AH179" s="60"/>
      <c r="AI179" s="60"/>
      <c r="AJ179" s="60"/>
      <c r="AK179" s="60"/>
      <c r="AL179" s="60"/>
      <c r="AM179" s="60">
        <f t="shared" si="592"/>
        <v>0</v>
      </c>
      <c r="AN179" s="60"/>
      <c r="AO179" s="60"/>
      <c r="AP179" s="60">
        <f t="shared" si="593"/>
        <v>0</v>
      </c>
      <c r="AQ179" s="60"/>
      <c r="AR179" s="60"/>
      <c r="AS179" s="60">
        <f t="shared" si="594"/>
        <v>0</v>
      </c>
      <c r="AT179" s="60">
        <f t="shared" si="598"/>
        <v>0</v>
      </c>
      <c r="AU179" s="60">
        <f t="shared" si="598"/>
        <v>0</v>
      </c>
      <c r="AV179" s="60">
        <f t="shared" si="598"/>
        <v>0</v>
      </c>
      <c r="AW179" s="60"/>
      <c r="AX179" s="60"/>
      <c r="AY179" s="60">
        <f t="shared" si="595"/>
        <v>0</v>
      </c>
      <c r="AZ179" s="60"/>
      <c r="BA179" s="60"/>
      <c r="BB179" s="60">
        <f t="shared" si="596"/>
        <v>0</v>
      </c>
      <c r="BC179" s="60"/>
      <c r="BD179" s="60"/>
      <c r="BE179" s="60">
        <f t="shared" si="597"/>
        <v>0</v>
      </c>
      <c r="BF179" s="60">
        <f t="shared" ref="BF179:BH184" si="603">AW179+AZ179+BC179</f>
        <v>0</v>
      </c>
      <c r="BG179" s="60">
        <f t="shared" si="603"/>
        <v>0</v>
      </c>
      <c r="BH179" s="60">
        <f t="shared" si="603"/>
        <v>0</v>
      </c>
      <c r="BI179" s="508"/>
      <c r="BJ179" s="488" t="str">
        <f t="shared" si="601"/>
        <v>Lò</v>
      </c>
      <c r="BK179" s="523">
        <f t="shared" si="567"/>
        <v>400</v>
      </c>
      <c r="BL179" s="523">
        <f t="shared" si="568"/>
        <v>0</v>
      </c>
      <c r="BM179" s="523">
        <f t="shared" si="569"/>
        <v>0</v>
      </c>
      <c r="BN179" s="523">
        <f t="shared" si="570"/>
        <v>400</v>
      </c>
      <c r="BO179" s="523">
        <f t="shared" si="571"/>
        <v>0</v>
      </c>
      <c r="BP179" s="523">
        <f t="shared" si="572"/>
        <v>0</v>
      </c>
      <c r="BQ179" s="523">
        <f t="shared" si="573"/>
        <v>0</v>
      </c>
      <c r="BR179" s="523">
        <f t="shared" si="574"/>
        <v>0</v>
      </c>
      <c r="BS179" s="523">
        <f t="shared" si="575"/>
        <v>0</v>
      </c>
      <c r="BT179" s="523">
        <f t="shared" si="576"/>
        <v>0</v>
      </c>
      <c r="BU179" s="523">
        <f t="shared" si="577"/>
        <v>0</v>
      </c>
      <c r="BV179" s="523">
        <f t="shared" si="578"/>
        <v>0</v>
      </c>
      <c r="BW179" s="523">
        <f t="shared" si="579"/>
        <v>0</v>
      </c>
      <c r="BX179" s="523">
        <f t="shared" si="580"/>
        <v>0</v>
      </c>
      <c r="BY179" s="523">
        <f t="shared" si="581"/>
        <v>0</v>
      </c>
      <c r="BZ179" s="523">
        <f t="shared" si="582"/>
        <v>0</v>
      </c>
      <c r="CA179" s="354"/>
      <c r="CB179" s="354" t="str">
        <f t="shared" si="397"/>
        <v>X</v>
      </c>
      <c r="CC179" s="509" t="str">
        <f t="shared" si="398"/>
        <v>CGĐB.</v>
      </c>
      <c r="CD179" s="509" t="str">
        <f t="shared" si="399"/>
        <v>CGĐB.16,1</v>
      </c>
      <c r="CE179" s="351" t="str">
        <f t="shared" si="602"/>
        <v>Lò</v>
      </c>
      <c r="CF179" s="509" t="str">
        <f t="shared" si="400"/>
        <v>CGĐB.Lò</v>
      </c>
      <c r="CG179" s="509"/>
      <c r="CH179" s="509"/>
    </row>
    <row r="180" spans="1:86" ht="24" customHeight="1" x14ac:dyDescent="0.25">
      <c r="A180" s="354" t="e">
        <f>A168</f>
        <v>#REF!</v>
      </c>
      <c r="B180" s="934"/>
      <c r="C180" s="519" t="s">
        <v>689</v>
      </c>
      <c r="D180" s="447" t="s">
        <v>14</v>
      </c>
      <c r="E180" s="447" t="s">
        <v>876</v>
      </c>
      <c r="F180" s="447"/>
      <c r="G180" s="520">
        <v>16.100000000000001</v>
      </c>
      <c r="H180" s="521">
        <v>0.7</v>
      </c>
      <c r="I180" s="522">
        <f t="shared" si="558"/>
        <v>255</v>
      </c>
      <c r="J180" s="522">
        <f t="shared" si="559"/>
        <v>35</v>
      </c>
      <c r="K180" s="522">
        <f t="shared" si="560"/>
        <v>220</v>
      </c>
      <c r="L180" s="57">
        <f t="shared" si="561"/>
        <v>4200</v>
      </c>
      <c r="M180" s="60"/>
      <c r="N180" s="60"/>
      <c r="O180" s="60">
        <f t="shared" si="585"/>
        <v>0</v>
      </c>
      <c r="P180" s="60"/>
      <c r="Q180" s="60"/>
      <c r="R180" s="60">
        <f t="shared" si="586"/>
        <v>0</v>
      </c>
      <c r="S180" s="824"/>
      <c r="T180" s="60"/>
      <c r="U180" s="60">
        <f t="shared" si="587"/>
        <v>0</v>
      </c>
      <c r="V180" s="60">
        <f t="shared" si="599"/>
        <v>0</v>
      </c>
      <c r="W180" s="60">
        <f t="shared" si="599"/>
        <v>0</v>
      </c>
      <c r="X180" s="60">
        <f t="shared" si="599"/>
        <v>0</v>
      </c>
      <c r="Y180" s="60"/>
      <c r="Z180" s="60"/>
      <c r="AA180" s="60">
        <f t="shared" si="588"/>
        <v>0</v>
      </c>
      <c r="AB180" s="60"/>
      <c r="AC180" s="60"/>
      <c r="AD180" s="60">
        <f t="shared" si="589"/>
        <v>0</v>
      </c>
      <c r="AE180" s="60"/>
      <c r="AF180" s="60"/>
      <c r="AG180" s="60">
        <f t="shared" si="590"/>
        <v>0</v>
      </c>
      <c r="AH180" s="60"/>
      <c r="AI180" s="60"/>
      <c r="AJ180" s="60"/>
      <c r="AK180" s="60"/>
      <c r="AL180" s="60"/>
      <c r="AM180" s="60">
        <f t="shared" si="592"/>
        <v>0</v>
      </c>
      <c r="AN180" s="60">
        <v>40</v>
      </c>
      <c r="AO180" s="60">
        <v>5</v>
      </c>
      <c r="AP180" s="60">
        <f t="shared" si="593"/>
        <v>35</v>
      </c>
      <c r="AQ180" s="60">
        <v>60</v>
      </c>
      <c r="AR180" s="60">
        <v>5</v>
      </c>
      <c r="AS180" s="60">
        <f t="shared" si="594"/>
        <v>55</v>
      </c>
      <c r="AT180" s="60">
        <f t="shared" si="598"/>
        <v>100</v>
      </c>
      <c r="AU180" s="60">
        <f t="shared" si="598"/>
        <v>10</v>
      </c>
      <c r="AV180" s="60">
        <f t="shared" si="598"/>
        <v>90</v>
      </c>
      <c r="AW180" s="60">
        <v>60</v>
      </c>
      <c r="AX180" s="60">
        <v>15</v>
      </c>
      <c r="AY180" s="60">
        <f t="shared" si="595"/>
        <v>45</v>
      </c>
      <c r="AZ180" s="60">
        <v>55</v>
      </c>
      <c r="BA180" s="60">
        <v>5</v>
      </c>
      <c r="BB180" s="60">
        <f t="shared" si="596"/>
        <v>50</v>
      </c>
      <c r="BC180" s="60">
        <v>40</v>
      </c>
      <c r="BD180" s="60">
        <v>5</v>
      </c>
      <c r="BE180" s="60">
        <f t="shared" si="597"/>
        <v>35</v>
      </c>
      <c r="BF180" s="60">
        <f t="shared" si="603"/>
        <v>155</v>
      </c>
      <c r="BG180" s="60">
        <f t="shared" si="603"/>
        <v>25</v>
      </c>
      <c r="BH180" s="60">
        <f t="shared" si="603"/>
        <v>130</v>
      </c>
      <c r="BI180" s="508"/>
      <c r="BJ180" s="488" t="str">
        <f t="shared" si="601"/>
        <v>Lò</v>
      </c>
      <c r="BK180" s="523">
        <f t="shared" si="567"/>
        <v>0</v>
      </c>
      <c r="BL180" s="523">
        <f t="shared" si="568"/>
        <v>0</v>
      </c>
      <c r="BM180" s="523">
        <f t="shared" si="569"/>
        <v>0</v>
      </c>
      <c r="BN180" s="523">
        <f t="shared" si="570"/>
        <v>0</v>
      </c>
      <c r="BO180" s="523">
        <f t="shared" si="571"/>
        <v>0</v>
      </c>
      <c r="BP180" s="523">
        <f t="shared" si="572"/>
        <v>0</v>
      </c>
      <c r="BQ180" s="523">
        <f t="shared" si="573"/>
        <v>0</v>
      </c>
      <c r="BR180" s="523">
        <f t="shared" si="574"/>
        <v>0</v>
      </c>
      <c r="BS180" s="523">
        <f t="shared" si="575"/>
        <v>0</v>
      </c>
      <c r="BT180" s="523">
        <f t="shared" si="576"/>
        <v>700</v>
      </c>
      <c r="BU180" s="523">
        <f t="shared" si="577"/>
        <v>1100</v>
      </c>
      <c r="BV180" s="523">
        <f t="shared" si="578"/>
        <v>1700</v>
      </c>
      <c r="BW180" s="523">
        <f t="shared" si="579"/>
        <v>900</v>
      </c>
      <c r="BX180" s="523">
        <f t="shared" si="580"/>
        <v>1000</v>
      </c>
      <c r="BY180" s="523">
        <f t="shared" si="581"/>
        <v>700</v>
      </c>
      <c r="BZ180" s="523">
        <f t="shared" si="582"/>
        <v>2500</v>
      </c>
      <c r="CA180" s="354"/>
      <c r="CB180" s="354" t="str">
        <f t="shared" si="397"/>
        <v>X</v>
      </c>
      <c r="CC180" s="509" t="str">
        <f t="shared" si="398"/>
        <v>CGĐB.</v>
      </c>
      <c r="CD180" s="509" t="str">
        <f t="shared" si="399"/>
        <v>CGĐB.16,1</v>
      </c>
      <c r="CE180" s="351" t="str">
        <f t="shared" si="602"/>
        <v>Lò</v>
      </c>
      <c r="CF180" s="509" t="str">
        <f t="shared" si="400"/>
        <v>CGĐB.Lò</v>
      </c>
      <c r="CG180" s="509"/>
      <c r="CH180" s="509"/>
    </row>
    <row r="181" spans="1:86" ht="24" customHeight="1" x14ac:dyDescent="0.25">
      <c r="A181" s="354" t="e">
        <f>A171</f>
        <v>#REF!</v>
      </c>
      <c r="B181" s="518" t="s">
        <v>552</v>
      </c>
      <c r="C181" s="519" t="s">
        <v>563</v>
      </c>
      <c r="D181" s="447" t="s">
        <v>14</v>
      </c>
      <c r="E181" s="447"/>
      <c r="F181" s="447"/>
      <c r="G181" s="520">
        <v>16.100000000000001</v>
      </c>
      <c r="H181" s="521">
        <v>0.7</v>
      </c>
      <c r="I181" s="522">
        <f t="shared" si="558"/>
        <v>145</v>
      </c>
      <c r="J181" s="522">
        <f t="shared" si="559"/>
        <v>40</v>
      </c>
      <c r="K181" s="522">
        <f t="shared" si="560"/>
        <v>105</v>
      </c>
      <c r="L181" s="57">
        <f t="shared" si="561"/>
        <v>2000</v>
      </c>
      <c r="M181" s="60">
        <v>80</v>
      </c>
      <c r="N181" s="60">
        <v>20</v>
      </c>
      <c r="O181" s="60">
        <f t="shared" si="585"/>
        <v>60</v>
      </c>
      <c r="P181" s="60">
        <v>65</v>
      </c>
      <c r="Q181" s="60">
        <v>20</v>
      </c>
      <c r="R181" s="60">
        <f t="shared" si="586"/>
        <v>45</v>
      </c>
      <c r="S181" s="824"/>
      <c r="T181" s="60"/>
      <c r="U181" s="60">
        <f t="shared" si="587"/>
        <v>0</v>
      </c>
      <c r="V181" s="60">
        <f t="shared" si="599"/>
        <v>145</v>
      </c>
      <c r="W181" s="60">
        <f t="shared" si="599"/>
        <v>40</v>
      </c>
      <c r="X181" s="60">
        <f t="shared" si="599"/>
        <v>105</v>
      </c>
      <c r="Y181" s="60"/>
      <c r="Z181" s="60"/>
      <c r="AA181" s="60">
        <f t="shared" si="588"/>
        <v>0</v>
      </c>
      <c r="AB181" s="60"/>
      <c r="AC181" s="60"/>
      <c r="AD181" s="60">
        <f t="shared" si="589"/>
        <v>0</v>
      </c>
      <c r="AE181" s="60"/>
      <c r="AF181" s="60"/>
      <c r="AG181" s="60">
        <f t="shared" si="590"/>
        <v>0</v>
      </c>
      <c r="AH181" s="60"/>
      <c r="AI181" s="60"/>
      <c r="AJ181" s="60"/>
      <c r="AK181" s="60"/>
      <c r="AL181" s="60"/>
      <c r="AM181" s="60">
        <f t="shared" si="592"/>
        <v>0</v>
      </c>
      <c r="AN181" s="60"/>
      <c r="AO181" s="60"/>
      <c r="AP181" s="60">
        <f t="shared" si="593"/>
        <v>0</v>
      </c>
      <c r="AQ181" s="60"/>
      <c r="AR181" s="60"/>
      <c r="AS181" s="60">
        <f t="shared" si="594"/>
        <v>0</v>
      </c>
      <c r="AT181" s="60"/>
      <c r="AU181" s="60"/>
      <c r="AV181" s="60"/>
      <c r="AW181" s="60"/>
      <c r="AX181" s="60"/>
      <c r="AY181" s="60">
        <f t="shared" si="595"/>
        <v>0</v>
      </c>
      <c r="AZ181" s="60"/>
      <c r="BA181" s="60"/>
      <c r="BB181" s="60">
        <f t="shared" si="596"/>
        <v>0</v>
      </c>
      <c r="BC181" s="60"/>
      <c r="BD181" s="60"/>
      <c r="BE181" s="60">
        <f t="shared" si="597"/>
        <v>0</v>
      </c>
      <c r="BF181" s="60">
        <f t="shared" si="603"/>
        <v>0</v>
      </c>
      <c r="BG181" s="60">
        <f t="shared" si="603"/>
        <v>0</v>
      </c>
      <c r="BH181" s="60">
        <f t="shared" si="603"/>
        <v>0</v>
      </c>
      <c r="BI181" s="508"/>
      <c r="BJ181" s="488" t="str">
        <f t="shared" si="601"/>
        <v>Lò</v>
      </c>
      <c r="BK181" s="523">
        <f t="shared" si="567"/>
        <v>1200</v>
      </c>
      <c r="BL181" s="523">
        <f t="shared" si="568"/>
        <v>900</v>
      </c>
      <c r="BM181" s="523">
        <f t="shared" si="569"/>
        <v>0</v>
      </c>
      <c r="BN181" s="523">
        <f t="shared" si="570"/>
        <v>2000</v>
      </c>
      <c r="BO181" s="523">
        <f t="shared" si="571"/>
        <v>0</v>
      </c>
      <c r="BP181" s="523">
        <f t="shared" si="572"/>
        <v>0</v>
      </c>
      <c r="BQ181" s="523">
        <f t="shared" si="573"/>
        <v>0</v>
      </c>
      <c r="BR181" s="523">
        <f t="shared" si="574"/>
        <v>0</v>
      </c>
      <c r="BS181" s="523">
        <f t="shared" si="575"/>
        <v>0</v>
      </c>
      <c r="BT181" s="523">
        <f t="shared" si="576"/>
        <v>0</v>
      </c>
      <c r="BU181" s="523">
        <f t="shared" si="577"/>
        <v>0</v>
      </c>
      <c r="BV181" s="523">
        <f t="shared" si="578"/>
        <v>0</v>
      </c>
      <c r="BW181" s="523">
        <f t="shared" si="579"/>
        <v>0</v>
      </c>
      <c r="BX181" s="523">
        <f t="shared" si="580"/>
        <v>0</v>
      </c>
      <c r="BY181" s="523">
        <f t="shared" si="581"/>
        <v>0</v>
      </c>
      <c r="BZ181" s="523">
        <f t="shared" si="582"/>
        <v>0</v>
      </c>
      <c r="CA181" s="354"/>
      <c r="CB181" s="354" t="str">
        <f t="shared" si="397"/>
        <v>X</v>
      </c>
      <c r="CC181" s="509" t="str">
        <f t="shared" si="398"/>
        <v>CGĐB.</v>
      </c>
      <c r="CD181" s="509" t="str">
        <f t="shared" si="399"/>
        <v>CGĐB.16,1</v>
      </c>
      <c r="CE181" s="351" t="str">
        <f t="shared" si="602"/>
        <v>Lò</v>
      </c>
      <c r="CF181" s="509" t="str">
        <f t="shared" si="400"/>
        <v>CGĐB.Lò</v>
      </c>
      <c r="CG181" s="509"/>
      <c r="CH181" s="509"/>
    </row>
    <row r="182" spans="1:86" ht="24" customHeight="1" x14ac:dyDescent="0.25">
      <c r="A182" s="354" t="e">
        <f>A172</f>
        <v>#REF!</v>
      </c>
      <c r="B182" s="518"/>
      <c r="C182" s="519" t="s">
        <v>694</v>
      </c>
      <c r="D182" s="447" t="s">
        <v>14</v>
      </c>
      <c r="E182" s="447"/>
      <c r="F182" s="447"/>
      <c r="G182" s="520">
        <v>20.5</v>
      </c>
      <c r="H182" s="521">
        <v>0.7</v>
      </c>
      <c r="I182" s="522">
        <f t="shared" ref="I182:K184" si="604">V182+AH182+AT182+BF182</f>
        <v>50</v>
      </c>
      <c r="J182" s="522">
        <f t="shared" si="604"/>
        <v>10</v>
      </c>
      <c r="K182" s="522">
        <f t="shared" si="604"/>
        <v>40</v>
      </c>
      <c r="L182" s="57">
        <f>BN182+BR182+BV182+BZ182</f>
        <v>1000</v>
      </c>
      <c r="M182" s="60"/>
      <c r="N182" s="60"/>
      <c r="O182" s="60">
        <f>M182-N182</f>
        <v>0</v>
      </c>
      <c r="P182" s="60"/>
      <c r="Q182" s="60"/>
      <c r="R182" s="60">
        <f>P182-Q182</f>
        <v>0</v>
      </c>
      <c r="S182" s="824">
        <v>50</v>
      </c>
      <c r="T182" s="60">
        <v>10</v>
      </c>
      <c r="U182" s="60">
        <f>S182-T182</f>
        <v>40</v>
      </c>
      <c r="V182" s="60">
        <f t="shared" si="599"/>
        <v>50</v>
      </c>
      <c r="W182" s="60">
        <f t="shared" si="599"/>
        <v>10</v>
      </c>
      <c r="X182" s="60">
        <f t="shared" si="599"/>
        <v>40</v>
      </c>
      <c r="Y182" s="60"/>
      <c r="Z182" s="60"/>
      <c r="AA182" s="60">
        <f>Y182-Z182</f>
        <v>0</v>
      </c>
      <c r="AB182" s="60"/>
      <c r="AC182" s="60"/>
      <c r="AD182" s="60">
        <f>AB182-AC182</f>
        <v>0</v>
      </c>
      <c r="AE182" s="60"/>
      <c r="AF182" s="60"/>
      <c r="AG182" s="60">
        <f>AE182-AF182</f>
        <v>0</v>
      </c>
      <c r="AH182" s="60"/>
      <c r="AI182" s="60"/>
      <c r="AJ182" s="60"/>
      <c r="AK182" s="60"/>
      <c r="AL182" s="60"/>
      <c r="AM182" s="60">
        <f>AK182-AL182</f>
        <v>0</v>
      </c>
      <c r="AN182" s="60"/>
      <c r="AO182" s="60"/>
      <c r="AP182" s="60">
        <f>AN182-AO182</f>
        <v>0</v>
      </c>
      <c r="AQ182" s="60"/>
      <c r="AR182" s="60"/>
      <c r="AS182" s="60">
        <f>AQ182-AR182</f>
        <v>0</v>
      </c>
      <c r="AT182" s="60"/>
      <c r="AU182" s="60"/>
      <c r="AV182" s="60"/>
      <c r="AW182" s="60"/>
      <c r="AX182" s="60"/>
      <c r="AY182" s="60">
        <f>AW182-AX182</f>
        <v>0</v>
      </c>
      <c r="AZ182" s="60"/>
      <c r="BA182" s="60"/>
      <c r="BB182" s="60">
        <f>AZ182-BA182</f>
        <v>0</v>
      </c>
      <c r="BC182" s="60"/>
      <c r="BD182" s="60"/>
      <c r="BE182" s="60">
        <f>BC182-BD182</f>
        <v>0</v>
      </c>
      <c r="BF182" s="60">
        <f t="shared" si="603"/>
        <v>0</v>
      </c>
      <c r="BG182" s="60">
        <f t="shared" si="603"/>
        <v>0</v>
      </c>
      <c r="BH182" s="60">
        <f t="shared" si="603"/>
        <v>0</v>
      </c>
      <c r="BI182" s="508"/>
      <c r="BJ182" s="488" t="str">
        <f t="shared" si="601"/>
        <v>Lò</v>
      </c>
      <c r="BK182" s="523">
        <f>ROUND(O182*G182*$C$3*$B$5,-2)</f>
        <v>0</v>
      </c>
      <c r="BL182" s="523">
        <f>ROUND(R182*G182*$C$3*$B$5,-2)</f>
        <v>0</v>
      </c>
      <c r="BM182" s="523">
        <f>ROUND(U182*G182*$C$3*$B$5,-2)</f>
        <v>1000</v>
      </c>
      <c r="BN182" s="523">
        <f>ROUND(X182*G182*$C$3*$B$5,-2)</f>
        <v>1000</v>
      </c>
      <c r="BO182" s="523">
        <f>ROUND(AA182*G182*$C$3*$B$5,-2)</f>
        <v>0</v>
      </c>
      <c r="BP182" s="523">
        <f>ROUND(AD182*G182*$C$3*$B$5,-2)</f>
        <v>0</v>
      </c>
      <c r="BQ182" s="523">
        <f>ROUND(AG182*G182*$C$3*$B$5,-2)</f>
        <v>0</v>
      </c>
      <c r="BR182" s="523">
        <f>ROUND(AJ182*G182*$B$5*$C$3,-2)</f>
        <v>0</v>
      </c>
      <c r="BS182" s="523">
        <f>ROUND(AM182*G182*$C$3*$B$5,-2)</f>
        <v>0</v>
      </c>
      <c r="BT182" s="523">
        <f>ROUND(AP182*G182*$C$3*$B$5,-2)</f>
        <v>0</v>
      </c>
      <c r="BU182" s="523">
        <f>ROUND(AS182*G182*$C$3*$B$5,-2)</f>
        <v>0</v>
      </c>
      <c r="BV182" s="523">
        <f>ROUND(AV182*G182*$C$3*$B$5,-2)</f>
        <v>0</v>
      </c>
      <c r="BW182" s="523">
        <f>ROUND(AY182*G182*$C$3*$B$5,-2)</f>
        <v>0</v>
      </c>
      <c r="BX182" s="523">
        <f>ROUND(BB182*G182*$C$3*$B$5,-2)</f>
        <v>0</v>
      </c>
      <c r="BY182" s="523">
        <f>ROUND(BE182*G182*$C$3*$B$5,-2)</f>
        <v>0</v>
      </c>
      <c r="BZ182" s="523">
        <f>ROUND(BH182*G182*$C$3*$B$5,-2)</f>
        <v>0</v>
      </c>
      <c r="CA182" s="354"/>
      <c r="CB182" s="354" t="str">
        <f>IF(SUM(I182:L182)&lt;&gt;0,"X")</f>
        <v>X</v>
      </c>
      <c r="CC182" s="509" t="str">
        <f t="shared" si="398"/>
        <v>CGĐB.</v>
      </c>
      <c r="CD182" s="509" t="str">
        <f>CC182&amp;G182</f>
        <v>CGĐB.20,5</v>
      </c>
      <c r="CE182" s="351" t="str">
        <f t="shared" si="602"/>
        <v>Lò</v>
      </c>
      <c r="CF182" s="509" t="str">
        <f>CC182&amp;CE182</f>
        <v>CGĐB.Lò</v>
      </c>
      <c r="CG182" s="509"/>
      <c r="CH182" s="509"/>
    </row>
    <row r="183" spans="1:86" ht="24" customHeight="1" x14ac:dyDescent="0.25">
      <c r="A183" s="354" t="e">
        <f>A173</f>
        <v>#REF!</v>
      </c>
      <c r="B183" s="518"/>
      <c r="C183" s="519" t="s">
        <v>209</v>
      </c>
      <c r="D183" s="447" t="s">
        <v>14</v>
      </c>
      <c r="E183" s="447"/>
      <c r="F183" s="447"/>
      <c r="G183" s="520">
        <v>11.2</v>
      </c>
      <c r="H183" s="521">
        <v>0.7</v>
      </c>
      <c r="I183" s="522">
        <f t="shared" si="604"/>
        <v>0</v>
      </c>
      <c r="J183" s="522">
        <f t="shared" si="604"/>
        <v>0</v>
      </c>
      <c r="K183" s="522">
        <f t="shared" si="604"/>
        <v>0</v>
      </c>
      <c r="L183" s="57">
        <f>BN183+BR183+BV183+BZ183</f>
        <v>0</v>
      </c>
      <c r="M183" s="60"/>
      <c r="N183" s="60"/>
      <c r="O183" s="60">
        <f>M183-N183</f>
        <v>0</v>
      </c>
      <c r="P183" s="60"/>
      <c r="Q183" s="60"/>
      <c r="R183" s="60">
        <f>P183-Q183</f>
        <v>0</v>
      </c>
      <c r="S183" s="824"/>
      <c r="T183" s="60"/>
      <c r="U183" s="60">
        <f>S183-T183</f>
        <v>0</v>
      </c>
      <c r="V183" s="60">
        <f t="shared" si="599"/>
        <v>0</v>
      </c>
      <c r="W183" s="60">
        <f t="shared" si="599"/>
        <v>0</v>
      </c>
      <c r="X183" s="60">
        <f t="shared" si="599"/>
        <v>0</v>
      </c>
      <c r="Y183" s="60"/>
      <c r="Z183" s="60"/>
      <c r="AA183" s="60">
        <f>Y183-Z183</f>
        <v>0</v>
      </c>
      <c r="AB183" s="60"/>
      <c r="AC183" s="60"/>
      <c r="AD183" s="60">
        <f>AB183-AC183</f>
        <v>0</v>
      </c>
      <c r="AE183" s="60"/>
      <c r="AF183" s="60"/>
      <c r="AG183" s="60">
        <f>AE183-AF183</f>
        <v>0</v>
      </c>
      <c r="AH183" s="60"/>
      <c r="AI183" s="60"/>
      <c r="AJ183" s="60"/>
      <c r="AK183" s="60"/>
      <c r="AL183" s="60"/>
      <c r="AM183" s="60">
        <f>AK183-AL183</f>
        <v>0</v>
      </c>
      <c r="AN183" s="60"/>
      <c r="AO183" s="60"/>
      <c r="AP183" s="60">
        <f>AN183-AO183</f>
        <v>0</v>
      </c>
      <c r="AQ183" s="60"/>
      <c r="AR183" s="60"/>
      <c r="AS183" s="60">
        <f>AQ183-AR183</f>
        <v>0</v>
      </c>
      <c r="AT183" s="60"/>
      <c r="AU183" s="60"/>
      <c r="AV183" s="60"/>
      <c r="AW183" s="60"/>
      <c r="AX183" s="60"/>
      <c r="AY183" s="60">
        <f>AW183-AX183</f>
        <v>0</v>
      </c>
      <c r="AZ183" s="60"/>
      <c r="BA183" s="60"/>
      <c r="BB183" s="60">
        <f>AZ183-BA183</f>
        <v>0</v>
      </c>
      <c r="BC183" s="60"/>
      <c r="BD183" s="60"/>
      <c r="BE183" s="60">
        <f>BC183-BD183</f>
        <v>0</v>
      </c>
      <c r="BF183" s="60">
        <f t="shared" si="603"/>
        <v>0</v>
      </c>
      <c r="BG183" s="60">
        <f t="shared" si="603"/>
        <v>0</v>
      </c>
      <c r="BH183" s="60">
        <f t="shared" si="603"/>
        <v>0</v>
      </c>
      <c r="BI183" s="508"/>
      <c r="BJ183" s="488" t="str">
        <f t="shared" si="601"/>
        <v>Lò</v>
      </c>
      <c r="BK183" s="523">
        <f>ROUND(O183*G183*$C$3*$B$5,-2)</f>
        <v>0</v>
      </c>
      <c r="BL183" s="523">
        <f>ROUND(R183*G183*$C$3*$B$5,-2)</f>
        <v>0</v>
      </c>
      <c r="BM183" s="523">
        <f>ROUND(U183*G183*$C$3*$B$5,-2)</f>
        <v>0</v>
      </c>
      <c r="BN183" s="523">
        <f>ROUND(X183*G183*$C$3*$B$5,-2)</f>
        <v>0</v>
      </c>
      <c r="BO183" s="523">
        <f>ROUND(AA183*G183*$C$3*$B$5,-2)</f>
        <v>0</v>
      </c>
      <c r="BP183" s="523">
        <f>ROUND(AD183*G183*$C$3*$B$5,-2)</f>
        <v>0</v>
      </c>
      <c r="BQ183" s="523">
        <f>ROUND(AG183*G183*$C$3*$B$5,-2)</f>
        <v>0</v>
      </c>
      <c r="BR183" s="523">
        <f>ROUND(AJ183*G183*$B$5*$C$3,-2)</f>
        <v>0</v>
      </c>
      <c r="BS183" s="523">
        <f>ROUND(AM183*G183*$C$3*$B$5,-2)</f>
        <v>0</v>
      </c>
      <c r="BT183" s="523">
        <f>ROUND(AP183*G183*$C$3*$B$5,-2)</f>
        <v>0</v>
      </c>
      <c r="BU183" s="523">
        <f>ROUND(AS183*G183*$C$3*$B$5,-2)</f>
        <v>0</v>
      </c>
      <c r="BV183" s="523">
        <f>ROUND(AV183*G183*$C$3*$B$5,-2)</f>
        <v>0</v>
      </c>
      <c r="BW183" s="523">
        <f>ROUND(AY183*G183*$C$3*$B$5,-2)</f>
        <v>0</v>
      </c>
      <c r="BX183" s="523">
        <f>ROUND(BB183*G183*$C$3*$B$5,-2)</f>
        <v>0</v>
      </c>
      <c r="BY183" s="523">
        <f>ROUND(BE183*G183*$C$3*$B$5,-2)</f>
        <v>0</v>
      </c>
      <c r="BZ183" s="523">
        <f>ROUND(BH183*G183*$C$3*$B$5,-2)</f>
        <v>0</v>
      </c>
      <c r="CA183" s="354"/>
      <c r="CB183" s="354" t="b">
        <f>IF(SUM(I183:L183)&lt;&gt;0,"X")</f>
        <v>0</v>
      </c>
      <c r="CC183" s="509" t="str">
        <f t="shared" si="398"/>
        <v>CGĐB.</v>
      </c>
      <c r="CD183" s="509" t="str">
        <f>CC183&amp;G183</f>
        <v>CGĐB.11,2</v>
      </c>
      <c r="CE183" s="351" t="str">
        <f t="shared" si="602"/>
        <v>Lò</v>
      </c>
      <c r="CF183" s="509" t="str">
        <f>CC183&amp;CE183</f>
        <v>CGĐB.Lò</v>
      </c>
      <c r="CG183" s="509"/>
      <c r="CH183" s="509"/>
    </row>
    <row r="184" spans="1:86" ht="24" customHeight="1" x14ac:dyDescent="0.25">
      <c r="A184" s="354" t="e">
        <f>A175</f>
        <v>#REF!</v>
      </c>
      <c r="B184" s="518"/>
      <c r="C184" s="519" t="s">
        <v>209</v>
      </c>
      <c r="D184" s="447" t="s">
        <v>14</v>
      </c>
      <c r="E184" s="447"/>
      <c r="F184" s="447"/>
      <c r="G184" s="520">
        <v>11.2</v>
      </c>
      <c r="H184" s="521">
        <v>0.7</v>
      </c>
      <c r="I184" s="522">
        <f t="shared" si="604"/>
        <v>0</v>
      </c>
      <c r="J184" s="522">
        <f t="shared" si="604"/>
        <v>0</v>
      </c>
      <c r="K184" s="522">
        <f t="shared" si="604"/>
        <v>0</v>
      </c>
      <c r="L184" s="57">
        <f>BN184+BR184+BV184+BZ184</f>
        <v>0</v>
      </c>
      <c r="M184" s="60"/>
      <c r="N184" s="60"/>
      <c r="O184" s="60">
        <f>M184-N184</f>
        <v>0</v>
      </c>
      <c r="P184" s="60"/>
      <c r="Q184" s="60"/>
      <c r="R184" s="60">
        <f>P184-Q184</f>
        <v>0</v>
      </c>
      <c r="S184" s="824"/>
      <c r="T184" s="60"/>
      <c r="U184" s="60">
        <f>S184-T184</f>
        <v>0</v>
      </c>
      <c r="V184" s="60">
        <f t="shared" si="599"/>
        <v>0</v>
      </c>
      <c r="W184" s="60">
        <f t="shared" si="599"/>
        <v>0</v>
      </c>
      <c r="X184" s="60">
        <f t="shared" si="599"/>
        <v>0</v>
      </c>
      <c r="Y184" s="60"/>
      <c r="Z184" s="60"/>
      <c r="AA184" s="60">
        <f>Y184-Z184</f>
        <v>0</v>
      </c>
      <c r="AB184" s="60"/>
      <c r="AC184" s="60"/>
      <c r="AD184" s="60">
        <f>AB184-AC184</f>
        <v>0</v>
      </c>
      <c r="AE184" s="60"/>
      <c r="AF184" s="60"/>
      <c r="AG184" s="60">
        <f>AE184-AF184</f>
        <v>0</v>
      </c>
      <c r="AH184" s="60"/>
      <c r="AI184" s="60"/>
      <c r="AJ184" s="60"/>
      <c r="AK184" s="60"/>
      <c r="AL184" s="60"/>
      <c r="AM184" s="60">
        <f>AK184-AL184</f>
        <v>0</v>
      </c>
      <c r="AN184" s="60"/>
      <c r="AO184" s="60"/>
      <c r="AP184" s="60">
        <f>AN184-AO184</f>
        <v>0</v>
      </c>
      <c r="AQ184" s="60"/>
      <c r="AR184" s="60"/>
      <c r="AS184" s="60">
        <f>AQ184-AR184</f>
        <v>0</v>
      </c>
      <c r="AT184" s="60"/>
      <c r="AU184" s="60"/>
      <c r="AV184" s="60"/>
      <c r="AW184" s="60"/>
      <c r="AX184" s="60"/>
      <c r="AY184" s="60">
        <f>AW184-AX184</f>
        <v>0</v>
      </c>
      <c r="AZ184" s="60"/>
      <c r="BA184" s="60"/>
      <c r="BB184" s="60">
        <f>AZ184-BA184</f>
        <v>0</v>
      </c>
      <c r="BC184" s="60"/>
      <c r="BD184" s="60"/>
      <c r="BE184" s="60">
        <f>BC184-BD184</f>
        <v>0</v>
      </c>
      <c r="BF184" s="60">
        <f t="shared" si="603"/>
        <v>0</v>
      </c>
      <c r="BG184" s="60">
        <f t="shared" si="603"/>
        <v>0</v>
      </c>
      <c r="BH184" s="60">
        <f t="shared" si="603"/>
        <v>0</v>
      </c>
      <c r="BI184" s="508"/>
      <c r="BJ184" s="488" t="str">
        <f t="shared" si="601"/>
        <v>Lò</v>
      </c>
      <c r="BK184" s="523">
        <f>ROUND(O184*G184*$C$3*$B$5,-2)</f>
        <v>0</v>
      </c>
      <c r="BL184" s="523">
        <f>ROUND(R184*G184*$C$3*$B$5,-2)</f>
        <v>0</v>
      </c>
      <c r="BM184" s="523">
        <f>ROUND(U184*G184*$C$3*$B$5,-2)</f>
        <v>0</v>
      </c>
      <c r="BN184" s="523">
        <f>ROUND(X184*G184*$C$3*$B$5,-2)</f>
        <v>0</v>
      </c>
      <c r="BO184" s="523">
        <f>ROUND(AA184*G184*$C$3*$B$5,-2)</f>
        <v>0</v>
      </c>
      <c r="BP184" s="523">
        <f>ROUND(AD184*G184*$C$3*$B$5,-2)</f>
        <v>0</v>
      </c>
      <c r="BQ184" s="523">
        <f>ROUND(AG184*G184*$C$3*$B$5,-2)</f>
        <v>0</v>
      </c>
      <c r="BR184" s="523">
        <f>ROUND(AJ184*G184*$B$5*$C$3,-2)</f>
        <v>0</v>
      </c>
      <c r="BS184" s="523">
        <f>ROUND(AM184*G184*$C$3*$B$5,-2)</f>
        <v>0</v>
      </c>
      <c r="BT184" s="523">
        <f>ROUND(AP184*G184*$C$3*$B$5,-2)</f>
        <v>0</v>
      </c>
      <c r="BU184" s="523">
        <f>ROUND(AS184*G184*$C$3*$B$5,-2)</f>
        <v>0</v>
      </c>
      <c r="BV184" s="523">
        <f>ROUND(AV184*G184*$C$3*$B$5,-2)</f>
        <v>0</v>
      </c>
      <c r="BW184" s="523">
        <f>ROUND(AY184*G184*$C$3*$B$5,-2)</f>
        <v>0</v>
      </c>
      <c r="BX184" s="523">
        <f>ROUND(BB184*G184*$C$3*$B$5,-2)</f>
        <v>0</v>
      </c>
      <c r="BY184" s="523">
        <f>ROUND(BE184*G184*$C$3*$B$5,-2)</f>
        <v>0</v>
      </c>
      <c r="BZ184" s="523">
        <f>ROUND(BH184*G184*$C$3*$B$5,-2)</f>
        <v>0</v>
      </c>
      <c r="CA184" s="354"/>
      <c r="CB184" s="354" t="b">
        <f>IF(SUM(I184:L184)&lt;&gt;0,"X")</f>
        <v>0</v>
      </c>
      <c r="CC184" s="509" t="str">
        <f t="shared" si="398"/>
        <v>CGĐB.</v>
      </c>
      <c r="CD184" s="509" t="str">
        <f>CC184&amp;G184</f>
        <v>CGĐB.11,2</v>
      </c>
      <c r="CE184" s="351" t="str">
        <f t="shared" si="602"/>
        <v>Lò</v>
      </c>
      <c r="CF184" s="509" t="str">
        <f>CC184&amp;CE184</f>
        <v>CGĐB.Lò</v>
      </c>
      <c r="CG184" s="509"/>
      <c r="CH184" s="509"/>
    </row>
    <row r="185" spans="1:86" s="359" customFormat="1" ht="21.75" customHeight="1" x14ac:dyDescent="0.3">
      <c r="A185" s="354" t="e">
        <f>A181</f>
        <v>#REF!</v>
      </c>
      <c r="B185" s="525" t="s">
        <v>37</v>
      </c>
      <c r="C185" s="526" t="s">
        <v>178</v>
      </c>
      <c r="D185" s="527"/>
      <c r="E185" s="527"/>
      <c r="F185" s="527"/>
      <c r="G185" s="528"/>
      <c r="H185" s="529"/>
      <c r="I185" s="70">
        <f t="shared" ref="I185:AN185" si="605">SUM(I186:I189)</f>
        <v>360</v>
      </c>
      <c r="J185" s="70">
        <f t="shared" si="605"/>
        <v>290</v>
      </c>
      <c r="K185" s="70">
        <f t="shared" si="605"/>
        <v>70</v>
      </c>
      <c r="L185" s="70">
        <f t="shared" si="605"/>
        <v>200</v>
      </c>
      <c r="M185" s="210">
        <f t="shared" si="605"/>
        <v>0</v>
      </c>
      <c r="N185" s="210">
        <f t="shared" si="605"/>
        <v>0</v>
      </c>
      <c r="O185" s="210">
        <f t="shared" si="605"/>
        <v>0</v>
      </c>
      <c r="P185" s="210">
        <f t="shared" si="605"/>
        <v>0</v>
      </c>
      <c r="Q185" s="210">
        <f t="shared" si="605"/>
        <v>0</v>
      </c>
      <c r="R185" s="210">
        <f t="shared" si="605"/>
        <v>0</v>
      </c>
      <c r="S185" s="829">
        <f t="shared" si="605"/>
        <v>0</v>
      </c>
      <c r="T185" s="210">
        <f t="shared" si="605"/>
        <v>0</v>
      </c>
      <c r="U185" s="210">
        <f t="shared" si="605"/>
        <v>0</v>
      </c>
      <c r="V185" s="224">
        <f t="shared" si="605"/>
        <v>0</v>
      </c>
      <c r="W185" s="224">
        <f t="shared" si="605"/>
        <v>0</v>
      </c>
      <c r="X185" s="224">
        <f t="shared" si="605"/>
        <v>0</v>
      </c>
      <c r="Y185" s="210">
        <f t="shared" si="605"/>
        <v>40</v>
      </c>
      <c r="Z185" s="210">
        <f t="shared" si="605"/>
        <v>20</v>
      </c>
      <c r="AA185" s="210">
        <f t="shared" si="605"/>
        <v>20</v>
      </c>
      <c r="AB185" s="210">
        <f t="shared" si="605"/>
        <v>40</v>
      </c>
      <c r="AC185" s="210">
        <f t="shared" si="605"/>
        <v>15</v>
      </c>
      <c r="AD185" s="210">
        <f t="shared" si="605"/>
        <v>25</v>
      </c>
      <c r="AE185" s="210">
        <f t="shared" si="605"/>
        <v>40</v>
      </c>
      <c r="AF185" s="210">
        <f t="shared" si="605"/>
        <v>15</v>
      </c>
      <c r="AG185" s="210">
        <f t="shared" si="605"/>
        <v>25</v>
      </c>
      <c r="AH185" s="224">
        <f t="shared" si="605"/>
        <v>120</v>
      </c>
      <c r="AI185" s="224">
        <f t="shared" si="605"/>
        <v>50</v>
      </c>
      <c r="AJ185" s="224">
        <f t="shared" si="605"/>
        <v>70</v>
      </c>
      <c r="AK185" s="210">
        <f t="shared" si="605"/>
        <v>40</v>
      </c>
      <c r="AL185" s="210">
        <f t="shared" si="605"/>
        <v>40</v>
      </c>
      <c r="AM185" s="210">
        <f t="shared" si="605"/>
        <v>0</v>
      </c>
      <c r="AN185" s="210">
        <f t="shared" si="605"/>
        <v>40</v>
      </c>
      <c r="AO185" s="210">
        <f t="shared" ref="AO185:BH185" si="606">SUM(AO186:AO189)</f>
        <v>40</v>
      </c>
      <c r="AP185" s="210">
        <f t="shared" si="606"/>
        <v>0</v>
      </c>
      <c r="AQ185" s="210">
        <f t="shared" si="606"/>
        <v>40</v>
      </c>
      <c r="AR185" s="210">
        <f t="shared" si="606"/>
        <v>40</v>
      </c>
      <c r="AS185" s="210">
        <f t="shared" si="606"/>
        <v>0</v>
      </c>
      <c r="AT185" s="224">
        <f t="shared" si="606"/>
        <v>120</v>
      </c>
      <c r="AU185" s="224">
        <f t="shared" si="606"/>
        <v>120</v>
      </c>
      <c r="AV185" s="224">
        <f t="shared" si="606"/>
        <v>0</v>
      </c>
      <c r="AW185" s="210">
        <f t="shared" si="606"/>
        <v>40</v>
      </c>
      <c r="AX185" s="210">
        <f t="shared" si="606"/>
        <v>40</v>
      </c>
      <c r="AY185" s="210">
        <f t="shared" si="606"/>
        <v>0</v>
      </c>
      <c r="AZ185" s="210">
        <f t="shared" si="606"/>
        <v>40</v>
      </c>
      <c r="BA185" s="210">
        <f t="shared" si="606"/>
        <v>40</v>
      </c>
      <c r="BB185" s="210">
        <f t="shared" si="606"/>
        <v>0</v>
      </c>
      <c r="BC185" s="210">
        <f t="shared" si="606"/>
        <v>40</v>
      </c>
      <c r="BD185" s="210">
        <f t="shared" si="606"/>
        <v>40</v>
      </c>
      <c r="BE185" s="210">
        <f t="shared" si="606"/>
        <v>0</v>
      </c>
      <c r="BF185" s="224">
        <f t="shared" si="606"/>
        <v>120</v>
      </c>
      <c r="BG185" s="224">
        <f t="shared" si="606"/>
        <v>120</v>
      </c>
      <c r="BH185" s="224">
        <f t="shared" si="606"/>
        <v>0</v>
      </c>
      <c r="BI185" s="530"/>
      <c r="BJ185" s="488" t="str">
        <f t="shared" si="601"/>
        <v>XL</v>
      </c>
      <c r="BK185" s="225">
        <f>SUM(BK186:BK189)</f>
        <v>0</v>
      </c>
      <c r="BL185" s="225">
        <f t="shared" ref="BL185:BZ185" si="607">SUM(BL186:BL189)</f>
        <v>0</v>
      </c>
      <c r="BM185" s="225">
        <f t="shared" si="607"/>
        <v>0</v>
      </c>
      <c r="BN185" s="225">
        <f t="shared" si="607"/>
        <v>0</v>
      </c>
      <c r="BO185" s="225">
        <f t="shared" si="607"/>
        <v>100</v>
      </c>
      <c r="BP185" s="225">
        <f t="shared" si="607"/>
        <v>100</v>
      </c>
      <c r="BQ185" s="225">
        <f t="shared" si="607"/>
        <v>100</v>
      </c>
      <c r="BR185" s="225">
        <f t="shared" si="607"/>
        <v>200</v>
      </c>
      <c r="BS185" s="225">
        <f t="shared" si="607"/>
        <v>0</v>
      </c>
      <c r="BT185" s="225">
        <f t="shared" si="607"/>
        <v>0</v>
      </c>
      <c r="BU185" s="225">
        <f t="shared" si="607"/>
        <v>0</v>
      </c>
      <c r="BV185" s="225">
        <f t="shared" si="607"/>
        <v>0</v>
      </c>
      <c r="BW185" s="225">
        <f t="shared" si="607"/>
        <v>0</v>
      </c>
      <c r="BX185" s="225">
        <f t="shared" si="607"/>
        <v>0</v>
      </c>
      <c r="BY185" s="225">
        <f t="shared" si="607"/>
        <v>0</v>
      </c>
      <c r="BZ185" s="225">
        <f t="shared" si="607"/>
        <v>0</v>
      </c>
      <c r="CA185" s="510"/>
      <c r="CB185" s="510" t="str">
        <f t="shared" si="397"/>
        <v>X</v>
      </c>
      <c r="CC185" s="509" t="str">
        <f>CC181</f>
        <v>CGĐB.</v>
      </c>
      <c r="CD185" s="509" t="str">
        <f t="shared" si="399"/>
        <v>CGĐB.</v>
      </c>
      <c r="CE185" s="351" t="str">
        <f t="shared" si="602"/>
        <v>XL</v>
      </c>
      <c r="CF185" s="509" t="str">
        <f t="shared" si="400"/>
        <v>CGĐB.XL</v>
      </c>
      <c r="CG185" s="509"/>
      <c r="CH185" s="509"/>
    </row>
    <row r="186" spans="1:86" ht="24.75" customHeight="1" x14ac:dyDescent="0.25">
      <c r="A186" s="354" t="e">
        <f>A185</f>
        <v>#REF!</v>
      </c>
      <c r="B186" s="935" t="s">
        <v>552</v>
      </c>
      <c r="C186" s="531" t="s">
        <v>796</v>
      </c>
      <c r="D186" s="447" t="s">
        <v>14</v>
      </c>
      <c r="E186" s="447"/>
      <c r="F186" s="447"/>
      <c r="G186" s="520">
        <v>16.100000000000001</v>
      </c>
      <c r="H186" s="521">
        <v>0.5</v>
      </c>
      <c r="I186" s="522">
        <f t="shared" ref="I186:K189" si="608">V186+AH186+AT186+BF186</f>
        <v>120</v>
      </c>
      <c r="J186" s="522">
        <f t="shared" si="608"/>
        <v>50</v>
      </c>
      <c r="K186" s="522">
        <f t="shared" si="608"/>
        <v>70</v>
      </c>
      <c r="L186" s="57">
        <f>BN186+BR186+BV186+BZ186</f>
        <v>200</v>
      </c>
      <c r="M186" s="60"/>
      <c r="N186" s="60"/>
      <c r="O186" s="60">
        <f>M186-N186</f>
        <v>0</v>
      </c>
      <c r="P186" s="60"/>
      <c r="Q186" s="60"/>
      <c r="R186" s="60">
        <f>P186-Q186</f>
        <v>0</v>
      </c>
      <c r="S186" s="824"/>
      <c r="T186" s="60"/>
      <c r="U186" s="60">
        <f>S186-T186</f>
        <v>0</v>
      </c>
      <c r="V186" s="60">
        <f t="shared" ref="V186:X187" si="609">M186+P186+S186</f>
        <v>0</v>
      </c>
      <c r="W186" s="60">
        <f t="shared" si="609"/>
        <v>0</v>
      </c>
      <c r="X186" s="60">
        <f t="shared" si="609"/>
        <v>0</v>
      </c>
      <c r="Y186" s="60">
        <v>40</v>
      </c>
      <c r="Z186" s="60">
        <v>20</v>
      </c>
      <c r="AA186" s="60">
        <f>Y186-Z186</f>
        <v>20</v>
      </c>
      <c r="AB186" s="60">
        <v>40</v>
      </c>
      <c r="AC186" s="60">
        <v>15</v>
      </c>
      <c r="AD186" s="60">
        <f>AB186-AC186</f>
        <v>25</v>
      </c>
      <c r="AE186" s="60">
        <v>40</v>
      </c>
      <c r="AF186" s="60">
        <v>15</v>
      </c>
      <c r="AG186" s="60">
        <f>AE186-AF186</f>
        <v>25</v>
      </c>
      <c r="AH186" s="60">
        <f t="shared" ref="AH186:AJ188" si="610">Y186+AB186+AE186</f>
        <v>120</v>
      </c>
      <c r="AI186" s="60">
        <f t="shared" si="610"/>
        <v>50</v>
      </c>
      <c r="AJ186" s="60">
        <f t="shared" si="610"/>
        <v>70</v>
      </c>
      <c r="AK186" s="60"/>
      <c r="AL186" s="60"/>
      <c r="AM186" s="60">
        <f>AK186-AL186</f>
        <v>0</v>
      </c>
      <c r="AN186" s="60"/>
      <c r="AO186" s="60"/>
      <c r="AP186" s="60">
        <f>AN186-AO186</f>
        <v>0</v>
      </c>
      <c r="AQ186" s="60"/>
      <c r="AR186" s="60"/>
      <c r="AS186" s="60">
        <f>AQ186-AR186</f>
        <v>0</v>
      </c>
      <c r="AT186" s="60">
        <f t="shared" ref="AT186:AV188" si="611">AK186+AN186+AQ186</f>
        <v>0</v>
      </c>
      <c r="AU186" s="60">
        <f t="shared" si="611"/>
        <v>0</v>
      </c>
      <c r="AV186" s="60">
        <f t="shared" si="611"/>
        <v>0</v>
      </c>
      <c r="AW186" s="60"/>
      <c r="AX186" s="60"/>
      <c r="AY186" s="60">
        <f>AW186-AX186</f>
        <v>0</v>
      </c>
      <c r="AZ186" s="60"/>
      <c r="BA186" s="60"/>
      <c r="BB186" s="60">
        <f>AZ186-BA186</f>
        <v>0</v>
      </c>
      <c r="BC186" s="60"/>
      <c r="BD186" s="60"/>
      <c r="BE186" s="60">
        <f>BC186-BD186</f>
        <v>0</v>
      </c>
      <c r="BF186" s="60">
        <f t="shared" ref="BF186:BH188" si="612">AW186+AZ186+BC186</f>
        <v>0</v>
      </c>
      <c r="BG186" s="60">
        <f t="shared" si="612"/>
        <v>0</v>
      </c>
      <c r="BH186" s="60">
        <f t="shared" si="612"/>
        <v>0</v>
      </c>
      <c r="BI186" s="508"/>
      <c r="BJ186" s="488" t="str">
        <f t="shared" si="601"/>
        <v>Xé</v>
      </c>
      <c r="BK186" s="523">
        <f>ROUND(O186*G186*$B$6,-2)</f>
        <v>0</v>
      </c>
      <c r="BL186" s="523">
        <f>ROUND(R186*G186*$B$6,-2)</f>
        <v>0</v>
      </c>
      <c r="BM186" s="523">
        <f>ROUND(U186*G186*$B$6,-2)</f>
        <v>0</v>
      </c>
      <c r="BN186" s="523">
        <f>ROUND(X186*G186*$B$6,-2)</f>
        <v>0</v>
      </c>
      <c r="BO186" s="523">
        <f>ROUND(AA186*G186*$B$6,-2)</f>
        <v>100</v>
      </c>
      <c r="BP186" s="523">
        <f>ROUND(AD186*G186*$B$6,-2)</f>
        <v>100</v>
      </c>
      <c r="BQ186" s="523">
        <f>ROUND(AG186*G186*$B$6,-2)</f>
        <v>100</v>
      </c>
      <c r="BR186" s="523">
        <f>ROUND(AJ186*G186*$B$6,-2)</f>
        <v>200</v>
      </c>
      <c r="BS186" s="523">
        <f>ROUND(AM186*G186*$B$6,-2)</f>
        <v>0</v>
      </c>
      <c r="BT186" s="523">
        <f>ROUND(AP186*G186*$B$6,-2)</f>
        <v>0</v>
      </c>
      <c r="BU186" s="523">
        <f>ROUND(AS186*G186*$B$6,-2)</f>
        <v>0</v>
      </c>
      <c r="BV186" s="523">
        <f>ROUND(AV186*G186*$B$6,-2)</f>
        <v>0</v>
      </c>
      <c r="BW186" s="523">
        <f>ROUND(AY186*G186*$B$6,-2)</f>
        <v>0</v>
      </c>
      <c r="BX186" s="523">
        <f>ROUND(BB186*G186*$B$6,-2)</f>
        <v>0</v>
      </c>
      <c r="BY186" s="523">
        <f>ROUND(BE186*G186*$B$6,-2)</f>
        <v>0</v>
      </c>
      <c r="BZ186" s="523">
        <f>ROUND(BH186*G186*$B$6,-2)</f>
        <v>0</v>
      </c>
      <c r="CA186" s="354"/>
      <c r="CB186" s="354" t="str">
        <f t="shared" si="397"/>
        <v>X</v>
      </c>
      <c r="CC186" s="509" t="str">
        <f t="shared" si="398"/>
        <v>CGĐB.</v>
      </c>
      <c r="CD186" s="509" t="str">
        <f t="shared" si="399"/>
        <v>CGĐB.16,1</v>
      </c>
      <c r="CE186" s="351" t="str">
        <f t="shared" si="602"/>
        <v>Xé</v>
      </c>
      <c r="CF186" s="509" t="str">
        <f t="shared" si="400"/>
        <v>CGĐB.Xé</v>
      </c>
      <c r="CG186" s="509"/>
      <c r="CH186" s="509"/>
    </row>
    <row r="187" spans="1:86" ht="24.75" customHeight="1" x14ac:dyDescent="0.25">
      <c r="A187" s="354" t="e">
        <f>A185</f>
        <v>#REF!</v>
      </c>
      <c r="B187" s="936"/>
      <c r="C187" s="531" t="s">
        <v>797</v>
      </c>
      <c r="D187" s="447" t="s">
        <v>14</v>
      </c>
      <c r="E187" s="447"/>
      <c r="F187" s="447"/>
      <c r="G187" s="520">
        <v>17.899999999999999</v>
      </c>
      <c r="H187" s="521">
        <v>0.5</v>
      </c>
      <c r="I187" s="522">
        <f t="shared" si="608"/>
        <v>120</v>
      </c>
      <c r="J187" s="522">
        <f t="shared" si="608"/>
        <v>120</v>
      </c>
      <c r="K187" s="522">
        <f t="shared" si="608"/>
        <v>0</v>
      </c>
      <c r="L187" s="57">
        <f>BN187+BR187+BV187+BZ187</f>
        <v>0</v>
      </c>
      <c r="M187" s="60"/>
      <c r="N187" s="60"/>
      <c r="O187" s="60">
        <f>M187-N187</f>
        <v>0</v>
      </c>
      <c r="P187" s="60"/>
      <c r="Q187" s="60"/>
      <c r="R187" s="60">
        <f>P187-Q187</f>
        <v>0</v>
      </c>
      <c r="S187" s="824"/>
      <c r="T187" s="60"/>
      <c r="U187" s="60">
        <f>S187-T187</f>
        <v>0</v>
      </c>
      <c r="V187" s="60">
        <f t="shared" si="609"/>
        <v>0</v>
      </c>
      <c r="W187" s="60">
        <f t="shared" si="609"/>
        <v>0</v>
      </c>
      <c r="X187" s="60">
        <f t="shared" si="609"/>
        <v>0</v>
      </c>
      <c r="Y187" s="60"/>
      <c r="Z187" s="60"/>
      <c r="AA187" s="60">
        <f>Y187-Z187</f>
        <v>0</v>
      </c>
      <c r="AB187" s="60"/>
      <c r="AC187" s="60"/>
      <c r="AD187" s="60">
        <f>AB187-AC187</f>
        <v>0</v>
      </c>
      <c r="AE187" s="60"/>
      <c r="AF187" s="60"/>
      <c r="AG187" s="60">
        <f>AE187-AF187</f>
        <v>0</v>
      </c>
      <c r="AH187" s="60">
        <f t="shared" si="610"/>
        <v>0</v>
      </c>
      <c r="AI187" s="60">
        <f t="shared" si="610"/>
        <v>0</v>
      </c>
      <c r="AJ187" s="60">
        <f t="shared" si="610"/>
        <v>0</v>
      </c>
      <c r="AK187" s="60">
        <v>40</v>
      </c>
      <c r="AL187" s="60">
        <v>40</v>
      </c>
      <c r="AM187" s="60">
        <f>AK187-AL187</f>
        <v>0</v>
      </c>
      <c r="AN187" s="60">
        <v>40</v>
      </c>
      <c r="AO187" s="60">
        <v>40</v>
      </c>
      <c r="AP187" s="60">
        <f>AN187-AO187</f>
        <v>0</v>
      </c>
      <c r="AQ187" s="60">
        <v>40</v>
      </c>
      <c r="AR187" s="60">
        <v>40</v>
      </c>
      <c r="AS187" s="60">
        <f>AQ187-AR187</f>
        <v>0</v>
      </c>
      <c r="AT187" s="60">
        <f t="shared" si="611"/>
        <v>120</v>
      </c>
      <c r="AU187" s="60">
        <f t="shared" si="611"/>
        <v>120</v>
      </c>
      <c r="AV187" s="60">
        <f t="shared" si="611"/>
        <v>0</v>
      </c>
      <c r="AW187" s="60"/>
      <c r="AX187" s="60"/>
      <c r="AY187" s="60">
        <f>AW187-AX187</f>
        <v>0</v>
      </c>
      <c r="AZ187" s="60"/>
      <c r="BA187" s="60"/>
      <c r="BB187" s="60">
        <f>AZ187-BA187</f>
        <v>0</v>
      </c>
      <c r="BC187" s="60"/>
      <c r="BD187" s="60"/>
      <c r="BE187" s="60">
        <f>BC187-BD187</f>
        <v>0</v>
      </c>
      <c r="BF187" s="60">
        <f t="shared" si="612"/>
        <v>0</v>
      </c>
      <c r="BG187" s="60">
        <f t="shared" si="612"/>
        <v>0</v>
      </c>
      <c r="BH187" s="60">
        <f t="shared" si="612"/>
        <v>0</v>
      </c>
      <c r="BI187" s="508"/>
      <c r="BJ187" s="488" t="str">
        <f t="shared" si="601"/>
        <v>Xé</v>
      </c>
      <c r="BK187" s="523">
        <f>ROUND(O187*G187*$B$6,-2)</f>
        <v>0</v>
      </c>
      <c r="BL187" s="523">
        <f>ROUND(R187*G187*$B$6,-2)</f>
        <v>0</v>
      </c>
      <c r="BM187" s="523">
        <f>ROUND(U187*G187*$B$6,-2)</f>
        <v>0</v>
      </c>
      <c r="BN187" s="523">
        <f>ROUND(X187*G187*$B$6,-2)</f>
        <v>0</v>
      </c>
      <c r="BO187" s="523">
        <f>ROUND(AA187*G187*$B$6,-2)</f>
        <v>0</v>
      </c>
      <c r="BP187" s="523">
        <f>ROUND(AD187*G187*$B$6,-2)</f>
        <v>0</v>
      </c>
      <c r="BQ187" s="523">
        <f>ROUND(AG187*G187*$B$6,-2)</f>
        <v>0</v>
      </c>
      <c r="BR187" s="523">
        <f>ROUND(AJ187*G187*$B$6,-2)</f>
        <v>0</v>
      </c>
      <c r="BS187" s="523">
        <f>ROUND(AM187*G187*$B$6,-2)</f>
        <v>0</v>
      </c>
      <c r="BT187" s="523">
        <f>ROUND(AP187*G187*$B$6,-2)</f>
        <v>0</v>
      </c>
      <c r="BU187" s="523">
        <f>ROUND(AS187*G187*$B$6,-2)</f>
        <v>0</v>
      </c>
      <c r="BV187" s="523">
        <f>ROUND(AV187*G187*$B$6,-2)</f>
        <v>0</v>
      </c>
      <c r="BW187" s="523">
        <f>ROUND(AY187*G187*$B$6,-2)</f>
        <v>0</v>
      </c>
      <c r="BX187" s="523">
        <f>ROUND(BB187*G187*$B$6,-2)</f>
        <v>0</v>
      </c>
      <c r="BY187" s="523">
        <f>ROUND(BE187*G187*$B$6,-2)</f>
        <v>0</v>
      </c>
      <c r="BZ187" s="523">
        <f>ROUND(BH187*G187*$B$6,-2)</f>
        <v>0</v>
      </c>
      <c r="CA187" s="354"/>
      <c r="CB187" s="354" t="str">
        <f t="shared" si="397"/>
        <v>X</v>
      </c>
      <c r="CC187" s="509" t="str">
        <f t="shared" si="398"/>
        <v>CGĐB.</v>
      </c>
      <c r="CD187" s="509" t="str">
        <f t="shared" si="399"/>
        <v>CGĐB.17,9</v>
      </c>
      <c r="CE187" s="351" t="str">
        <f t="shared" si="602"/>
        <v>Xé</v>
      </c>
      <c r="CF187" s="509" t="str">
        <f t="shared" si="400"/>
        <v>CGĐB.Xé</v>
      </c>
      <c r="CG187" s="509"/>
      <c r="CH187" s="509"/>
    </row>
    <row r="188" spans="1:86" ht="24.75" customHeight="1" x14ac:dyDescent="0.25">
      <c r="A188" s="354" t="e">
        <f>A186</f>
        <v>#REF!</v>
      </c>
      <c r="B188" s="937"/>
      <c r="C188" s="531" t="s">
        <v>798</v>
      </c>
      <c r="D188" s="447" t="s">
        <v>14</v>
      </c>
      <c r="E188" s="447"/>
      <c r="F188" s="447"/>
      <c r="G188" s="520">
        <v>16.100000000000001</v>
      </c>
      <c r="H188" s="521">
        <v>0.7</v>
      </c>
      <c r="I188" s="522">
        <f t="shared" si="608"/>
        <v>120</v>
      </c>
      <c r="J188" s="522">
        <f t="shared" si="608"/>
        <v>120</v>
      </c>
      <c r="K188" s="522">
        <f t="shared" si="608"/>
        <v>0</v>
      </c>
      <c r="L188" s="57">
        <f>BN188+BR188+BV188+BZ188</f>
        <v>0</v>
      </c>
      <c r="M188" s="60"/>
      <c r="N188" s="60"/>
      <c r="O188" s="60">
        <f>M188-N188</f>
        <v>0</v>
      </c>
      <c r="P188" s="60"/>
      <c r="Q188" s="60"/>
      <c r="R188" s="60">
        <f>P188-Q188</f>
        <v>0</v>
      </c>
      <c r="S188" s="824"/>
      <c r="T188" s="60"/>
      <c r="U188" s="60">
        <f>S188-T188</f>
        <v>0</v>
      </c>
      <c r="V188" s="60">
        <f>M188+P188+S188</f>
        <v>0</v>
      </c>
      <c r="W188" s="60"/>
      <c r="X188" s="60"/>
      <c r="Y188" s="60"/>
      <c r="Z188" s="60"/>
      <c r="AA188" s="60">
        <f>Y188-Z188</f>
        <v>0</v>
      </c>
      <c r="AB188" s="60"/>
      <c r="AC188" s="60"/>
      <c r="AD188" s="60">
        <f>AB188-AC188</f>
        <v>0</v>
      </c>
      <c r="AE188" s="60"/>
      <c r="AF188" s="60"/>
      <c r="AG188" s="60">
        <f>AE188-AF188</f>
        <v>0</v>
      </c>
      <c r="AH188" s="60">
        <f t="shared" si="610"/>
        <v>0</v>
      </c>
      <c r="AI188" s="60">
        <f t="shared" si="610"/>
        <v>0</v>
      </c>
      <c r="AJ188" s="60">
        <f t="shared" si="610"/>
        <v>0</v>
      </c>
      <c r="AK188" s="60"/>
      <c r="AL188" s="60"/>
      <c r="AM188" s="60">
        <f>AK188-AL188</f>
        <v>0</v>
      </c>
      <c r="AN188" s="60"/>
      <c r="AO188" s="60"/>
      <c r="AP188" s="60">
        <f>AN188-AO188</f>
        <v>0</v>
      </c>
      <c r="AQ188" s="60"/>
      <c r="AR188" s="60"/>
      <c r="AS188" s="60">
        <f>AQ188-AR188</f>
        <v>0</v>
      </c>
      <c r="AT188" s="60">
        <f t="shared" si="611"/>
        <v>0</v>
      </c>
      <c r="AU188" s="60">
        <f t="shared" si="611"/>
        <v>0</v>
      </c>
      <c r="AV188" s="60">
        <f t="shared" si="611"/>
        <v>0</v>
      </c>
      <c r="AW188" s="60">
        <v>40</v>
      </c>
      <c r="AX188" s="60">
        <v>40</v>
      </c>
      <c r="AY188" s="60">
        <f>AW188-AX188</f>
        <v>0</v>
      </c>
      <c r="AZ188" s="60">
        <v>40</v>
      </c>
      <c r="BA188" s="60">
        <v>40</v>
      </c>
      <c r="BB188" s="60">
        <f>AZ188-BA188</f>
        <v>0</v>
      </c>
      <c r="BC188" s="60">
        <v>40</v>
      </c>
      <c r="BD188" s="60">
        <v>40</v>
      </c>
      <c r="BE188" s="60">
        <f>BC188-BD188</f>
        <v>0</v>
      </c>
      <c r="BF188" s="60">
        <f t="shared" si="612"/>
        <v>120</v>
      </c>
      <c r="BG188" s="60">
        <f t="shared" si="612"/>
        <v>120</v>
      </c>
      <c r="BH188" s="60">
        <f t="shared" si="612"/>
        <v>0</v>
      </c>
      <c r="BI188" s="508"/>
      <c r="BJ188" s="488" t="str">
        <f t="shared" si="601"/>
        <v>Xé</v>
      </c>
      <c r="BK188" s="523">
        <f>ROUND(O188*G188*$B$6,-2)</f>
        <v>0</v>
      </c>
      <c r="BL188" s="523">
        <f>ROUND(R188*G188*$B$6,-2)</f>
        <v>0</v>
      </c>
      <c r="BM188" s="523">
        <f>ROUND(U188*G188*$B$6,-2)</f>
        <v>0</v>
      </c>
      <c r="BN188" s="523">
        <f>ROUND(X188*G188*$B$6,-2)</f>
        <v>0</v>
      </c>
      <c r="BO188" s="523">
        <f>ROUND(AA188*G188*$B$6,-2)</f>
        <v>0</v>
      </c>
      <c r="BP188" s="523">
        <f>ROUND(AD188*G188*$B$6,-2)</f>
        <v>0</v>
      </c>
      <c r="BQ188" s="523">
        <f>ROUND(AG188*G188*$B$6,-2)</f>
        <v>0</v>
      </c>
      <c r="BR188" s="523">
        <f>ROUND(AJ188*G188*$B$6,-2)</f>
        <v>0</v>
      </c>
      <c r="BS188" s="523">
        <f>ROUND(AM188*G188*$B$6,-2)</f>
        <v>0</v>
      </c>
      <c r="BT188" s="523">
        <f>ROUND(AP188*G188*$B$6,-2)</f>
        <v>0</v>
      </c>
      <c r="BU188" s="523">
        <f>ROUND(AS188*G188*$B$6,-2)</f>
        <v>0</v>
      </c>
      <c r="BV188" s="523">
        <f>ROUND(AV188*G188*$B$6,-2)</f>
        <v>0</v>
      </c>
      <c r="BW188" s="523">
        <f>ROUND(AY188*G188*$B$6,-2)</f>
        <v>0</v>
      </c>
      <c r="BX188" s="523">
        <f>ROUND(BB188*G188*$B$6,-2)</f>
        <v>0</v>
      </c>
      <c r="BY188" s="523">
        <f>ROUND(BE188*G188*$B$6,-2)</f>
        <v>0</v>
      </c>
      <c r="BZ188" s="523">
        <f>ROUND(BH188*G188*$B$6,-2)</f>
        <v>0</v>
      </c>
      <c r="CA188" s="354"/>
      <c r="CB188" s="354" t="str">
        <f>IF(SUM(I188:L188)&lt;&gt;0,"X")</f>
        <v>X</v>
      </c>
      <c r="CC188" s="509" t="str">
        <f t="shared" si="398"/>
        <v>CGĐB.</v>
      </c>
      <c r="CD188" s="509" t="str">
        <f>CC188&amp;G188</f>
        <v>CGĐB.16,1</v>
      </c>
      <c r="CE188" s="351" t="str">
        <f t="shared" si="602"/>
        <v>Xé</v>
      </c>
      <c r="CF188" s="509" t="str">
        <f>CC188&amp;CE188</f>
        <v>CGĐB.Xé</v>
      </c>
      <c r="CG188" s="509"/>
      <c r="CH188" s="509"/>
    </row>
    <row r="189" spans="1:86" ht="24.75" customHeight="1" x14ac:dyDescent="0.25">
      <c r="A189" s="354" t="e">
        <f>A186</f>
        <v>#REF!</v>
      </c>
      <c r="B189" s="484"/>
      <c r="C189" s="531" t="s">
        <v>20</v>
      </c>
      <c r="D189" s="447" t="s">
        <v>14</v>
      </c>
      <c r="E189" s="447"/>
      <c r="F189" s="447"/>
      <c r="G189" s="520">
        <v>13.1</v>
      </c>
      <c r="H189" s="521">
        <v>0.7</v>
      </c>
      <c r="I189" s="522">
        <f t="shared" si="608"/>
        <v>0</v>
      </c>
      <c r="J189" s="522">
        <f t="shared" si="608"/>
        <v>0</v>
      </c>
      <c r="K189" s="522">
        <f t="shared" si="608"/>
        <v>0</v>
      </c>
      <c r="L189" s="57">
        <f>BN189+BR189+BV189+BZ189</f>
        <v>0</v>
      </c>
      <c r="M189" s="60"/>
      <c r="N189" s="60"/>
      <c r="O189" s="60">
        <f>M189-N189</f>
        <v>0</v>
      </c>
      <c r="P189" s="60"/>
      <c r="Q189" s="60"/>
      <c r="R189" s="60">
        <f>P189-Q189</f>
        <v>0</v>
      </c>
      <c r="S189" s="824"/>
      <c r="T189" s="60"/>
      <c r="U189" s="60">
        <f>S189-T189</f>
        <v>0</v>
      </c>
      <c r="V189" s="60">
        <f>M189+P189+S189</f>
        <v>0</v>
      </c>
      <c r="W189" s="60"/>
      <c r="X189" s="60"/>
      <c r="Y189" s="60"/>
      <c r="Z189" s="60"/>
      <c r="AA189" s="60">
        <f>Y189-Z189</f>
        <v>0</v>
      </c>
      <c r="AB189" s="60"/>
      <c r="AC189" s="60"/>
      <c r="AD189" s="60">
        <f>AB189-AC189</f>
        <v>0</v>
      </c>
      <c r="AE189" s="60"/>
      <c r="AF189" s="60"/>
      <c r="AG189" s="60">
        <f>AE189-AF189</f>
        <v>0</v>
      </c>
      <c r="AH189" s="60"/>
      <c r="AI189" s="60"/>
      <c r="AJ189" s="60"/>
      <c r="AK189" s="60"/>
      <c r="AL189" s="60"/>
      <c r="AM189" s="60">
        <f>AK189-AL189</f>
        <v>0</v>
      </c>
      <c r="AN189" s="60"/>
      <c r="AO189" s="60"/>
      <c r="AP189" s="60">
        <f>AN189-AO189</f>
        <v>0</v>
      </c>
      <c r="AQ189" s="60"/>
      <c r="AR189" s="60"/>
      <c r="AS189" s="60">
        <f>AQ189-AR189</f>
        <v>0</v>
      </c>
      <c r="AT189" s="60"/>
      <c r="AU189" s="60"/>
      <c r="AV189" s="60"/>
      <c r="AW189" s="60"/>
      <c r="AX189" s="60"/>
      <c r="AY189" s="60">
        <f>AW189-AX189</f>
        <v>0</v>
      </c>
      <c r="AZ189" s="60"/>
      <c r="BA189" s="60"/>
      <c r="BB189" s="60">
        <f>AZ189-BA189</f>
        <v>0</v>
      </c>
      <c r="BC189" s="60"/>
      <c r="BD189" s="60"/>
      <c r="BE189" s="60">
        <f>BC189-BD189</f>
        <v>0</v>
      </c>
      <c r="BF189" s="60"/>
      <c r="BG189" s="60"/>
      <c r="BH189" s="60"/>
      <c r="BI189" s="508"/>
      <c r="BJ189" s="488" t="str">
        <f t="shared" si="601"/>
        <v>Xé</v>
      </c>
      <c r="BK189" s="523">
        <f>ROUND(O189*G189*$B$6,-2)</f>
        <v>0</v>
      </c>
      <c r="BL189" s="523">
        <f>ROUND(R189*G189*$B$6,-2)</f>
        <v>0</v>
      </c>
      <c r="BM189" s="523">
        <f>ROUND(U189*G189*$B$6,-2)</f>
        <v>0</v>
      </c>
      <c r="BN189" s="523">
        <f>ROUND(X189*G189*$B$6,-2)</f>
        <v>0</v>
      </c>
      <c r="BO189" s="523">
        <f>ROUND(AA189*G189*$B$6,-2)</f>
        <v>0</v>
      </c>
      <c r="BP189" s="523">
        <f>ROUND(AD189*G189*$B$6,-2)</f>
        <v>0</v>
      </c>
      <c r="BQ189" s="523">
        <f>ROUND(AG189*G189*$B$6,-2)</f>
        <v>0</v>
      </c>
      <c r="BR189" s="523">
        <f>ROUND(AJ189*G189*$B$6,-2)</f>
        <v>0</v>
      </c>
      <c r="BS189" s="523">
        <f>ROUND(AM189*G189*$B$6,-2)</f>
        <v>0</v>
      </c>
      <c r="BT189" s="523">
        <f>ROUND(AP189*G189*$B$6,-2)</f>
        <v>0</v>
      </c>
      <c r="BU189" s="523">
        <f>ROUND(AS189*G189*$B$6,-2)</f>
        <v>0</v>
      </c>
      <c r="BV189" s="523">
        <f>ROUND(AV189*G189*$B$6,-2)</f>
        <v>0</v>
      </c>
      <c r="BW189" s="523">
        <f>ROUND(AY189*G189*$B$6,-2)</f>
        <v>0</v>
      </c>
      <c r="BX189" s="523">
        <f>ROUND(BB189*G189*$B$6,-2)</f>
        <v>0</v>
      </c>
      <c r="BY189" s="523">
        <f>ROUND(BE189*G189*$B$6,-2)</f>
        <v>0</v>
      </c>
      <c r="BZ189" s="523">
        <f>ROUND(BH189*G189*$B$6,-2)</f>
        <v>0</v>
      </c>
      <c r="CA189" s="354"/>
      <c r="CB189" s="354" t="b">
        <f t="shared" si="397"/>
        <v>0</v>
      </c>
      <c r="CC189" s="509" t="str">
        <f>CC187</f>
        <v>CGĐB.</v>
      </c>
      <c r="CD189" s="509" t="str">
        <f t="shared" si="399"/>
        <v>CGĐB.13,1</v>
      </c>
      <c r="CE189" s="351" t="str">
        <f t="shared" si="602"/>
        <v>Xé</v>
      </c>
      <c r="CF189" s="509" t="str">
        <f t="shared" si="400"/>
        <v>CGĐB.Xé</v>
      </c>
      <c r="CG189" s="509"/>
      <c r="CH189" s="509"/>
    </row>
    <row r="190" spans="1:86" ht="17.25" x14ac:dyDescent="0.3">
      <c r="A190" s="354" t="e">
        <f>#REF!</f>
        <v>#REF!</v>
      </c>
      <c r="B190" s="503">
        <v>13</v>
      </c>
      <c r="C190" s="507" t="s">
        <v>454</v>
      </c>
      <c r="D190" s="505"/>
      <c r="E190" s="505"/>
      <c r="F190" s="505"/>
      <c r="G190" s="505"/>
      <c r="H190" s="505"/>
      <c r="I190" s="63">
        <f t="shared" ref="I190:U190" si="613">SUM(I191:I213)/2</f>
        <v>2266</v>
      </c>
      <c r="J190" s="63">
        <f t="shared" si="613"/>
        <v>1476</v>
      </c>
      <c r="K190" s="63">
        <f t="shared" si="613"/>
        <v>790</v>
      </c>
      <c r="L190" s="63">
        <f t="shared" si="613"/>
        <v>11600</v>
      </c>
      <c r="M190" s="209">
        <f t="shared" si="613"/>
        <v>195</v>
      </c>
      <c r="N190" s="209">
        <f t="shared" si="613"/>
        <v>145</v>
      </c>
      <c r="O190" s="209">
        <f t="shared" si="613"/>
        <v>50</v>
      </c>
      <c r="P190" s="209">
        <f t="shared" si="613"/>
        <v>135</v>
      </c>
      <c r="Q190" s="209">
        <f t="shared" si="613"/>
        <v>100</v>
      </c>
      <c r="R190" s="209">
        <f t="shared" si="613"/>
        <v>35</v>
      </c>
      <c r="S190" s="822">
        <f t="shared" si="613"/>
        <v>195</v>
      </c>
      <c r="T190" s="209">
        <f t="shared" si="613"/>
        <v>150</v>
      </c>
      <c r="U190" s="209">
        <f t="shared" si="613"/>
        <v>45</v>
      </c>
      <c r="V190" s="209">
        <f t="shared" ref="V190:AG190" si="614">SUM(V191:V213)/2</f>
        <v>525</v>
      </c>
      <c r="W190" s="209">
        <f t="shared" si="614"/>
        <v>395</v>
      </c>
      <c r="X190" s="209">
        <f t="shared" si="614"/>
        <v>130</v>
      </c>
      <c r="Y190" s="209">
        <f t="shared" si="614"/>
        <v>190</v>
      </c>
      <c r="Z190" s="209">
        <f t="shared" si="614"/>
        <v>140</v>
      </c>
      <c r="AA190" s="209">
        <f t="shared" si="614"/>
        <v>50</v>
      </c>
      <c r="AB190" s="209">
        <f t="shared" si="614"/>
        <v>195</v>
      </c>
      <c r="AC190" s="209">
        <f t="shared" si="614"/>
        <v>105</v>
      </c>
      <c r="AD190" s="209">
        <f t="shared" si="614"/>
        <v>90</v>
      </c>
      <c r="AE190" s="209">
        <f t="shared" si="614"/>
        <v>161</v>
      </c>
      <c r="AF190" s="209">
        <f t="shared" si="614"/>
        <v>71</v>
      </c>
      <c r="AG190" s="209">
        <f t="shared" si="614"/>
        <v>90</v>
      </c>
      <c r="AH190" s="209">
        <f t="shared" ref="AH190:BE190" si="615">SUM(AH191:AH213)/2</f>
        <v>546</v>
      </c>
      <c r="AI190" s="209">
        <f t="shared" si="615"/>
        <v>316</v>
      </c>
      <c r="AJ190" s="209">
        <f t="shared" si="615"/>
        <v>230</v>
      </c>
      <c r="AK190" s="209">
        <f t="shared" si="615"/>
        <v>220</v>
      </c>
      <c r="AL190" s="209">
        <f t="shared" si="615"/>
        <v>65</v>
      </c>
      <c r="AM190" s="209">
        <f t="shared" si="615"/>
        <v>155</v>
      </c>
      <c r="AN190" s="209">
        <f t="shared" si="615"/>
        <v>205</v>
      </c>
      <c r="AO190" s="209">
        <f t="shared" si="615"/>
        <v>120</v>
      </c>
      <c r="AP190" s="209">
        <f t="shared" si="615"/>
        <v>85</v>
      </c>
      <c r="AQ190" s="209">
        <f t="shared" si="615"/>
        <v>195</v>
      </c>
      <c r="AR190" s="209">
        <f t="shared" si="615"/>
        <v>145</v>
      </c>
      <c r="AS190" s="209">
        <f t="shared" si="615"/>
        <v>50</v>
      </c>
      <c r="AT190" s="209">
        <f t="shared" si="615"/>
        <v>620</v>
      </c>
      <c r="AU190" s="209">
        <f t="shared" si="615"/>
        <v>330</v>
      </c>
      <c r="AV190" s="209">
        <f t="shared" si="615"/>
        <v>290</v>
      </c>
      <c r="AW190" s="209">
        <f t="shared" si="615"/>
        <v>195</v>
      </c>
      <c r="AX190" s="209">
        <f t="shared" si="615"/>
        <v>145</v>
      </c>
      <c r="AY190" s="209">
        <f t="shared" si="615"/>
        <v>50</v>
      </c>
      <c r="AZ190" s="209">
        <f t="shared" si="615"/>
        <v>195</v>
      </c>
      <c r="BA190" s="209">
        <f t="shared" si="615"/>
        <v>145</v>
      </c>
      <c r="BB190" s="209">
        <f t="shared" si="615"/>
        <v>50</v>
      </c>
      <c r="BC190" s="209">
        <f t="shared" si="615"/>
        <v>185</v>
      </c>
      <c r="BD190" s="209">
        <f t="shared" si="615"/>
        <v>145</v>
      </c>
      <c r="BE190" s="209">
        <f t="shared" si="615"/>
        <v>40</v>
      </c>
      <c r="BF190" s="209">
        <f>SUM(BF191:BF213)/2</f>
        <v>575</v>
      </c>
      <c r="BG190" s="209">
        <f>SUM(BG191:BG213)/2</f>
        <v>435</v>
      </c>
      <c r="BH190" s="209">
        <f>SUM(BH191:BH213)/2</f>
        <v>140</v>
      </c>
      <c r="BI190" s="536"/>
      <c r="BJ190" s="488" t="str">
        <f t="shared" si="601"/>
        <v>PX</v>
      </c>
      <c r="BK190" s="209">
        <f t="shared" ref="BK190:BZ190" si="616">SUM(BK191:BK213)/2</f>
        <v>1000</v>
      </c>
      <c r="BL190" s="209">
        <f t="shared" si="616"/>
        <v>700</v>
      </c>
      <c r="BM190" s="209">
        <f t="shared" si="616"/>
        <v>900</v>
      </c>
      <c r="BN190" s="209">
        <f t="shared" si="616"/>
        <v>2500</v>
      </c>
      <c r="BO190" s="209">
        <f t="shared" si="616"/>
        <v>1000</v>
      </c>
      <c r="BP190" s="209">
        <f t="shared" si="616"/>
        <v>1100</v>
      </c>
      <c r="BQ190" s="209">
        <f t="shared" si="616"/>
        <v>1200</v>
      </c>
      <c r="BR190" s="209">
        <f t="shared" si="616"/>
        <v>3300</v>
      </c>
      <c r="BS190" s="209">
        <f t="shared" si="616"/>
        <v>2500</v>
      </c>
      <c r="BT190" s="209">
        <f t="shared" si="616"/>
        <v>1400</v>
      </c>
      <c r="BU190" s="209">
        <f t="shared" si="616"/>
        <v>500</v>
      </c>
      <c r="BV190" s="209">
        <f t="shared" si="616"/>
        <v>4300</v>
      </c>
      <c r="BW190" s="209">
        <f t="shared" si="616"/>
        <v>500</v>
      </c>
      <c r="BX190" s="209">
        <f t="shared" si="616"/>
        <v>500</v>
      </c>
      <c r="BY190" s="209">
        <f t="shared" si="616"/>
        <v>500</v>
      </c>
      <c r="BZ190" s="209">
        <f t="shared" si="616"/>
        <v>1500</v>
      </c>
      <c r="CA190" s="354"/>
      <c r="CB190" s="354" t="str">
        <f t="shared" si="397"/>
        <v>X</v>
      </c>
      <c r="CC190" s="534" t="s">
        <v>296</v>
      </c>
      <c r="CD190" s="509" t="str">
        <f t="shared" si="399"/>
        <v>BCG.</v>
      </c>
      <c r="CE190" s="351" t="str">
        <f t="shared" si="602"/>
        <v>PX</v>
      </c>
      <c r="CF190" s="509" t="str">
        <f t="shared" si="400"/>
        <v>BCG.PX</v>
      </c>
      <c r="CG190" s="509"/>
      <c r="CH190" s="509"/>
    </row>
    <row r="191" spans="1:86" s="358" customFormat="1" ht="19.5" customHeight="1" x14ac:dyDescent="0.25">
      <c r="A191" s="354" t="e">
        <f>A190</f>
        <v>#REF!</v>
      </c>
      <c r="B191" s="511" t="s">
        <v>8</v>
      </c>
      <c r="C191" s="512" t="s">
        <v>177</v>
      </c>
      <c r="D191" s="513"/>
      <c r="E191" s="513"/>
      <c r="F191" s="513"/>
      <c r="G191" s="514"/>
      <c r="H191" s="515"/>
      <c r="I191" s="69">
        <f>SUM(I192:I206)</f>
        <v>1766</v>
      </c>
      <c r="J191" s="69">
        <f t="shared" ref="J191:BH191" si="617">SUM(J192:J206)</f>
        <v>1216</v>
      </c>
      <c r="K191" s="69">
        <f t="shared" si="617"/>
        <v>550</v>
      </c>
      <c r="L191" s="69">
        <f t="shared" si="617"/>
        <v>10700</v>
      </c>
      <c r="M191" s="69">
        <f t="shared" si="617"/>
        <v>150</v>
      </c>
      <c r="N191" s="69">
        <f t="shared" si="617"/>
        <v>100</v>
      </c>
      <c r="O191" s="69">
        <f t="shared" si="617"/>
        <v>50</v>
      </c>
      <c r="P191" s="69">
        <f t="shared" si="617"/>
        <v>105</v>
      </c>
      <c r="Q191" s="69">
        <f t="shared" si="617"/>
        <v>70</v>
      </c>
      <c r="R191" s="69">
        <f t="shared" si="617"/>
        <v>35</v>
      </c>
      <c r="S191" s="826">
        <f t="shared" si="617"/>
        <v>150</v>
      </c>
      <c r="T191" s="69">
        <f t="shared" si="617"/>
        <v>105</v>
      </c>
      <c r="U191" s="69">
        <f t="shared" si="617"/>
        <v>45</v>
      </c>
      <c r="V191" s="69">
        <f t="shared" si="617"/>
        <v>405</v>
      </c>
      <c r="W191" s="69">
        <f t="shared" si="617"/>
        <v>275</v>
      </c>
      <c r="X191" s="69">
        <f t="shared" si="617"/>
        <v>130</v>
      </c>
      <c r="Y191" s="69">
        <f t="shared" si="617"/>
        <v>150</v>
      </c>
      <c r="Z191" s="69">
        <f t="shared" si="617"/>
        <v>100</v>
      </c>
      <c r="AA191" s="69">
        <f t="shared" si="617"/>
        <v>50</v>
      </c>
      <c r="AB191" s="69">
        <f t="shared" si="617"/>
        <v>150</v>
      </c>
      <c r="AC191" s="69">
        <f t="shared" si="617"/>
        <v>100</v>
      </c>
      <c r="AD191" s="69">
        <f t="shared" si="617"/>
        <v>50</v>
      </c>
      <c r="AE191" s="69">
        <f t="shared" si="617"/>
        <v>116</v>
      </c>
      <c r="AF191" s="69">
        <f t="shared" si="617"/>
        <v>61</v>
      </c>
      <c r="AG191" s="69">
        <f t="shared" si="617"/>
        <v>55</v>
      </c>
      <c r="AH191" s="69">
        <f t="shared" si="617"/>
        <v>416</v>
      </c>
      <c r="AI191" s="69">
        <f t="shared" si="617"/>
        <v>261</v>
      </c>
      <c r="AJ191" s="69">
        <f t="shared" si="617"/>
        <v>155</v>
      </c>
      <c r="AK191" s="69">
        <f t="shared" si="617"/>
        <v>175</v>
      </c>
      <c r="AL191" s="69">
        <f t="shared" si="617"/>
        <v>55</v>
      </c>
      <c r="AM191" s="69">
        <f t="shared" si="617"/>
        <v>120</v>
      </c>
      <c r="AN191" s="69">
        <f t="shared" si="617"/>
        <v>170</v>
      </c>
      <c r="AO191" s="69">
        <f t="shared" si="617"/>
        <v>105</v>
      </c>
      <c r="AP191" s="69">
        <f t="shared" si="617"/>
        <v>65</v>
      </c>
      <c r="AQ191" s="69">
        <f t="shared" si="617"/>
        <v>150</v>
      </c>
      <c r="AR191" s="69">
        <f t="shared" si="617"/>
        <v>130</v>
      </c>
      <c r="AS191" s="69">
        <f t="shared" si="617"/>
        <v>20</v>
      </c>
      <c r="AT191" s="69">
        <f t="shared" si="617"/>
        <v>495</v>
      </c>
      <c r="AU191" s="69">
        <f t="shared" si="617"/>
        <v>290</v>
      </c>
      <c r="AV191" s="69">
        <f t="shared" si="617"/>
        <v>205</v>
      </c>
      <c r="AW191" s="69">
        <f t="shared" si="617"/>
        <v>150</v>
      </c>
      <c r="AX191" s="69">
        <f t="shared" si="617"/>
        <v>130</v>
      </c>
      <c r="AY191" s="69">
        <f t="shared" si="617"/>
        <v>20</v>
      </c>
      <c r="AZ191" s="69">
        <f t="shared" si="617"/>
        <v>150</v>
      </c>
      <c r="BA191" s="69">
        <f t="shared" si="617"/>
        <v>130</v>
      </c>
      <c r="BB191" s="69">
        <f t="shared" si="617"/>
        <v>20</v>
      </c>
      <c r="BC191" s="69">
        <f t="shared" si="617"/>
        <v>150</v>
      </c>
      <c r="BD191" s="69">
        <f t="shared" si="617"/>
        <v>130</v>
      </c>
      <c r="BE191" s="69">
        <f t="shared" si="617"/>
        <v>20</v>
      </c>
      <c r="BF191" s="69">
        <f t="shared" si="617"/>
        <v>450</v>
      </c>
      <c r="BG191" s="69">
        <f t="shared" si="617"/>
        <v>390</v>
      </c>
      <c r="BH191" s="69">
        <f t="shared" si="617"/>
        <v>60</v>
      </c>
      <c r="BI191" s="516"/>
      <c r="BJ191" s="488" t="str">
        <f t="shared" si="601"/>
        <v>ĐL</v>
      </c>
      <c r="BK191" s="57">
        <f>SUM(BK192:BK206)</f>
        <v>1000</v>
      </c>
      <c r="BL191" s="57">
        <f t="shared" ref="BL191:BZ191" si="618">SUM(BL192:BL206)</f>
        <v>700</v>
      </c>
      <c r="BM191" s="57">
        <f t="shared" si="618"/>
        <v>900</v>
      </c>
      <c r="BN191" s="57">
        <f t="shared" si="618"/>
        <v>2500</v>
      </c>
      <c r="BO191" s="57">
        <f t="shared" si="618"/>
        <v>1000</v>
      </c>
      <c r="BP191" s="57">
        <f t="shared" si="618"/>
        <v>1000</v>
      </c>
      <c r="BQ191" s="57">
        <f t="shared" si="618"/>
        <v>1100</v>
      </c>
      <c r="BR191" s="57">
        <f t="shared" si="618"/>
        <v>3000</v>
      </c>
      <c r="BS191" s="57">
        <f t="shared" si="618"/>
        <v>2400</v>
      </c>
      <c r="BT191" s="57">
        <f t="shared" si="618"/>
        <v>1300</v>
      </c>
      <c r="BU191" s="57">
        <f t="shared" si="618"/>
        <v>400</v>
      </c>
      <c r="BV191" s="57">
        <f t="shared" si="618"/>
        <v>4000</v>
      </c>
      <c r="BW191" s="57">
        <f t="shared" si="618"/>
        <v>400</v>
      </c>
      <c r="BX191" s="57">
        <f t="shared" si="618"/>
        <v>400</v>
      </c>
      <c r="BY191" s="57">
        <f t="shared" si="618"/>
        <v>400</v>
      </c>
      <c r="BZ191" s="57">
        <f t="shared" si="618"/>
        <v>1200</v>
      </c>
      <c r="CA191" s="517">
        <f>I191-V191-AH191-AT191-BF191</f>
        <v>0</v>
      </c>
      <c r="CB191" s="510" t="str">
        <f t="shared" si="397"/>
        <v>X</v>
      </c>
      <c r="CC191" s="509" t="str">
        <f t="shared" si="398"/>
        <v>BCG.</v>
      </c>
      <c r="CD191" s="509" t="str">
        <f t="shared" si="399"/>
        <v>BCG.</v>
      </c>
      <c r="CE191" s="351" t="str">
        <f t="shared" si="602"/>
        <v>ĐL</v>
      </c>
      <c r="CF191" s="509" t="str">
        <f t="shared" si="400"/>
        <v>BCG.ĐL</v>
      </c>
      <c r="CG191" s="509"/>
      <c r="CH191" s="509"/>
    </row>
    <row r="192" spans="1:86" ht="20.25" customHeight="1" x14ac:dyDescent="0.25">
      <c r="A192" s="354" t="e">
        <f>A191</f>
        <v>#REF!</v>
      </c>
      <c r="B192" s="518" t="s">
        <v>544</v>
      </c>
      <c r="C192" s="519" t="s">
        <v>767</v>
      </c>
      <c r="D192" s="447" t="s">
        <v>14</v>
      </c>
      <c r="E192" s="447" t="s">
        <v>873</v>
      </c>
      <c r="F192" s="447" t="s">
        <v>875</v>
      </c>
      <c r="G192" s="520">
        <v>22.2</v>
      </c>
      <c r="H192" s="521">
        <v>0.7</v>
      </c>
      <c r="I192" s="522">
        <f t="shared" ref="I192:I206" si="619">V192+AH192+AT192+BF192</f>
        <v>205</v>
      </c>
      <c r="J192" s="522">
        <f t="shared" ref="J192:J206" si="620">W192+AI192+AU192+BG192</f>
        <v>205</v>
      </c>
      <c r="K192" s="522">
        <f t="shared" ref="K192:K206" si="621">X192+AJ192+AV192+BH192</f>
        <v>0</v>
      </c>
      <c r="L192" s="57">
        <f t="shared" ref="L192:L206" si="622">BN192+BR192+BV192+BZ192</f>
        <v>0</v>
      </c>
      <c r="M192" s="60">
        <v>45</v>
      </c>
      <c r="N192" s="60">
        <v>45</v>
      </c>
      <c r="O192" s="60">
        <f>M192-N192</f>
        <v>0</v>
      </c>
      <c r="P192" s="60">
        <v>30</v>
      </c>
      <c r="Q192" s="60">
        <v>30</v>
      </c>
      <c r="R192" s="60">
        <f>P192-Q192</f>
        <v>0</v>
      </c>
      <c r="S192" s="824">
        <v>45</v>
      </c>
      <c r="T192" s="60">
        <v>45</v>
      </c>
      <c r="U192" s="60">
        <f>S192-T192</f>
        <v>0</v>
      </c>
      <c r="V192" s="60">
        <f t="shared" ref="V192:X193" si="623">M192+P192+S192</f>
        <v>120</v>
      </c>
      <c r="W192" s="60">
        <f t="shared" si="623"/>
        <v>120</v>
      </c>
      <c r="X192" s="60">
        <f t="shared" si="623"/>
        <v>0</v>
      </c>
      <c r="Y192" s="60">
        <v>45</v>
      </c>
      <c r="Z192" s="60">
        <v>45</v>
      </c>
      <c r="AA192" s="60">
        <f>Y192-Z192</f>
        <v>0</v>
      </c>
      <c r="AB192" s="60">
        <v>40</v>
      </c>
      <c r="AC192" s="60">
        <v>40</v>
      </c>
      <c r="AD192" s="60">
        <f>AB192-AC192</f>
        <v>0</v>
      </c>
      <c r="AE192" s="60"/>
      <c r="AF192" s="60"/>
      <c r="AG192" s="60">
        <f>AE192-AF192</f>
        <v>0</v>
      </c>
      <c r="AH192" s="60">
        <f t="shared" ref="AH192:AJ193" si="624">Y192+AB192+AE192</f>
        <v>85</v>
      </c>
      <c r="AI192" s="60">
        <f t="shared" si="624"/>
        <v>85</v>
      </c>
      <c r="AJ192" s="60">
        <f t="shared" si="624"/>
        <v>0</v>
      </c>
      <c r="AK192" s="60"/>
      <c r="AL192" s="60"/>
      <c r="AM192" s="60">
        <f>AK192-AL192</f>
        <v>0</v>
      </c>
      <c r="AN192" s="60"/>
      <c r="AO192" s="60"/>
      <c r="AP192" s="60">
        <f>AN192-AO192</f>
        <v>0</v>
      </c>
      <c r="AQ192" s="60"/>
      <c r="AR192" s="60"/>
      <c r="AS192" s="60">
        <f>AQ192-AR192</f>
        <v>0</v>
      </c>
      <c r="AT192" s="60">
        <f t="shared" ref="AT192:AV195" si="625">AK192+AN192+AQ192</f>
        <v>0</v>
      </c>
      <c r="AU192" s="60">
        <f t="shared" si="625"/>
        <v>0</v>
      </c>
      <c r="AV192" s="60">
        <f t="shared" si="625"/>
        <v>0</v>
      </c>
      <c r="AW192" s="60"/>
      <c r="AX192" s="60"/>
      <c r="AY192" s="60">
        <f>AW192-AX192</f>
        <v>0</v>
      </c>
      <c r="AZ192" s="60"/>
      <c r="BA192" s="60"/>
      <c r="BB192" s="60">
        <f>AZ192-BA192</f>
        <v>0</v>
      </c>
      <c r="BC192" s="60"/>
      <c r="BD192" s="60"/>
      <c r="BE192" s="60">
        <f>BC192-BD192</f>
        <v>0</v>
      </c>
      <c r="BF192" s="60">
        <f>AW192+AZ192+BC192</f>
        <v>0</v>
      </c>
      <c r="BG192" s="60">
        <f>AX192+BA192+BD192</f>
        <v>0</v>
      </c>
      <c r="BH192" s="60">
        <f>AY192+BB192+BE192</f>
        <v>0</v>
      </c>
      <c r="BI192" s="508"/>
      <c r="BJ192" s="488" t="str">
        <f t="shared" si="601"/>
        <v>Lò</v>
      </c>
      <c r="BK192" s="523">
        <f t="shared" ref="BK192:BK206" si="626">ROUND(O192*G192*$C$3*$B$5,-2)</f>
        <v>0</v>
      </c>
      <c r="BL192" s="523">
        <f t="shared" ref="BL192:BL206" si="627">ROUND(R192*G192*$C$3*$B$5,-2)</f>
        <v>0</v>
      </c>
      <c r="BM192" s="523">
        <f t="shared" ref="BM192:BM206" si="628">ROUND(U192*G192*$C$3*$B$5,-2)</f>
        <v>0</v>
      </c>
      <c r="BN192" s="523">
        <f t="shared" ref="BN192:BN206" si="629">ROUND(X192*G192*$C$3*$B$5,-2)</f>
        <v>0</v>
      </c>
      <c r="BO192" s="523">
        <f t="shared" ref="BO192:BO206" si="630">ROUND(AA192*G192*$C$3*$B$5,-2)</f>
        <v>0</v>
      </c>
      <c r="BP192" s="523">
        <f t="shared" ref="BP192:BP206" si="631">ROUND(AD192*G192*$C$3*$B$5,-2)</f>
        <v>0</v>
      </c>
      <c r="BQ192" s="523">
        <f t="shared" ref="BQ192:BQ206" si="632">ROUND(AG192*G192*$C$3*$B$5,-2)</f>
        <v>0</v>
      </c>
      <c r="BR192" s="523">
        <f t="shared" ref="BR192:BR206" si="633">ROUND(AJ192*G192*$B$5*$C$3,-2)</f>
        <v>0</v>
      </c>
      <c r="BS192" s="523">
        <f t="shared" ref="BS192:BS206" si="634">ROUND(AM192*G192*$C$3*$B$5,-2)</f>
        <v>0</v>
      </c>
      <c r="BT192" s="523">
        <f t="shared" ref="BT192:BT206" si="635">ROUND(AP192*G192*$C$3*$B$5,-2)</f>
        <v>0</v>
      </c>
      <c r="BU192" s="523">
        <f t="shared" ref="BU192:BU206" si="636">ROUND(AS192*G192*$C$3*$B$5,-2)</f>
        <v>0</v>
      </c>
      <c r="BV192" s="523">
        <f t="shared" ref="BV192:BV206" si="637">ROUND(AV192*G192*$C$3*$B$5,-2)</f>
        <v>0</v>
      </c>
      <c r="BW192" s="523">
        <f t="shared" ref="BW192:BW206" si="638">ROUND(AY192*G192*$C$3*$B$5,-2)</f>
        <v>0</v>
      </c>
      <c r="BX192" s="523">
        <f t="shared" ref="BX192:BX206" si="639">ROUND(BB192*G192*$C$3*$B$5,-2)</f>
        <v>0</v>
      </c>
      <c r="BY192" s="523">
        <f t="shared" ref="BY192:BY206" si="640">ROUND(BE192*G192*$C$3*$B$5,-2)</f>
        <v>0</v>
      </c>
      <c r="BZ192" s="523">
        <f t="shared" ref="BZ192:BZ206" si="641">ROUND(BH192*G192*$C$3*$B$5,-2)</f>
        <v>0</v>
      </c>
      <c r="CA192" s="354"/>
      <c r="CB192" s="354" t="str">
        <f t="shared" si="397"/>
        <v>X</v>
      </c>
      <c r="CC192" s="509" t="str">
        <f t="shared" si="398"/>
        <v>BCG.</v>
      </c>
      <c r="CD192" s="509" t="str">
        <f t="shared" si="399"/>
        <v>BCG.22,2</v>
      </c>
      <c r="CE192" s="351" t="str">
        <f t="shared" si="602"/>
        <v>Lò</v>
      </c>
      <c r="CF192" s="509" t="str">
        <f t="shared" si="400"/>
        <v>BCG.Lò</v>
      </c>
      <c r="CG192" s="509"/>
      <c r="CH192" s="509"/>
    </row>
    <row r="193" spans="1:86" ht="20.25" customHeight="1" x14ac:dyDescent="0.25">
      <c r="A193" s="354" t="e">
        <f>A192</f>
        <v>#REF!</v>
      </c>
      <c r="B193" s="518"/>
      <c r="C193" s="519" t="s">
        <v>761</v>
      </c>
      <c r="D193" s="447" t="s">
        <v>14</v>
      </c>
      <c r="E193" s="447" t="s">
        <v>873</v>
      </c>
      <c r="F193" s="447" t="s">
        <v>875</v>
      </c>
      <c r="G193" s="520">
        <v>17.899999999999999</v>
      </c>
      <c r="H193" s="521">
        <v>0.7</v>
      </c>
      <c r="I193" s="522">
        <f t="shared" ref="I193:K194" si="642">V193+AH193+AT193+BF193</f>
        <v>355</v>
      </c>
      <c r="J193" s="522">
        <f t="shared" si="642"/>
        <v>355</v>
      </c>
      <c r="K193" s="522">
        <f t="shared" si="642"/>
        <v>0</v>
      </c>
      <c r="L193" s="57">
        <f>BN193+BR193+BV193+BZ193</f>
        <v>0</v>
      </c>
      <c r="M193" s="60"/>
      <c r="N193" s="60"/>
      <c r="O193" s="60">
        <f>M193-N193</f>
        <v>0</v>
      </c>
      <c r="P193" s="60"/>
      <c r="Q193" s="60"/>
      <c r="R193" s="60">
        <f>P193-Q193</f>
        <v>0</v>
      </c>
      <c r="S193" s="824"/>
      <c r="T193" s="60"/>
      <c r="U193" s="60">
        <f>S193-T193</f>
        <v>0</v>
      </c>
      <c r="V193" s="60">
        <f t="shared" si="623"/>
        <v>0</v>
      </c>
      <c r="W193" s="60">
        <f t="shared" si="623"/>
        <v>0</v>
      </c>
      <c r="X193" s="60">
        <f t="shared" si="623"/>
        <v>0</v>
      </c>
      <c r="Y193" s="60"/>
      <c r="Z193" s="60"/>
      <c r="AA193" s="60">
        <f>Y193-Z193</f>
        <v>0</v>
      </c>
      <c r="AB193" s="60">
        <v>5</v>
      </c>
      <c r="AC193" s="60">
        <v>5</v>
      </c>
      <c r="AD193" s="60">
        <f>AB193-AC193</f>
        <v>0</v>
      </c>
      <c r="AE193" s="60">
        <v>50</v>
      </c>
      <c r="AF193" s="60">
        <v>50</v>
      </c>
      <c r="AG193" s="60">
        <f>AE193-AF193</f>
        <v>0</v>
      </c>
      <c r="AH193" s="60">
        <f t="shared" si="624"/>
        <v>55</v>
      </c>
      <c r="AI193" s="60">
        <f t="shared" si="624"/>
        <v>55</v>
      </c>
      <c r="AJ193" s="60">
        <f t="shared" si="624"/>
        <v>0</v>
      </c>
      <c r="AK193" s="60">
        <v>50</v>
      </c>
      <c r="AL193" s="60">
        <v>50</v>
      </c>
      <c r="AM193" s="60">
        <f>AK193-AL193</f>
        <v>0</v>
      </c>
      <c r="AN193" s="60">
        <v>50</v>
      </c>
      <c r="AO193" s="60">
        <v>50</v>
      </c>
      <c r="AP193" s="60">
        <f>AN193-AO193</f>
        <v>0</v>
      </c>
      <c r="AQ193" s="60">
        <v>50</v>
      </c>
      <c r="AR193" s="60">
        <v>50</v>
      </c>
      <c r="AS193" s="60">
        <f>AQ193-AR193</f>
        <v>0</v>
      </c>
      <c r="AT193" s="60">
        <f t="shared" si="625"/>
        <v>150</v>
      </c>
      <c r="AU193" s="60">
        <f t="shared" si="625"/>
        <v>150</v>
      </c>
      <c r="AV193" s="60">
        <f t="shared" si="625"/>
        <v>0</v>
      </c>
      <c r="AW193" s="60">
        <v>50</v>
      </c>
      <c r="AX193" s="60">
        <v>50</v>
      </c>
      <c r="AY193" s="60">
        <f>AW193-AX193</f>
        <v>0</v>
      </c>
      <c r="AZ193" s="60">
        <v>50</v>
      </c>
      <c r="BA193" s="60">
        <v>50</v>
      </c>
      <c r="BB193" s="60">
        <f>AZ193-BA193</f>
        <v>0</v>
      </c>
      <c r="BC193" s="60">
        <v>50</v>
      </c>
      <c r="BD193" s="60">
        <v>50</v>
      </c>
      <c r="BE193" s="60">
        <f>BC193-BD193</f>
        <v>0</v>
      </c>
      <c r="BF193" s="60">
        <f t="shared" ref="BF193:BF198" si="643">AW193+AZ193+BC193</f>
        <v>150</v>
      </c>
      <c r="BG193" s="60">
        <f t="shared" ref="BG193:BG198" si="644">AX193+BA193+BD193</f>
        <v>150</v>
      </c>
      <c r="BH193" s="60">
        <f t="shared" ref="BH193:BH198" si="645">AY193+BB193+BE193</f>
        <v>0</v>
      </c>
      <c r="BI193" s="508"/>
      <c r="BJ193" s="488" t="str">
        <f t="shared" si="601"/>
        <v>Lò</v>
      </c>
      <c r="BK193" s="523">
        <f t="shared" si="626"/>
        <v>0</v>
      </c>
      <c r="BL193" s="523">
        <f t="shared" si="627"/>
        <v>0</v>
      </c>
      <c r="BM193" s="523">
        <f t="shared" si="628"/>
        <v>0</v>
      </c>
      <c r="BN193" s="523">
        <f t="shared" si="629"/>
        <v>0</v>
      </c>
      <c r="BO193" s="523">
        <f t="shared" si="630"/>
        <v>0</v>
      </c>
      <c r="BP193" s="523">
        <f t="shared" si="631"/>
        <v>0</v>
      </c>
      <c r="BQ193" s="523">
        <f t="shared" si="632"/>
        <v>0</v>
      </c>
      <c r="BR193" s="523">
        <f t="shared" si="633"/>
        <v>0</v>
      </c>
      <c r="BS193" s="523">
        <f t="shared" si="634"/>
        <v>0</v>
      </c>
      <c r="BT193" s="523">
        <f t="shared" si="635"/>
        <v>0</v>
      </c>
      <c r="BU193" s="523">
        <f t="shared" si="636"/>
        <v>0</v>
      </c>
      <c r="BV193" s="523">
        <f t="shared" si="637"/>
        <v>0</v>
      </c>
      <c r="BW193" s="523">
        <f t="shared" si="638"/>
        <v>0</v>
      </c>
      <c r="BX193" s="523">
        <f t="shared" si="639"/>
        <v>0</v>
      </c>
      <c r="BY193" s="523">
        <f t="shared" si="640"/>
        <v>0</v>
      </c>
      <c r="BZ193" s="523">
        <f t="shared" si="641"/>
        <v>0</v>
      </c>
      <c r="CA193" s="354"/>
      <c r="CB193" s="354" t="str">
        <f>IF(SUM(I193:L193)&lt;&gt;0,"X")</f>
        <v>X</v>
      </c>
      <c r="CC193" s="509" t="str">
        <f t="shared" si="398"/>
        <v>BCG.</v>
      </c>
      <c r="CD193" s="509" t="str">
        <f>CC193&amp;G193</f>
        <v>BCG.17,9</v>
      </c>
      <c r="CE193" s="351" t="str">
        <f t="shared" si="602"/>
        <v>Lò</v>
      </c>
      <c r="CF193" s="509" t="str">
        <f>CC193&amp;CE193</f>
        <v>BCG.Lò</v>
      </c>
      <c r="CG193" s="509"/>
      <c r="CH193" s="509"/>
    </row>
    <row r="194" spans="1:86" ht="24" customHeight="1" x14ac:dyDescent="0.25">
      <c r="A194" s="354" t="e">
        <f>A185</f>
        <v>#REF!</v>
      </c>
      <c r="B194" s="518"/>
      <c r="C194" s="519"/>
      <c r="D194" s="447" t="s">
        <v>14</v>
      </c>
      <c r="E194" s="447"/>
      <c r="F194" s="447"/>
      <c r="G194" s="520">
        <v>11.2</v>
      </c>
      <c r="H194" s="521">
        <v>0.7</v>
      </c>
      <c r="I194" s="522">
        <f t="shared" si="642"/>
        <v>0</v>
      </c>
      <c r="J194" s="522">
        <f t="shared" si="642"/>
        <v>0</v>
      </c>
      <c r="K194" s="522">
        <f t="shared" si="642"/>
        <v>0</v>
      </c>
      <c r="L194" s="57">
        <f>BN194+BR194+BV194+BZ194</f>
        <v>0</v>
      </c>
      <c r="M194" s="60"/>
      <c r="N194" s="60"/>
      <c r="O194" s="60">
        <f>M194-N194</f>
        <v>0</v>
      </c>
      <c r="P194" s="60"/>
      <c r="Q194" s="60"/>
      <c r="R194" s="60">
        <f>P194-Q194</f>
        <v>0</v>
      </c>
      <c r="S194" s="824"/>
      <c r="T194" s="60"/>
      <c r="U194" s="60">
        <f>S194-T194</f>
        <v>0</v>
      </c>
      <c r="V194" s="60">
        <f t="shared" ref="V194:V205" si="646">M194+P194+S194</f>
        <v>0</v>
      </c>
      <c r="W194" s="60">
        <f t="shared" ref="W194:W205" si="647">N194+Q194+T194</f>
        <v>0</v>
      </c>
      <c r="X194" s="60">
        <f t="shared" ref="X194:X205" si="648">O194+R194+U194</f>
        <v>0</v>
      </c>
      <c r="Y194" s="60"/>
      <c r="Z194" s="60"/>
      <c r="AA194" s="60">
        <f>Y194-Z194</f>
        <v>0</v>
      </c>
      <c r="AB194" s="60"/>
      <c r="AC194" s="60"/>
      <c r="AD194" s="60">
        <f>AB194-AC194</f>
        <v>0</v>
      </c>
      <c r="AE194" s="60"/>
      <c r="AF194" s="60"/>
      <c r="AG194" s="60">
        <f>AE194-AF194</f>
        <v>0</v>
      </c>
      <c r="AH194" s="60"/>
      <c r="AI194" s="60"/>
      <c r="AJ194" s="60"/>
      <c r="AK194" s="60"/>
      <c r="AL194" s="60"/>
      <c r="AM194" s="60">
        <f>AK194-AL194</f>
        <v>0</v>
      </c>
      <c r="AN194" s="60"/>
      <c r="AO194" s="60"/>
      <c r="AP194" s="60">
        <f>AN194-AO194</f>
        <v>0</v>
      </c>
      <c r="AQ194" s="60"/>
      <c r="AR194" s="60"/>
      <c r="AS194" s="60">
        <f>AQ194-AR194</f>
        <v>0</v>
      </c>
      <c r="AT194" s="60">
        <f t="shared" si="625"/>
        <v>0</v>
      </c>
      <c r="AU194" s="60">
        <f t="shared" si="625"/>
        <v>0</v>
      </c>
      <c r="AV194" s="60">
        <f t="shared" si="625"/>
        <v>0</v>
      </c>
      <c r="AW194" s="60"/>
      <c r="AX194" s="60"/>
      <c r="AY194" s="60">
        <f>AW194-AX194</f>
        <v>0</v>
      </c>
      <c r="AZ194" s="60"/>
      <c r="BA194" s="60"/>
      <c r="BB194" s="60">
        <f>AZ194-BA194</f>
        <v>0</v>
      </c>
      <c r="BC194" s="60"/>
      <c r="BD194" s="60"/>
      <c r="BE194" s="60">
        <f>BC194-BD194</f>
        <v>0</v>
      </c>
      <c r="BF194" s="60">
        <f t="shared" si="643"/>
        <v>0</v>
      </c>
      <c r="BG194" s="60">
        <f t="shared" si="644"/>
        <v>0</v>
      </c>
      <c r="BH194" s="60">
        <f t="shared" si="645"/>
        <v>0</v>
      </c>
      <c r="BI194" s="508"/>
      <c r="BJ194" s="488" t="str">
        <f t="shared" si="601"/>
        <v/>
      </c>
      <c r="BK194" s="523">
        <f t="shared" si="626"/>
        <v>0</v>
      </c>
      <c r="BL194" s="523">
        <f t="shared" si="627"/>
        <v>0</v>
      </c>
      <c r="BM194" s="523">
        <f t="shared" si="628"/>
        <v>0</v>
      </c>
      <c r="BN194" s="523">
        <f t="shared" si="629"/>
        <v>0</v>
      </c>
      <c r="BO194" s="523">
        <f t="shared" si="630"/>
        <v>0</v>
      </c>
      <c r="BP194" s="523">
        <f t="shared" si="631"/>
        <v>0</v>
      </c>
      <c r="BQ194" s="523">
        <f t="shared" si="632"/>
        <v>0</v>
      </c>
      <c r="BR194" s="523">
        <f t="shared" si="633"/>
        <v>0</v>
      </c>
      <c r="BS194" s="523">
        <f t="shared" si="634"/>
        <v>0</v>
      </c>
      <c r="BT194" s="523">
        <f t="shared" si="635"/>
        <v>0</v>
      </c>
      <c r="BU194" s="523">
        <f t="shared" si="636"/>
        <v>0</v>
      </c>
      <c r="BV194" s="523">
        <f t="shared" si="637"/>
        <v>0</v>
      </c>
      <c r="BW194" s="523">
        <f t="shared" si="638"/>
        <v>0</v>
      </c>
      <c r="BX194" s="523">
        <f t="shared" si="639"/>
        <v>0</v>
      </c>
      <c r="BY194" s="523">
        <f t="shared" si="640"/>
        <v>0</v>
      </c>
      <c r="BZ194" s="523">
        <f t="shared" si="641"/>
        <v>0</v>
      </c>
      <c r="CA194" s="354"/>
      <c r="CB194" s="354" t="b">
        <f>IF(SUM(I194:L194)&lt;&gt;0,"X")</f>
        <v>0</v>
      </c>
      <c r="CC194" s="509" t="str">
        <f t="shared" si="398"/>
        <v>BCG.</v>
      </c>
      <c r="CD194" s="509" t="str">
        <f>CC194&amp;G194</f>
        <v>BCG.11,2</v>
      </c>
      <c r="CE194" s="351" t="str">
        <f t="shared" si="602"/>
        <v/>
      </c>
      <c r="CF194" s="509" t="str">
        <f>CC194&amp;CE194</f>
        <v>BCG.</v>
      </c>
      <c r="CG194" s="509"/>
      <c r="CH194" s="509"/>
    </row>
    <row r="195" spans="1:86" ht="39.75" customHeight="1" x14ac:dyDescent="0.25">
      <c r="A195" s="354" t="e">
        <f>A192</f>
        <v>#REF!</v>
      </c>
      <c r="B195" s="518" t="s">
        <v>545</v>
      </c>
      <c r="C195" s="542" t="s">
        <v>751</v>
      </c>
      <c r="D195" s="447" t="s">
        <v>14</v>
      </c>
      <c r="E195" s="447"/>
      <c r="F195" s="447" t="s">
        <v>875</v>
      </c>
      <c r="G195" s="520">
        <v>22</v>
      </c>
      <c r="H195" s="521">
        <v>0.5</v>
      </c>
      <c r="I195" s="522">
        <f t="shared" si="619"/>
        <v>171</v>
      </c>
      <c r="J195" s="522">
        <f t="shared" si="620"/>
        <v>171</v>
      </c>
      <c r="K195" s="522">
        <f t="shared" si="621"/>
        <v>0</v>
      </c>
      <c r="L195" s="57">
        <f t="shared" si="622"/>
        <v>0</v>
      </c>
      <c r="M195" s="60"/>
      <c r="N195" s="60"/>
      <c r="O195" s="60">
        <f>M195-N195</f>
        <v>0</v>
      </c>
      <c r="P195" s="60">
        <v>30</v>
      </c>
      <c r="Q195" s="60">
        <v>30</v>
      </c>
      <c r="R195" s="60">
        <f>P195-Q195</f>
        <v>0</v>
      </c>
      <c r="S195" s="824">
        <v>45</v>
      </c>
      <c r="T195" s="60">
        <v>45</v>
      </c>
      <c r="U195" s="60">
        <f>S195-T195</f>
        <v>0</v>
      </c>
      <c r="V195" s="60">
        <f t="shared" si="646"/>
        <v>75</v>
      </c>
      <c r="W195" s="60">
        <f t="shared" si="647"/>
        <v>75</v>
      </c>
      <c r="X195" s="60">
        <f t="shared" si="648"/>
        <v>0</v>
      </c>
      <c r="Y195" s="60">
        <v>45</v>
      </c>
      <c r="Z195" s="60">
        <v>45</v>
      </c>
      <c r="AA195" s="60">
        <f>Y195-Z195</f>
        <v>0</v>
      </c>
      <c r="AB195" s="60">
        <v>45</v>
      </c>
      <c r="AC195" s="60">
        <v>45</v>
      </c>
      <c r="AD195" s="60">
        <f>AB195-AC195</f>
        <v>0</v>
      </c>
      <c r="AE195" s="60">
        <v>6</v>
      </c>
      <c r="AF195" s="60">
        <v>6</v>
      </c>
      <c r="AG195" s="60">
        <f>AE195-AF195</f>
        <v>0</v>
      </c>
      <c r="AH195" s="60">
        <f>Y195+AB195+AE195</f>
        <v>96</v>
      </c>
      <c r="AI195" s="60">
        <f>Z195+AC195+AF195</f>
        <v>96</v>
      </c>
      <c r="AJ195" s="60">
        <f>AA195+AD195+AG195</f>
        <v>0</v>
      </c>
      <c r="AK195" s="60"/>
      <c r="AL195" s="60"/>
      <c r="AM195" s="60">
        <f>AK195-AL195</f>
        <v>0</v>
      </c>
      <c r="AN195" s="60"/>
      <c r="AO195" s="60"/>
      <c r="AP195" s="60">
        <f>AN195-AO195</f>
        <v>0</v>
      </c>
      <c r="AQ195" s="60"/>
      <c r="AR195" s="60"/>
      <c r="AS195" s="60">
        <f>AQ195-AR195</f>
        <v>0</v>
      </c>
      <c r="AT195" s="60">
        <f t="shared" si="625"/>
        <v>0</v>
      </c>
      <c r="AU195" s="60">
        <f t="shared" si="625"/>
        <v>0</v>
      </c>
      <c r="AV195" s="60">
        <f t="shared" si="625"/>
        <v>0</v>
      </c>
      <c r="AW195" s="60"/>
      <c r="AX195" s="60"/>
      <c r="AY195" s="60">
        <f>AW195-AX195</f>
        <v>0</v>
      </c>
      <c r="AZ195" s="60"/>
      <c r="BA195" s="60"/>
      <c r="BB195" s="60">
        <f>AZ195-BA195</f>
        <v>0</v>
      </c>
      <c r="BC195" s="60"/>
      <c r="BD195" s="60"/>
      <c r="BE195" s="60">
        <f>BC195-BD195</f>
        <v>0</v>
      </c>
      <c r="BF195" s="60">
        <f t="shared" si="643"/>
        <v>0</v>
      </c>
      <c r="BG195" s="60">
        <f t="shared" si="644"/>
        <v>0</v>
      </c>
      <c r="BH195" s="60">
        <f t="shared" si="645"/>
        <v>0</v>
      </c>
      <c r="BI195" s="508"/>
      <c r="BJ195" s="488" t="str">
        <f t="shared" si="601"/>
        <v>Lò</v>
      </c>
      <c r="BK195" s="523">
        <f t="shared" si="626"/>
        <v>0</v>
      </c>
      <c r="BL195" s="523">
        <f t="shared" si="627"/>
        <v>0</v>
      </c>
      <c r="BM195" s="523">
        <f t="shared" si="628"/>
        <v>0</v>
      </c>
      <c r="BN195" s="523">
        <f t="shared" si="629"/>
        <v>0</v>
      </c>
      <c r="BO195" s="523">
        <f t="shared" si="630"/>
        <v>0</v>
      </c>
      <c r="BP195" s="523">
        <f t="shared" si="631"/>
        <v>0</v>
      </c>
      <c r="BQ195" s="523">
        <f t="shared" si="632"/>
        <v>0</v>
      </c>
      <c r="BR195" s="523">
        <f t="shared" si="633"/>
        <v>0</v>
      </c>
      <c r="BS195" s="523">
        <f t="shared" si="634"/>
        <v>0</v>
      </c>
      <c r="BT195" s="523">
        <f t="shared" si="635"/>
        <v>0</v>
      </c>
      <c r="BU195" s="523">
        <f t="shared" si="636"/>
        <v>0</v>
      </c>
      <c r="BV195" s="523">
        <f t="shared" si="637"/>
        <v>0</v>
      </c>
      <c r="BW195" s="523">
        <f t="shared" si="638"/>
        <v>0</v>
      </c>
      <c r="BX195" s="523">
        <f t="shared" si="639"/>
        <v>0</v>
      </c>
      <c r="BY195" s="523">
        <f t="shared" si="640"/>
        <v>0</v>
      </c>
      <c r="BZ195" s="523">
        <f t="shared" si="641"/>
        <v>0</v>
      </c>
      <c r="CA195" s="354"/>
      <c r="CB195" s="354" t="str">
        <f>IF(SUM(I195:L195)&lt;&gt;0,"X")</f>
        <v>X</v>
      </c>
      <c r="CC195" s="509" t="str">
        <f>CC194</f>
        <v>BCG.</v>
      </c>
      <c r="CD195" s="509" t="str">
        <f>CC195&amp;G195</f>
        <v>BCG.22</v>
      </c>
      <c r="CE195" s="351" t="str">
        <f t="shared" si="602"/>
        <v>Lò</v>
      </c>
      <c r="CF195" s="509" t="str">
        <f>CC195&amp;CE195</f>
        <v>BCG.Lò</v>
      </c>
      <c r="CG195" s="509"/>
      <c r="CH195" s="509"/>
    </row>
    <row r="196" spans="1:86" ht="37.5" customHeight="1" x14ac:dyDescent="0.25">
      <c r="A196" s="354"/>
      <c r="B196" s="518"/>
      <c r="C196" s="542" t="s">
        <v>766</v>
      </c>
      <c r="D196" s="447"/>
      <c r="E196" s="447"/>
      <c r="F196" s="447"/>
      <c r="G196" s="520"/>
      <c r="H196" s="521"/>
      <c r="I196" s="522"/>
      <c r="J196" s="522"/>
      <c r="K196" s="522"/>
      <c r="L196" s="57"/>
      <c r="M196" s="60"/>
      <c r="N196" s="60"/>
      <c r="O196" s="60"/>
      <c r="P196" s="60"/>
      <c r="Q196" s="60"/>
      <c r="R196" s="60"/>
      <c r="S196" s="824"/>
      <c r="T196" s="60"/>
      <c r="U196" s="60"/>
      <c r="V196" s="60">
        <f t="shared" si="646"/>
        <v>0</v>
      </c>
      <c r="W196" s="60">
        <f t="shared" si="647"/>
        <v>0</v>
      </c>
      <c r="X196" s="60">
        <f t="shared" si="648"/>
        <v>0</v>
      </c>
      <c r="Y196" s="60"/>
      <c r="Z196" s="60"/>
      <c r="AA196" s="60"/>
      <c r="AB196" s="60"/>
      <c r="AC196" s="60"/>
      <c r="AD196" s="60"/>
      <c r="AE196" s="60"/>
      <c r="AF196" s="60"/>
      <c r="AG196" s="60"/>
      <c r="AH196" s="60">
        <f t="shared" ref="AH196:AH201" si="649">Y196+AB196+AE196</f>
        <v>0</v>
      </c>
      <c r="AI196" s="60">
        <f t="shared" ref="AI196:AI201" si="650">Z196+AC196+AF196</f>
        <v>0</v>
      </c>
      <c r="AJ196" s="60">
        <f t="shared" ref="AJ196:AJ201" si="651">AA196+AD196+AG196</f>
        <v>0</v>
      </c>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508"/>
      <c r="BJ196" s="488"/>
      <c r="BK196" s="523"/>
      <c r="BL196" s="523"/>
      <c r="BM196" s="523"/>
      <c r="BN196" s="523"/>
      <c r="BO196" s="523"/>
      <c r="BP196" s="523"/>
      <c r="BQ196" s="523"/>
      <c r="BR196" s="523"/>
      <c r="BS196" s="523"/>
      <c r="BT196" s="523"/>
      <c r="BU196" s="523"/>
      <c r="BV196" s="523"/>
      <c r="BW196" s="523"/>
      <c r="BX196" s="523"/>
      <c r="BY196" s="523"/>
      <c r="BZ196" s="523"/>
      <c r="CA196" s="354"/>
      <c r="CB196" s="354"/>
      <c r="CC196" s="509"/>
      <c r="CD196" s="509"/>
      <c r="CF196" s="509"/>
      <c r="CG196" s="509"/>
      <c r="CH196" s="509"/>
    </row>
    <row r="197" spans="1:86" ht="22.5" customHeight="1" x14ac:dyDescent="0.25">
      <c r="A197" s="354" t="e">
        <f>A195</f>
        <v>#REF!</v>
      </c>
      <c r="B197" s="518"/>
      <c r="C197" s="519" t="s">
        <v>747</v>
      </c>
      <c r="D197" s="447" t="s">
        <v>14</v>
      </c>
      <c r="E197" s="447"/>
      <c r="F197" s="447"/>
      <c r="G197" s="520">
        <v>13.1</v>
      </c>
      <c r="H197" s="521">
        <v>0.5</v>
      </c>
      <c r="I197" s="522">
        <f t="shared" si="619"/>
        <v>45</v>
      </c>
      <c r="J197" s="522">
        <f t="shared" si="620"/>
        <v>45</v>
      </c>
      <c r="K197" s="522">
        <f t="shared" si="621"/>
        <v>0</v>
      </c>
      <c r="L197" s="57">
        <f t="shared" si="622"/>
        <v>0</v>
      </c>
      <c r="M197" s="60">
        <v>45</v>
      </c>
      <c r="N197" s="60">
        <v>45</v>
      </c>
      <c r="O197" s="60">
        <f t="shared" ref="O197:O206" si="652">M197-N197</f>
        <v>0</v>
      </c>
      <c r="P197" s="60"/>
      <c r="Q197" s="60"/>
      <c r="R197" s="60">
        <f t="shared" ref="R197:R206" si="653">P197-Q197</f>
        <v>0</v>
      </c>
      <c r="S197" s="824"/>
      <c r="T197" s="60"/>
      <c r="U197" s="60">
        <f t="shared" ref="U197:U206" si="654">S197-T197</f>
        <v>0</v>
      </c>
      <c r="V197" s="60">
        <f t="shared" si="646"/>
        <v>45</v>
      </c>
      <c r="W197" s="60">
        <f t="shared" si="647"/>
        <v>45</v>
      </c>
      <c r="X197" s="60">
        <f t="shared" si="648"/>
        <v>0</v>
      </c>
      <c r="Y197" s="60"/>
      <c r="Z197" s="60"/>
      <c r="AA197" s="60">
        <f t="shared" ref="AA197:AA206" si="655">Y197-Z197</f>
        <v>0</v>
      </c>
      <c r="AB197" s="60"/>
      <c r="AC197" s="60"/>
      <c r="AD197" s="60">
        <f t="shared" ref="AD197:AD206" si="656">AB197-AC197</f>
        <v>0</v>
      </c>
      <c r="AE197" s="60"/>
      <c r="AF197" s="60"/>
      <c r="AG197" s="60">
        <f t="shared" ref="AG197:AG206" si="657">AE197-AF197</f>
        <v>0</v>
      </c>
      <c r="AH197" s="60">
        <f t="shared" si="649"/>
        <v>0</v>
      </c>
      <c r="AI197" s="60">
        <f t="shared" si="650"/>
        <v>0</v>
      </c>
      <c r="AJ197" s="60">
        <f t="shared" si="651"/>
        <v>0</v>
      </c>
      <c r="AK197" s="60"/>
      <c r="AL197" s="60"/>
      <c r="AM197" s="60">
        <f t="shared" ref="AM197:AM206" si="658">AK197-AL197</f>
        <v>0</v>
      </c>
      <c r="AN197" s="60"/>
      <c r="AO197" s="60"/>
      <c r="AP197" s="60">
        <f t="shared" ref="AP197:AP206" si="659">AN197-AO197</f>
        <v>0</v>
      </c>
      <c r="AQ197" s="60"/>
      <c r="AR197" s="60"/>
      <c r="AS197" s="60">
        <f t="shared" ref="AS197:AS206" si="660">AQ197-AR197</f>
        <v>0</v>
      </c>
      <c r="AT197" s="60">
        <f>AK197+AN197+AQ197</f>
        <v>0</v>
      </c>
      <c r="AU197" s="60">
        <f>AL197+AO197+AR197</f>
        <v>0</v>
      </c>
      <c r="AV197" s="60">
        <f>AM197+AP197+AS197</f>
        <v>0</v>
      </c>
      <c r="AW197" s="60"/>
      <c r="AX197" s="60"/>
      <c r="AY197" s="60">
        <f t="shared" ref="AY197:AY206" si="661">AW197-AX197</f>
        <v>0</v>
      </c>
      <c r="AZ197" s="60"/>
      <c r="BA197" s="60"/>
      <c r="BB197" s="60">
        <f t="shared" ref="BB197:BB206" si="662">AZ197-BA197</f>
        <v>0</v>
      </c>
      <c r="BC197" s="60"/>
      <c r="BD197" s="60"/>
      <c r="BE197" s="60">
        <f t="shared" ref="BE197:BE206" si="663">BC197-BD197</f>
        <v>0</v>
      </c>
      <c r="BF197" s="60">
        <f t="shared" si="643"/>
        <v>0</v>
      </c>
      <c r="BG197" s="60">
        <f t="shared" si="644"/>
        <v>0</v>
      </c>
      <c r="BH197" s="60">
        <f t="shared" si="645"/>
        <v>0</v>
      </c>
      <c r="BI197" s="508"/>
      <c r="BJ197" s="488" t="str">
        <f t="shared" ref="BJ197:BJ260" si="664">LEFT(C197,2)</f>
        <v>Lò</v>
      </c>
      <c r="BK197" s="523">
        <f t="shared" si="626"/>
        <v>0</v>
      </c>
      <c r="BL197" s="523">
        <f t="shared" si="627"/>
        <v>0</v>
      </c>
      <c r="BM197" s="523">
        <f t="shared" si="628"/>
        <v>0</v>
      </c>
      <c r="BN197" s="523">
        <f t="shared" si="629"/>
        <v>0</v>
      </c>
      <c r="BO197" s="523">
        <f t="shared" si="630"/>
        <v>0</v>
      </c>
      <c r="BP197" s="523">
        <f t="shared" si="631"/>
        <v>0</v>
      </c>
      <c r="BQ197" s="523">
        <f t="shared" si="632"/>
        <v>0</v>
      </c>
      <c r="BR197" s="523">
        <f t="shared" si="633"/>
        <v>0</v>
      </c>
      <c r="BS197" s="523">
        <f t="shared" si="634"/>
        <v>0</v>
      </c>
      <c r="BT197" s="523">
        <f t="shared" si="635"/>
        <v>0</v>
      </c>
      <c r="BU197" s="523">
        <f t="shared" si="636"/>
        <v>0</v>
      </c>
      <c r="BV197" s="523">
        <f t="shared" si="637"/>
        <v>0</v>
      </c>
      <c r="BW197" s="523">
        <f t="shared" si="638"/>
        <v>0</v>
      </c>
      <c r="BX197" s="523">
        <f t="shared" si="639"/>
        <v>0</v>
      </c>
      <c r="BY197" s="523">
        <f t="shared" si="640"/>
        <v>0</v>
      </c>
      <c r="BZ197" s="523">
        <f t="shared" si="641"/>
        <v>0</v>
      </c>
      <c r="CA197" s="354"/>
      <c r="CB197" s="354" t="str">
        <f t="shared" si="397"/>
        <v>X</v>
      </c>
      <c r="CC197" s="509" t="str">
        <f>CC195</f>
        <v>BCG.</v>
      </c>
      <c r="CD197" s="509" t="str">
        <f t="shared" si="399"/>
        <v>BCG.13,1</v>
      </c>
      <c r="CE197" s="351" t="str">
        <f t="shared" ref="CE197:CE260" si="665">LEFT(C197,2)</f>
        <v>Lò</v>
      </c>
      <c r="CF197" s="509" t="str">
        <f t="shared" si="400"/>
        <v>BCG.Lò</v>
      </c>
      <c r="CG197" s="509"/>
      <c r="CH197" s="509"/>
    </row>
    <row r="198" spans="1:86" ht="24" customHeight="1" x14ac:dyDescent="0.25">
      <c r="A198" s="354" t="e">
        <f>A186</f>
        <v>#REF!</v>
      </c>
      <c r="B198" s="518"/>
      <c r="C198" s="519" t="s">
        <v>768</v>
      </c>
      <c r="D198" s="447" t="s">
        <v>14</v>
      </c>
      <c r="E198" s="447"/>
      <c r="F198" s="447"/>
      <c r="G198" s="520">
        <v>16.100000000000001</v>
      </c>
      <c r="H198" s="521">
        <v>0.7</v>
      </c>
      <c r="I198" s="522">
        <f>V198+AH198+AT198+BF198</f>
        <v>25</v>
      </c>
      <c r="J198" s="522">
        <f>W198+AI198+AU198+BG198</f>
        <v>0</v>
      </c>
      <c r="K198" s="522">
        <f>X198+AJ198+AV198+BH198</f>
        <v>25</v>
      </c>
      <c r="L198" s="57">
        <f>BN198+BR198+BV198+BZ198</f>
        <v>500</v>
      </c>
      <c r="M198" s="60"/>
      <c r="N198" s="60"/>
      <c r="O198" s="60">
        <f>M198-N198</f>
        <v>0</v>
      </c>
      <c r="P198" s="60"/>
      <c r="Q198" s="60"/>
      <c r="R198" s="60">
        <f>P198-Q198</f>
        <v>0</v>
      </c>
      <c r="S198" s="824"/>
      <c r="T198" s="60"/>
      <c r="U198" s="60">
        <f>S198-T198</f>
        <v>0</v>
      </c>
      <c r="V198" s="60">
        <f t="shared" si="646"/>
        <v>0</v>
      </c>
      <c r="W198" s="60">
        <f t="shared" si="647"/>
        <v>0</v>
      </c>
      <c r="X198" s="60">
        <f t="shared" si="648"/>
        <v>0</v>
      </c>
      <c r="Y198" s="60"/>
      <c r="Z198" s="60"/>
      <c r="AA198" s="60">
        <f>Y198-Z198</f>
        <v>0</v>
      </c>
      <c r="AB198" s="60"/>
      <c r="AC198" s="60"/>
      <c r="AD198" s="60">
        <f>AB198-AC198</f>
        <v>0</v>
      </c>
      <c r="AE198" s="60"/>
      <c r="AF198" s="60"/>
      <c r="AG198" s="60">
        <f>AE198-AF198</f>
        <v>0</v>
      </c>
      <c r="AH198" s="60">
        <f t="shared" si="649"/>
        <v>0</v>
      </c>
      <c r="AI198" s="60">
        <f t="shared" si="650"/>
        <v>0</v>
      </c>
      <c r="AJ198" s="60">
        <f t="shared" si="651"/>
        <v>0</v>
      </c>
      <c r="AK198" s="60">
        <v>25</v>
      </c>
      <c r="AL198" s="60"/>
      <c r="AM198" s="60">
        <f>AK198-AL198</f>
        <v>25</v>
      </c>
      <c r="AN198" s="60"/>
      <c r="AO198" s="60"/>
      <c r="AP198" s="60">
        <f>AN198-AO198</f>
        <v>0</v>
      </c>
      <c r="AQ198" s="60"/>
      <c r="AR198" s="60"/>
      <c r="AS198" s="60">
        <f>AQ198-AR198</f>
        <v>0</v>
      </c>
      <c r="AT198" s="60">
        <f t="shared" ref="AT198:AT203" si="666">AK198+AN198+AQ198</f>
        <v>25</v>
      </c>
      <c r="AU198" s="60">
        <f t="shared" ref="AU198:AU203" si="667">AL198+AO198+AR198</f>
        <v>0</v>
      </c>
      <c r="AV198" s="60">
        <f t="shared" ref="AV198:AV203" si="668">AM198+AP198+AS198</f>
        <v>25</v>
      </c>
      <c r="AW198" s="60"/>
      <c r="AX198" s="60"/>
      <c r="AY198" s="60">
        <f>AW198-AX198</f>
        <v>0</v>
      </c>
      <c r="AZ198" s="60"/>
      <c r="BA198" s="60"/>
      <c r="BB198" s="60">
        <f>AZ198-BA198</f>
        <v>0</v>
      </c>
      <c r="BC198" s="60"/>
      <c r="BD198" s="60"/>
      <c r="BE198" s="60">
        <f>BC198-BD198</f>
        <v>0</v>
      </c>
      <c r="BF198" s="60">
        <f t="shared" si="643"/>
        <v>0</v>
      </c>
      <c r="BG198" s="60">
        <f t="shared" si="644"/>
        <v>0</v>
      </c>
      <c r="BH198" s="60">
        <f t="shared" si="645"/>
        <v>0</v>
      </c>
      <c r="BI198" s="508"/>
      <c r="BJ198" s="488" t="str">
        <f t="shared" si="664"/>
        <v>Lò</v>
      </c>
      <c r="BK198" s="523">
        <f t="shared" si="626"/>
        <v>0</v>
      </c>
      <c r="BL198" s="523">
        <f t="shared" si="627"/>
        <v>0</v>
      </c>
      <c r="BM198" s="523">
        <f t="shared" si="628"/>
        <v>0</v>
      </c>
      <c r="BN198" s="523">
        <f t="shared" si="629"/>
        <v>0</v>
      </c>
      <c r="BO198" s="523">
        <f t="shared" si="630"/>
        <v>0</v>
      </c>
      <c r="BP198" s="523">
        <f t="shared" si="631"/>
        <v>0</v>
      </c>
      <c r="BQ198" s="523">
        <f t="shared" si="632"/>
        <v>0</v>
      </c>
      <c r="BR198" s="523">
        <f t="shared" si="633"/>
        <v>0</v>
      </c>
      <c r="BS198" s="523">
        <f t="shared" si="634"/>
        <v>500</v>
      </c>
      <c r="BT198" s="523">
        <f t="shared" si="635"/>
        <v>0</v>
      </c>
      <c r="BU198" s="523">
        <f t="shared" si="636"/>
        <v>0</v>
      </c>
      <c r="BV198" s="523">
        <f t="shared" si="637"/>
        <v>500</v>
      </c>
      <c r="BW198" s="523">
        <f t="shared" si="638"/>
        <v>0</v>
      </c>
      <c r="BX198" s="523">
        <f t="shared" si="639"/>
        <v>0</v>
      </c>
      <c r="BY198" s="523">
        <f t="shared" si="640"/>
        <v>0</v>
      </c>
      <c r="BZ198" s="523">
        <f t="shared" si="641"/>
        <v>0</v>
      </c>
      <c r="CA198" s="354"/>
      <c r="CB198" s="354" t="str">
        <f>IF(SUM(I198:L198)&lt;&gt;0,"X")</f>
        <v>X</v>
      </c>
      <c r="CC198" s="509" t="str">
        <f>CC197</f>
        <v>BCG.</v>
      </c>
      <c r="CD198" s="509" t="str">
        <f t="shared" si="399"/>
        <v>BCG.16,1</v>
      </c>
      <c r="CE198" s="351" t="str">
        <f t="shared" si="665"/>
        <v>Lò</v>
      </c>
      <c r="CF198" s="509" t="str">
        <f t="shared" si="400"/>
        <v>BCG.Lò</v>
      </c>
      <c r="CG198" s="509"/>
      <c r="CH198" s="509"/>
    </row>
    <row r="199" spans="1:86" ht="24" customHeight="1" x14ac:dyDescent="0.25">
      <c r="A199" s="354" t="e">
        <f>A189</f>
        <v>#REF!</v>
      </c>
      <c r="B199" s="518"/>
      <c r="C199" s="519" t="s">
        <v>769</v>
      </c>
      <c r="D199" s="447" t="s">
        <v>14</v>
      </c>
      <c r="E199" s="447"/>
      <c r="F199" s="447"/>
      <c r="G199" s="520">
        <v>16.100000000000001</v>
      </c>
      <c r="H199" s="521">
        <v>0.7</v>
      </c>
      <c r="I199" s="522">
        <f t="shared" si="619"/>
        <v>60</v>
      </c>
      <c r="J199" s="522">
        <f t="shared" si="620"/>
        <v>5</v>
      </c>
      <c r="K199" s="522">
        <f t="shared" si="621"/>
        <v>55</v>
      </c>
      <c r="L199" s="57">
        <f t="shared" si="622"/>
        <v>1100</v>
      </c>
      <c r="M199" s="60"/>
      <c r="N199" s="60"/>
      <c r="O199" s="60">
        <f t="shared" si="652"/>
        <v>0</v>
      </c>
      <c r="P199" s="60"/>
      <c r="Q199" s="60"/>
      <c r="R199" s="60">
        <f t="shared" si="653"/>
        <v>0</v>
      </c>
      <c r="S199" s="824"/>
      <c r="T199" s="60"/>
      <c r="U199" s="60">
        <f t="shared" si="654"/>
        <v>0</v>
      </c>
      <c r="V199" s="60">
        <f t="shared" si="646"/>
        <v>0</v>
      </c>
      <c r="W199" s="60">
        <f t="shared" si="647"/>
        <v>0</v>
      </c>
      <c r="X199" s="60">
        <f t="shared" si="648"/>
        <v>0</v>
      </c>
      <c r="Y199" s="60"/>
      <c r="Z199" s="60"/>
      <c r="AA199" s="60">
        <f t="shared" si="655"/>
        <v>0</v>
      </c>
      <c r="AB199" s="60"/>
      <c r="AC199" s="60"/>
      <c r="AD199" s="60">
        <f t="shared" si="656"/>
        <v>0</v>
      </c>
      <c r="AE199" s="60"/>
      <c r="AF199" s="60"/>
      <c r="AG199" s="60">
        <f t="shared" si="657"/>
        <v>0</v>
      </c>
      <c r="AH199" s="60">
        <f t="shared" si="649"/>
        <v>0</v>
      </c>
      <c r="AI199" s="60">
        <f t="shared" si="650"/>
        <v>0</v>
      </c>
      <c r="AJ199" s="60">
        <f t="shared" si="651"/>
        <v>0</v>
      </c>
      <c r="AK199" s="60">
        <v>40</v>
      </c>
      <c r="AL199" s="60"/>
      <c r="AM199" s="60">
        <f t="shared" si="658"/>
        <v>40</v>
      </c>
      <c r="AN199" s="60">
        <v>20</v>
      </c>
      <c r="AO199" s="60">
        <v>5</v>
      </c>
      <c r="AP199" s="60">
        <f t="shared" si="659"/>
        <v>15</v>
      </c>
      <c r="AQ199" s="60"/>
      <c r="AR199" s="60"/>
      <c r="AS199" s="60">
        <f t="shared" si="660"/>
        <v>0</v>
      </c>
      <c r="AT199" s="60">
        <f t="shared" si="666"/>
        <v>60</v>
      </c>
      <c r="AU199" s="60">
        <f t="shared" si="667"/>
        <v>5</v>
      </c>
      <c r="AV199" s="60">
        <f t="shared" si="668"/>
        <v>55</v>
      </c>
      <c r="AW199" s="60"/>
      <c r="AX199" s="60"/>
      <c r="AY199" s="60">
        <f t="shared" si="661"/>
        <v>0</v>
      </c>
      <c r="AZ199" s="60"/>
      <c r="BA199" s="60"/>
      <c r="BB199" s="60">
        <f t="shared" si="662"/>
        <v>0</v>
      </c>
      <c r="BC199" s="60"/>
      <c r="BD199" s="60"/>
      <c r="BE199" s="60">
        <f t="shared" si="663"/>
        <v>0</v>
      </c>
      <c r="BF199" s="60">
        <f t="shared" ref="BF199:BH205" si="669">AW199+AZ199+BC199</f>
        <v>0</v>
      </c>
      <c r="BG199" s="60">
        <f t="shared" si="669"/>
        <v>0</v>
      </c>
      <c r="BH199" s="60">
        <f t="shared" si="669"/>
        <v>0</v>
      </c>
      <c r="BI199" s="508"/>
      <c r="BJ199" s="488" t="str">
        <f t="shared" si="664"/>
        <v>Lò</v>
      </c>
      <c r="BK199" s="523">
        <f t="shared" si="626"/>
        <v>0</v>
      </c>
      <c r="BL199" s="523">
        <f t="shared" si="627"/>
        <v>0</v>
      </c>
      <c r="BM199" s="523">
        <f t="shared" si="628"/>
        <v>0</v>
      </c>
      <c r="BN199" s="523">
        <f t="shared" si="629"/>
        <v>0</v>
      </c>
      <c r="BO199" s="523">
        <f t="shared" si="630"/>
        <v>0</v>
      </c>
      <c r="BP199" s="523">
        <f t="shared" si="631"/>
        <v>0</v>
      </c>
      <c r="BQ199" s="523">
        <f t="shared" si="632"/>
        <v>0</v>
      </c>
      <c r="BR199" s="523">
        <f t="shared" si="633"/>
        <v>0</v>
      </c>
      <c r="BS199" s="523">
        <f t="shared" si="634"/>
        <v>800</v>
      </c>
      <c r="BT199" s="523">
        <f t="shared" si="635"/>
        <v>300</v>
      </c>
      <c r="BU199" s="523">
        <f t="shared" si="636"/>
        <v>0</v>
      </c>
      <c r="BV199" s="523">
        <f t="shared" si="637"/>
        <v>1100</v>
      </c>
      <c r="BW199" s="523">
        <f t="shared" si="638"/>
        <v>0</v>
      </c>
      <c r="BX199" s="523">
        <f t="shared" si="639"/>
        <v>0</v>
      </c>
      <c r="BY199" s="523">
        <f t="shared" si="640"/>
        <v>0</v>
      </c>
      <c r="BZ199" s="523">
        <f t="shared" si="641"/>
        <v>0</v>
      </c>
      <c r="CA199" s="354"/>
      <c r="CB199" s="354" t="str">
        <f>IF(SUM(I199:L199)&lt;&gt;0,"X")</f>
        <v>X</v>
      </c>
      <c r="CC199" s="509" t="str">
        <f>CC197</f>
        <v>BCG.</v>
      </c>
      <c r="CD199" s="509" t="str">
        <f t="shared" si="399"/>
        <v>BCG.16,1</v>
      </c>
      <c r="CE199" s="351" t="str">
        <f t="shared" si="665"/>
        <v>Lò</v>
      </c>
      <c r="CF199" s="509" t="str">
        <f t="shared" si="400"/>
        <v>BCG.Lò</v>
      </c>
      <c r="CG199" s="509"/>
      <c r="CH199" s="509"/>
    </row>
    <row r="200" spans="1:86" ht="24" customHeight="1" x14ac:dyDescent="0.25">
      <c r="A200" s="354"/>
      <c r="B200" s="518"/>
      <c r="C200" s="519" t="s">
        <v>557</v>
      </c>
      <c r="D200" s="447" t="s">
        <v>14</v>
      </c>
      <c r="E200" s="447" t="s">
        <v>873</v>
      </c>
      <c r="F200" s="447" t="s">
        <v>875</v>
      </c>
      <c r="G200" s="520">
        <v>13.1</v>
      </c>
      <c r="H200" s="521">
        <v>0.7</v>
      </c>
      <c r="I200" s="522">
        <f>V200+AH200+AT200+BF200</f>
        <v>240</v>
      </c>
      <c r="J200" s="522">
        <f>W200+AI200+AU200+BG200</f>
        <v>240</v>
      </c>
      <c r="K200" s="522">
        <f>X200+AJ200+AV200+BH200</f>
        <v>0</v>
      </c>
      <c r="L200" s="57"/>
      <c r="M200" s="60"/>
      <c r="N200" s="60"/>
      <c r="O200" s="60"/>
      <c r="P200" s="60"/>
      <c r="Q200" s="60"/>
      <c r="R200" s="60"/>
      <c r="S200" s="824"/>
      <c r="T200" s="60"/>
      <c r="U200" s="60"/>
      <c r="V200" s="60">
        <f t="shared" si="646"/>
        <v>0</v>
      </c>
      <c r="W200" s="60">
        <f t="shared" si="647"/>
        <v>0</v>
      </c>
      <c r="X200" s="60">
        <f t="shared" si="648"/>
        <v>0</v>
      </c>
      <c r="Y200" s="60"/>
      <c r="Z200" s="60"/>
      <c r="AA200" s="60"/>
      <c r="AB200" s="60"/>
      <c r="AC200" s="60"/>
      <c r="AD200" s="60"/>
      <c r="AE200" s="60"/>
      <c r="AF200" s="60"/>
      <c r="AG200" s="60"/>
      <c r="AH200" s="60">
        <f t="shared" si="649"/>
        <v>0</v>
      </c>
      <c r="AI200" s="60">
        <f t="shared" si="650"/>
        <v>0</v>
      </c>
      <c r="AJ200" s="60">
        <f t="shared" si="651"/>
        <v>0</v>
      </c>
      <c r="AK200" s="60"/>
      <c r="AL200" s="60"/>
      <c r="AM200" s="60"/>
      <c r="AN200" s="60">
        <v>40</v>
      </c>
      <c r="AO200" s="60">
        <v>40</v>
      </c>
      <c r="AP200" s="60"/>
      <c r="AQ200" s="60">
        <v>50</v>
      </c>
      <c r="AR200" s="60">
        <v>50</v>
      </c>
      <c r="AS200" s="60"/>
      <c r="AT200" s="60">
        <f t="shared" si="666"/>
        <v>90</v>
      </c>
      <c r="AU200" s="60">
        <f t="shared" si="667"/>
        <v>90</v>
      </c>
      <c r="AV200" s="60">
        <f t="shared" si="668"/>
        <v>0</v>
      </c>
      <c r="AW200" s="60">
        <v>50</v>
      </c>
      <c r="AX200" s="60">
        <v>50</v>
      </c>
      <c r="AY200" s="60"/>
      <c r="AZ200" s="60">
        <v>50</v>
      </c>
      <c r="BA200" s="60">
        <v>50</v>
      </c>
      <c r="BB200" s="60"/>
      <c r="BC200" s="60">
        <v>50</v>
      </c>
      <c r="BD200" s="60">
        <v>50</v>
      </c>
      <c r="BE200" s="60"/>
      <c r="BF200" s="60">
        <f t="shared" si="669"/>
        <v>150</v>
      </c>
      <c r="BG200" s="60">
        <f t="shared" si="669"/>
        <v>150</v>
      </c>
      <c r="BH200" s="60">
        <f t="shared" si="669"/>
        <v>0</v>
      </c>
      <c r="BI200" s="508"/>
      <c r="BJ200" s="488" t="str">
        <f t="shared" si="664"/>
        <v>Lò</v>
      </c>
      <c r="BK200" s="523">
        <f>ROUND(O200*G200*$C$3*$B$5,-2)</f>
        <v>0</v>
      </c>
      <c r="BL200" s="523">
        <f>ROUND(R200*G200*$C$3*$B$5,-2)</f>
        <v>0</v>
      </c>
      <c r="BM200" s="523">
        <f>ROUND(U200*G200*$C$3*$B$5,-2)</f>
        <v>0</v>
      </c>
      <c r="BN200" s="523">
        <f>ROUND(X200*G200*$C$3*$B$5,-2)</f>
        <v>0</v>
      </c>
      <c r="BO200" s="523">
        <f>ROUND(AA200*G200*$C$3*$B$5,-2)</f>
        <v>0</v>
      </c>
      <c r="BP200" s="523">
        <f>ROUND(AD200*G200*$C$3*$B$5,-2)</f>
        <v>0</v>
      </c>
      <c r="BQ200" s="523">
        <f>ROUND(AG200*G200*$C$3*$B$5,-2)</f>
        <v>0</v>
      </c>
      <c r="BR200" s="523">
        <f>ROUND(AJ200*G200*$B$5*$C$3,-2)</f>
        <v>0</v>
      </c>
      <c r="BS200" s="523">
        <f>ROUND(AM200*G200*$C$3*$B$5,-2)</f>
        <v>0</v>
      </c>
      <c r="BT200" s="523">
        <f>ROUND(AP200*G200*$C$3*$B$5,-2)</f>
        <v>0</v>
      </c>
      <c r="BU200" s="523">
        <f>ROUND(AS200*G200*$C$3*$B$5,-2)</f>
        <v>0</v>
      </c>
      <c r="BV200" s="523">
        <f>ROUND(AV200*G200*$C$3*$B$5,-2)</f>
        <v>0</v>
      </c>
      <c r="BW200" s="523">
        <f>ROUND(AY200*G200*$C$3*$B$5,-2)</f>
        <v>0</v>
      </c>
      <c r="BX200" s="523">
        <f>ROUND(BB200*G200*$C$3*$B$5,-2)</f>
        <v>0</v>
      </c>
      <c r="BY200" s="523">
        <f>ROUND(BE200*G200*$C$3*$B$5,-2)</f>
        <v>0</v>
      </c>
      <c r="BZ200" s="523">
        <f>ROUND(BH200*G200*$C$3*$B$5,-2)</f>
        <v>0</v>
      </c>
      <c r="CA200" s="354"/>
      <c r="CB200" s="354" t="str">
        <f>IF(SUM(I200:L200)&lt;&gt;0,"X")</f>
        <v>X</v>
      </c>
      <c r="CC200" s="509" t="str">
        <f>CC198</f>
        <v>BCG.</v>
      </c>
      <c r="CD200" s="509" t="str">
        <f>CC200&amp;G200</f>
        <v>BCG.13,1</v>
      </c>
      <c r="CE200" s="351" t="str">
        <f t="shared" si="665"/>
        <v>Lò</v>
      </c>
      <c r="CF200" s="509" t="str">
        <f>CC200&amp;CE200</f>
        <v>BCG.Lò</v>
      </c>
      <c r="CG200" s="509"/>
      <c r="CH200" s="509"/>
    </row>
    <row r="201" spans="1:86" ht="23.25" customHeight="1" x14ac:dyDescent="0.25">
      <c r="A201" s="354" t="e">
        <f>A195</f>
        <v>#REF!</v>
      </c>
      <c r="B201" s="518" t="s">
        <v>546</v>
      </c>
      <c r="C201" s="519" t="s">
        <v>770</v>
      </c>
      <c r="D201" s="447" t="s">
        <v>14</v>
      </c>
      <c r="E201" s="447"/>
      <c r="F201" s="447"/>
      <c r="G201" s="520">
        <v>16.100000000000001</v>
      </c>
      <c r="H201" s="521">
        <v>0.5</v>
      </c>
      <c r="I201" s="522">
        <f t="shared" si="619"/>
        <v>465</v>
      </c>
      <c r="J201" s="522">
        <f t="shared" si="620"/>
        <v>75</v>
      </c>
      <c r="K201" s="522">
        <f t="shared" si="621"/>
        <v>390</v>
      </c>
      <c r="L201" s="57">
        <f t="shared" si="622"/>
        <v>7500</v>
      </c>
      <c r="M201" s="60">
        <v>60</v>
      </c>
      <c r="N201" s="60">
        <v>10</v>
      </c>
      <c r="O201" s="60">
        <f t="shared" si="652"/>
        <v>50</v>
      </c>
      <c r="P201" s="60">
        <v>45</v>
      </c>
      <c r="Q201" s="60">
        <v>10</v>
      </c>
      <c r="R201" s="60">
        <f t="shared" si="653"/>
        <v>35</v>
      </c>
      <c r="S201" s="824">
        <v>60</v>
      </c>
      <c r="T201" s="60">
        <v>15</v>
      </c>
      <c r="U201" s="60">
        <f t="shared" si="654"/>
        <v>45</v>
      </c>
      <c r="V201" s="60">
        <f t="shared" si="646"/>
        <v>165</v>
      </c>
      <c r="W201" s="60">
        <f t="shared" si="647"/>
        <v>35</v>
      </c>
      <c r="X201" s="60">
        <f t="shared" si="648"/>
        <v>130</v>
      </c>
      <c r="Y201" s="60">
        <v>60</v>
      </c>
      <c r="Z201" s="60">
        <v>10</v>
      </c>
      <c r="AA201" s="60">
        <f t="shared" si="655"/>
        <v>50</v>
      </c>
      <c r="AB201" s="60">
        <v>60</v>
      </c>
      <c r="AC201" s="60">
        <v>10</v>
      </c>
      <c r="AD201" s="60">
        <f t="shared" si="656"/>
        <v>50</v>
      </c>
      <c r="AE201" s="60">
        <v>60</v>
      </c>
      <c r="AF201" s="60">
        <v>5</v>
      </c>
      <c r="AG201" s="60">
        <f t="shared" si="657"/>
        <v>55</v>
      </c>
      <c r="AH201" s="60">
        <f t="shared" si="649"/>
        <v>180</v>
      </c>
      <c r="AI201" s="60">
        <f t="shared" si="650"/>
        <v>25</v>
      </c>
      <c r="AJ201" s="60">
        <f t="shared" si="651"/>
        <v>155</v>
      </c>
      <c r="AK201" s="60">
        <v>60</v>
      </c>
      <c r="AL201" s="60">
        <v>5</v>
      </c>
      <c r="AM201" s="60">
        <f t="shared" si="658"/>
        <v>55</v>
      </c>
      <c r="AN201" s="60">
        <v>60</v>
      </c>
      <c r="AO201" s="60">
        <v>10</v>
      </c>
      <c r="AP201" s="60">
        <f t="shared" si="659"/>
        <v>50</v>
      </c>
      <c r="AQ201" s="60"/>
      <c r="AR201" s="60"/>
      <c r="AS201" s="60">
        <f t="shared" si="660"/>
        <v>0</v>
      </c>
      <c r="AT201" s="60">
        <f t="shared" si="666"/>
        <v>120</v>
      </c>
      <c r="AU201" s="60">
        <f t="shared" si="667"/>
        <v>15</v>
      </c>
      <c r="AV201" s="60">
        <f t="shared" si="668"/>
        <v>105</v>
      </c>
      <c r="AW201" s="60"/>
      <c r="AX201" s="60"/>
      <c r="AY201" s="60">
        <f t="shared" si="661"/>
        <v>0</v>
      </c>
      <c r="AZ201" s="60"/>
      <c r="BA201" s="60"/>
      <c r="BB201" s="60">
        <f t="shared" si="662"/>
        <v>0</v>
      </c>
      <c r="BC201" s="60"/>
      <c r="BD201" s="60"/>
      <c r="BE201" s="60">
        <f t="shared" si="663"/>
        <v>0</v>
      </c>
      <c r="BF201" s="60">
        <f t="shared" si="669"/>
        <v>0</v>
      </c>
      <c r="BG201" s="60">
        <f t="shared" si="669"/>
        <v>0</v>
      </c>
      <c r="BH201" s="60">
        <f t="shared" si="669"/>
        <v>0</v>
      </c>
      <c r="BI201" s="508"/>
      <c r="BJ201" s="488" t="str">
        <f t="shared" si="664"/>
        <v>Lò</v>
      </c>
      <c r="BK201" s="523">
        <f t="shared" si="626"/>
        <v>1000</v>
      </c>
      <c r="BL201" s="523">
        <f t="shared" si="627"/>
        <v>700</v>
      </c>
      <c r="BM201" s="523">
        <f t="shared" si="628"/>
        <v>900</v>
      </c>
      <c r="BN201" s="523">
        <f t="shared" si="629"/>
        <v>2500</v>
      </c>
      <c r="BO201" s="523">
        <f t="shared" si="630"/>
        <v>1000</v>
      </c>
      <c r="BP201" s="523">
        <f t="shared" si="631"/>
        <v>1000</v>
      </c>
      <c r="BQ201" s="523">
        <f t="shared" si="632"/>
        <v>1100</v>
      </c>
      <c r="BR201" s="523">
        <f t="shared" si="633"/>
        <v>3000</v>
      </c>
      <c r="BS201" s="523">
        <f t="shared" si="634"/>
        <v>1100</v>
      </c>
      <c r="BT201" s="523">
        <f t="shared" si="635"/>
        <v>1000</v>
      </c>
      <c r="BU201" s="523">
        <f t="shared" si="636"/>
        <v>0</v>
      </c>
      <c r="BV201" s="523">
        <f t="shared" si="637"/>
        <v>2000</v>
      </c>
      <c r="BW201" s="523">
        <f t="shared" si="638"/>
        <v>0</v>
      </c>
      <c r="BX201" s="523">
        <f t="shared" si="639"/>
        <v>0</v>
      </c>
      <c r="BY201" s="523">
        <f t="shared" si="640"/>
        <v>0</v>
      </c>
      <c r="BZ201" s="523">
        <f t="shared" si="641"/>
        <v>0</v>
      </c>
      <c r="CA201" s="354"/>
      <c r="CB201" s="354" t="str">
        <f t="shared" si="397"/>
        <v>X</v>
      </c>
      <c r="CC201" s="509" t="str">
        <f>CC197</f>
        <v>BCG.</v>
      </c>
      <c r="CD201" s="509" t="str">
        <f t="shared" si="399"/>
        <v>BCG.16,1</v>
      </c>
      <c r="CE201" s="351" t="str">
        <f t="shared" si="665"/>
        <v>Lò</v>
      </c>
      <c r="CF201" s="509" t="str">
        <f t="shared" si="400"/>
        <v>BCG.Lò</v>
      </c>
      <c r="CG201" s="509"/>
      <c r="CH201" s="509"/>
    </row>
    <row r="202" spans="1:86" ht="23.25" customHeight="1" x14ac:dyDescent="0.25">
      <c r="A202" s="354" t="e">
        <f>A190</f>
        <v>#REF!</v>
      </c>
      <c r="B202" s="518"/>
      <c r="C202" s="519" t="s">
        <v>846</v>
      </c>
      <c r="D202" s="447" t="s">
        <v>14</v>
      </c>
      <c r="E202" s="447"/>
      <c r="F202" s="447"/>
      <c r="G202" s="520">
        <v>16.100000000000001</v>
      </c>
      <c r="H202" s="521">
        <v>0.7</v>
      </c>
      <c r="I202" s="522">
        <f t="shared" si="619"/>
        <v>200</v>
      </c>
      <c r="J202" s="522">
        <f t="shared" si="620"/>
        <v>120</v>
      </c>
      <c r="K202" s="522">
        <f t="shared" si="621"/>
        <v>80</v>
      </c>
      <c r="L202" s="57">
        <f t="shared" si="622"/>
        <v>1600</v>
      </c>
      <c r="M202" s="60"/>
      <c r="N202" s="60"/>
      <c r="O202" s="60">
        <f t="shared" si="652"/>
        <v>0</v>
      </c>
      <c r="P202" s="60"/>
      <c r="Q202" s="60"/>
      <c r="R202" s="60">
        <f t="shared" si="653"/>
        <v>0</v>
      </c>
      <c r="S202" s="824"/>
      <c r="T202" s="60"/>
      <c r="U202" s="60">
        <f t="shared" si="654"/>
        <v>0</v>
      </c>
      <c r="V202" s="60">
        <f t="shared" si="646"/>
        <v>0</v>
      </c>
      <c r="W202" s="60">
        <f t="shared" si="647"/>
        <v>0</v>
      </c>
      <c r="X202" s="60">
        <f t="shared" si="648"/>
        <v>0</v>
      </c>
      <c r="Y202" s="60"/>
      <c r="Z202" s="60"/>
      <c r="AA202" s="60">
        <f t="shared" si="655"/>
        <v>0</v>
      </c>
      <c r="AB202" s="60"/>
      <c r="AC202" s="60"/>
      <c r="AD202" s="60">
        <f t="shared" si="656"/>
        <v>0</v>
      </c>
      <c r="AE202" s="60"/>
      <c r="AF202" s="60"/>
      <c r="AG202" s="60">
        <f t="shared" si="657"/>
        <v>0</v>
      </c>
      <c r="AH202" s="60">
        <f t="shared" ref="AH202:AJ205" si="670">Y202+AB202+AE202</f>
        <v>0</v>
      </c>
      <c r="AI202" s="60">
        <f t="shared" si="670"/>
        <v>0</v>
      </c>
      <c r="AJ202" s="60">
        <f t="shared" si="670"/>
        <v>0</v>
      </c>
      <c r="AK202" s="60"/>
      <c r="AL202" s="60"/>
      <c r="AM202" s="60">
        <f t="shared" si="658"/>
        <v>0</v>
      </c>
      <c r="AN202" s="60"/>
      <c r="AO202" s="60"/>
      <c r="AP202" s="60">
        <f t="shared" si="659"/>
        <v>0</v>
      </c>
      <c r="AQ202" s="60">
        <v>50</v>
      </c>
      <c r="AR202" s="60">
        <v>30</v>
      </c>
      <c r="AS202" s="60">
        <f t="shared" si="660"/>
        <v>20</v>
      </c>
      <c r="AT202" s="60">
        <f t="shared" si="666"/>
        <v>50</v>
      </c>
      <c r="AU202" s="60">
        <f t="shared" si="667"/>
        <v>30</v>
      </c>
      <c r="AV202" s="60">
        <f t="shared" si="668"/>
        <v>20</v>
      </c>
      <c r="AW202" s="60">
        <v>50</v>
      </c>
      <c r="AX202" s="60">
        <v>30</v>
      </c>
      <c r="AY202" s="60">
        <f t="shared" si="661"/>
        <v>20</v>
      </c>
      <c r="AZ202" s="60">
        <v>50</v>
      </c>
      <c r="BA202" s="60">
        <v>30</v>
      </c>
      <c r="BB202" s="60">
        <f t="shared" si="662"/>
        <v>20</v>
      </c>
      <c r="BC202" s="60">
        <v>50</v>
      </c>
      <c r="BD202" s="60">
        <v>30</v>
      </c>
      <c r="BE202" s="60">
        <f t="shared" si="663"/>
        <v>20</v>
      </c>
      <c r="BF202" s="60">
        <f t="shared" si="669"/>
        <v>150</v>
      </c>
      <c r="BG202" s="60">
        <f t="shared" si="669"/>
        <v>90</v>
      </c>
      <c r="BH202" s="60">
        <f t="shared" si="669"/>
        <v>60</v>
      </c>
      <c r="BI202" s="508"/>
      <c r="BJ202" s="488" t="str">
        <f t="shared" si="664"/>
        <v>Lò</v>
      </c>
      <c r="BK202" s="523">
        <f t="shared" si="626"/>
        <v>0</v>
      </c>
      <c r="BL202" s="523">
        <f t="shared" si="627"/>
        <v>0</v>
      </c>
      <c r="BM202" s="523">
        <f t="shared" si="628"/>
        <v>0</v>
      </c>
      <c r="BN202" s="523">
        <f t="shared" si="629"/>
        <v>0</v>
      </c>
      <c r="BO202" s="523">
        <f t="shared" si="630"/>
        <v>0</v>
      </c>
      <c r="BP202" s="523">
        <f t="shared" si="631"/>
        <v>0</v>
      </c>
      <c r="BQ202" s="523">
        <f t="shared" si="632"/>
        <v>0</v>
      </c>
      <c r="BR202" s="523">
        <f t="shared" si="633"/>
        <v>0</v>
      </c>
      <c r="BS202" s="523">
        <f t="shared" si="634"/>
        <v>0</v>
      </c>
      <c r="BT202" s="523">
        <f t="shared" si="635"/>
        <v>0</v>
      </c>
      <c r="BU202" s="523">
        <f t="shared" si="636"/>
        <v>400</v>
      </c>
      <c r="BV202" s="523">
        <f t="shared" si="637"/>
        <v>400</v>
      </c>
      <c r="BW202" s="523">
        <f t="shared" si="638"/>
        <v>400</v>
      </c>
      <c r="BX202" s="523">
        <f t="shared" si="639"/>
        <v>400</v>
      </c>
      <c r="BY202" s="523">
        <f t="shared" si="640"/>
        <v>400</v>
      </c>
      <c r="BZ202" s="523">
        <f t="shared" si="641"/>
        <v>1200</v>
      </c>
      <c r="CA202" s="354"/>
      <c r="CB202" s="354" t="str">
        <f t="shared" ref="CB202:CB290" si="671">IF(SUM(I202:L202)&lt;&gt;0,"X")</f>
        <v>X</v>
      </c>
      <c r="CC202" s="509" t="str">
        <f t="shared" ref="CC202:CC213" si="672">CC201</f>
        <v>BCG.</v>
      </c>
      <c r="CD202" s="509" t="str">
        <f t="shared" ref="CD202:CD290" si="673">CC202&amp;G202</f>
        <v>BCG.16,1</v>
      </c>
      <c r="CE202" s="351" t="str">
        <f t="shared" si="665"/>
        <v>Lò</v>
      </c>
      <c r="CF202" s="509" t="str">
        <f t="shared" ref="CF202:CF290" si="674">CC202&amp;CE202</f>
        <v>BCG.Lò</v>
      </c>
      <c r="CG202" s="509"/>
      <c r="CH202" s="509"/>
    </row>
    <row r="203" spans="1:86" ht="23.25" customHeight="1" x14ac:dyDescent="0.25">
      <c r="A203" s="354" t="e">
        <f>A191</f>
        <v>#REF!</v>
      </c>
      <c r="B203" s="518" t="s">
        <v>552</v>
      </c>
      <c r="C203" s="519" t="s">
        <v>574</v>
      </c>
      <c r="D203" s="447" t="s">
        <v>14</v>
      </c>
      <c r="E203" s="447"/>
      <c r="F203" s="447" t="s">
        <v>875</v>
      </c>
      <c r="G203" s="520">
        <v>17.899999999999999</v>
      </c>
      <c r="H203" s="521">
        <v>0.5</v>
      </c>
      <c r="I203" s="522">
        <f t="shared" si="619"/>
        <v>0</v>
      </c>
      <c r="J203" s="522">
        <f t="shared" si="620"/>
        <v>0</v>
      </c>
      <c r="K203" s="522">
        <f t="shared" si="621"/>
        <v>0</v>
      </c>
      <c r="L203" s="57">
        <f t="shared" si="622"/>
        <v>0</v>
      </c>
      <c r="M203" s="60"/>
      <c r="N203" s="60"/>
      <c r="O203" s="60">
        <f t="shared" si="652"/>
        <v>0</v>
      </c>
      <c r="P203" s="60"/>
      <c r="Q203" s="60"/>
      <c r="R203" s="60">
        <f t="shared" si="653"/>
        <v>0</v>
      </c>
      <c r="S203" s="824"/>
      <c r="T203" s="60"/>
      <c r="U203" s="60">
        <f t="shared" si="654"/>
        <v>0</v>
      </c>
      <c r="V203" s="60">
        <f t="shared" si="646"/>
        <v>0</v>
      </c>
      <c r="W203" s="60">
        <f t="shared" si="647"/>
        <v>0</v>
      </c>
      <c r="X203" s="60">
        <f t="shared" si="648"/>
        <v>0</v>
      </c>
      <c r="Y203" s="60"/>
      <c r="Z203" s="60"/>
      <c r="AA203" s="60">
        <f t="shared" si="655"/>
        <v>0</v>
      </c>
      <c r="AB203" s="60"/>
      <c r="AC203" s="60"/>
      <c r="AD203" s="60">
        <f t="shared" si="656"/>
        <v>0</v>
      </c>
      <c r="AE203" s="60"/>
      <c r="AF203" s="60"/>
      <c r="AG203" s="60">
        <f t="shared" si="657"/>
        <v>0</v>
      </c>
      <c r="AH203" s="60">
        <f t="shared" si="670"/>
        <v>0</v>
      </c>
      <c r="AI203" s="60">
        <f t="shared" si="670"/>
        <v>0</v>
      </c>
      <c r="AJ203" s="60">
        <f t="shared" si="670"/>
        <v>0</v>
      </c>
      <c r="AK203" s="60"/>
      <c r="AL203" s="60"/>
      <c r="AM203" s="60">
        <f t="shared" si="658"/>
        <v>0</v>
      </c>
      <c r="AN203" s="60"/>
      <c r="AO203" s="60"/>
      <c r="AP203" s="60">
        <f t="shared" si="659"/>
        <v>0</v>
      </c>
      <c r="AQ203" s="60"/>
      <c r="AR203" s="60"/>
      <c r="AS203" s="60">
        <f t="shared" si="660"/>
        <v>0</v>
      </c>
      <c r="AT203" s="60">
        <f t="shared" si="666"/>
        <v>0</v>
      </c>
      <c r="AU203" s="60">
        <f t="shared" si="667"/>
        <v>0</v>
      </c>
      <c r="AV203" s="60">
        <f t="shared" si="668"/>
        <v>0</v>
      </c>
      <c r="AW203" s="60"/>
      <c r="AX203" s="60"/>
      <c r="AY203" s="60">
        <f t="shared" si="661"/>
        <v>0</v>
      </c>
      <c r="AZ203" s="60"/>
      <c r="BA203" s="60"/>
      <c r="BB203" s="60">
        <f t="shared" si="662"/>
        <v>0</v>
      </c>
      <c r="BC203" s="60"/>
      <c r="BD203" s="60"/>
      <c r="BE203" s="60">
        <f t="shared" si="663"/>
        <v>0</v>
      </c>
      <c r="BF203" s="60">
        <f t="shared" si="669"/>
        <v>0</v>
      </c>
      <c r="BG203" s="60">
        <f t="shared" si="669"/>
        <v>0</v>
      </c>
      <c r="BH203" s="60">
        <f t="shared" si="669"/>
        <v>0</v>
      </c>
      <c r="BI203" s="508"/>
      <c r="BJ203" s="488" t="str">
        <f t="shared" si="664"/>
        <v>Lò</v>
      </c>
      <c r="BK203" s="523">
        <f t="shared" si="626"/>
        <v>0</v>
      </c>
      <c r="BL203" s="523">
        <f t="shared" si="627"/>
        <v>0</v>
      </c>
      <c r="BM203" s="523">
        <f t="shared" si="628"/>
        <v>0</v>
      </c>
      <c r="BN203" s="523">
        <f t="shared" si="629"/>
        <v>0</v>
      </c>
      <c r="BO203" s="523">
        <f t="shared" si="630"/>
        <v>0</v>
      </c>
      <c r="BP203" s="523">
        <f t="shared" si="631"/>
        <v>0</v>
      </c>
      <c r="BQ203" s="523">
        <f t="shared" si="632"/>
        <v>0</v>
      </c>
      <c r="BR203" s="523">
        <f t="shared" si="633"/>
        <v>0</v>
      </c>
      <c r="BS203" s="523">
        <f t="shared" si="634"/>
        <v>0</v>
      </c>
      <c r="BT203" s="523">
        <f t="shared" si="635"/>
        <v>0</v>
      </c>
      <c r="BU203" s="523">
        <f t="shared" si="636"/>
        <v>0</v>
      </c>
      <c r="BV203" s="523">
        <f t="shared" si="637"/>
        <v>0</v>
      </c>
      <c r="BW203" s="523">
        <f t="shared" si="638"/>
        <v>0</v>
      </c>
      <c r="BX203" s="523">
        <f t="shared" si="639"/>
        <v>0</v>
      </c>
      <c r="BY203" s="523">
        <f t="shared" si="640"/>
        <v>0</v>
      </c>
      <c r="BZ203" s="523">
        <f t="shared" si="641"/>
        <v>0</v>
      </c>
      <c r="CA203" s="354"/>
      <c r="CB203" s="354" t="b">
        <f t="shared" si="671"/>
        <v>0</v>
      </c>
      <c r="CC203" s="509" t="str">
        <f t="shared" si="672"/>
        <v>BCG.</v>
      </c>
      <c r="CD203" s="509" t="str">
        <f t="shared" si="673"/>
        <v>BCG.17,9</v>
      </c>
      <c r="CE203" s="351" t="str">
        <f t="shared" si="665"/>
        <v>Lò</v>
      </c>
      <c r="CF203" s="509" t="str">
        <f t="shared" si="674"/>
        <v>BCG.Lò</v>
      </c>
      <c r="CG203" s="509"/>
      <c r="CH203" s="509"/>
    </row>
    <row r="204" spans="1:86" ht="16.5" x14ac:dyDescent="0.25">
      <c r="A204" s="354" t="e">
        <f>A192</f>
        <v>#REF!</v>
      </c>
      <c r="B204" s="518"/>
      <c r="C204" s="519" t="s">
        <v>575</v>
      </c>
      <c r="D204" s="447" t="s">
        <v>14</v>
      </c>
      <c r="E204" s="447"/>
      <c r="F204" s="447" t="s">
        <v>875</v>
      </c>
      <c r="G204" s="520">
        <v>16.100000000000001</v>
      </c>
      <c r="H204" s="521">
        <v>0.7</v>
      </c>
      <c r="I204" s="522">
        <f t="shared" si="619"/>
        <v>0</v>
      </c>
      <c r="J204" s="522">
        <f t="shared" si="620"/>
        <v>0</v>
      </c>
      <c r="K204" s="522">
        <f t="shared" si="621"/>
        <v>0</v>
      </c>
      <c r="L204" s="57">
        <f t="shared" si="622"/>
        <v>0</v>
      </c>
      <c r="M204" s="60"/>
      <c r="N204" s="60"/>
      <c r="O204" s="60">
        <f t="shared" si="652"/>
        <v>0</v>
      </c>
      <c r="P204" s="60"/>
      <c r="Q204" s="60"/>
      <c r="R204" s="60">
        <f t="shared" si="653"/>
        <v>0</v>
      </c>
      <c r="S204" s="824"/>
      <c r="T204" s="60"/>
      <c r="U204" s="60">
        <f t="shared" si="654"/>
        <v>0</v>
      </c>
      <c r="V204" s="60">
        <f t="shared" si="646"/>
        <v>0</v>
      </c>
      <c r="W204" s="60">
        <f t="shared" si="647"/>
        <v>0</v>
      </c>
      <c r="X204" s="60">
        <f t="shared" si="648"/>
        <v>0</v>
      </c>
      <c r="Y204" s="60"/>
      <c r="Z204" s="60"/>
      <c r="AA204" s="60">
        <f t="shared" si="655"/>
        <v>0</v>
      </c>
      <c r="AB204" s="60"/>
      <c r="AC204" s="60"/>
      <c r="AD204" s="60">
        <f t="shared" si="656"/>
        <v>0</v>
      </c>
      <c r="AE204" s="60"/>
      <c r="AF204" s="60"/>
      <c r="AG204" s="60">
        <f t="shared" si="657"/>
        <v>0</v>
      </c>
      <c r="AH204" s="60">
        <f t="shared" si="670"/>
        <v>0</v>
      </c>
      <c r="AI204" s="60">
        <f t="shared" si="670"/>
        <v>0</v>
      </c>
      <c r="AJ204" s="60">
        <f t="shared" si="670"/>
        <v>0</v>
      </c>
      <c r="AK204" s="60"/>
      <c r="AL204" s="60"/>
      <c r="AM204" s="60">
        <f t="shared" si="658"/>
        <v>0</v>
      </c>
      <c r="AN204" s="60"/>
      <c r="AO204" s="60"/>
      <c r="AP204" s="60">
        <f t="shared" si="659"/>
        <v>0</v>
      </c>
      <c r="AQ204" s="60"/>
      <c r="AR204" s="60"/>
      <c r="AS204" s="60">
        <f t="shared" si="660"/>
        <v>0</v>
      </c>
      <c r="AT204" s="60"/>
      <c r="AU204" s="60"/>
      <c r="AV204" s="60">
        <f>AT204-AU204</f>
        <v>0</v>
      </c>
      <c r="AW204" s="60"/>
      <c r="AX204" s="60"/>
      <c r="AY204" s="60">
        <f t="shared" si="661"/>
        <v>0</v>
      </c>
      <c r="AZ204" s="60"/>
      <c r="BA204" s="60"/>
      <c r="BB204" s="60">
        <f t="shared" si="662"/>
        <v>0</v>
      </c>
      <c r="BC204" s="60"/>
      <c r="BD204" s="60"/>
      <c r="BE204" s="60">
        <f t="shared" si="663"/>
        <v>0</v>
      </c>
      <c r="BF204" s="60">
        <f t="shared" si="669"/>
        <v>0</v>
      </c>
      <c r="BG204" s="60">
        <f t="shared" si="669"/>
        <v>0</v>
      </c>
      <c r="BH204" s="60">
        <f t="shared" si="669"/>
        <v>0</v>
      </c>
      <c r="BI204" s="508"/>
      <c r="BJ204" s="488" t="str">
        <f t="shared" si="664"/>
        <v>Lò</v>
      </c>
      <c r="BK204" s="523">
        <f t="shared" si="626"/>
        <v>0</v>
      </c>
      <c r="BL204" s="523">
        <f t="shared" si="627"/>
        <v>0</v>
      </c>
      <c r="BM204" s="523">
        <f t="shared" si="628"/>
        <v>0</v>
      </c>
      <c r="BN204" s="523">
        <f t="shared" si="629"/>
        <v>0</v>
      </c>
      <c r="BO204" s="523">
        <f t="shared" si="630"/>
        <v>0</v>
      </c>
      <c r="BP204" s="523">
        <f t="shared" si="631"/>
        <v>0</v>
      </c>
      <c r="BQ204" s="523">
        <f t="shared" si="632"/>
        <v>0</v>
      </c>
      <c r="BR204" s="523">
        <f t="shared" si="633"/>
        <v>0</v>
      </c>
      <c r="BS204" s="523">
        <f t="shared" si="634"/>
        <v>0</v>
      </c>
      <c r="BT204" s="523">
        <f t="shared" si="635"/>
        <v>0</v>
      </c>
      <c r="BU204" s="523">
        <f t="shared" si="636"/>
        <v>0</v>
      </c>
      <c r="BV204" s="523">
        <f t="shared" si="637"/>
        <v>0</v>
      </c>
      <c r="BW204" s="523">
        <f t="shared" si="638"/>
        <v>0</v>
      </c>
      <c r="BX204" s="523">
        <f t="shared" si="639"/>
        <v>0</v>
      </c>
      <c r="BY204" s="523">
        <f t="shared" si="640"/>
        <v>0</v>
      </c>
      <c r="BZ204" s="523">
        <f t="shared" si="641"/>
        <v>0</v>
      </c>
      <c r="CA204" s="354"/>
      <c r="CB204" s="354" t="b">
        <f t="shared" si="671"/>
        <v>0</v>
      </c>
      <c r="CC204" s="509" t="str">
        <f t="shared" si="672"/>
        <v>BCG.</v>
      </c>
      <c r="CD204" s="509" t="str">
        <f t="shared" si="673"/>
        <v>BCG.16,1</v>
      </c>
      <c r="CE204" s="351" t="str">
        <f t="shared" si="665"/>
        <v>Lò</v>
      </c>
      <c r="CF204" s="509" t="str">
        <f t="shared" si="674"/>
        <v>BCG.Lò</v>
      </c>
      <c r="CG204" s="509"/>
      <c r="CH204" s="509"/>
    </row>
    <row r="205" spans="1:86" ht="21" customHeight="1" x14ac:dyDescent="0.25">
      <c r="A205" s="354" t="e">
        <f>A195</f>
        <v>#REF!</v>
      </c>
      <c r="B205" s="518"/>
      <c r="C205" s="519" t="s">
        <v>209</v>
      </c>
      <c r="D205" s="447" t="s">
        <v>14</v>
      </c>
      <c r="E205" s="447"/>
      <c r="F205" s="447"/>
      <c r="G205" s="520">
        <v>11.2</v>
      </c>
      <c r="H205" s="521">
        <v>0.7</v>
      </c>
      <c r="I205" s="522">
        <f t="shared" si="619"/>
        <v>0</v>
      </c>
      <c r="J205" s="522">
        <f t="shared" si="620"/>
        <v>0</v>
      </c>
      <c r="K205" s="522">
        <f t="shared" si="621"/>
        <v>0</v>
      </c>
      <c r="L205" s="57">
        <f t="shared" si="622"/>
        <v>0</v>
      </c>
      <c r="M205" s="60"/>
      <c r="N205" s="60"/>
      <c r="O205" s="60">
        <f t="shared" si="652"/>
        <v>0</v>
      </c>
      <c r="P205" s="60"/>
      <c r="Q205" s="60"/>
      <c r="R205" s="60">
        <f t="shared" si="653"/>
        <v>0</v>
      </c>
      <c r="S205" s="824"/>
      <c r="T205" s="60"/>
      <c r="U205" s="60">
        <f t="shared" si="654"/>
        <v>0</v>
      </c>
      <c r="V205" s="60">
        <f t="shared" si="646"/>
        <v>0</v>
      </c>
      <c r="W205" s="60">
        <f t="shared" si="647"/>
        <v>0</v>
      </c>
      <c r="X205" s="60">
        <f t="shared" si="648"/>
        <v>0</v>
      </c>
      <c r="Y205" s="60"/>
      <c r="Z205" s="60"/>
      <c r="AA205" s="60">
        <f t="shared" si="655"/>
        <v>0</v>
      </c>
      <c r="AB205" s="60"/>
      <c r="AC205" s="60"/>
      <c r="AD205" s="60">
        <f t="shared" si="656"/>
        <v>0</v>
      </c>
      <c r="AE205" s="60"/>
      <c r="AF205" s="60"/>
      <c r="AG205" s="60">
        <f t="shared" si="657"/>
        <v>0</v>
      </c>
      <c r="AH205" s="60">
        <f t="shared" si="670"/>
        <v>0</v>
      </c>
      <c r="AI205" s="60">
        <f t="shared" si="670"/>
        <v>0</v>
      </c>
      <c r="AJ205" s="60">
        <f t="shared" si="670"/>
        <v>0</v>
      </c>
      <c r="AK205" s="60"/>
      <c r="AL205" s="60"/>
      <c r="AM205" s="60">
        <f t="shared" si="658"/>
        <v>0</v>
      </c>
      <c r="AN205" s="60"/>
      <c r="AO205" s="60"/>
      <c r="AP205" s="60">
        <f t="shared" si="659"/>
        <v>0</v>
      </c>
      <c r="AQ205" s="60"/>
      <c r="AR205" s="60"/>
      <c r="AS205" s="60">
        <f t="shared" si="660"/>
        <v>0</v>
      </c>
      <c r="AT205" s="60"/>
      <c r="AU205" s="60"/>
      <c r="AV205" s="60"/>
      <c r="AW205" s="60"/>
      <c r="AX205" s="60"/>
      <c r="AY205" s="60">
        <f t="shared" si="661"/>
        <v>0</v>
      </c>
      <c r="AZ205" s="60"/>
      <c r="BA205" s="60"/>
      <c r="BB205" s="60">
        <f t="shared" si="662"/>
        <v>0</v>
      </c>
      <c r="BC205" s="60"/>
      <c r="BD205" s="60"/>
      <c r="BE205" s="60">
        <f t="shared" si="663"/>
        <v>0</v>
      </c>
      <c r="BF205" s="60">
        <f t="shared" si="669"/>
        <v>0</v>
      </c>
      <c r="BG205" s="60">
        <f t="shared" si="669"/>
        <v>0</v>
      </c>
      <c r="BH205" s="60">
        <f t="shared" si="669"/>
        <v>0</v>
      </c>
      <c r="BI205" s="508"/>
      <c r="BJ205" s="488" t="str">
        <f t="shared" si="664"/>
        <v>Lò</v>
      </c>
      <c r="BK205" s="523">
        <f t="shared" si="626"/>
        <v>0</v>
      </c>
      <c r="BL205" s="523">
        <f t="shared" si="627"/>
        <v>0</v>
      </c>
      <c r="BM205" s="523">
        <f t="shared" si="628"/>
        <v>0</v>
      </c>
      <c r="BN205" s="523">
        <f t="shared" si="629"/>
        <v>0</v>
      </c>
      <c r="BO205" s="523">
        <f t="shared" si="630"/>
        <v>0</v>
      </c>
      <c r="BP205" s="523">
        <f t="shared" si="631"/>
        <v>0</v>
      </c>
      <c r="BQ205" s="523">
        <f t="shared" si="632"/>
        <v>0</v>
      </c>
      <c r="BR205" s="523">
        <f t="shared" si="633"/>
        <v>0</v>
      </c>
      <c r="BS205" s="523">
        <f t="shared" si="634"/>
        <v>0</v>
      </c>
      <c r="BT205" s="523">
        <f t="shared" si="635"/>
        <v>0</v>
      </c>
      <c r="BU205" s="523">
        <f t="shared" si="636"/>
        <v>0</v>
      </c>
      <c r="BV205" s="523">
        <f t="shared" si="637"/>
        <v>0</v>
      </c>
      <c r="BW205" s="523">
        <f t="shared" si="638"/>
        <v>0</v>
      </c>
      <c r="BX205" s="523">
        <f t="shared" si="639"/>
        <v>0</v>
      </c>
      <c r="BY205" s="523">
        <f t="shared" si="640"/>
        <v>0</v>
      </c>
      <c r="BZ205" s="523">
        <f t="shared" si="641"/>
        <v>0</v>
      </c>
      <c r="CA205" s="354"/>
      <c r="CB205" s="354" t="b">
        <f t="shared" si="671"/>
        <v>0</v>
      </c>
      <c r="CC205" s="509" t="str">
        <f t="shared" si="672"/>
        <v>BCG.</v>
      </c>
      <c r="CD205" s="509" t="str">
        <f t="shared" si="673"/>
        <v>BCG.11,2</v>
      </c>
      <c r="CE205" s="351" t="str">
        <f t="shared" si="665"/>
        <v>Lò</v>
      </c>
      <c r="CF205" s="509" t="str">
        <f t="shared" si="674"/>
        <v>BCG.Lò</v>
      </c>
      <c r="CG205" s="509"/>
      <c r="CH205" s="509"/>
    </row>
    <row r="206" spans="1:86" ht="21" customHeight="1" x14ac:dyDescent="0.25">
      <c r="A206" s="354" t="e">
        <f>A197</f>
        <v>#REF!</v>
      </c>
      <c r="B206" s="518"/>
      <c r="C206" s="519" t="s">
        <v>209</v>
      </c>
      <c r="D206" s="447" t="s">
        <v>14</v>
      </c>
      <c r="E206" s="447"/>
      <c r="F206" s="447"/>
      <c r="G206" s="520">
        <v>11.2</v>
      </c>
      <c r="H206" s="521">
        <v>0.7</v>
      </c>
      <c r="I206" s="522">
        <f t="shared" si="619"/>
        <v>0</v>
      </c>
      <c r="J206" s="522">
        <f t="shared" si="620"/>
        <v>0</v>
      </c>
      <c r="K206" s="522">
        <f t="shared" si="621"/>
        <v>0</v>
      </c>
      <c r="L206" s="57">
        <f t="shared" si="622"/>
        <v>0</v>
      </c>
      <c r="M206" s="60"/>
      <c r="N206" s="60"/>
      <c r="O206" s="60">
        <f t="shared" si="652"/>
        <v>0</v>
      </c>
      <c r="P206" s="60"/>
      <c r="Q206" s="60"/>
      <c r="R206" s="60">
        <f t="shared" si="653"/>
        <v>0</v>
      </c>
      <c r="S206" s="824"/>
      <c r="T206" s="60"/>
      <c r="U206" s="60">
        <f t="shared" si="654"/>
        <v>0</v>
      </c>
      <c r="V206" s="60"/>
      <c r="W206" s="60"/>
      <c r="X206" s="60"/>
      <c r="Y206" s="60"/>
      <c r="Z206" s="60"/>
      <c r="AA206" s="60">
        <f t="shared" si="655"/>
        <v>0</v>
      </c>
      <c r="AB206" s="60"/>
      <c r="AC206" s="60"/>
      <c r="AD206" s="60">
        <f t="shared" si="656"/>
        <v>0</v>
      </c>
      <c r="AE206" s="60"/>
      <c r="AF206" s="60"/>
      <c r="AG206" s="60">
        <f t="shared" si="657"/>
        <v>0</v>
      </c>
      <c r="AH206" s="60"/>
      <c r="AI206" s="60"/>
      <c r="AJ206" s="60"/>
      <c r="AK206" s="60"/>
      <c r="AL206" s="60"/>
      <c r="AM206" s="60">
        <f t="shared" si="658"/>
        <v>0</v>
      </c>
      <c r="AN206" s="60"/>
      <c r="AO206" s="60"/>
      <c r="AP206" s="60">
        <f t="shared" si="659"/>
        <v>0</v>
      </c>
      <c r="AQ206" s="60"/>
      <c r="AR206" s="60"/>
      <c r="AS206" s="60">
        <f t="shared" si="660"/>
        <v>0</v>
      </c>
      <c r="AT206" s="60"/>
      <c r="AU206" s="60"/>
      <c r="AV206" s="60"/>
      <c r="AW206" s="60"/>
      <c r="AX206" s="60"/>
      <c r="AY206" s="60">
        <f t="shared" si="661"/>
        <v>0</v>
      </c>
      <c r="AZ206" s="60"/>
      <c r="BA206" s="60"/>
      <c r="BB206" s="60">
        <f t="shared" si="662"/>
        <v>0</v>
      </c>
      <c r="BC206" s="60"/>
      <c r="BD206" s="60"/>
      <c r="BE206" s="60">
        <f t="shared" si="663"/>
        <v>0</v>
      </c>
      <c r="BF206" s="60"/>
      <c r="BG206" s="60"/>
      <c r="BH206" s="60"/>
      <c r="BI206" s="508"/>
      <c r="BJ206" s="488" t="str">
        <f t="shared" si="664"/>
        <v>Lò</v>
      </c>
      <c r="BK206" s="523">
        <f t="shared" si="626"/>
        <v>0</v>
      </c>
      <c r="BL206" s="523">
        <f t="shared" si="627"/>
        <v>0</v>
      </c>
      <c r="BM206" s="523">
        <f t="shared" si="628"/>
        <v>0</v>
      </c>
      <c r="BN206" s="523">
        <f t="shared" si="629"/>
        <v>0</v>
      </c>
      <c r="BO206" s="523">
        <f t="shared" si="630"/>
        <v>0</v>
      </c>
      <c r="BP206" s="523">
        <f t="shared" si="631"/>
        <v>0</v>
      </c>
      <c r="BQ206" s="523">
        <f t="shared" si="632"/>
        <v>0</v>
      </c>
      <c r="BR206" s="523">
        <f t="shared" si="633"/>
        <v>0</v>
      </c>
      <c r="BS206" s="523">
        <f t="shared" si="634"/>
        <v>0</v>
      </c>
      <c r="BT206" s="523">
        <f t="shared" si="635"/>
        <v>0</v>
      </c>
      <c r="BU206" s="523">
        <f t="shared" si="636"/>
        <v>0</v>
      </c>
      <c r="BV206" s="523">
        <f t="shared" si="637"/>
        <v>0</v>
      </c>
      <c r="BW206" s="523">
        <f t="shared" si="638"/>
        <v>0</v>
      </c>
      <c r="BX206" s="523">
        <f t="shared" si="639"/>
        <v>0</v>
      </c>
      <c r="BY206" s="523">
        <f t="shared" si="640"/>
        <v>0</v>
      </c>
      <c r="BZ206" s="523">
        <f t="shared" si="641"/>
        <v>0</v>
      </c>
      <c r="CA206" s="354"/>
      <c r="CB206" s="354" t="b">
        <f t="shared" si="671"/>
        <v>0</v>
      </c>
      <c r="CC206" s="509" t="str">
        <f t="shared" si="672"/>
        <v>BCG.</v>
      </c>
      <c r="CD206" s="509" t="str">
        <f t="shared" si="673"/>
        <v>BCG.11,2</v>
      </c>
      <c r="CE206" s="351" t="str">
        <f t="shared" si="665"/>
        <v>Lò</v>
      </c>
      <c r="CF206" s="509" t="str">
        <f t="shared" si="674"/>
        <v>BCG.Lò</v>
      </c>
      <c r="CG206" s="509"/>
      <c r="CH206" s="509"/>
    </row>
    <row r="207" spans="1:86" s="359" customFormat="1" ht="17.25" x14ac:dyDescent="0.3">
      <c r="A207" s="354" t="e">
        <f>A206</f>
        <v>#REF!</v>
      </c>
      <c r="B207" s="525" t="s">
        <v>37</v>
      </c>
      <c r="C207" s="526" t="s">
        <v>178</v>
      </c>
      <c r="D207" s="527"/>
      <c r="E207" s="527"/>
      <c r="F207" s="527"/>
      <c r="G207" s="528"/>
      <c r="H207" s="529"/>
      <c r="I207" s="70">
        <f t="shared" ref="I207:U207" si="675">SUM(I208:I213)</f>
        <v>500</v>
      </c>
      <c r="J207" s="70">
        <f t="shared" si="675"/>
        <v>260</v>
      </c>
      <c r="K207" s="70">
        <f t="shared" si="675"/>
        <v>240</v>
      </c>
      <c r="L207" s="70">
        <f t="shared" si="675"/>
        <v>900</v>
      </c>
      <c r="M207" s="210">
        <f t="shared" si="675"/>
        <v>45</v>
      </c>
      <c r="N207" s="210">
        <f t="shared" si="675"/>
        <v>45</v>
      </c>
      <c r="O207" s="210">
        <f t="shared" si="675"/>
        <v>0</v>
      </c>
      <c r="P207" s="210">
        <f t="shared" si="675"/>
        <v>30</v>
      </c>
      <c r="Q207" s="210">
        <f t="shared" si="675"/>
        <v>30</v>
      </c>
      <c r="R207" s="210">
        <f t="shared" si="675"/>
        <v>0</v>
      </c>
      <c r="S207" s="829">
        <f t="shared" si="675"/>
        <v>45</v>
      </c>
      <c r="T207" s="210">
        <f t="shared" si="675"/>
        <v>45</v>
      </c>
      <c r="U207" s="210">
        <f t="shared" si="675"/>
        <v>0</v>
      </c>
      <c r="V207" s="224">
        <f t="shared" ref="V207:AG207" si="676">SUM(V208:V213)</f>
        <v>120</v>
      </c>
      <c r="W207" s="224">
        <f t="shared" si="676"/>
        <v>120</v>
      </c>
      <c r="X207" s="224">
        <f t="shared" si="676"/>
        <v>0</v>
      </c>
      <c r="Y207" s="210">
        <f t="shared" si="676"/>
        <v>40</v>
      </c>
      <c r="Z207" s="210">
        <f t="shared" si="676"/>
        <v>40</v>
      </c>
      <c r="AA207" s="210">
        <f t="shared" si="676"/>
        <v>0</v>
      </c>
      <c r="AB207" s="210">
        <f t="shared" si="676"/>
        <v>45</v>
      </c>
      <c r="AC207" s="210">
        <f t="shared" si="676"/>
        <v>5</v>
      </c>
      <c r="AD207" s="210">
        <f t="shared" si="676"/>
        <v>40</v>
      </c>
      <c r="AE207" s="210">
        <f t="shared" si="676"/>
        <v>45</v>
      </c>
      <c r="AF207" s="210">
        <f t="shared" si="676"/>
        <v>10</v>
      </c>
      <c r="AG207" s="210">
        <f t="shared" si="676"/>
        <v>35</v>
      </c>
      <c r="AH207" s="224">
        <f t="shared" ref="AH207:BE207" si="677">SUM(AH208:AH213)</f>
        <v>130</v>
      </c>
      <c r="AI207" s="224">
        <f t="shared" si="677"/>
        <v>55</v>
      </c>
      <c r="AJ207" s="224">
        <f t="shared" si="677"/>
        <v>75</v>
      </c>
      <c r="AK207" s="210">
        <f t="shared" si="677"/>
        <v>45</v>
      </c>
      <c r="AL207" s="210">
        <f t="shared" si="677"/>
        <v>10</v>
      </c>
      <c r="AM207" s="210">
        <f t="shared" si="677"/>
        <v>35</v>
      </c>
      <c r="AN207" s="210">
        <f t="shared" si="677"/>
        <v>35</v>
      </c>
      <c r="AO207" s="210">
        <f t="shared" si="677"/>
        <v>15</v>
      </c>
      <c r="AP207" s="210">
        <f t="shared" si="677"/>
        <v>20</v>
      </c>
      <c r="AQ207" s="210">
        <f t="shared" si="677"/>
        <v>45</v>
      </c>
      <c r="AR207" s="210">
        <f t="shared" si="677"/>
        <v>15</v>
      </c>
      <c r="AS207" s="210">
        <f t="shared" si="677"/>
        <v>30</v>
      </c>
      <c r="AT207" s="224">
        <f t="shared" si="677"/>
        <v>125</v>
      </c>
      <c r="AU207" s="224">
        <f t="shared" si="677"/>
        <v>40</v>
      </c>
      <c r="AV207" s="224">
        <f t="shared" si="677"/>
        <v>85</v>
      </c>
      <c r="AW207" s="210">
        <f t="shared" si="677"/>
        <v>45</v>
      </c>
      <c r="AX207" s="210">
        <f t="shared" si="677"/>
        <v>15</v>
      </c>
      <c r="AY207" s="210">
        <f t="shared" si="677"/>
        <v>30</v>
      </c>
      <c r="AZ207" s="210">
        <f t="shared" si="677"/>
        <v>45</v>
      </c>
      <c r="BA207" s="210">
        <f t="shared" si="677"/>
        <v>15</v>
      </c>
      <c r="BB207" s="210">
        <f t="shared" si="677"/>
        <v>30</v>
      </c>
      <c r="BC207" s="210">
        <f t="shared" si="677"/>
        <v>35</v>
      </c>
      <c r="BD207" s="210">
        <f t="shared" si="677"/>
        <v>15</v>
      </c>
      <c r="BE207" s="210">
        <f t="shared" si="677"/>
        <v>20</v>
      </c>
      <c r="BF207" s="224">
        <f>SUM(BF208:BF213)</f>
        <v>125</v>
      </c>
      <c r="BG207" s="224">
        <f>SUM(BG208:BG213)</f>
        <v>45</v>
      </c>
      <c r="BH207" s="224">
        <f>SUM(BH208:BH213)</f>
        <v>80</v>
      </c>
      <c r="BI207" s="530"/>
      <c r="BJ207" s="488" t="str">
        <f t="shared" si="664"/>
        <v>XL</v>
      </c>
      <c r="BK207" s="225">
        <f>SUM(BK208:BK213)</f>
        <v>0</v>
      </c>
      <c r="BL207" s="225">
        <f t="shared" ref="BL207:BZ207" si="678">SUM(BL208:BL213)</f>
        <v>0</v>
      </c>
      <c r="BM207" s="225">
        <f t="shared" si="678"/>
        <v>0</v>
      </c>
      <c r="BN207" s="225">
        <f t="shared" si="678"/>
        <v>0</v>
      </c>
      <c r="BO207" s="225">
        <f t="shared" si="678"/>
        <v>0</v>
      </c>
      <c r="BP207" s="225">
        <f t="shared" si="678"/>
        <v>100</v>
      </c>
      <c r="BQ207" s="225">
        <f t="shared" si="678"/>
        <v>100</v>
      </c>
      <c r="BR207" s="225">
        <f t="shared" si="678"/>
        <v>300</v>
      </c>
      <c r="BS207" s="225">
        <f t="shared" si="678"/>
        <v>100</v>
      </c>
      <c r="BT207" s="225">
        <f t="shared" si="678"/>
        <v>100</v>
      </c>
      <c r="BU207" s="225">
        <f t="shared" si="678"/>
        <v>100</v>
      </c>
      <c r="BV207" s="225">
        <f t="shared" si="678"/>
        <v>300</v>
      </c>
      <c r="BW207" s="225">
        <f t="shared" si="678"/>
        <v>100</v>
      </c>
      <c r="BX207" s="225">
        <f t="shared" si="678"/>
        <v>100</v>
      </c>
      <c r="BY207" s="225">
        <f t="shared" si="678"/>
        <v>100</v>
      </c>
      <c r="BZ207" s="225">
        <f t="shared" si="678"/>
        <v>300</v>
      </c>
      <c r="CA207" s="510"/>
      <c r="CB207" s="510" t="str">
        <f t="shared" si="671"/>
        <v>X</v>
      </c>
      <c r="CC207" s="509" t="str">
        <f t="shared" si="672"/>
        <v>BCG.</v>
      </c>
      <c r="CD207" s="509" t="str">
        <f t="shared" si="673"/>
        <v>BCG.</v>
      </c>
      <c r="CE207" s="351" t="str">
        <f t="shared" si="665"/>
        <v>XL</v>
      </c>
      <c r="CF207" s="509" t="str">
        <f t="shared" si="674"/>
        <v>BCG.XL</v>
      </c>
      <c r="CG207" s="509"/>
      <c r="CH207" s="509"/>
    </row>
    <row r="208" spans="1:86" ht="21" customHeight="1" x14ac:dyDescent="0.25">
      <c r="A208" s="354" t="e">
        <f>A207</f>
        <v>#REF!</v>
      </c>
      <c r="B208" s="484"/>
      <c r="C208" s="531" t="s">
        <v>803</v>
      </c>
      <c r="D208" s="447" t="s">
        <v>14</v>
      </c>
      <c r="E208" s="447"/>
      <c r="F208" s="447"/>
      <c r="G208" s="520">
        <v>17.899999999999999</v>
      </c>
      <c r="H208" s="521">
        <v>0.5</v>
      </c>
      <c r="I208" s="522">
        <f t="shared" ref="I208:I213" si="679">V208+AH208+AT208+BF208</f>
        <v>160</v>
      </c>
      <c r="J208" s="522">
        <f t="shared" ref="J208:J213" si="680">W208+AI208+AU208+BG208</f>
        <v>160</v>
      </c>
      <c r="K208" s="522">
        <f t="shared" ref="K208:K213" si="681">X208+AJ208+AV208+BH208</f>
        <v>0</v>
      </c>
      <c r="L208" s="57">
        <f t="shared" ref="L208:L213" si="682">BN208+BR208+BV208+BZ208</f>
        <v>0</v>
      </c>
      <c r="M208" s="60">
        <v>45</v>
      </c>
      <c r="N208" s="60">
        <v>45</v>
      </c>
      <c r="O208" s="60">
        <f t="shared" ref="O208:O213" si="683">M208-N208</f>
        <v>0</v>
      </c>
      <c r="P208" s="60">
        <v>30</v>
      </c>
      <c r="Q208" s="60">
        <v>30</v>
      </c>
      <c r="R208" s="60">
        <f t="shared" ref="R208:R213" si="684">P208-Q208</f>
        <v>0</v>
      </c>
      <c r="S208" s="824">
        <v>45</v>
      </c>
      <c r="T208" s="60">
        <v>45</v>
      </c>
      <c r="U208" s="60">
        <f t="shared" ref="U208:U213" si="685">S208-T208</f>
        <v>0</v>
      </c>
      <c r="V208" s="60">
        <f t="shared" ref="V208:V213" si="686">M208+P208+S208</f>
        <v>120</v>
      </c>
      <c r="W208" s="60">
        <f t="shared" ref="W208:W213" si="687">N208+Q208+T208</f>
        <v>120</v>
      </c>
      <c r="X208" s="60">
        <f>V208-W208</f>
        <v>0</v>
      </c>
      <c r="Y208" s="60">
        <v>40</v>
      </c>
      <c r="Z208" s="60">
        <v>40</v>
      </c>
      <c r="AA208" s="60">
        <f t="shared" ref="AA208:AA213" si="688">Y208-Z208</f>
        <v>0</v>
      </c>
      <c r="AB208" s="60"/>
      <c r="AC208" s="60"/>
      <c r="AD208" s="60">
        <f t="shared" ref="AD208:AD213" si="689">AB208-AC208</f>
        <v>0</v>
      </c>
      <c r="AE208" s="60"/>
      <c r="AF208" s="60"/>
      <c r="AG208" s="60">
        <f t="shared" ref="AG208:AG213" si="690">AE208-AF208</f>
        <v>0</v>
      </c>
      <c r="AH208" s="60">
        <f t="shared" ref="AH208:AH213" si="691">Y208+AB208+AE208</f>
        <v>40</v>
      </c>
      <c r="AI208" s="60">
        <f t="shared" ref="AI208:AI213" si="692">Z208+AC208+AF208</f>
        <v>40</v>
      </c>
      <c r="AJ208" s="60">
        <f t="shared" ref="AJ208:AJ213" si="693">AA208+AD208+AG208</f>
        <v>0</v>
      </c>
      <c r="AK208" s="60"/>
      <c r="AL208" s="60"/>
      <c r="AM208" s="60">
        <f t="shared" ref="AM208:AM213" si="694">AK208-AL208</f>
        <v>0</v>
      </c>
      <c r="AN208" s="60"/>
      <c r="AO208" s="60"/>
      <c r="AP208" s="60">
        <f t="shared" ref="AP208:AP213" si="695">AN208-AO208</f>
        <v>0</v>
      </c>
      <c r="AQ208" s="60"/>
      <c r="AR208" s="60"/>
      <c r="AS208" s="60">
        <f t="shared" ref="AS208:AS213" si="696">AQ208-AR208</f>
        <v>0</v>
      </c>
      <c r="AT208" s="60">
        <f t="shared" ref="AT208:AT213" si="697">AK208+AN208+AQ208</f>
        <v>0</v>
      </c>
      <c r="AU208" s="60">
        <f t="shared" ref="AU208:AU213" si="698">AL208+AO208+AR208</f>
        <v>0</v>
      </c>
      <c r="AV208" s="60">
        <f t="shared" ref="AV208:AV213" si="699">AM208+AP208+AS208</f>
        <v>0</v>
      </c>
      <c r="AW208" s="60"/>
      <c r="AX208" s="60"/>
      <c r="AY208" s="60">
        <f t="shared" ref="AY208:AY213" si="700">AW208-AX208</f>
        <v>0</v>
      </c>
      <c r="AZ208" s="60"/>
      <c r="BA208" s="60"/>
      <c r="BB208" s="60">
        <f t="shared" ref="BB208:BB213" si="701">AZ208-BA208</f>
        <v>0</v>
      </c>
      <c r="BC208" s="60"/>
      <c r="BD208" s="60"/>
      <c r="BE208" s="60">
        <f t="shared" ref="BE208:BE213" si="702">BC208-BD208</f>
        <v>0</v>
      </c>
      <c r="BF208" s="60">
        <f t="shared" ref="BF208:BF213" si="703">AW208+AZ208+BC208</f>
        <v>0</v>
      </c>
      <c r="BG208" s="60">
        <f t="shared" ref="BG208:BG213" si="704">AX208+BA208+BD208</f>
        <v>0</v>
      </c>
      <c r="BH208" s="60">
        <f t="shared" ref="BH208:BH213" si="705">AY208+BB208+BE208</f>
        <v>0</v>
      </c>
      <c r="BI208" s="508"/>
      <c r="BJ208" s="488" t="str">
        <f t="shared" si="664"/>
        <v>Xé</v>
      </c>
      <c r="BK208" s="523">
        <f t="shared" ref="BK208:BK213" si="706">ROUND(O208*G208*$B$6,-2)</f>
        <v>0</v>
      </c>
      <c r="BL208" s="523">
        <f t="shared" ref="BL208:BL213" si="707">ROUND(R208*G208*$B$6,-2)</f>
        <v>0</v>
      </c>
      <c r="BM208" s="523">
        <f t="shared" ref="BM208:BM213" si="708">ROUND(U208*G208*$B$6,-2)</f>
        <v>0</v>
      </c>
      <c r="BN208" s="523">
        <f t="shared" ref="BN208:BN213" si="709">ROUND(X208*G208*$B$6,-2)</f>
        <v>0</v>
      </c>
      <c r="BO208" s="523">
        <f t="shared" ref="BO208:BO213" si="710">ROUND(AA208*G208*$B$6,-2)</f>
        <v>0</v>
      </c>
      <c r="BP208" s="523">
        <f t="shared" ref="BP208:BP213" si="711">ROUND(AD208*G208*$B$6,-2)</f>
        <v>0</v>
      </c>
      <c r="BQ208" s="523">
        <f t="shared" ref="BQ208:BQ213" si="712">ROUND(AG208*G208*$B$6,-2)</f>
        <v>0</v>
      </c>
      <c r="BR208" s="523">
        <f t="shared" ref="BR208:BR213" si="713">ROUND(AJ208*G208*$B$6,-2)</f>
        <v>0</v>
      </c>
      <c r="BS208" s="523">
        <f t="shared" ref="BS208:BS213" si="714">ROUND(AM208*G208*$B$6,-2)</f>
        <v>0</v>
      </c>
      <c r="BT208" s="523">
        <f t="shared" ref="BT208:BT213" si="715">ROUND(AP208*G208*$B$6,-2)</f>
        <v>0</v>
      </c>
      <c r="BU208" s="523">
        <f t="shared" ref="BU208:BU213" si="716">ROUND(AS208*G208*$B$6,-2)</f>
        <v>0</v>
      </c>
      <c r="BV208" s="523">
        <f t="shared" ref="BV208:BV213" si="717">ROUND(AV208*G208*$B$6,-2)</f>
        <v>0</v>
      </c>
      <c r="BW208" s="523">
        <f t="shared" ref="BW208:BW213" si="718">ROUND(AY208*G208*$B$6,-2)</f>
        <v>0</v>
      </c>
      <c r="BX208" s="523">
        <f t="shared" ref="BX208:BX213" si="719">ROUND(BB208*G208*$B$6,-2)</f>
        <v>0</v>
      </c>
      <c r="BY208" s="523">
        <f t="shared" ref="BY208:BY213" si="720">ROUND(BE208*G208*$B$6,-2)</f>
        <v>0</v>
      </c>
      <c r="BZ208" s="523">
        <f t="shared" ref="BZ208:BZ213" si="721">ROUND(BH208*G208*$B$6,-2)</f>
        <v>0</v>
      </c>
      <c r="CA208" s="354"/>
      <c r="CB208" s="354" t="str">
        <f t="shared" si="671"/>
        <v>X</v>
      </c>
      <c r="CC208" s="509" t="str">
        <f t="shared" si="672"/>
        <v>BCG.</v>
      </c>
      <c r="CD208" s="509" t="str">
        <f t="shared" si="673"/>
        <v>BCG.17,9</v>
      </c>
      <c r="CE208" s="351" t="str">
        <f t="shared" si="665"/>
        <v>Xé</v>
      </c>
      <c r="CF208" s="509" t="str">
        <f t="shared" si="674"/>
        <v>BCG.Xé</v>
      </c>
      <c r="CG208" s="509"/>
      <c r="CH208" s="509"/>
    </row>
    <row r="209" spans="1:86" ht="21" customHeight="1" x14ac:dyDescent="0.25">
      <c r="A209" s="354" t="e">
        <f>A201</f>
        <v>#REF!</v>
      </c>
      <c r="B209" s="484"/>
      <c r="C209" s="531" t="s">
        <v>804</v>
      </c>
      <c r="D209" s="447" t="s">
        <v>14</v>
      </c>
      <c r="E209" s="447"/>
      <c r="F209" s="447"/>
      <c r="G209" s="520">
        <v>16.100000000000001</v>
      </c>
      <c r="H209" s="521">
        <v>0.5</v>
      </c>
      <c r="I209" s="522">
        <f t="shared" si="679"/>
        <v>170</v>
      </c>
      <c r="J209" s="522">
        <f t="shared" si="680"/>
        <v>40</v>
      </c>
      <c r="K209" s="522">
        <f t="shared" si="681"/>
        <v>130</v>
      </c>
      <c r="L209" s="57">
        <f t="shared" si="682"/>
        <v>500</v>
      </c>
      <c r="M209" s="60"/>
      <c r="N209" s="60"/>
      <c r="O209" s="60">
        <f t="shared" si="683"/>
        <v>0</v>
      </c>
      <c r="P209" s="60"/>
      <c r="Q209" s="60"/>
      <c r="R209" s="60">
        <f t="shared" si="684"/>
        <v>0</v>
      </c>
      <c r="S209" s="824"/>
      <c r="T209" s="60"/>
      <c r="U209" s="60">
        <f t="shared" si="685"/>
        <v>0</v>
      </c>
      <c r="V209" s="60">
        <f t="shared" si="686"/>
        <v>0</v>
      </c>
      <c r="W209" s="60">
        <f t="shared" si="687"/>
        <v>0</v>
      </c>
      <c r="X209" s="60">
        <f>O209+R209+U209</f>
        <v>0</v>
      </c>
      <c r="Y209" s="60"/>
      <c r="Z209" s="60"/>
      <c r="AA209" s="60">
        <f t="shared" si="688"/>
        <v>0</v>
      </c>
      <c r="AB209" s="60">
        <v>45</v>
      </c>
      <c r="AC209" s="60">
        <v>5</v>
      </c>
      <c r="AD209" s="60">
        <f t="shared" si="689"/>
        <v>40</v>
      </c>
      <c r="AE209" s="60">
        <v>45</v>
      </c>
      <c r="AF209" s="60">
        <v>10</v>
      </c>
      <c r="AG209" s="60">
        <f t="shared" si="690"/>
        <v>35</v>
      </c>
      <c r="AH209" s="60">
        <f t="shared" si="691"/>
        <v>90</v>
      </c>
      <c r="AI209" s="60">
        <f t="shared" si="692"/>
        <v>15</v>
      </c>
      <c r="AJ209" s="60">
        <f t="shared" si="693"/>
        <v>75</v>
      </c>
      <c r="AK209" s="60">
        <v>45</v>
      </c>
      <c r="AL209" s="60">
        <v>10</v>
      </c>
      <c r="AM209" s="60">
        <f t="shared" si="694"/>
        <v>35</v>
      </c>
      <c r="AN209" s="60">
        <v>35</v>
      </c>
      <c r="AO209" s="60">
        <v>15</v>
      </c>
      <c r="AP209" s="60">
        <f t="shared" si="695"/>
        <v>20</v>
      </c>
      <c r="AQ209" s="60"/>
      <c r="AR209" s="60"/>
      <c r="AS209" s="60">
        <f t="shared" si="696"/>
        <v>0</v>
      </c>
      <c r="AT209" s="60">
        <f t="shared" si="697"/>
        <v>80</v>
      </c>
      <c r="AU209" s="60">
        <f t="shared" si="698"/>
        <v>25</v>
      </c>
      <c r="AV209" s="60">
        <f t="shared" si="699"/>
        <v>55</v>
      </c>
      <c r="AW209" s="60"/>
      <c r="AX209" s="60"/>
      <c r="AY209" s="60">
        <f t="shared" si="700"/>
        <v>0</v>
      </c>
      <c r="AZ209" s="60"/>
      <c r="BA209" s="60"/>
      <c r="BB209" s="60">
        <f t="shared" si="701"/>
        <v>0</v>
      </c>
      <c r="BC209" s="60"/>
      <c r="BD209" s="60"/>
      <c r="BE209" s="60">
        <f t="shared" si="702"/>
        <v>0</v>
      </c>
      <c r="BF209" s="60">
        <f t="shared" si="703"/>
        <v>0</v>
      </c>
      <c r="BG209" s="60">
        <f t="shared" si="704"/>
        <v>0</v>
      </c>
      <c r="BH209" s="60">
        <f t="shared" si="705"/>
        <v>0</v>
      </c>
      <c r="BI209" s="508"/>
      <c r="BJ209" s="488" t="str">
        <f t="shared" si="664"/>
        <v>Xé</v>
      </c>
      <c r="BK209" s="523">
        <f t="shared" si="706"/>
        <v>0</v>
      </c>
      <c r="BL209" s="523">
        <f t="shared" si="707"/>
        <v>0</v>
      </c>
      <c r="BM209" s="523">
        <f t="shared" si="708"/>
        <v>0</v>
      </c>
      <c r="BN209" s="523">
        <f t="shared" si="709"/>
        <v>0</v>
      </c>
      <c r="BO209" s="523">
        <f t="shared" si="710"/>
        <v>0</v>
      </c>
      <c r="BP209" s="523">
        <f t="shared" si="711"/>
        <v>100</v>
      </c>
      <c r="BQ209" s="523">
        <f t="shared" si="712"/>
        <v>100</v>
      </c>
      <c r="BR209" s="523">
        <f t="shared" si="713"/>
        <v>300</v>
      </c>
      <c r="BS209" s="523">
        <f t="shared" si="714"/>
        <v>100</v>
      </c>
      <c r="BT209" s="523">
        <f t="shared" si="715"/>
        <v>100</v>
      </c>
      <c r="BU209" s="523">
        <f t="shared" si="716"/>
        <v>0</v>
      </c>
      <c r="BV209" s="523">
        <f t="shared" si="717"/>
        <v>200</v>
      </c>
      <c r="BW209" s="523">
        <f t="shared" si="718"/>
        <v>0</v>
      </c>
      <c r="BX209" s="523">
        <f t="shared" si="719"/>
        <v>0</v>
      </c>
      <c r="BY209" s="523">
        <f t="shared" si="720"/>
        <v>0</v>
      </c>
      <c r="BZ209" s="523">
        <f t="shared" si="721"/>
        <v>0</v>
      </c>
      <c r="CA209" s="354"/>
      <c r="CB209" s="354" t="str">
        <f t="shared" si="671"/>
        <v>X</v>
      </c>
      <c r="CC209" s="509" t="str">
        <f t="shared" si="672"/>
        <v>BCG.</v>
      </c>
      <c r="CD209" s="509" t="str">
        <f t="shared" si="673"/>
        <v>BCG.16,1</v>
      </c>
      <c r="CE209" s="351" t="str">
        <f t="shared" si="665"/>
        <v>Xé</v>
      </c>
      <c r="CF209" s="509" t="str">
        <f t="shared" si="674"/>
        <v>BCG.Xé</v>
      </c>
      <c r="CG209" s="509"/>
      <c r="CH209" s="509"/>
    </row>
    <row r="210" spans="1:86" ht="24" customHeight="1" x14ac:dyDescent="0.25">
      <c r="A210" s="354" t="e">
        <f>A206</f>
        <v>#REF!</v>
      </c>
      <c r="B210" s="484"/>
      <c r="C210" s="531" t="s">
        <v>805</v>
      </c>
      <c r="D210" s="447" t="s">
        <v>14</v>
      </c>
      <c r="E210" s="447"/>
      <c r="F210" s="447"/>
      <c r="G210" s="520">
        <v>16.100000000000001</v>
      </c>
      <c r="H210" s="521">
        <v>0.5</v>
      </c>
      <c r="I210" s="522">
        <f t="shared" si="679"/>
        <v>170</v>
      </c>
      <c r="J210" s="522">
        <f t="shared" si="680"/>
        <v>60</v>
      </c>
      <c r="K210" s="522">
        <f t="shared" si="681"/>
        <v>110</v>
      </c>
      <c r="L210" s="57">
        <f t="shared" si="682"/>
        <v>400</v>
      </c>
      <c r="M210" s="60"/>
      <c r="N210" s="60"/>
      <c r="O210" s="60">
        <f t="shared" si="683"/>
        <v>0</v>
      </c>
      <c r="P210" s="60"/>
      <c r="Q210" s="60"/>
      <c r="R210" s="60">
        <f t="shared" si="684"/>
        <v>0</v>
      </c>
      <c r="S210" s="824"/>
      <c r="T210" s="60"/>
      <c r="U210" s="60">
        <f t="shared" si="685"/>
        <v>0</v>
      </c>
      <c r="V210" s="60">
        <f t="shared" si="686"/>
        <v>0</v>
      </c>
      <c r="W210" s="60">
        <f t="shared" si="687"/>
        <v>0</v>
      </c>
      <c r="X210" s="60">
        <f>O210+R210+U210</f>
        <v>0</v>
      </c>
      <c r="Y210" s="60"/>
      <c r="Z210" s="60"/>
      <c r="AA210" s="60">
        <f t="shared" si="688"/>
        <v>0</v>
      </c>
      <c r="AB210" s="60"/>
      <c r="AC210" s="60"/>
      <c r="AD210" s="60">
        <f t="shared" si="689"/>
        <v>0</v>
      </c>
      <c r="AE210" s="60"/>
      <c r="AF210" s="60"/>
      <c r="AG210" s="60">
        <f t="shared" si="690"/>
        <v>0</v>
      </c>
      <c r="AH210" s="60">
        <f t="shared" si="691"/>
        <v>0</v>
      </c>
      <c r="AI210" s="60">
        <f t="shared" si="692"/>
        <v>0</v>
      </c>
      <c r="AJ210" s="60">
        <f t="shared" si="693"/>
        <v>0</v>
      </c>
      <c r="AK210" s="60"/>
      <c r="AL210" s="60"/>
      <c r="AM210" s="60">
        <f t="shared" si="694"/>
        <v>0</v>
      </c>
      <c r="AN210" s="60"/>
      <c r="AO210" s="60"/>
      <c r="AP210" s="60">
        <f t="shared" si="695"/>
        <v>0</v>
      </c>
      <c r="AQ210" s="60">
        <v>45</v>
      </c>
      <c r="AR210" s="60">
        <v>15</v>
      </c>
      <c r="AS210" s="60">
        <f t="shared" si="696"/>
        <v>30</v>
      </c>
      <c r="AT210" s="60">
        <f t="shared" si="697"/>
        <v>45</v>
      </c>
      <c r="AU210" s="60">
        <f t="shared" si="698"/>
        <v>15</v>
      </c>
      <c r="AV210" s="60">
        <f t="shared" si="699"/>
        <v>30</v>
      </c>
      <c r="AW210" s="60">
        <v>45</v>
      </c>
      <c r="AX210" s="60">
        <v>15</v>
      </c>
      <c r="AY210" s="60">
        <f t="shared" si="700"/>
        <v>30</v>
      </c>
      <c r="AZ210" s="60">
        <v>45</v>
      </c>
      <c r="BA210" s="60">
        <v>15</v>
      </c>
      <c r="BB210" s="60">
        <f t="shared" si="701"/>
        <v>30</v>
      </c>
      <c r="BC210" s="60">
        <v>35</v>
      </c>
      <c r="BD210" s="60">
        <v>15</v>
      </c>
      <c r="BE210" s="60">
        <f t="shared" si="702"/>
        <v>20</v>
      </c>
      <c r="BF210" s="60">
        <f t="shared" si="703"/>
        <v>125</v>
      </c>
      <c r="BG210" s="60">
        <f t="shared" si="704"/>
        <v>45</v>
      </c>
      <c r="BH210" s="60">
        <f t="shared" si="705"/>
        <v>80</v>
      </c>
      <c r="BI210" s="508"/>
      <c r="BJ210" s="488" t="str">
        <f t="shared" si="664"/>
        <v>Xé</v>
      </c>
      <c r="BK210" s="523">
        <f t="shared" si="706"/>
        <v>0</v>
      </c>
      <c r="BL210" s="523">
        <f t="shared" si="707"/>
        <v>0</v>
      </c>
      <c r="BM210" s="523">
        <f t="shared" si="708"/>
        <v>0</v>
      </c>
      <c r="BN210" s="523">
        <f t="shared" si="709"/>
        <v>0</v>
      </c>
      <c r="BO210" s="523">
        <f t="shared" si="710"/>
        <v>0</v>
      </c>
      <c r="BP210" s="523">
        <f t="shared" si="711"/>
        <v>0</v>
      </c>
      <c r="BQ210" s="523">
        <f t="shared" si="712"/>
        <v>0</v>
      </c>
      <c r="BR210" s="523">
        <f t="shared" si="713"/>
        <v>0</v>
      </c>
      <c r="BS210" s="523">
        <f t="shared" si="714"/>
        <v>0</v>
      </c>
      <c r="BT210" s="523">
        <f t="shared" si="715"/>
        <v>0</v>
      </c>
      <c r="BU210" s="523">
        <f t="shared" si="716"/>
        <v>100</v>
      </c>
      <c r="BV210" s="523">
        <f t="shared" si="717"/>
        <v>100</v>
      </c>
      <c r="BW210" s="523">
        <f t="shared" si="718"/>
        <v>100</v>
      </c>
      <c r="BX210" s="523">
        <f t="shared" si="719"/>
        <v>100</v>
      </c>
      <c r="BY210" s="523">
        <f t="shared" si="720"/>
        <v>100</v>
      </c>
      <c r="BZ210" s="523">
        <f t="shared" si="721"/>
        <v>300</v>
      </c>
      <c r="CA210" s="354"/>
      <c r="CB210" s="354" t="str">
        <f t="shared" si="671"/>
        <v>X</v>
      </c>
      <c r="CC210" s="509" t="str">
        <f t="shared" si="672"/>
        <v>BCG.</v>
      </c>
      <c r="CD210" s="509" t="str">
        <f t="shared" si="673"/>
        <v>BCG.16,1</v>
      </c>
      <c r="CE210" s="351" t="str">
        <f t="shared" si="665"/>
        <v>Xé</v>
      </c>
      <c r="CF210" s="509" t="str">
        <f t="shared" si="674"/>
        <v>BCG.Xé</v>
      </c>
      <c r="CG210" s="509"/>
      <c r="CH210" s="509"/>
    </row>
    <row r="211" spans="1:86" ht="33.75" customHeight="1" x14ac:dyDescent="0.25">
      <c r="A211" s="354" t="e">
        <f>A207</f>
        <v>#REF!</v>
      </c>
      <c r="B211" s="484"/>
      <c r="C211" s="531" t="s">
        <v>744</v>
      </c>
      <c r="D211" s="447" t="s">
        <v>14</v>
      </c>
      <c r="E211" s="447"/>
      <c r="F211" s="447"/>
      <c r="G211" s="520">
        <v>45</v>
      </c>
      <c r="H211" s="521">
        <v>0.5</v>
      </c>
      <c r="I211" s="522">
        <f t="shared" si="679"/>
        <v>0</v>
      </c>
      <c r="J211" s="522">
        <f t="shared" si="680"/>
        <v>0</v>
      </c>
      <c r="K211" s="522">
        <f t="shared" si="681"/>
        <v>0</v>
      </c>
      <c r="L211" s="57">
        <f t="shared" si="682"/>
        <v>0</v>
      </c>
      <c r="M211" s="60"/>
      <c r="N211" s="60"/>
      <c r="O211" s="60">
        <f t="shared" si="683"/>
        <v>0</v>
      </c>
      <c r="P211" s="60"/>
      <c r="Q211" s="60"/>
      <c r="R211" s="60">
        <f t="shared" si="684"/>
        <v>0</v>
      </c>
      <c r="S211" s="824"/>
      <c r="T211" s="60"/>
      <c r="U211" s="60">
        <f t="shared" si="685"/>
        <v>0</v>
      </c>
      <c r="V211" s="60">
        <f t="shared" si="686"/>
        <v>0</v>
      </c>
      <c r="W211" s="60">
        <f t="shared" si="687"/>
        <v>0</v>
      </c>
      <c r="X211" s="60">
        <f>O211+R211+U211</f>
        <v>0</v>
      </c>
      <c r="Y211" s="60"/>
      <c r="Z211" s="60"/>
      <c r="AA211" s="60">
        <f t="shared" si="688"/>
        <v>0</v>
      </c>
      <c r="AB211" s="60"/>
      <c r="AC211" s="60"/>
      <c r="AD211" s="60">
        <f t="shared" si="689"/>
        <v>0</v>
      </c>
      <c r="AE211" s="60"/>
      <c r="AF211" s="60"/>
      <c r="AG211" s="60">
        <f t="shared" si="690"/>
        <v>0</v>
      </c>
      <c r="AH211" s="60">
        <f t="shared" si="691"/>
        <v>0</v>
      </c>
      <c r="AI211" s="60">
        <f t="shared" si="692"/>
        <v>0</v>
      </c>
      <c r="AJ211" s="60">
        <f t="shared" si="693"/>
        <v>0</v>
      </c>
      <c r="AK211" s="60"/>
      <c r="AL211" s="60"/>
      <c r="AM211" s="60">
        <f t="shared" si="694"/>
        <v>0</v>
      </c>
      <c r="AN211" s="60"/>
      <c r="AO211" s="60"/>
      <c r="AP211" s="60">
        <f t="shared" si="695"/>
        <v>0</v>
      </c>
      <c r="AQ211" s="60"/>
      <c r="AR211" s="60"/>
      <c r="AS211" s="60">
        <f t="shared" si="696"/>
        <v>0</v>
      </c>
      <c r="AT211" s="60">
        <f t="shared" si="697"/>
        <v>0</v>
      </c>
      <c r="AU211" s="60">
        <f t="shared" si="698"/>
        <v>0</v>
      </c>
      <c r="AV211" s="60">
        <f t="shared" si="699"/>
        <v>0</v>
      </c>
      <c r="AW211" s="60"/>
      <c r="AX211" s="60"/>
      <c r="AY211" s="60">
        <f t="shared" si="700"/>
        <v>0</v>
      </c>
      <c r="AZ211" s="60"/>
      <c r="BA211" s="60"/>
      <c r="BB211" s="60">
        <f t="shared" si="701"/>
        <v>0</v>
      </c>
      <c r="BC211" s="60"/>
      <c r="BD211" s="60"/>
      <c r="BE211" s="60">
        <f t="shared" si="702"/>
        <v>0</v>
      </c>
      <c r="BF211" s="60">
        <f t="shared" si="703"/>
        <v>0</v>
      </c>
      <c r="BG211" s="60">
        <f t="shared" si="704"/>
        <v>0</v>
      </c>
      <c r="BH211" s="60">
        <f t="shared" si="705"/>
        <v>0</v>
      </c>
      <c r="BI211" s="508"/>
      <c r="BJ211" s="488" t="str">
        <f t="shared" si="664"/>
        <v>Xé</v>
      </c>
      <c r="BK211" s="523">
        <f t="shared" si="706"/>
        <v>0</v>
      </c>
      <c r="BL211" s="523">
        <f t="shared" si="707"/>
        <v>0</v>
      </c>
      <c r="BM211" s="523">
        <f t="shared" si="708"/>
        <v>0</v>
      </c>
      <c r="BN211" s="523">
        <f t="shared" si="709"/>
        <v>0</v>
      </c>
      <c r="BO211" s="523">
        <f t="shared" si="710"/>
        <v>0</v>
      </c>
      <c r="BP211" s="523">
        <f t="shared" si="711"/>
        <v>0</v>
      </c>
      <c r="BQ211" s="523">
        <f t="shared" si="712"/>
        <v>0</v>
      </c>
      <c r="BR211" s="523">
        <f t="shared" si="713"/>
        <v>0</v>
      </c>
      <c r="BS211" s="523">
        <f t="shared" si="714"/>
        <v>0</v>
      </c>
      <c r="BT211" s="523">
        <f t="shared" si="715"/>
        <v>0</v>
      </c>
      <c r="BU211" s="523">
        <f t="shared" si="716"/>
        <v>0</v>
      </c>
      <c r="BV211" s="523">
        <f t="shared" si="717"/>
        <v>0</v>
      </c>
      <c r="BW211" s="523">
        <f t="shared" si="718"/>
        <v>0</v>
      </c>
      <c r="BX211" s="523">
        <f t="shared" si="719"/>
        <v>0</v>
      </c>
      <c r="BY211" s="523">
        <f t="shared" si="720"/>
        <v>0</v>
      </c>
      <c r="BZ211" s="523">
        <f t="shared" si="721"/>
        <v>0</v>
      </c>
      <c r="CA211" s="354"/>
      <c r="CB211" s="354" t="b">
        <f t="shared" si="671"/>
        <v>0</v>
      </c>
      <c r="CC211" s="509" t="str">
        <f t="shared" si="672"/>
        <v>BCG.</v>
      </c>
      <c r="CD211" s="509" t="str">
        <f t="shared" si="673"/>
        <v>BCG.45</v>
      </c>
      <c r="CE211" s="351" t="str">
        <f t="shared" si="665"/>
        <v>Xé</v>
      </c>
      <c r="CF211" s="509" t="str">
        <f t="shared" si="674"/>
        <v>BCG.Xé</v>
      </c>
      <c r="CG211" s="509"/>
      <c r="CH211" s="509"/>
    </row>
    <row r="212" spans="1:86" ht="16.5" x14ac:dyDescent="0.25">
      <c r="A212" s="354" t="e">
        <f>A208</f>
        <v>#REF!</v>
      </c>
      <c r="B212" s="484"/>
      <c r="C212" s="531" t="s">
        <v>374</v>
      </c>
      <c r="D212" s="447" t="s">
        <v>14</v>
      </c>
      <c r="E212" s="447"/>
      <c r="F212" s="447"/>
      <c r="G212" s="520">
        <v>13.1</v>
      </c>
      <c r="H212" s="521">
        <v>0.7</v>
      </c>
      <c r="I212" s="522">
        <f t="shared" si="679"/>
        <v>0</v>
      </c>
      <c r="J212" s="522">
        <f t="shared" si="680"/>
        <v>0</v>
      </c>
      <c r="K212" s="522">
        <f t="shared" si="681"/>
        <v>0</v>
      </c>
      <c r="L212" s="57">
        <f t="shared" si="682"/>
        <v>0</v>
      </c>
      <c r="M212" s="60"/>
      <c r="N212" s="60"/>
      <c r="O212" s="60">
        <f t="shared" si="683"/>
        <v>0</v>
      </c>
      <c r="P212" s="60"/>
      <c r="Q212" s="60"/>
      <c r="R212" s="60">
        <f t="shared" si="684"/>
        <v>0</v>
      </c>
      <c r="S212" s="824"/>
      <c r="T212" s="60"/>
      <c r="U212" s="60">
        <f t="shared" si="685"/>
        <v>0</v>
      </c>
      <c r="V212" s="60">
        <f t="shared" si="686"/>
        <v>0</v>
      </c>
      <c r="W212" s="60">
        <f t="shared" si="687"/>
        <v>0</v>
      </c>
      <c r="X212" s="60">
        <f>O212+R212+U212</f>
        <v>0</v>
      </c>
      <c r="Y212" s="60"/>
      <c r="Z212" s="60"/>
      <c r="AA212" s="60">
        <f t="shared" si="688"/>
        <v>0</v>
      </c>
      <c r="AB212" s="60"/>
      <c r="AC212" s="60"/>
      <c r="AD212" s="60">
        <f t="shared" si="689"/>
        <v>0</v>
      </c>
      <c r="AE212" s="60"/>
      <c r="AF212" s="60"/>
      <c r="AG212" s="60">
        <f t="shared" si="690"/>
        <v>0</v>
      </c>
      <c r="AH212" s="60">
        <f t="shared" si="691"/>
        <v>0</v>
      </c>
      <c r="AI212" s="60">
        <f t="shared" si="692"/>
        <v>0</v>
      </c>
      <c r="AJ212" s="60">
        <f t="shared" si="693"/>
        <v>0</v>
      </c>
      <c r="AK212" s="60"/>
      <c r="AL212" s="60"/>
      <c r="AM212" s="60">
        <f t="shared" si="694"/>
        <v>0</v>
      </c>
      <c r="AN212" s="60"/>
      <c r="AO212" s="60"/>
      <c r="AP212" s="60">
        <f t="shared" si="695"/>
        <v>0</v>
      </c>
      <c r="AQ212" s="60"/>
      <c r="AR212" s="60"/>
      <c r="AS212" s="60">
        <f t="shared" si="696"/>
        <v>0</v>
      </c>
      <c r="AT212" s="60">
        <f t="shared" si="697"/>
        <v>0</v>
      </c>
      <c r="AU212" s="60">
        <f t="shared" si="698"/>
        <v>0</v>
      </c>
      <c r="AV212" s="60">
        <f t="shared" si="699"/>
        <v>0</v>
      </c>
      <c r="AW212" s="60"/>
      <c r="AX212" s="60"/>
      <c r="AY212" s="60">
        <f t="shared" si="700"/>
        <v>0</v>
      </c>
      <c r="AZ212" s="60"/>
      <c r="BA212" s="60"/>
      <c r="BB212" s="60">
        <f t="shared" si="701"/>
        <v>0</v>
      </c>
      <c r="BC212" s="60"/>
      <c r="BD212" s="60"/>
      <c r="BE212" s="60">
        <f t="shared" si="702"/>
        <v>0</v>
      </c>
      <c r="BF212" s="60">
        <f t="shared" si="703"/>
        <v>0</v>
      </c>
      <c r="BG212" s="60">
        <f t="shared" si="704"/>
        <v>0</v>
      </c>
      <c r="BH212" s="60">
        <f t="shared" si="705"/>
        <v>0</v>
      </c>
      <c r="BI212" s="508"/>
      <c r="BJ212" s="488" t="str">
        <f t="shared" si="664"/>
        <v>Xé</v>
      </c>
      <c r="BK212" s="523">
        <f t="shared" si="706"/>
        <v>0</v>
      </c>
      <c r="BL212" s="523">
        <f t="shared" si="707"/>
        <v>0</v>
      </c>
      <c r="BM212" s="523">
        <f t="shared" si="708"/>
        <v>0</v>
      </c>
      <c r="BN212" s="523">
        <f t="shared" si="709"/>
        <v>0</v>
      </c>
      <c r="BO212" s="523">
        <f t="shared" si="710"/>
        <v>0</v>
      </c>
      <c r="BP212" s="523">
        <f t="shared" si="711"/>
        <v>0</v>
      </c>
      <c r="BQ212" s="523">
        <f t="shared" si="712"/>
        <v>0</v>
      </c>
      <c r="BR212" s="523">
        <f t="shared" si="713"/>
        <v>0</v>
      </c>
      <c r="BS212" s="523">
        <f t="shared" si="714"/>
        <v>0</v>
      </c>
      <c r="BT212" s="523">
        <f t="shared" si="715"/>
        <v>0</v>
      </c>
      <c r="BU212" s="523">
        <f t="shared" si="716"/>
        <v>0</v>
      </c>
      <c r="BV212" s="523">
        <f t="shared" si="717"/>
        <v>0</v>
      </c>
      <c r="BW212" s="523">
        <f t="shared" si="718"/>
        <v>0</v>
      </c>
      <c r="BX212" s="523">
        <f t="shared" si="719"/>
        <v>0</v>
      </c>
      <c r="BY212" s="523">
        <f t="shared" si="720"/>
        <v>0</v>
      </c>
      <c r="BZ212" s="523">
        <f t="shared" si="721"/>
        <v>0</v>
      </c>
      <c r="CA212" s="354"/>
      <c r="CB212" s="354" t="b">
        <f t="shared" si="671"/>
        <v>0</v>
      </c>
      <c r="CC212" s="509" t="str">
        <f t="shared" si="672"/>
        <v>BCG.</v>
      </c>
      <c r="CD212" s="509" t="str">
        <f t="shared" si="673"/>
        <v>BCG.13,1</v>
      </c>
      <c r="CE212" s="351" t="str">
        <f t="shared" si="665"/>
        <v>Xé</v>
      </c>
      <c r="CF212" s="509" t="str">
        <f t="shared" si="674"/>
        <v>BCG.Xé</v>
      </c>
      <c r="CG212" s="509"/>
      <c r="CH212" s="509"/>
    </row>
    <row r="213" spans="1:86" ht="16.5" x14ac:dyDescent="0.25">
      <c r="A213" s="354" t="e">
        <f>A208</f>
        <v>#REF!</v>
      </c>
      <c r="B213" s="484"/>
      <c r="C213" s="531" t="s">
        <v>374</v>
      </c>
      <c r="D213" s="447" t="s">
        <v>14</v>
      </c>
      <c r="E213" s="447"/>
      <c r="F213" s="447"/>
      <c r="G213" s="520">
        <v>13.1</v>
      </c>
      <c r="H213" s="521">
        <v>0.7</v>
      </c>
      <c r="I213" s="522">
        <f t="shared" si="679"/>
        <v>0</v>
      </c>
      <c r="J213" s="522">
        <f t="shared" si="680"/>
        <v>0</v>
      </c>
      <c r="K213" s="522">
        <f t="shared" si="681"/>
        <v>0</v>
      </c>
      <c r="L213" s="57">
        <f t="shared" si="682"/>
        <v>0</v>
      </c>
      <c r="M213" s="60"/>
      <c r="N213" s="60"/>
      <c r="O213" s="60">
        <f t="shared" si="683"/>
        <v>0</v>
      </c>
      <c r="P213" s="60"/>
      <c r="Q213" s="60"/>
      <c r="R213" s="60">
        <f t="shared" si="684"/>
        <v>0</v>
      </c>
      <c r="S213" s="824"/>
      <c r="T213" s="60"/>
      <c r="U213" s="60">
        <f t="shared" si="685"/>
        <v>0</v>
      </c>
      <c r="V213" s="60">
        <f t="shared" si="686"/>
        <v>0</v>
      </c>
      <c r="W213" s="60">
        <f t="shared" si="687"/>
        <v>0</v>
      </c>
      <c r="X213" s="60">
        <f>O213+R213+U213</f>
        <v>0</v>
      </c>
      <c r="Y213" s="60"/>
      <c r="Z213" s="60"/>
      <c r="AA213" s="60">
        <f t="shared" si="688"/>
        <v>0</v>
      </c>
      <c r="AB213" s="60"/>
      <c r="AC213" s="60"/>
      <c r="AD213" s="60">
        <f t="shared" si="689"/>
        <v>0</v>
      </c>
      <c r="AE213" s="60"/>
      <c r="AF213" s="60"/>
      <c r="AG213" s="60">
        <f t="shared" si="690"/>
        <v>0</v>
      </c>
      <c r="AH213" s="60">
        <f t="shared" si="691"/>
        <v>0</v>
      </c>
      <c r="AI213" s="60">
        <f t="shared" si="692"/>
        <v>0</v>
      </c>
      <c r="AJ213" s="60">
        <f t="shared" si="693"/>
        <v>0</v>
      </c>
      <c r="AK213" s="60"/>
      <c r="AL213" s="60"/>
      <c r="AM213" s="60">
        <f t="shared" si="694"/>
        <v>0</v>
      </c>
      <c r="AN213" s="60"/>
      <c r="AO213" s="60"/>
      <c r="AP213" s="60">
        <f t="shared" si="695"/>
        <v>0</v>
      </c>
      <c r="AQ213" s="60"/>
      <c r="AR213" s="60"/>
      <c r="AS213" s="60">
        <f t="shared" si="696"/>
        <v>0</v>
      </c>
      <c r="AT213" s="60">
        <f t="shared" si="697"/>
        <v>0</v>
      </c>
      <c r="AU213" s="60">
        <f t="shared" si="698"/>
        <v>0</v>
      </c>
      <c r="AV213" s="60">
        <f t="shared" si="699"/>
        <v>0</v>
      </c>
      <c r="AW213" s="60"/>
      <c r="AX213" s="60"/>
      <c r="AY213" s="60">
        <f t="shared" si="700"/>
        <v>0</v>
      </c>
      <c r="AZ213" s="60"/>
      <c r="BA213" s="60"/>
      <c r="BB213" s="60">
        <f t="shared" si="701"/>
        <v>0</v>
      </c>
      <c r="BC213" s="60"/>
      <c r="BD213" s="60"/>
      <c r="BE213" s="60">
        <f t="shared" si="702"/>
        <v>0</v>
      </c>
      <c r="BF213" s="60">
        <f t="shared" si="703"/>
        <v>0</v>
      </c>
      <c r="BG213" s="60">
        <f t="shared" si="704"/>
        <v>0</v>
      </c>
      <c r="BH213" s="60">
        <f t="shared" si="705"/>
        <v>0</v>
      </c>
      <c r="BI213" s="508"/>
      <c r="BJ213" s="488" t="str">
        <f t="shared" si="664"/>
        <v>Xé</v>
      </c>
      <c r="BK213" s="523">
        <f t="shared" si="706"/>
        <v>0</v>
      </c>
      <c r="BL213" s="523">
        <f t="shared" si="707"/>
        <v>0</v>
      </c>
      <c r="BM213" s="523">
        <f t="shared" si="708"/>
        <v>0</v>
      </c>
      <c r="BN213" s="523">
        <f t="shared" si="709"/>
        <v>0</v>
      </c>
      <c r="BO213" s="523">
        <f t="shared" si="710"/>
        <v>0</v>
      </c>
      <c r="BP213" s="523">
        <f t="shared" si="711"/>
        <v>0</v>
      </c>
      <c r="BQ213" s="523">
        <f t="shared" si="712"/>
        <v>0</v>
      </c>
      <c r="BR213" s="523">
        <f t="shared" si="713"/>
        <v>0</v>
      </c>
      <c r="BS213" s="523">
        <f t="shared" si="714"/>
        <v>0</v>
      </c>
      <c r="BT213" s="523">
        <f t="shared" si="715"/>
        <v>0</v>
      </c>
      <c r="BU213" s="523">
        <f t="shared" si="716"/>
        <v>0</v>
      </c>
      <c r="BV213" s="523">
        <f t="shared" si="717"/>
        <v>0</v>
      </c>
      <c r="BW213" s="523">
        <f t="shared" si="718"/>
        <v>0</v>
      </c>
      <c r="BX213" s="523">
        <f t="shared" si="719"/>
        <v>0</v>
      </c>
      <c r="BY213" s="523">
        <f t="shared" si="720"/>
        <v>0</v>
      </c>
      <c r="BZ213" s="523">
        <f t="shared" si="721"/>
        <v>0</v>
      </c>
      <c r="CA213" s="354"/>
      <c r="CB213" s="354" t="b">
        <f t="shared" si="671"/>
        <v>0</v>
      </c>
      <c r="CC213" s="509" t="str">
        <f t="shared" si="672"/>
        <v>BCG.</v>
      </c>
      <c r="CD213" s="509" t="str">
        <f t="shared" si="673"/>
        <v>BCG.13,1</v>
      </c>
      <c r="CE213" s="351" t="str">
        <f t="shared" si="665"/>
        <v>Xé</v>
      </c>
      <c r="CF213" s="509" t="str">
        <f t="shared" si="674"/>
        <v>BCG.Xé</v>
      </c>
      <c r="CG213" s="509"/>
      <c r="CH213" s="509"/>
    </row>
    <row r="214" spans="1:86" ht="17.25" x14ac:dyDescent="0.3">
      <c r="A214" s="354" t="e">
        <f>#REF!</f>
        <v>#REF!</v>
      </c>
      <c r="B214" s="503">
        <v>14</v>
      </c>
      <c r="C214" s="507" t="s">
        <v>455</v>
      </c>
      <c r="D214" s="505"/>
      <c r="E214" s="505"/>
      <c r="F214" s="505"/>
      <c r="G214" s="505"/>
      <c r="H214" s="505"/>
      <c r="I214" s="63">
        <f t="shared" ref="I214:AN214" si="722">SUM(I215:I241)/2</f>
        <v>2611</v>
      </c>
      <c r="J214" s="63">
        <f t="shared" si="722"/>
        <v>718</v>
      </c>
      <c r="K214" s="63">
        <f t="shared" si="722"/>
        <v>1893</v>
      </c>
      <c r="L214" s="63">
        <f t="shared" si="722"/>
        <v>31600</v>
      </c>
      <c r="M214" s="209">
        <f t="shared" si="722"/>
        <v>245</v>
      </c>
      <c r="N214" s="209">
        <f t="shared" si="722"/>
        <v>65</v>
      </c>
      <c r="O214" s="209">
        <f t="shared" si="722"/>
        <v>180</v>
      </c>
      <c r="P214" s="209">
        <f t="shared" si="722"/>
        <v>206</v>
      </c>
      <c r="Q214" s="209">
        <f t="shared" si="722"/>
        <v>53</v>
      </c>
      <c r="R214" s="209">
        <f t="shared" si="722"/>
        <v>153</v>
      </c>
      <c r="S214" s="822">
        <f t="shared" si="722"/>
        <v>270</v>
      </c>
      <c r="T214" s="209">
        <f t="shared" si="722"/>
        <v>65</v>
      </c>
      <c r="U214" s="209">
        <f t="shared" si="722"/>
        <v>205</v>
      </c>
      <c r="V214" s="209">
        <f t="shared" si="722"/>
        <v>721</v>
      </c>
      <c r="W214" s="209">
        <f t="shared" si="722"/>
        <v>183</v>
      </c>
      <c r="X214" s="209">
        <f t="shared" si="722"/>
        <v>538</v>
      </c>
      <c r="Y214" s="209">
        <f t="shared" si="722"/>
        <v>265</v>
      </c>
      <c r="Z214" s="209">
        <f t="shared" si="722"/>
        <v>85</v>
      </c>
      <c r="AA214" s="209">
        <f t="shared" si="722"/>
        <v>180</v>
      </c>
      <c r="AB214" s="209">
        <f t="shared" si="722"/>
        <v>265</v>
      </c>
      <c r="AC214" s="209">
        <f t="shared" si="722"/>
        <v>65</v>
      </c>
      <c r="AD214" s="209">
        <f t="shared" si="722"/>
        <v>200</v>
      </c>
      <c r="AE214" s="209">
        <f t="shared" si="722"/>
        <v>250</v>
      </c>
      <c r="AF214" s="209">
        <f t="shared" si="722"/>
        <v>60</v>
      </c>
      <c r="AG214" s="209">
        <f t="shared" si="722"/>
        <v>190</v>
      </c>
      <c r="AH214" s="209">
        <f t="shared" si="722"/>
        <v>780</v>
      </c>
      <c r="AI214" s="209">
        <f t="shared" si="722"/>
        <v>210</v>
      </c>
      <c r="AJ214" s="209">
        <f t="shared" si="722"/>
        <v>570</v>
      </c>
      <c r="AK214" s="209">
        <f t="shared" si="722"/>
        <v>205</v>
      </c>
      <c r="AL214" s="209">
        <f t="shared" si="722"/>
        <v>30</v>
      </c>
      <c r="AM214" s="209">
        <f t="shared" si="722"/>
        <v>175</v>
      </c>
      <c r="AN214" s="209">
        <f t="shared" si="722"/>
        <v>200</v>
      </c>
      <c r="AO214" s="209">
        <f t="shared" ref="AO214:BH214" si="723">SUM(AO215:AO241)/2</f>
        <v>60</v>
      </c>
      <c r="AP214" s="209">
        <f t="shared" si="723"/>
        <v>140</v>
      </c>
      <c r="AQ214" s="209">
        <f t="shared" si="723"/>
        <v>205</v>
      </c>
      <c r="AR214" s="209">
        <f t="shared" si="723"/>
        <v>65</v>
      </c>
      <c r="AS214" s="209">
        <f t="shared" si="723"/>
        <v>140</v>
      </c>
      <c r="AT214" s="209">
        <f t="shared" si="723"/>
        <v>610</v>
      </c>
      <c r="AU214" s="209">
        <f t="shared" si="723"/>
        <v>155</v>
      </c>
      <c r="AV214" s="209">
        <f t="shared" si="723"/>
        <v>455</v>
      </c>
      <c r="AW214" s="209">
        <f t="shared" si="723"/>
        <v>145</v>
      </c>
      <c r="AX214" s="209">
        <f t="shared" si="723"/>
        <v>55</v>
      </c>
      <c r="AY214" s="209">
        <f t="shared" si="723"/>
        <v>90</v>
      </c>
      <c r="AZ214" s="209">
        <f t="shared" si="723"/>
        <v>185</v>
      </c>
      <c r="BA214" s="209">
        <f t="shared" si="723"/>
        <v>70</v>
      </c>
      <c r="BB214" s="209">
        <f t="shared" si="723"/>
        <v>115</v>
      </c>
      <c r="BC214" s="209">
        <f t="shared" si="723"/>
        <v>170</v>
      </c>
      <c r="BD214" s="209">
        <f t="shared" si="723"/>
        <v>45</v>
      </c>
      <c r="BE214" s="209">
        <f t="shared" si="723"/>
        <v>125</v>
      </c>
      <c r="BF214" s="209">
        <f t="shared" si="723"/>
        <v>500</v>
      </c>
      <c r="BG214" s="209">
        <f t="shared" si="723"/>
        <v>170</v>
      </c>
      <c r="BH214" s="209">
        <f t="shared" si="723"/>
        <v>330</v>
      </c>
      <c r="BI214" s="536"/>
      <c r="BJ214" s="488" t="str">
        <f t="shared" si="664"/>
        <v>PX</v>
      </c>
      <c r="BK214" s="209">
        <f t="shared" ref="BK214:BZ214" si="724">SUM(BK215:BK241)/2</f>
        <v>3200</v>
      </c>
      <c r="BL214" s="209">
        <f t="shared" si="724"/>
        <v>2800</v>
      </c>
      <c r="BM214" s="209">
        <f t="shared" si="724"/>
        <v>3800</v>
      </c>
      <c r="BN214" s="209">
        <f t="shared" si="724"/>
        <v>9700</v>
      </c>
      <c r="BO214" s="209">
        <f t="shared" si="724"/>
        <v>3300</v>
      </c>
      <c r="BP214" s="209">
        <f t="shared" si="724"/>
        <v>3500</v>
      </c>
      <c r="BQ214" s="209">
        <f t="shared" si="724"/>
        <v>3700</v>
      </c>
      <c r="BR214" s="209">
        <f t="shared" si="724"/>
        <v>10200</v>
      </c>
      <c r="BS214" s="209">
        <f t="shared" si="724"/>
        <v>3500</v>
      </c>
      <c r="BT214" s="209">
        <f t="shared" si="724"/>
        <v>2000</v>
      </c>
      <c r="BU214" s="209">
        <f t="shared" si="724"/>
        <v>2000</v>
      </c>
      <c r="BV214" s="209">
        <f t="shared" si="724"/>
        <v>7300</v>
      </c>
      <c r="BW214" s="209">
        <f t="shared" si="724"/>
        <v>1200</v>
      </c>
      <c r="BX214" s="209">
        <f t="shared" si="724"/>
        <v>1600</v>
      </c>
      <c r="BY214" s="209">
        <f t="shared" si="724"/>
        <v>1800</v>
      </c>
      <c r="BZ214" s="209">
        <f t="shared" si="724"/>
        <v>4400</v>
      </c>
      <c r="CA214" s="354"/>
      <c r="CB214" s="354" t="str">
        <f t="shared" si="671"/>
        <v>X</v>
      </c>
      <c r="CC214" s="534" t="s">
        <v>297</v>
      </c>
      <c r="CD214" s="509" t="str">
        <f t="shared" si="673"/>
        <v>ĐL3.</v>
      </c>
      <c r="CE214" s="351" t="str">
        <f t="shared" si="665"/>
        <v>PX</v>
      </c>
      <c r="CF214" s="509" t="str">
        <f t="shared" si="674"/>
        <v>ĐL3.PX</v>
      </c>
      <c r="CG214" s="509"/>
      <c r="CH214" s="509"/>
    </row>
    <row r="215" spans="1:86" s="358" customFormat="1" ht="19.5" customHeight="1" x14ac:dyDescent="0.25">
      <c r="A215" s="354" t="e">
        <f>A214</f>
        <v>#REF!</v>
      </c>
      <c r="B215" s="511" t="s">
        <v>8</v>
      </c>
      <c r="C215" s="512" t="s">
        <v>177</v>
      </c>
      <c r="D215" s="513"/>
      <c r="E215" s="513"/>
      <c r="F215" s="513"/>
      <c r="G215" s="514"/>
      <c r="H215" s="515"/>
      <c r="I215" s="211">
        <f t="shared" ref="I215:AN215" si="725">SUM(I216:I235)</f>
        <v>2411</v>
      </c>
      <c r="J215" s="211">
        <f t="shared" si="725"/>
        <v>668</v>
      </c>
      <c r="K215" s="211">
        <f t="shared" si="725"/>
        <v>1743</v>
      </c>
      <c r="L215" s="211">
        <f t="shared" si="725"/>
        <v>31000</v>
      </c>
      <c r="M215" s="211">
        <f t="shared" si="725"/>
        <v>245</v>
      </c>
      <c r="N215" s="211">
        <f t="shared" si="725"/>
        <v>65</v>
      </c>
      <c r="O215" s="211">
        <f t="shared" si="725"/>
        <v>180</v>
      </c>
      <c r="P215" s="211">
        <f t="shared" si="725"/>
        <v>206</v>
      </c>
      <c r="Q215" s="211">
        <f t="shared" si="725"/>
        <v>53</v>
      </c>
      <c r="R215" s="211">
        <f t="shared" si="725"/>
        <v>153</v>
      </c>
      <c r="S215" s="823">
        <f t="shared" si="725"/>
        <v>270</v>
      </c>
      <c r="T215" s="211">
        <f t="shared" si="725"/>
        <v>65</v>
      </c>
      <c r="U215" s="211">
        <f t="shared" si="725"/>
        <v>205</v>
      </c>
      <c r="V215" s="211">
        <f t="shared" si="725"/>
        <v>721</v>
      </c>
      <c r="W215" s="211">
        <f t="shared" si="725"/>
        <v>183</v>
      </c>
      <c r="X215" s="211">
        <f t="shared" si="725"/>
        <v>538</v>
      </c>
      <c r="Y215" s="211">
        <f t="shared" si="725"/>
        <v>265</v>
      </c>
      <c r="Z215" s="211">
        <f t="shared" si="725"/>
        <v>85</v>
      </c>
      <c r="AA215" s="211">
        <f t="shared" si="725"/>
        <v>180</v>
      </c>
      <c r="AB215" s="211">
        <f t="shared" si="725"/>
        <v>265</v>
      </c>
      <c r="AC215" s="211">
        <f t="shared" si="725"/>
        <v>65</v>
      </c>
      <c r="AD215" s="211">
        <f t="shared" si="725"/>
        <v>200</v>
      </c>
      <c r="AE215" s="211">
        <f t="shared" si="725"/>
        <v>250</v>
      </c>
      <c r="AF215" s="211">
        <f t="shared" si="725"/>
        <v>60</v>
      </c>
      <c r="AG215" s="211">
        <f t="shared" si="725"/>
        <v>190</v>
      </c>
      <c r="AH215" s="211">
        <f t="shared" si="725"/>
        <v>780</v>
      </c>
      <c r="AI215" s="211">
        <f t="shared" si="725"/>
        <v>210</v>
      </c>
      <c r="AJ215" s="211">
        <f t="shared" si="725"/>
        <v>570</v>
      </c>
      <c r="AK215" s="211">
        <f t="shared" si="725"/>
        <v>205</v>
      </c>
      <c r="AL215" s="211">
        <f t="shared" si="725"/>
        <v>30</v>
      </c>
      <c r="AM215" s="211">
        <f t="shared" si="725"/>
        <v>175</v>
      </c>
      <c r="AN215" s="211">
        <f t="shared" si="725"/>
        <v>160</v>
      </c>
      <c r="AO215" s="211">
        <f t="shared" ref="AO215:BH215" si="726">SUM(AO216:AO235)</f>
        <v>50</v>
      </c>
      <c r="AP215" s="211">
        <f t="shared" si="726"/>
        <v>110</v>
      </c>
      <c r="AQ215" s="211">
        <f t="shared" si="726"/>
        <v>165</v>
      </c>
      <c r="AR215" s="211">
        <f t="shared" si="726"/>
        <v>55</v>
      </c>
      <c r="AS215" s="211">
        <f t="shared" si="726"/>
        <v>110</v>
      </c>
      <c r="AT215" s="211">
        <f t="shared" si="726"/>
        <v>530</v>
      </c>
      <c r="AU215" s="211">
        <f t="shared" si="726"/>
        <v>135</v>
      </c>
      <c r="AV215" s="211">
        <f t="shared" si="726"/>
        <v>395</v>
      </c>
      <c r="AW215" s="211">
        <f t="shared" si="726"/>
        <v>105</v>
      </c>
      <c r="AX215" s="211">
        <f t="shared" si="726"/>
        <v>45</v>
      </c>
      <c r="AY215" s="211">
        <f t="shared" si="726"/>
        <v>60</v>
      </c>
      <c r="AZ215" s="211">
        <f t="shared" si="726"/>
        <v>145</v>
      </c>
      <c r="BA215" s="211">
        <f t="shared" si="726"/>
        <v>60</v>
      </c>
      <c r="BB215" s="211">
        <f t="shared" si="726"/>
        <v>85</v>
      </c>
      <c r="BC215" s="211">
        <f t="shared" si="726"/>
        <v>130</v>
      </c>
      <c r="BD215" s="211">
        <f t="shared" si="726"/>
        <v>35</v>
      </c>
      <c r="BE215" s="211">
        <f t="shared" si="726"/>
        <v>95</v>
      </c>
      <c r="BF215" s="211">
        <f t="shared" si="726"/>
        <v>380</v>
      </c>
      <c r="BG215" s="211">
        <f t="shared" si="726"/>
        <v>140</v>
      </c>
      <c r="BH215" s="211">
        <f t="shared" si="726"/>
        <v>240</v>
      </c>
      <c r="BI215" s="516"/>
      <c r="BJ215" s="488" t="str">
        <f t="shared" si="664"/>
        <v>ĐL</v>
      </c>
      <c r="BK215" s="57">
        <f t="shared" ref="BK215:BZ215" si="727">SUM(BK216:BK235)</f>
        <v>3200</v>
      </c>
      <c r="BL215" s="57">
        <f t="shared" si="727"/>
        <v>2800</v>
      </c>
      <c r="BM215" s="57">
        <f t="shared" si="727"/>
        <v>3800</v>
      </c>
      <c r="BN215" s="57">
        <f t="shared" si="727"/>
        <v>9700</v>
      </c>
      <c r="BO215" s="57">
        <f t="shared" si="727"/>
        <v>3300</v>
      </c>
      <c r="BP215" s="57">
        <f t="shared" si="727"/>
        <v>3500</v>
      </c>
      <c r="BQ215" s="57">
        <f t="shared" si="727"/>
        <v>3700</v>
      </c>
      <c r="BR215" s="57">
        <f t="shared" si="727"/>
        <v>10200</v>
      </c>
      <c r="BS215" s="57">
        <f t="shared" si="727"/>
        <v>3500</v>
      </c>
      <c r="BT215" s="57">
        <f t="shared" si="727"/>
        <v>1900</v>
      </c>
      <c r="BU215" s="57">
        <f t="shared" si="727"/>
        <v>1900</v>
      </c>
      <c r="BV215" s="57">
        <f t="shared" si="727"/>
        <v>7100</v>
      </c>
      <c r="BW215" s="57">
        <f t="shared" si="727"/>
        <v>1100</v>
      </c>
      <c r="BX215" s="57">
        <f t="shared" si="727"/>
        <v>1500</v>
      </c>
      <c r="BY215" s="57">
        <f t="shared" si="727"/>
        <v>1600</v>
      </c>
      <c r="BZ215" s="57">
        <f t="shared" si="727"/>
        <v>4000</v>
      </c>
      <c r="CA215" s="517">
        <f>I215-V215-AH215-AT215-BF215</f>
        <v>0</v>
      </c>
      <c r="CB215" s="510" t="str">
        <f t="shared" si="671"/>
        <v>X</v>
      </c>
      <c r="CC215" s="509" t="str">
        <f>CC214</f>
        <v>ĐL3.</v>
      </c>
      <c r="CD215" s="509" t="str">
        <f t="shared" si="673"/>
        <v>ĐL3.</v>
      </c>
      <c r="CE215" s="351" t="str">
        <f t="shared" si="665"/>
        <v>ĐL</v>
      </c>
      <c r="CF215" s="509" t="str">
        <f t="shared" si="674"/>
        <v>ĐL3.ĐL</v>
      </c>
      <c r="CG215" s="509"/>
      <c r="CH215" s="509"/>
    </row>
    <row r="216" spans="1:86" ht="24" customHeight="1" x14ac:dyDescent="0.25">
      <c r="A216" s="354" t="e">
        <f>A215</f>
        <v>#REF!</v>
      </c>
      <c r="B216" s="932" t="s">
        <v>544</v>
      </c>
      <c r="C216" s="519" t="s">
        <v>838</v>
      </c>
      <c r="D216" s="447" t="s">
        <v>207</v>
      </c>
      <c r="E216" s="447" t="s">
        <v>207</v>
      </c>
      <c r="F216" s="447"/>
      <c r="G216" s="520">
        <v>11.2</v>
      </c>
      <c r="H216" s="521">
        <v>0.7</v>
      </c>
      <c r="I216" s="522">
        <f t="shared" ref="I216:I235" si="728">V216+AH216+AT216+BF216</f>
        <v>240</v>
      </c>
      <c r="J216" s="522">
        <f t="shared" ref="J216:J235" si="729">W216+AI216+AU216+BG216</f>
        <v>60</v>
      </c>
      <c r="K216" s="522">
        <f t="shared" ref="K216:K235" si="730">X216+AJ216+AV216+BH216</f>
        <v>180</v>
      </c>
      <c r="L216" s="57">
        <f t="shared" ref="L216:L235" si="731">BN216+BR216+BV216+BZ216</f>
        <v>2400</v>
      </c>
      <c r="M216" s="60">
        <v>60</v>
      </c>
      <c r="N216" s="60">
        <v>15</v>
      </c>
      <c r="O216" s="60">
        <f t="shared" ref="O216:O235" si="732">M216-N216</f>
        <v>45</v>
      </c>
      <c r="P216" s="60">
        <v>40</v>
      </c>
      <c r="Q216" s="60">
        <v>10</v>
      </c>
      <c r="R216" s="60">
        <f t="shared" ref="R216:R235" si="733">P216-Q216</f>
        <v>30</v>
      </c>
      <c r="S216" s="824">
        <v>60</v>
      </c>
      <c r="T216" s="60">
        <v>15</v>
      </c>
      <c r="U216" s="60">
        <f t="shared" ref="U216:U235" si="734">S216-T216</f>
        <v>45</v>
      </c>
      <c r="V216" s="60">
        <f t="shared" ref="V216:V221" si="735">M216+P216+S216</f>
        <v>160</v>
      </c>
      <c r="W216" s="60">
        <f t="shared" ref="W216:W221" si="736">N216+Q216+T216</f>
        <v>40</v>
      </c>
      <c r="X216" s="60">
        <f t="shared" ref="X216:X225" si="737">O216+R216+U216</f>
        <v>120</v>
      </c>
      <c r="Y216" s="60">
        <v>60</v>
      </c>
      <c r="Z216" s="60">
        <v>20</v>
      </c>
      <c r="AA216" s="60">
        <f t="shared" ref="AA216:AA235" si="738">Y216-Z216</f>
        <v>40</v>
      </c>
      <c r="AB216" s="60">
        <v>20</v>
      </c>
      <c r="AC216" s="60">
        <v>0</v>
      </c>
      <c r="AD216" s="60">
        <f t="shared" ref="AD216:AD235" si="739">AB216-AC216</f>
        <v>20</v>
      </c>
      <c r="AE216" s="60"/>
      <c r="AF216" s="60"/>
      <c r="AG216" s="60">
        <f t="shared" ref="AG216:AG235" si="740">AE216-AF216</f>
        <v>0</v>
      </c>
      <c r="AH216" s="60">
        <f t="shared" ref="AH216:AH225" si="741">Y216+AB216+AE216</f>
        <v>80</v>
      </c>
      <c r="AI216" s="60">
        <f t="shared" ref="AI216:AI225" si="742">Z216+AC216+AF216</f>
        <v>20</v>
      </c>
      <c r="AJ216" s="60">
        <f t="shared" ref="AJ216:AJ225" si="743">AA216+AD216+AG216</f>
        <v>60</v>
      </c>
      <c r="AK216" s="60"/>
      <c r="AL216" s="60"/>
      <c r="AM216" s="60">
        <f t="shared" ref="AM216:AM235" si="744">AK216-AL216</f>
        <v>0</v>
      </c>
      <c r="AN216" s="60"/>
      <c r="AO216" s="60"/>
      <c r="AP216" s="60">
        <f t="shared" ref="AP216:AP235" si="745">AN216-AO216</f>
        <v>0</v>
      </c>
      <c r="AQ216" s="60"/>
      <c r="AR216" s="60"/>
      <c r="AS216" s="60">
        <f t="shared" ref="AS216:AS235" si="746">AQ216-AR216</f>
        <v>0</v>
      </c>
      <c r="AT216" s="60">
        <f t="shared" ref="AT216:AV218" si="747">AK216+AN216+AQ216</f>
        <v>0</v>
      </c>
      <c r="AU216" s="60">
        <f t="shared" si="747"/>
        <v>0</v>
      </c>
      <c r="AV216" s="60">
        <f t="shared" si="747"/>
        <v>0</v>
      </c>
      <c r="AW216" s="60"/>
      <c r="AX216" s="60"/>
      <c r="AY216" s="60">
        <f t="shared" ref="AY216:AY235" si="748">AW216-AX216</f>
        <v>0</v>
      </c>
      <c r="AZ216" s="60"/>
      <c r="BA216" s="60"/>
      <c r="BB216" s="60">
        <f t="shared" ref="BB216:BB235" si="749">AZ216-BA216</f>
        <v>0</v>
      </c>
      <c r="BC216" s="60"/>
      <c r="BD216" s="60"/>
      <c r="BE216" s="60">
        <f t="shared" ref="BE216:BE235" si="750">BC216-BD216</f>
        <v>0</v>
      </c>
      <c r="BF216" s="60">
        <f t="shared" ref="BF216:BF227" si="751">AW216+AZ216+BC216</f>
        <v>0</v>
      </c>
      <c r="BG216" s="60">
        <f t="shared" ref="BG216:BG227" si="752">AX216+BA216+BD216</f>
        <v>0</v>
      </c>
      <c r="BH216" s="60">
        <f t="shared" ref="BH216:BH227" si="753">AY216+BB216+BE216</f>
        <v>0</v>
      </c>
      <c r="BI216" s="508"/>
      <c r="BJ216" s="488" t="str">
        <f t="shared" si="664"/>
        <v>Lò</v>
      </c>
      <c r="BK216" s="523">
        <f t="shared" ref="BK216:BK235" si="754">ROUND(O216*G216*$C$3*$B$5,-2)</f>
        <v>600</v>
      </c>
      <c r="BL216" s="523">
        <f t="shared" ref="BL216:BL235" si="755">ROUND(R216*G216*$C$3*$B$5,-2)</f>
        <v>400</v>
      </c>
      <c r="BM216" s="523">
        <f t="shared" ref="BM216:BM235" si="756">ROUND(U216*G216*$C$3*$B$5,-2)</f>
        <v>600</v>
      </c>
      <c r="BN216" s="523">
        <f t="shared" ref="BN216:BN235" si="757">ROUND(X216*G216*$C$3*$B$5,-2)</f>
        <v>1600</v>
      </c>
      <c r="BO216" s="523">
        <f t="shared" ref="BO216:BO235" si="758">ROUND(AA216*G216*$C$3*$B$5,-2)</f>
        <v>500</v>
      </c>
      <c r="BP216" s="523">
        <f t="shared" ref="BP216:BP235" si="759">ROUND(AD216*G216*$C$3*$B$5,-2)</f>
        <v>300</v>
      </c>
      <c r="BQ216" s="523">
        <f t="shared" ref="BQ216:BQ235" si="760">ROUND(AG216*G216*$C$3*$B$5,-2)</f>
        <v>0</v>
      </c>
      <c r="BR216" s="523">
        <f t="shared" ref="BR216:BR235" si="761">ROUND(AJ216*G216*$B$5*$C$3,-2)</f>
        <v>800</v>
      </c>
      <c r="BS216" s="523">
        <f t="shared" ref="BS216:BS235" si="762">ROUND(AM216*G216*$C$3*$B$5,-2)</f>
        <v>0</v>
      </c>
      <c r="BT216" s="523">
        <f t="shared" ref="BT216:BT235" si="763">ROUND(AP216*G216*$C$3*$B$5,-2)</f>
        <v>0</v>
      </c>
      <c r="BU216" s="523">
        <f t="shared" ref="BU216:BU235" si="764">ROUND(AS216*G216*$C$3*$B$5,-2)</f>
        <v>0</v>
      </c>
      <c r="BV216" s="523">
        <f t="shared" ref="BV216:BV235" si="765">ROUND(AV216*G216*$C$3*$B$5,-2)</f>
        <v>0</v>
      </c>
      <c r="BW216" s="523">
        <f t="shared" ref="BW216:BW235" si="766">ROUND(AY216*G216*$C$3*$B$5,-2)</f>
        <v>0</v>
      </c>
      <c r="BX216" s="523">
        <f t="shared" ref="BX216:BX235" si="767">ROUND(BB216*G216*$C$3*$B$5,-2)</f>
        <v>0</v>
      </c>
      <c r="BY216" s="523">
        <f t="shared" ref="BY216:BY235" si="768">ROUND(BE216*G216*$C$3*$B$5,-2)</f>
        <v>0</v>
      </c>
      <c r="BZ216" s="523">
        <f t="shared" ref="BZ216:BZ235" si="769">ROUND(BH216*G216*$C$3*$B$5,-2)</f>
        <v>0</v>
      </c>
      <c r="CA216" s="354"/>
      <c r="CB216" s="354" t="str">
        <f t="shared" si="671"/>
        <v>X</v>
      </c>
      <c r="CC216" s="509" t="str">
        <f>CC215</f>
        <v>ĐL3.</v>
      </c>
      <c r="CD216" s="509" t="str">
        <f t="shared" si="673"/>
        <v>ĐL3.11,2</v>
      </c>
      <c r="CE216" s="351" t="str">
        <f t="shared" si="665"/>
        <v>Lò</v>
      </c>
      <c r="CF216" s="509" t="str">
        <f t="shared" si="674"/>
        <v>ĐL3.Lò</v>
      </c>
      <c r="CG216" s="509"/>
      <c r="CH216" s="509"/>
    </row>
    <row r="217" spans="1:86" ht="24" customHeight="1" x14ac:dyDescent="0.25">
      <c r="A217" s="354" t="e">
        <f>A215</f>
        <v>#REF!</v>
      </c>
      <c r="B217" s="933"/>
      <c r="C217" s="519" t="s">
        <v>840</v>
      </c>
      <c r="D217" s="447" t="s">
        <v>14</v>
      </c>
      <c r="E217" s="447"/>
      <c r="F217" s="447"/>
      <c r="G217" s="520">
        <v>8.5</v>
      </c>
      <c r="H217" s="521">
        <v>0.7</v>
      </c>
      <c r="I217" s="522">
        <f t="shared" si="728"/>
        <v>40</v>
      </c>
      <c r="J217" s="522">
        <f t="shared" si="729"/>
        <v>0</v>
      </c>
      <c r="K217" s="522">
        <f t="shared" si="730"/>
        <v>40</v>
      </c>
      <c r="L217" s="57">
        <f t="shared" ref="L217:L222" si="770">BN217+BR217+BV217+BZ217</f>
        <v>400</v>
      </c>
      <c r="M217" s="60"/>
      <c r="N217" s="60"/>
      <c r="O217" s="60">
        <f>M217-N217</f>
        <v>0</v>
      </c>
      <c r="P217" s="60"/>
      <c r="Q217" s="60"/>
      <c r="R217" s="60">
        <f>P217-Q217</f>
        <v>0</v>
      </c>
      <c r="S217" s="824"/>
      <c r="T217" s="60"/>
      <c r="U217" s="60">
        <f>S217-T217</f>
        <v>0</v>
      </c>
      <c r="V217" s="60">
        <f>M217+P217+S217</f>
        <v>0</v>
      </c>
      <c r="W217" s="60">
        <f>N217+Q217+T217</f>
        <v>0</v>
      </c>
      <c r="X217" s="60">
        <f t="shared" si="737"/>
        <v>0</v>
      </c>
      <c r="Y217" s="60"/>
      <c r="Z217" s="60"/>
      <c r="AA217" s="60">
        <f>Y217-Z217</f>
        <v>0</v>
      </c>
      <c r="AB217" s="60">
        <v>40</v>
      </c>
      <c r="AC217" s="60"/>
      <c r="AD217" s="60">
        <f>AB217-AC217</f>
        <v>40</v>
      </c>
      <c r="AE217" s="60"/>
      <c r="AF217" s="60"/>
      <c r="AG217" s="60">
        <f>AE217-AF217</f>
        <v>0</v>
      </c>
      <c r="AH217" s="60">
        <f>Y217+AB217+AE217</f>
        <v>40</v>
      </c>
      <c r="AI217" s="60">
        <f>Z217+AC217+AF217</f>
        <v>0</v>
      </c>
      <c r="AJ217" s="60">
        <f>AA217+AD217+AG217</f>
        <v>40</v>
      </c>
      <c r="AK217" s="60"/>
      <c r="AL217" s="60"/>
      <c r="AM217" s="60">
        <f>AK217-AL217</f>
        <v>0</v>
      </c>
      <c r="AN217" s="60"/>
      <c r="AO217" s="60"/>
      <c r="AP217" s="60">
        <f>AN217-AO217</f>
        <v>0</v>
      </c>
      <c r="AQ217" s="60"/>
      <c r="AR217" s="60"/>
      <c r="AS217" s="60">
        <f>AQ217-AR217</f>
        <v>0</v>
      </c>
      <c r="AT217" s="60">
        <f t="shared" si="747"/>
        <v>0</v>
      </c>
      <c r="AU217" s="60">
        <f t="shared" si="747"/>
        <v>0</v>
      </c>
      <c r="AV217" s="60">
        <f t="shared" si="747"/>
        <v>0</v>
      </c>
      <c r="AW217" s="60"/>
      <c r="AX217" s="60"/>
      <c r="AY217" s="60">
        <f>AW217-AX217</f>
        <v>0</v>
      </c>
      <c r="AZ217" s="60"/>
      <c r="BA217" s="60"/>
      <c r="BB217" s="60">
        <f>AZ217-BA217</f>
        <v>0</v>
      </c>
      <c r="BC217" s="60"/>
      <c r="BD217" s="60"/>
      <c r="BE217" s="60">
        <f>BC217-BD217</f>
        <v>0</v>
      </c>
      <c r="BF217" s="60">
        <f>AW217+AZ217+BC217</f>
        <v>0</v>
      </c>
      <c r="BG217" s="60">
        <f>AX217+BA217+BD217</f>
        <v>0</v>
      </c>
      <c r="BH217" s="60">
        <f>AY217+BB217+BE217</f>
        <v>0</v>
      </c>
      <c r="BI217" s="508"/>
      <c r="BJ217" s="488" t="str">
        <f t="shared" si="664"/>
        <v>Lò</v>
      </c>
      <c r="BK217" s="523">
        <f>ROUND(O217*G217*$C$3*$B$5,-2)</f>
        <v>0</v>
      </c>
      <c r="BL217" s="523">
        <f>ROUND(R217*G217*$C$3*$B$5,-2)</f>
        <v>0</v>
      </c>
      <c r="BM217" s="523">
        <f>ROUND(U217*G217*$C$3*$B$5,-2)</f>
        <v>0</v>
      </c>
      <c r="BN217" s="523">
        <f>ROUND(X217*G217*$C$3*$B$5,-2)</f>
        <v>0</v>
      </c>
      <c r="BO217" s="523">
        <f>ROUND(AA217*G217*$C$3*$B$5,-2)</f>
        <v>0</v>
      </c>
      <c r="BP217" s="523">
        <f>ROUND(AD217*G217*$C$3*$B$5,-2)</f>
        <v>400</v>
      </c>
      <c r="BQ217" s="523">
        <f>ROUND(AG217*G217*$C$3*$B$5,-2)</f>
        <v>0</v>
      </c>
      <c r="BR217" s="523">
        <f>ROUND(AJ217*G217*$B$5*$C$3,-2)</f>
        <v>400</v>
      </c>
      <c r="BS217" s="523">
        <f>ROUND(AM217*G217*$C$3*$B$5,-2)</f>
        <v>0</v>
      </c>
      <c r="BT217" s="523">
        <f>ROUND(AP217*G217*$C$3*$B$5,-2)</f>
        <v>0</v>
      </c>
      <c r="BU217" s="523">
        <f>ROUND(AS217*G217*$C$3*$B$5,-2)</f>
        <v>0</v>
      </c>
      <c r="BV217" s="523">
        <f>ROUND(AV217*G217*$C$3*$B$5,-2)</f>
        <v>0</v>
      </c>
      <c r="BW217" s="523">
        <f>ROUND(AY217*G217*$C$3*$B$5,-2)</f>
        <v>0</v>
      </c>
      <c r="BX217" s="523">
        <f>ROUND(BB217*G217*$C$3*$B$5,-2)</f>
        <v>0</v>
      </c>
      <c r="BY217" s="523">
        <f>ROUND(BE217*G217*$C$3*$B$5,-2)</f>
        <v>0</v>
      </c>
      <c r="BZ217" s="523">
        <f>ROUND(BH217*G217*$C$3*$B$5,-2)</f>
        <v>0</v>
      </c>
      <c r="CA217" s="354"/>
      <c r="CB217" s="354" t="str">
        <f t="shared" ref="CB217:CB222" si="771">IF(SUM(I217:L217)&lt;&gt;0,"X")</f>
        <v>X</v>
      </c>
      <c r="CC217" s="509" t="str">
        <f>CC215</f>
        <v>ĐL3.</v>
      </c>
      <c r="CD217" s="509" t="str">
        <f t="shared" ref="CD217:CD222" si="772">CC217&amp;G217</f>
        <v>ĐL3.8,5</v>
      </c>
      <c r="CE217" s="351" t="str">
        <f t="shared" si="665"/>
        <v>Lò</v>
      </c>
      <c r="CF217" s="509" t="str">
        <f t="shared" ref="CF217:CF222" si="773">CC217&amp;CE217</f>
        <v>ĐL3.Lò</v>
      </c>
      <c r="CG217" s="509"/>
      <c r="CH217" s="509"/>
    </row>
    <row r="218" spans="1:86" ht="24" customHeight="1" x14ac:dyDescent="0.25">
      <c r="A218" s="354" t="e">
        <f>A216</f>
        <v>#REF!</v>
      </c>
      <c r="B218" s="933"/>
      <c r="C218" s="519" t="s">
        <v>690</v>
      </c>
      <c r="D218" s="447" t="s">
        <v>14</v>
      </c>
      <c r="E218" s="447"/>
      <c r="F218" s="447"/>
      <c r="G218" s="520">
        <v>8.5</v>
      </c>
      <c r="H218" s="521">
        <v>0.7</v>
      </c>
      <c r="I218" s="522">
        <f t="shared" ref="I218:K221" si="774">V218+AH218+AT218+BF218</f>
        <v>0</v>
      </c>
      <c r="J218" s="522">
        <f t="shared" si="774"/>
        <v>0</v>
      </c>
      <c r="K218" s="522">
        <f t="shared" si="774"/>
        <v>0</v>
      </c>
      <c r="L218" s="57">
        <f t="shared" si="770"/>
        <v>0</v>
      </c>
      <c r="M218" s="60"/>
      <c r="N218" s="60"/>
      <c r="O218" s="60">
        <f t="shared" si="732"/>
        <v>0</v>
      </c>
      <c r="P218" s="60"/>
      <c r="Q218" s="60"/>
      <c r="R218" s="60">
        <f t="shared" si="733"/>
        <v>0</v>
      </c>
      <c r="S218" s="824"/>
      <c r="T218" s="60"/>
      <c r="U218" s="60">
        <f t="shared" si="734"/>
        <v>0</v>
      </c>
      <c r="V218" s="60">
        <f t="shared" si="735"/>
        <v>0</v>
      </c>
      <c r="W218" s="60">
        <f t="shared" si="736"/>
        <v>0</v>
      </c>
      <c r="X218" s="60">
        <f t="shared" si="737"/>
        <v>0</v>
      </c>
      <c r="Y218" s="60"/>
      <c r="Z218" s="60"/>
      <c r="AA218" s="60">
        <f t="shared" si="738"/>
        <v>0</v>
      </c>
      <c r="AB218" s="60"/>
      <c r="AC218" s="60"/>
      <c r="AD218" s="60">
        <f t="shared" si="739"/>
        <v>0</v>
      </c>
      <c r="AE218" s="60"/>
      <c r="AF218" s="60"/>
      <c r="AG218" s="60">
        <f t="shared" si="740"/>
        <v>0</v>
      </c>
      <c r="AH218" s="60">
        <f t="shared" si="741"/>
        <v>0</v>
      </c>
      <c r="AI218" s="60">
        <f t="shared" si="742"/>
        <v>0</v>
      </c>
      <c r="AJ218" s="60">
        <f t="shared" si="743"/>
        <v>0</v>
      </c>
      <c r="AK218" s="60"/>
      <c r="AL218" s="60"/>
      <c r="AM218" s="60">
        <f t="shared" si="744"/>
        <v>0</v>
      </c>
      <c r="AN218" s="60"/>
      <c r="AO218" s="60"/>
      <c r="AP218" s="60">
        <f t="shared" si="745"/>
        <v>0</v>
      </c>
      <c r="AQ218" s="60"/>
      <c r="AR218" s="60"/>
      <c r="AS218" s="60">
        <f t="shared" si="746"/>
        <v>0</v>
      </c>
      <c r="AT218" s="60">
        <f t="shared" si="747"/>
        <v>0</v>
      </c>
      <c r="AU218" s="60">
        <f t="shared" si="747"/>
        <v>0</v>
      </c>
      <c r="AV218" s="60">
        <f t="shared" si="747"/>
        <v>0</v>
      </c>
      <c r="AW218" s="60"/>
      <c r="AX218" s="60"/>
      <c r="AY218" s="60">
        <f t="shared" si="748"/>
        <v>0</v>
      </c>
      <c r="AZ218" s="60"/>
      <c r="BA218" s="60"/>
      <c r="BB218" s="60">
        <f t="shared" si="749"/>
        <v>0</v>
      </c>
      <c r="BC218" s="60"/>
      <c r="BD218" s="60"/>
      <c r="BE218" s="60">
        <f t="shared" si="750"/>
        <v>0</v>
      </c>
      <c r="BF218" s="60">
        <f t="shared" si="751"/>
        <v>0</v>
      </c>
      <c r="BG218" s="60">
        <f t="shared" si="752"/>
        <v>0</v>
      </c>
      <c r="BH218" s="60">
        <f t="shared" si="753"/>
        <v>0</v>
      </c>
      <c r="BI218" s="508"/>
      <c r="BJ218" s="488" t="str">
        <f t="shared" si="664"/>
        <v>Lò</v>
      </c>
      <c r="BK218" s="523">
        <f t="shared" si="754"/>
        <v>0</v>
      </c>
      <c r="BL218" s="523">
        <f t="shared" si="755"/>
        <v>0</v>
      </c>
      <c r="BM218" s="523">
        <f t="shared" si="756"/>
        <v>0</v>
      </c>
      <c r="BN218" s="523">
        <f t="shared" si="757"/>
        <v>0</v>
      </c>
      <c r="BO218" s="523">
        <f t="shared" si="758"/>
        <v>0</v>
      </c>
      <c r="BP218" s="523">
        <f t="shared" si="759"/>
        <v>0</v>
      </c>
      <c r="BQ218" s="523">
        <f t="shared" si="760"/>
        <v>0</v>
      </c>
      <c r="BR218" s="523">
        <f t="shared" si="761"/>
        <v>0</v>
      </c>
      <c r="BS218" s="523">
        <f t="shared" si="762"/>
        <v>0</v>
      </c>
      <c r="BT218" s="523">
        <f t="shared" si="763"/>
        <v>0</v>
      </c>
      <c r="BU218" s="523">
        <f t="shared" si="764"/>
        <v>0</v>
      </c>
      <c r="BV218" s="523">
        <f t="shared" si="765"/>
        <v>0</v>
      </c>
      <c r="BW218" s="523">
        <f t="shared" si="766"/>
        <v>0</v>
      </c>
      <c r="BX218" s="523">
        <f t="shared" si="767"/>
        <v>0</v>
      </c>
      <c r="BY218" s="523">
        <f t="shared" si="768"/>
        <v>0</v>
      </c>
      <c r="BZ218" s="523">
        <f t="shared" si="769"/>
        <v>0</v>
      </c>
      <c r="CA218" s="354"/>
      <c r="CB218" s="354" t="b">
        <f t="shared" si="771"/>
        <v>0</v>
      </c>
      <c r="CC218" s="509" t="str">
        <f>CC216</f>
        <v>ĐL3.</v>
      </c>
      <c r="CD218" s="509" t="str">
        <f t="shared" si="772"/>
        <v>ĐL3.8,5</v>
      </c>
      <c r="CE218" s="351" t="str">
        <f t="shared" si="665"/>
        <v>Lò</v>
      </c>
      <c r="CF218" s="509" t="str">
        <f t="shared" si="773"/>
        <v>ĐL3.Lò</v>
      </c>
      <c r="CG218" s="509"/>
      <c r="CH218" s="509"/>
    </row>
    <row r="219" spans="1:86" ht="19.5" customHeight="1" x14ac:dyDescent="0.25">
      <c r="A219" s="354" t="e">
        <f>A215</f>
        <v>#REF!</v>
      </c>
      <c r="B219" s="934"/>
      <c r="C219" s="519" t="s">
        <v>839</v>
      </c>
      <c r="D219" s="447" t="s">
        <v>207</v>
      </c>
      <c r="E219" s="447" t="s">
        <v>207</v>
      </c>
      <c r="F219" s="447"/>
      <c r="G219" s="520">
        <v>11.2</v>
      </c>
      <c r="H219" s="521">
        <v>0.7</v>
      </c>
      <c r="I219" s="522">
        <f t="shared" si="774"/>
        <v>250</v>
      </c>
      <c r="J219" s="522">
        <f t="shared" si="774"/>
        <v>40</v>
      </c>
      <c r="K219" s="522">
        <f t="shared" si="774"/>
        <v>210</v>
      </c>
      <c r="L219" s="57">
        <f t="shared" si="770"/>
        <v>2800</v>
      </c>
      <c r="M219" s="60"/>
      <c r="N219" s="60"/>
      <c r="O219" s="60">
        <f t="shared" si="732"/>
        <v>0</v>
      </c>
      <c r="P219" s="60"/>
      <c r="Q219" s="60"/>
      <c r="R219" s="60">
        <f t="shared" si="733"/>
        <v>0</v>
      </c>
      <c r="S219" s="824"/>
      <c r="T219" s="60"/>
      <c r="U219" s="60">
        <f t="shared" si="734"/>
        <v>0</v>
      </c>
      <c r="V219" s="60">
        <f t="shared" si="735"/>
        <v>0</v>
      </c>
      <c r="W219" s="60">
        <f t="shared" si="736"/>
        <v>0</v>
      </c>
      <c r="X219" s="60">
        <f t="shared" si="737"/>
        <v>0</v>
      </c>
      <c r="Y219" s="60"/>
      <c r="Z219" s="60"/>
      <c r="AA219" s="60">
        <f t="shared" si="738"/>
        <v>0</v>
      </c>
      <c r="AB219" s="60"/>
      <c r="AC219" s="60"/>
      <c r="AD219" s="60">
        <f t="shared" si="739"/>
        <v>0</v>
      </c>
      <c r="AE219" s="60">
        <v>60</v>
      </c>
      <c r="AF219" s="60">
        <v>10</v>
      </c>
      <c r="AG219" s="60">
        <f t="shared" si="740"/>
        <v>50</v>
      </c>
      <c r="AH219" s="60">
        <f t="shared" si="741"/>
        <v>60</v>
      </c>
      <c r="AI219" s="60">
        <f t="shared" si="742"/>
        <v>10</v>
      </c>
      <c r="AJ219" s="60">
        <f t="shared" si="743"/>
        <v>50</v>
      </c>
      <c r="AK219" s="60">
        <v>60</v>
      </c>
      <c r="AL219" s="60">
        <v>10</v>
      </c>
      <c r="AM219" s="60">
        <f t="shared" si="744"/>
        <v>50</v>
      </c>
      <c r="AN219" s="60">
        <v>60</v>
      </c>
      <c r="AO219" s="60">
        <v>10</v>
      </c>
      <c r="AP219" s="60">
        <f t="shared" si="745"/>
        <v>50</v>
      </c>
      <c r="AQ219" s="60">
        <v>60</v>
      </c>
      <c r="AR219" s="60">
        <v>10</v>
      </c>
      <c r="AS219" s="60">
        <f t="shared" si="746"/>
        <v>50</v>
      </c>
      <c r="AT219" s="60">
        <f t="shared" ref="AT219:AT225" si="775">AK219+AN219+AQ219</f>
        <v>180</v>
      </c>
      <c r="AU219" s="60">
        <f t="shared" ref="AU219:AU225" si="776">AL219+AO219+AR219</f>
        <v>30</v>
      </c>
      <c r="AV219" s="60">
        <f t="shared" ref="AV219:AV225" si="777">AM219+AP219+AS219</f>
        <v>150</v>
      </c>
      <c r="AW219" s="60">
        <v>10</v>
      </c>
      <c r="AX219" s="60"/>
      <c r="AY219" s="60">
        <f t="shared" si="748"/>
        <v>10</v>
      </c>
      <c r="AZ219" s="60"/>
      <c r="BA219" s="60"/>
      <c r="BB219" s="60">
        <f t="shared" si="749"/>
        <v>0</v>
      </c>
      <c r="BC219" s="60"/>
      <c r="BD219" s="60"/>
      <c r="BE219" s="60">
        <f t="shared" si="750"/>
        <v>0</v>
      </c>
      <c r="BF219" s="60">
        <f t="shared" si="751"/>
        <v>10</v>
      </c>
      <c r="BG219" s="60">
        <f t="shared" si="752"/>
        <v>0</v>
      </c>
      <c r="BH219" s="60">
        <f t="shared" si="753"/>
        <v>10</v>
      </c>
      <c r="BI219" s="508"/>
      <c r="BJ219" s="488" t="str">
        <f t="shared" si="664"/>
        <v>Lò</v>
      </c>
      <c r="BK219" s="523">
        <f t="shared" si="754"/>
        <v>0</v>
      </c>
      <c r="BL219" s="523">
        <f t="shared" si="755"/>
        <v>0</v>
      </c>
      <c r="BM219" s="523">
        <f t="shared" si="756"/>
        <v>0</v>
      </c>
      <c r="BN219" s="523">
        <f t="shared" si="757"/>
        <v>0</v>
      </c>
      <c r="BO219" s="523">
        <f t="shared" si="758"/>
        <v>0</v>
      </c>
      <c r="BP219" s="523">
        <f t="shared" si="759"/>
        <v>0</v>
      </c>
      <c r="BQ219" s="523">
        <f t="shared" si="760"/>
        <v>700</v>
      </c>
      <c r="BR219" s="523">
        <f t="shared" si="761"/>
        <v>700</v>
      </c>
      <c r="BS219" s="523">
        <f t="shared" si="762"/>
        <v>700</v>
      </c>
      <c r="BT219" s="523">
        <f t="shared" si="763"/>
        <v>700</v>
      </c>
      <c r="BU219" s="523">
        <f t="shared" si="764"/>
        <v>700</v>
      </c>
      <c r="BV219" s="523">
        <f t="shared" si="765"/>
        <v>2000</v>
      </c>
      <c r="BW219" s="523">
        <f t="shared" si="766"/>
        <v>100</v>
      </c>
      <c r="BX219" s="523">
        <f t="shared" si="767"/>
        <v>0</v>
      </c>
      <c r="BY219" s="523">
        <f t="shared" si="768"/>
        <v>0</v>
      </c>
      <c r="BZ219" s="523">
        <f t="shared" si="769"/>
        <v>100</v>
      </c>
      <c r="CA219" s="354"/>
      <c r="CB219" s="354" t="str">
        <f t="shared" si="771"/>
        <v>X</v>
      </c>
      <c r="CC219" s="509" t="str">
        <f>CC218</f>
        <v>ĐL3.</v>
      </c>
      <c r="CD219" s="509" t="str">
        <f t="shared" si="772"/>
        <v>ĐL3.11,2</v>
      </c>
      <c r="CE219" s="351" t="str">
        <f t="shared" si="665"/>
        <v>Lò</v>
      </c>
      <c r="CF219" s="509" t="str">
        <f t="shared" si="773"/>
        <v>ĐL3.Lò</v>
      </c>
      <c r="CG219" s="509"/>
      <c r="CH219" s="509"/>
    </row>
    <row r="220" spans="1:86" ht="23.25" customHeight="1" x14ac:dyDescent="0.25">
      <c r="A220" s="354" t="e">
        <f>A216</f>
        <v>#REF!</v>
      </c>
      <c r="B220" s="518"/>
      <c r="C220" s="519" t="s">
        <v>841</v>
      </c>
      <c r="D220" s="447" t="s">
        <v>14</v>
      </c>
      <c r="E220" s="447"/>
      <c r="F220" s="447"/>
      <c r="G220" s="520">
        <v>20.3</v>
      </c>
      <c r="H220" s="521">
        <v>0.5</v>
      </c>
      <c r="I220" s="522">
        <f t="shared" si="774"/>
        <v>70</v>
      </c>
      <c r="J220" s="522">
        <f t="shared" si="774"/>
        <v>70</v>
      </c>
      <c r="K220" s="522">
        <f t="shared" si="774"/>
        <v>0</v>
      </c>
      <c r="L220" s="57">
        <f t="shared" si="770"/>
        <v>0</v>
      </c>
      <c r="M220" s="60"/>
      <c r="N220" s="60"/>
      <c r="O220" s="60">
        <f t="shared" si="732"/>
        <v>0</v>
      </c>
      <c r="P220" s="60"/>
      <c r="Q220" s="60"/>
      <c r="R220" s="60">
        <f t="shared" si="733"/>
        <v>0</v>
      </c>
      <c r="S220" s="824"/>
      <c r="T220" s="60"/>
      <c r="U220" s="60">
        <f t="shared" si="734"/>
        <v>0</v>
      </c>
      <c r="V220" s="60">
        <f t="shared" si="735"/>
        <v>0</v>
      </c>
      <c r="W220" s="60">
        <f t="shared" si="736"/>
        <v>0</v>
      </c>
      <c r="X220" s="60">
        <f t="shared" si="737"/>
        <v>0</v>
      </c>
      <c r="Y220" s="60"/>
      <c r="Z220" s="60"/>
      <c r="AA220" s="60">
        <f t="shared" si="738"/>
        <v>0</v>
      </c>
      <c r="AB220" s="60"/>
      <c r="AC220" s="60"/>
      <c r="AD220" s="60">
        <f t="shared" si="739"/>
        <v>0</v>
      </c>
      <c r="AE220" s="60"/>
      <c r="AF220" s="60"/>
      <c r="AG220" s="60">
        <f t="shared" si="740"/>
        <v>0</v>
      </c>
      <c r="AH220" s="60">
        <f t="shared" si="741"/>
        <v>0</v>
      </c>
      <c r="AI220" s="60">
        <f t="shared" si="742"/>
        <v>0</v>
      </c>
      <c r="AJ220" s="60">
        <f t="shared" si="743"/>
        <v>0</v>
      </c>
      <c r="AK220" s="60"/>
      <c r="AL220" s="60"/>
      <c r="AM220" s="60">
        <f t="shared" si="744"/>
        <v>0</v>
      </c>
      <c r="AN220" s="60"/>
      <c r="AO220" s="60"/>
      <c r="AP220" s="60">
        <f t="shared" si="745"/>
        <v>0</v>
      </c>
      <c r="AQ220" s="60"/>
      <c r="AR220" s="60"/>
      <c r="AS220" s="60">
        <f t="shared" si="746"/>
        <v>0</v>
      </c>
      <c r="AT220" s="60">
        <f t="shared" si="775"/>
        <v>0</v>
      </c>
      <c r="AU220" s="60">
        <f t="shared" si="776"/>
        <v>0</v>
      </c>
      <c r="AV220" s="60">
        <f t="shared" si="777"/>
        <v>0</v>
      </c>
      <c r="AW220" s="60"/>
      <c r="AX220" s="60"/>
      <c r="AY220" s="60">
        <f t="shared" si="748"/>
        <v>0</v>
      </c>
      <c r="AZ220" s="60">
        <v>35</v>
      </c>
      <c r="BA220" s="60">
        <v>35</v>
      </c>
      <c r="BB220" s="60">
        <f t="shared" si="749"/>
        <v>0</v>
      </c>
      <c r="BC220" s="60">
        <v>35</v>
      </c>
      <c r="BD220" s="60">
        <v>35</v>
      </c>
      <c r="BE220" s="60">
        <f t="shared" si="750"/>
        <v>0</v>
      </c>
      <c r="BF220" s="60">
        <f t="shared" si="751"/>
        <v>70</v>
      </c>
      <c r="BG220" s="60">
        <f t="shared" si="752"/>
        <v>70</v>
      </c>
      <c r="BH220" s="60">
        <f t="shared" si="753"/>
        <v>0</v>
      </c>
      <c r="BI220" s="508"/>
      <c r="BJ220" s="488" t="str">
        <f t="shared" si="664"/>
        <v>Lò</v>
      </c>
      <c r="BK220" s="523">
        <f t="shared" si="754"/>
        <v>0</v>
      </c>
      <c r="BL220" s="523">
        <f t="shared" si="755"/>
        <v>0</v>
      </c>
      <c r="BM220" s="523">
        <f t="shared" si="756"/>
        <v>0</v>
      </c>
      <c r="BN220" s="523">
        <f t="shared" si="757"/>
        <v>0</v>
      </c>
      <c r="BO220" s="523">
        <f t="shared" si="758"/>
        <v>0</v>
      </c>
      <c r="BP220" s="523">
        <f t="shared" si="759"/>
        <v>0</v>
      </c>
      <c r="BQ220" s="523">
        <f t="shared" si="760"/>
        <v>0</v>
      </c>
      <c r="BR220" s="523">
        <f t="shared" si="761"/>
        <v>0</v>
      </c>
      <c r="BS220" s="523">
        <f t="shared" si="762"/>
        <v>0</v>
      </c>
      <c r="BT220" s="523">
        <f t="shared" si="763"/>
        <v>0</v>
      </c>
      <c r="BU220" s="523">
        <f t="shared" si="764"/>
        <v>0</v>
      </c>
      <c r="BV220" s="523">
        <f t="shared" si="765"/>
        <v>0</v>
      </c>
      <c r="BW220" s="523">
        <f t="shared" si="766"/>
        <v>0</v>
      </c>
      <c r="BX220" s="523">
        <f t="shared" si="767"/>
        <v>0</v>
      </c>
      <c r="BY220" s="523">
        <f t="shared" si="768"/>
        <v>0</v>
      </c>
      <c r="BZ220" s="523">
        <f t="shared" si="769"/>
        <v>0</v>
      </c>
      <c r="CA220" s="354"/>
      <c r="CB220" s="354" t="str">
        <f t="shared" si="771"/>
        <v>X</v>
      </c>
      <c r="CC220" s="509" t="str">
        <f>CC219</f>
        <v>ĐL3.</v>
      </c>
      <c r="CD220" s="509" t="str">
        <f t="shared" si="772"/>
        <v>ĐL3.20,3</v>
      </c>
      <c r="CE220" s="351" t="str">
        <f t="shared" si="665"/>
        <v>Lò</v>
      </c>
      <c r="CF220" s="509" t="str">
        <f t="shared" si="773"/>
        <v>ĐL3.Lò</v>
      </c>
      <c r="CG220" s="509"/>
      <c r="CH220" s="509"/>
    </row>
    <row r="221" spans="1:86" ht="18.75" customHeight="1" x14ac:dyDescent="0.25">
      <c r="A221" s="354" t="e">
        <f>A218</f>
        <v>#REF!</v>
      </c>
      <c r="B221" s="932" t="s">
        <v>545</v>
      </c>
      <c r="C221" s="519" t="s">
        <v>703</v>
      </c>
      <c r="D221" s="447" t="s">
        <v>14</v>
      </c>
      <c r="E221" s="447"/>
      <c r="F221" s="447"/>
      <c r="G221" s="520">
        <v>16.100000000000001</v>
      </c>
      <c r="H221" s="521">
        <v>0.7</v>
      </c>
      <c r="I221" s="522">
        <f t="shared" si="774"/>
        <v>380</v>
      </c>
      <c r="J221" s="522">
        <f t="shared" si="774"/>
        <v>150</v>
      </c>
      <c r="K221" s="522">
        <f t="shared" si="774"/>
        <v>230</v>
      </c>
      <c r="L221" s="57">
        <f t="shared" si="770"/>
        <v>4400</v>
      </c>
      <c r="M221" s="60">
        <v>60</v>
      </c>
      <c r="N221" s="60">
        <v>20</v>
      </c>
      <c r="O221" s="60">
        <f t="shared" si="732"/>
        <v>40</v>
      </c>
      <c r="P221" s="60">
        <v>50</v>
      </c>
      <c r="Q221" s="60">
        <v>20</v>
      </c>
      <c r="R221" s="60">
        <f t="shared" si="733"/>
        <v>30</v>
      </c>
      <c r="S221" s="824">
        <v>60</v>
      </c>
      <c r="T221" s="60">
        <v>20</v>
      </c>
      <c r="U221" s="60">
        <f t="shared" si="734"/>
        <v>40</v>
      </c>
      <c r="V221" s="60">
        <f t="shared" si="735"/>
        <v>170</v>
      </c>
      <c r="W221" s="60">
        <f t="shared" si="736"/>
        <v>60</v>
      </c>
      <c r="X221" s="60">
        <f t="shared" si="737"/>
        <v>110</v>
      </c>
      <c r="Y221" s="60">
        <v>60</v>
      </c>
      <c r="Z221" s="60">
        <v>30</v>
      </c>
      <c r="AA221" s="60">
        <f t="shared" si="738"/>
        <v>30</v>
      </c>
      <c r="AB221" s="60">
        <v>60</v>
      </c>
      <c r="AC221" s="60">
        <v>30</v>
      </c>
      <c r="AD221" s="60">
        <f t="shared" si="739"/>
        <v>30</v>
      </c>
      <c r="AE221" s="60">
        <v>60</v>
      </c>
      <c r="AF221" s="60">
        <v>30</v>
      </c>
      <c r="AG221" s="60">
        <f t="shared" si="740"/>
        <v>30</v>
      </c>
      <c r="AH221" s="60">
        <f t="shared" si="741"/>
        <v>180</v>
      </c>
      <c r="AI221" s="60">
        <f t="shared" si="742"/>
        <v>90</v>
      </c>
      <c r="AJ221" s="60">
        <f t="shared" si="743"/>
        <v>90</v>
      </c>
      <c r="AK221" s="60">
        <v>30</v>
      </c>
      <c r="AL221" s="60"/>
      <c r="AM221" s="60">
        <f t="shared" si="744"/>
        <v>30</v>
      </c>
      <c r="AN221" s="60"/>
      <c r="AO221" s="60"/>
      <c r="AP221" s="60">
        <f t="shared" si="745"/>
        <v>0</v>
      </c>
      <c r="AQ221" s="60"/>
      <c r="AR221" s="60"/>
      <c r="AS221" s="60">
        <f t="shared" si="746"/>
        <v>0</v>
      </c>
      <c r="AT221" s="60">
        <f t="shared" si="775"/>
        <v>30</v>
      </c>
      <c r="AU221" s="60">
        <f t="shared" si="776"/>
        <v>0</v>
      </c>
      <c r="AV221" s="60">
        <f t="shared" si="777"/>
        <v>30</v>
      </c>
      <c r="AW221" s="60"/>
      <c r="AX221" s="60"/>
      <c r="AY221" s="60">
        <f t="shared" si="748"/>
        <v>0</v>
      </c>
      <c r="AZ221" s="60"/>
      <c r="BA221" s="60"/>
      <c r="BB221" s="60">
        <f t="shared" si="749"/>
        <v>0</v>
      </c>
      <c r="BC221" s="60"/>
      <c r="BD221" s="60"/>
      <c r="BE221" s="60">
        <f t="shared" si="750"/>
        <v>0</v>
      </c>
      <c r="BF221" s="60">
        <f t="shared" si="751"/>
        <v>0</v>
      </c>
      <c r="BG221" s="60">
        <f t="shared" si="752"/>
        <v>0</v>
      </c>
      <c r="BH221" s="60">
        <f t="shared" si="753"/>
        <v>0</v>
      </c>
      <c r="BI221" s="508"/>
      <c r="BJ221" s="488" t="str">
        <f t="shared" si="664"/>
        <v>Lò</v>
      </c>
      <c r="BK221" s="523">
        <f t="shared" si="754"/>
        <v>800</v>
      </c>
      <c r="BL221" s="523">
        <f t="shared" si="755"/>
        <v>600</v>
      </c>
      <c r="BM221" s="523">
        <f t="shared" si="756"/>
        <v>800</v>
      </c>
      <c r="BN221" s="523">
        <f t="shared" si="757"/>
        <v>2100</v>
      </c>
      <c r="BO221" s="523">
        <f t="shared" si="758"/>
        <v>600</v>
      </c>
      <c r="BP221" s="523">
        <f t="shared" si="759"/>
        <v>600</v>
      </c>
      <c r="BQ221" s="523">
        <f t="shared" si="760"/>
        <v>600</v>
      </c>
      <c r="BR221" s="523">
        <f t="shared" si="761"/>
        <v>1700</v>
      </c>
      <c r="BS221" s="523">
        <f t="shared" si="762"/>
        <v>600</v>
      </c>
      <c r="BT221" s="523">
        <f t="shared" si="763"/>
        <v>0</v>
      </c>
      <c r="BU221" s="523">
        <f t="shared" si="764"/>
        <v>0</v>
      </c>
      <c r="BV221" s="523">
        <f t="shared" si="765"/>
        <v>600</v>
      </c>
      <c r="BW221" s="523">
        <f t="shared" si="766"/>
        <v>0</v>
      </c>
      <c r="BX221" s="523">
        <f t="shared" si="767"/>
        <v>0</v>
      </c>
      <c r="BY221" s="523">
        <f t="shared" si="768"/>
        <v>0</v>
      </c>
      <c r="BZ221" s="523">
        <f t="shared" si="769"/>
        <v>0</v>
      </c>
      <c r="CA221" s="354"/>
      <c r="CB221" s="354" t="str">
        <f t="shared" si="771"/>
        <v>X</v>
      </c>
      <c r="CC221" s="509" t="str">
        <f>CC218</f>
        <v>ĐL3.</v>
      </c>
      <c r="CD221" s="509" t="str">
        <f t="shared" si="772"/>
        <v>ĐL3.16,1</v>
      </c>
      <c r="CE221" s="351" t="str">
        <f t="shared" si="665"/>
        <v>Lò</v>
      </c>
      <c r="CF221" s="509" t="str">
        <f t="shared" si="773"/>
        <v>ĐL3.Lò</v>
      </c>
      <c r="CG221" s="509"/>
      <c r="CH221" s="509">
        <f>235+226</f>
        <v>461</v>
      </c>
    </row>
    <row r="222" spans="1:86" ht="18.75" customHeight="1" x14ac:dyDescent="0.25">
      <c r="A222" s="354" t="e">
        <f>A219</f>
        <v>#REF!</v>
      </c>
      <c r="B222" s="933"/>
      <c r="C222" s="519" t="s">
        <v>705</v>
      </c>
      <c r="D222" s="447" t="s">
        <v>14</v>
      </c>
      <c r="E222" s="447"/>
      <c r="F222" s="447"/>
      <c r="G222" s="520">
        <v>16.100000000000001</v>
      </c>
      <c r="H222" s="521">
        <v>0.7</v>
      </c>
      <c r="I222" s="522">
        <f t="shared" ref="I222:K224" si="778">V222+AH222+AT222+BF222</f>
        <v>0</v>
      </c>
      <c r="J222" s="522">
        <f t="shared" si="778"/>
        <v>0</v>
      </c>
      <c r="K222" s="522">
        <f t="shared" si="778"/>
        <v>0</v>
      </c>
      <c r="L222" s="57">
        <f t="shared" si="770"/>
        <v>0</v>
      </c>
      <c r="M222" s="60"/>
      <c r="N222" s="60"/>
      <c r="O222" s="60">
        <f>M222-N222</f>
        <v>0</v>
      </c>
      <c r="P222" s="60"/>
      <c r="Q222" s="60"/>
      <c r="R222" s="60">
        <f>P222-Q222</f>
        <v>0</v>
      </c>
      <c r="S222" s="824"/>
      <c r="T222" s="60"/>
      <c r="U222" s="60">
        <f>S222-T222</f>
        <v>0</v>
      </c>
      <c r="V222" s="60">
        <f t="shared" ref="V222:X224" si="779">M222+P222+S222</f>
        <v>0</v>
      </c>
      <c r="W222" s="60">
        <f t="shared" si="779"/>
        <v>0</v>
      </c>
      <c r="X222" s="60">
        <f t="shared" si="779"/>
        <v>0</v>
      </c>
      <c r="Y222" s="60"/>
      <c r="Z222" s="60"/>
      <c r="AA222" s="60">
        <f>Y222-Z222</f>
        <v>0</v>
      </c>
      <c r="AB222" s="60"/>
      <c r="AC222" s="60"/>
      <c r="AD222" s="60">
        <f>AB222-AC222</f>
        <v>0</v>
      </c>
      <c r="AE222" s="60"/>
      <c r="AF222" s="60"/>
      <c r="AG222" s="60">
        <f>AE222-AF222</f>
        <v>0</v>
      </c>
      <c r="AH222" s="60">
        <f t="shared" ref="AH222:AJ224" si="780">Y222+AB222+AE222</f>
        <v>0</v>
      </c>
      <c r="AI222" s="60">
        <f t="shared" si="780"/>
        <v>0</v>
      </c>
      <c r="AJ222" s="60">
        <f t="shared" si="780"/>
        <v>0</v>
      </c>
      <c r="AK222" s="60"/>
      <c r="AL222" s="60"/>
      <c r="AM222" s="60">
        <f>AK222-AL222</f>
        <v>0</v>
      </c>
      <c r="AN222" s="60"/>
      <c r="AO222" s="60"/>
      <c r="AP222" s="60">
        <f>AN222-AO222</f>
        <v>0</v>
      </c>
      <c r="AQ222" s="60"/>
      <c r="AR222" s="60"/>
      <c r="AS222" s="60">
        <f>AQ222-AR222</f>
        <v>0</v>
      </c>
      <c r="AT222" s="60">
        <f t="shared" ref="AT222:AV224" si="781">AK222+AN222+AQ222</f>
        <v>0</v>
      </c>
      <c r="AU222" s="60">
        <f t="shared" si="781"/>
        <v>0</v>
      </c>
      <c r="AV222" s="60">
        <f t="shared" si="781"/>
        <v>0</v>
      </c>
      <c r="AW222" s="60"/>
      <c r="AX222" s="60"/>
      <c r="AY222" s="60">
        <f>AW222-AX222</f>
        <v>0</v>
      </c>
      <c r="AZ222" s="60"/>
      <c r="BA222" s="60"/>
      <c r="BB222" s="60">
        <f>AZ222-BA222</f>
        <v>0</v>
      </c>
      <c r="BC222" s="60"/>
      <c r="BD222" s="60"/>
      <c r="BE222" s="60">
        <f>BC222-BD222</f>
        <v>0</v>
      </c>
      <c r="BF222" s="60">
        <f t="shared" ref="BF222:BH224" si="782">AW222+AZ222+BC222</f>
        <v>0</v>
      </c>
      <c r="BG222" s="60">
        <f t="shared" si="782"/>
        <v>0</v>
      </c>
      <c r="BH222" s="60">
        <f t="shared" si="782"/>
        <v>0</v>
      </c>
      <c r="BI222" s="508"/>
      <c r="BJ222" s="488" t="str">
        <f t="shared" si="664"/>
        <v>Lò</v>
      </c>
      <c r="BK222" s="523">
        <f>ROUND(O222*G222*$C$3*$B$5,-2)</f>
        <v>0</v>
      </c>
      <c r="BL222" s="523">
        <f>ROUND(R222*G222*$C$3*$B$5,-2)</f>
        <v>0</v>
      </c>
      <c r="BM222" s="523">
        <f>ROUND(U222*G222*$C$3*$B$5,-2)</f>
        <v>0</v>
      </c>
      <c r="BN222" s="523">
        <f>ROUND(X222*G222*$C$3*$B$5,-2)</f>
        <v>0</v>
      </c>
      <c r="BO222" s="523">
        <f>ROUND(AA222*G222*$C$3*$B$5,-2)</f>
        <v>0</v>
      </c>
      <c r="BP222" s="523">
        <f>ROUND(AD222*G222*$C$3*$B$5,-2)</f>
        <v>0</v>
      </c>
      <c r="BQ222" s="523">
        <f>ROUND(AG222*G222*$C$3*$B$5,-2)</f>
        <v>0</v>
      </c>
      <c r="BR222" s="523">
        <f>ROUND(AJ222*G222*$B$5*$C$3,-2)</f>
        <v>0</v>
      </c>
      <c r="BS222" s="523">
        <f>ROUND(AM222*G222*$C$3*$B$5,-2)</f>
        <v>0</v>
      </c>
      <c r="BT222" s="523">
        <f>ROUND(AP222*G222*$C$3*$B$5,-2)</f>
        <v>0</v>
      </c>
      <c r="BU222" s="523">
        <f>ROUND(AS222*G222*$C$3*$B$5,-2)</f>
        <v>0</v>
      </c>
      <c r="BV222" s="523">
        <f>ROUND(AV222*G222*$C$3*$B$5,-2)</f>
        <v>0</v>
      </c>
      <c r="BW222" s="523">
        <f>ROUND(AY222*G222*$C$3*$B$5,-2)</f>
        <v>0</v>
      </c>
      <c r="BX222" s="523">
        <f>ROUND(BB222*G222*$C$3*$B$5,-2)</f>
        <v>0</v>
      </c>
      <c r="BY222" s="523">
        <f>ROUND(BE222*G222*$C$3*$B$5,-2)</f>
        <v>0</v>
      </c>
      <c r="BZ222" s="523">
        <f>ROUND(BH222*G222*$C$3*$B$5,-2)</f>
        <v>0</v>
      </c>
      <c r="CA222" s="354"/>
      <c r="CB222" s="354" t="b">
        <f t="shared" si="771"/>
        <v>0</v>
      </c>
      <c r="CC222" s="509" t="str">
        <f>CC219</f>
        <v>ĐL3.</v>
      </c>
      <c r="CD222" s="509" t="str">
        <f t="shared" si="772"/>
        <v>ĐL3.16,1</v>
      </c>
      <c r="CE222" s="351" t="str">
        <f t="shared" si="665"/>
        <v>Lò</v>
      </c>
      <c r="CF222" s="509" t="str">
        <f t="shared" si="773"/>
        <v>ĐL3.Lò</v>
      </c>
      <c r="CG222" s="509"/>
      <c r="CH222" s="509">
        <f>235+226</f>
        <v>461</v>
      </c>
    </row>
    <row r="223" spans="1:86" ht="18.75" customHeight="1" x14ac:dyDescent="0.25">
      <c r="A223" s="354" t="e">
        <f>A220</f>
        <v>#REF!</v>
      </c>
      <c r="B223" s="933"/>
      <c r="C223" s="519" t="s">
        <v>706</v>
      </c>
      <c r="D223" s="447" t="s">
        <v>14</v>
      </c>
      <c r="E223" s="447"/>
      <c r="F223" s="447"/>
      <c r="G223" s="520">
        <v>13.1</v>
      </c>
      <c r="H223" s="521">
        <v>0.7</v>
      </c>
      <c r="I223" s="522">
        <f t="shared" si="778"/>
        <v>65</v>
      </c>
      <c r="J223" s="522">
        <f t="shared" si="778"/>
        <v>55</v>
      </c>
      <c r="K223" s="522">
        <f t="shared" si="778"/>
        <v>10</v>
      </c>
      <c r="L223" s="57">
        <f>BN223+BR223+BV223+BZ223</f>
        <v>200</v>
      </c>
      <c r="M223" s="60"/>
      <c r="N223" s="60"/>
      <c r="O223" s="60">
        <f>M223-N223</f>
        <v>0</v>
      </c>
      <c r="P223" s="60"/>
      <c r="Q223" s="60"/>
      <c r="R223" s="60">
        <f>P223-Q223</f>
        <v>0</v>
      </c>
      <c r="S223" s="824"/>
      <c r="T223" s="60"/>
      <c r="U223" s="60">
        <f>S223-T223</f>
        <v>0</v>
      </c>
      <c r="V223" s="60">
        <f t="shared" si="779"/>
        <v>0</v>
      </c>
      <c r="W223" s="60">
        <f t="shared" si="779"/>
        <v>0</v>
      </c>
      <c r="X223" s="60">
        <f t="shared" si="779"/>
        <v>0</v>
      </c>
      <c r="Y223" s="60"/>
      <c r="Z223" s="60"/>
      <c r="AA223" s="60">
        <f>Y223-Z223</f>
        <v>0</v>
      </c>
      <c r="AB223" s="60"/>
      <c r="AC223" s="60"/>
      <c r="AD223" s="60">
        <f>AB223-AC223</f>
        <v>0</v>
      </c>
      <c r="AE223" s="60"/>
      <c r="AF223" s="60"/>
      <c r="AG223" s="60">
        <f>AE223-AF223</f>
        <v>0</v>
      </c>
      <c r="AH223" s="60">
        <f t="shared" si="780"/>
        <v>0</v>
      </c>
      <c r="AI223" s="60">
        <f t="shared" si="780"/>
        <v>0</v>
      </c>
      <c r="AJ223" s="60">
        <f t="shared" si="780"/>
        <v>0</v>
      </c>
      <c r="AK223" s="60">
        <v>30</v>
      </c>
      <c r="AL223" s="60">
        <v>20</v>
      </c>
      <c r="AM223" s="60">
        <f>AK223-AL223</f>
        <v>10</v>
      </c>
      <c r="AN223" s="60">
        <v>35</v>
      </c>
      <c r="AO223" s="60">
        <v>35</v>
      </c>
      <c r="AP223" s="60">
        <f>AN223-AO223</f>
        <v>0</v>
      </c>
      <c r="AQ223" s="60"/>
      <c r="AR223" s="60"/>
      <c r="AS223" s="60">
        <f>AQ223-AR223</f>
        <v>0</v>
      </c>
      <c r="AT223" s="60">
        <f t="shared" si="781"/>
        <v>65</v>
      </c>
      <c r="AU223" s="60">
        <f t="shared" si="781"/>
        <v>55</v>
      </c>
      <c r="AV223" s="60">
        <f t="shared" si="781"/>
        <v>10</v>
      </c>
      <c r="AW223" s="60"/>
      <c r="AX223" s="60"/>
      <c r="AY223" s="60">
        <f>AW223-AX223</f>
        <v>0</v>
      </c>
      <c r="AZ223" s="60"/>
      <c r="BA223" s="60"/>
      <c r="BB223" s="60">
        <f>AZ223-BA223</f>
        <v>0</v>
      </c>
      <c r="BC223" s="60"/>
      <c r="BD223" s="60"/>
      <c r="BE223" s="60">
        <f>BC223-BD223</f>
        <v>0</v>
      </c>
      <c r="BF223" s="60">
        <f t="shared" si="782"/>
        <v>0</v>
      </c>
      <c r="BG223" s="60">
        <f t="shared" si="782"/>
        <v>0</v>
      </c>
      <c r="BH223" s="60">
        <f t="shared" si="782"/>
        <v>0</v>
      </c>
      <c r="BI223" s="508"/>
      <c r="BJ223" s="488" t="str">
        <f t="shared" si="664"/>
        <v>Lò</v>
      </c>
      <c r="BK223" s="523">
        <f>ROUND(O223*G223*$C$3*$B$5,-2)</f>
        <v>0</v>
      </c>
      <c r="BL223" s="523">
        <f>ROUND(R223*G223*$C$3*$B$5,-2)</f>
        <v>0</v>
      </c>
      <c r="BM223" s="523">
        <f>ROUND(U223*G223*$C$3*$B$5,-2)</f>
        <v>0</v>
      </c>
      <c r="BN223" s="523">
        <f>ROUND(X223*G223*$C$3*$B$5,-2)</f>
        <v>0</v>
      </c>
      <c r="BO223" s="523">
        <f>ROUND(AA223*G223*$C$3*$B$5,-2)</f>
        <v>0</v>
      </c>
      <c r="BP223" s="523">
        <f>ROUND(AD223*G223*$C$3*$B$5,-2)</f>
        <v>0</v>
      </c>
      <c r="BQ223" s="523">
        <f>ROUND(AG223*G223*$C$3*$B$5,-2)</f>
        <v>0</v>
      </c>
      <c r="BR223" s="523">
        <f>ROUND(AJ223*G223*$B$5*$C$3,-2)</f>
        <v>0</v>
      </c>
      <c r="BS223" s="523">
        <f>ROUND(AM223*G223*$C$3*$B$5,-2)</f>
        <v>200</v>
      </c>
      <c r="BT223" s="523">
        <f>ROUND(AP223*G223*$C$3*$B$5,-2)</f>
        <v>0</v>
      </c>
      <c r="BU223" s="523">
        <f>ROUND(AS223*G223*$C$3*$B$5,-2)</f>
        <v>0</v>
      </c>
      <c r="BV223" s="523">
        <f>ROUND(AV223*G223*$C$3*$B$5,-2)</f>
        <v>200</v>
      </c>
      <c r="BW223" s="523">
        <f>ROUND(AY223*G223*$C$3*$B$5,-2)</f>
        <v>0</v>
      </c>
      <c r="BX223" s="523">
        <f>ROUND(BB223*G223*$C$3*$B$5,-2)</f>
        <v>0</v>
      </c>
      <c r="BY223" s="523">
        <f>ROUND(BE223*G223*$C$3*$B$5,-2)</f>
        <v>0</v>
      </c>
      <c r="BZ223" s="523">
        <f>ROUND(BH223*G223*$C$3*$B$5,-2)</f>
        <v>0</v>
      </c>
      <c r="CA223" s="354"/>
      <c r="CB223" s="354" t="str">
        <f>IF(SUM(I223:L223)&lt;&gt;0,"X")</f>
        <v>X</v>
      </c>
      <c r="CC223" s="509" t="str">
        <f>CC220</f>
        <v>ĐL3.</v>
      </c>
      <c r="CD223" s="509" t="str">
        <f>CC223&amp;G223</f>
        <v>ĐL3.13,1</v>
      </c>
      <c r="CE223" s="351" t="str">
        <f t="shared" si="665"/>
        <v>Lò</v>
      </c>
      <c r="CF223" s="509" t="str">
        <f>CC223&amp;CE223</f>
        <v>ĐL3.Lò</v>
      </c>
      <c r="CG223" s="509"/>
      <c r="CH223" s="509">
        <f>235+226</f>
        <v>461</v>
      </c>
    </row>
    <row r="224" spans="1:86" ht="18.75" customHeight="1" x14ac:dyDescent="0.25">
      <c r="A224" s="354" t="e">
        <f>A221</f>
        <v>#REF!</v>
      </c>
      <c r="B224" s="933"/>
      <c r="C224" s="519" t="s">
        <v>707</v>
      </c>
      <c r="D224" s="447" t="s">
        <v>14</v>
      </c>
      <c r="E224" s="447"/>
      <c r="F224" s="447"/>
      <c r="G224" s="520">
        <v>16.100000000000001</v>
      </c>
      <c r="H224" s="521">
        <v>0.7</v>
      </c>
      <c r="I224" s="522">
        <f t="shared" si="778"/>
        <v>115</v>
      </c>
      <c r="J224" s="522">
        <f t="shared" si="778"/>
        <v>115</v>
      </c>
      <c r="K224" s="522">
        <f t="shared" si="778"/>
        <v>0</v>
      </c>
      <c r="L224" s="57">
        <f>BN224+BR224+BV224+BZ224</f>
        <v>0</v>
      </c>
      <c r="M224" s="60"/>
      <c r="N224" s="60"/>
      <c r="O224" s="60">
        <f>M224-N224</f>
        <v>0</v>
      </c>
      <c r="P224" s="60"/>
      <c r="Q224" s="60"/>
      <c r="R224" s="60">
        <f>P224-Q224</f>
        <v>0</v>
      </c>
      <c r="S224" s="824"/>
      <c r="T224" s="60"/>
      <c r="U224" s="60">
        <f>S224-T224</f>
        <v>0</v>
      </c>
      <c r="V224" s="60">
        <f t="shared" si="779"/>
        <v>0</v>
      </c>
      <c r="W224" s="60">
        <f t="shared" si="779"/>
        <v>0</v>
      </c>
      <c r="X224" s="60">
        <f t="shared" si="779"/>
        <v>0</v>
      </c>
      <c r="Y224" s="60"/>
      <c r="Z224" s="60"/>
      <c r="AA224" s="60">
        <f>Y224-Z224</f>
        <v>0</v>
      </c>
      <c r="AB224" s="60"/>
      <c r="AC224" s="60"/>
      <c r="AD224" s="60">
        <f>AB224-AC224</f>
        <v>0</v>
      </c>
      <c r="AE224" s="60"/>
      <c r="AF224" s="60"/>
      <c r="AG224" s="60">
        <f>AE224-AF224</f>
        <v>0</v>
      </c>
      <c r="AH224" s="60">
        <f t="shared" si="780"/>
        <v>0</v>
      </c>
      <c r="AI224" s="60">
        <f t="shared" si="780"/>
        <v>0</v>
      </c>
      <c r="AJ224" s="60">
        <f t="shared" si="780"/>
        <v>0</v>
      </c>
      <c r="AK224" s="60"/>
      <c r="AL224" s="60"/>
      <c r="AM224" s="60">
        <f>AK224-AL224</f>
        <v>0</v>
      </c>
      <c r="AN224" s="60"/>
      <c r="AO224" s="60"/>
      <c r="AP224" s="60">
        <f>AN224-AO224</f>
        <v>0</v>
      </c>
      <c r="AQ224" s="60">
        <v>45</v>
      </c>
      <c r="AR224" s="60">
        <v>45</v>
      </c>
      <c r="AS224" s="60">
        <f>AQ224-AR224</f>
        <v>0</v>
      </c>
      <c r="AT224" s="60">
        <f t="shared" si="781"/>
        <v>45</v>
      </c>
      <c r="AU224" s="60">
        <f t="shared" si="781"/>
        <v>45</v>
      </c>
      <c r="AV224" s="60">
        <f t="shared" si="781"/>
        <v>0</v>
      </c>
      <c r="AW224" s="60">
        <v>45</v>
      </c>
      <c r="AX224" s="60">
        <v>45</v>
      </c>
      <c r="AY224" s="60">
        <f>AW224-AX224</f>
        <v>0</v>
      </c>
      <c r="AZ224" s="60">
        <v>25</v>
      </c>
      <c r="BA224" s="60">
        <v>25</v>
      </c>
      <c r="BB224" s="60">
        <f>AZ224-BA224</f>
        <v>0</v>
      </c>
      <c r="BC224" s="60"/>
      <c r="BD224" s="60"/>
      <c r="BE224" s="60">
        <f>BC224-BD224</f>
        <v>0</v>
      </c>
      <c r="BF224" s="60">
        <f t="shared" si="782"/>
        <v>70</v>
      </c>
      <c r="BG224" s="60">
        <f t="shared" si="782"/>
        <v>70</v>
      </c>
      <c r="BH224" s="60">
        <f t="shared" si="782"/>
        <v>0</v>
      </c>
      <c r="BI224" s="508"/>
      <c r="BJ224" s="488" t="str">
        <f t="shared" si="664"/>
        <v>Lò</v>
      </c>
      <c r="BK224" s="523">
        <f>ROUND(O224*G224*$C$3*$B$5,-2)</f>
        <v>0</v>
      </c>
      <c r="BL224" s="523">
        <f>ROUND(R224*G224*$C$3*$B$5,-2)</f>
        <v>0</v>
      </c>
      <c r="BM224" s="523">
        <f>ROUND(U224*G224*$C$3*$B$5,-2)</f>
        <v>0</v>
      </c>
      <c r="BN224" s="523">
        <f>ROUND(X224*G224*$C$3*$B$5,-2)</f>
        <v>0</v>
      </c>
      <c r="BO224" s="523">
        <f>ROUND(AA224*G224*$C$3*$B$5,-2)</f>
        <v>0</v>
      </c>
      <c r="BP224" s="523">
        <f>ROUND(AD224*G224*$C$3*$B$5,-2)</f>
        <v>0</v>
      </c>
      <c r="BQ224" s="523">
        <f>ROUND(AG224*G224*$C$3*$B$5,-2)</f>
        <v>0</v>
      </c>
      <c r="BR224" s="523">
        <f>ROUND(AJ224*G224*$B$5*$C$3,-2)</f>
        <v>0</v>
      </c>
      <c r="BS224" s="523">
        <f>ROUND(AM224*G224*$C$3*$B$5,-2)</f>
        <v>0</v>
      </c>
      <c r="BT224" s="523">
        <f>ROUND(AP224*G224*$C$3*$B$5,-2)</f>
        <v>0</v>
      </c>
      <c r="BU224" s="523">
        <f>ROUND(AS224*G224*$C$3*$B$5,-2)</f>
        <v>0</v>
      </c>
      <c r="BV224" s="523">
        <f>ROUND(AV224*G224*$C$3*$B$5,-2)</f>
        <v>0</v>
      </c>
      <c r="BW224" s="523">
        <f>ROUND(AY224*G224*$C$3*$B$5,-2)</f>
        <v>0</v>
      </c>
      <c r="BX224" s="523">
        <f>ROUND(BB224*G224*$C$3*$B$5,-2)</f>
        <v>0</v>
      </c>
      <c r="BY224" s="523">
        <f>ROUND(BE224*G224*$C$3*$B$5,-2)</f>
        <v>0</v>
      </c>
      <c r="BZ224" s="523">
        <f>ROUND(BH224*G224*$C$3*$B$5,-2)</f>
        <v>0</v>
      </c>
      <c r="CA224" s="354"/>
      <c r="CB224" s="354" t="str">
        <f>IF(SUM(I224:L224)&lt;&gt;0,"X")</f>
        <v>X</v>
      </c>
      <c r="CC224" s="509" t="str">
        <f>CC221</f>
        <v>ĐL3.</v>
      </c>
      <c r="CD224" s="509" t="str">
        <f>CC224&amp;G224</f>
        <v>ĐL3.16,1</v>
      </c>
      <c r="CE224" s="351" t="str">
        <f t="shared" si="665"/>
        <v>Lò</v>
      </c>
      <c r="CF224" s="509" t="str">
        <f>CC224&amp;CE224</f>
        <v>ĐL3.Lò</v>
      </c>
      <c r="CG224" s="509"/>
      <c r="CH224" s="509">
        <f>235+226</f>
        <v>461</v>
      </c>
    </row>
    <row r="225" spans="1:86" ht="24" customHeight="1" x14ac:dyDescent="0.25">
      <c r="A225" s="354" t="e">
        <f>A212</f>
        <v>#REF!</v>
      </c>
      <c r="B225" s="934"/>
      <c r="C225" s="519" t="s">
        <v>818</v>
      </c>
      <c r="D225" s="447" t="s">
        <v>14</v>
      </c>
      <c r="E225" s="447"/>
      <c r="F225" s="447"/>
      <c r="G225" s="520">
        <v>11.2</v>
      </c>
      <c r="H225" s="521">
        <v>0.7</v>
      </c>
      <c r="I225" s="522">
        <f t="shared" si="728"/>
        <v>85</v>
      </c>
      <c r="J225" s="522">
        <f t="shared" si="729"/>
        <v>0</v>
      </c>
      <c r="K225" s="522">
        <f t="shared" si="730"/>
        <v>85</v>
      </c>
      <c r="L225" s="57">
        <f t="shared" si="731"/>
        <v>1100</v>
      </c>
      <c r="M225" s="60"/>
      <c r="N225" s="60"/>
      <c r="O225" s="60">
        <f t="shared" si="732"/>
        <v>0</v>
      </c>
      <c r="P225" s="60"/>
      <c r="Q225" s="60"/>
      <c r="R225" s="60">
        <f t="shared" si="733"/>
        <v>0</v>
      </c>
      <c r="S225" s="824"/>
      <c r="T225" s="60"/>
      <c r="U225" s="60">
        <f t="shared" si="734"/>
        <v>0</v>
      </c>
      <c r="V225" s="60">
        <f>M225+P225+S225</f>
        <v>0</v>
      </c>
      <c r="W225" s="60">
        <f>N225+Q225+T225</f>
        <v>0</v>
      </c>
      <c r="X225" s="60">
        <f t="shared" si="737"/>
        <v>0</v>
      </c>
      <c r="Y225" s="60"/>
      <c r="Z225" s="60"/>
      <c r="AA225" s="60">
        <f t="shared" si="738"/>
        <v>0</v>
      </c>
      <c r="AB225" s="60"/>
      <c r="AC225" s="60"/>
      <c r="AD225" s="60">
        <f t="shared" si="739"/>
        <v>0</v>
      </c>
      <c r="AE225" s="60"/>
      <c r="AF225" s="60"/>
      <c r="AG225" s="60">
        <f t="shared" si="740"/>
        <v>0</v>
      </c>
      <c r="AH225" s="60">
        <f t="shared" si="741"/>
        <v>0</v>
      </c>
      <c r="AI225" s="60">
        <f t="shared" si="742"/>
        <v>0</v>
      </c>
      <c r="AJ225" s="60">
        <f t="shared" si="743"/>
        <v>0</v>
      </c>
      <c r="AK225" s="60"/>
      <c r="AL225" s="60"/>
      <c r="AM225" s="60">
        <f t="shared" si="744"/>
        <v>0</v>
      </c>
      <c r="AN225" s="60"/>
      <c r="AO225" s="60"/>
      <c r="AP225" s="60">
        <f t="shared" si="745"/>
        <v>0</v>
      </c>
      <c r="AQ225" s="60"/>
      <c r="AR225" s="60"/>
      <c r="AS225" s="60">
        <f t="shared" si="746"/>
        <v>0</v>
      </c>
      <c r="AT225" s="60">
        <f t="shared" si="775"/>
        <v>0</v>
      </c>
      <c r="AU225" s="60">
        <f t="shared" si="776"/>
        <v>0</v>
      </c>
      <c r="AV225" s="60">
        <f t="shared" si="777"/>
        <v>0</v>
      </c>
      <c r="AW225" s="60"/>
      <c r="AX225" s="60"/>
      <c r="AY225" s="60">
        <f t="shared" si="748"/>
        <v>0</v>
      </c>
      <c r="AZ225" s="60">
        <v>35</v>
      </c>
      <c r="BA225" s="60"/>
      <c r="BB225" s="60">
        <f t="shared" si="749"/>
        <v>35</v>
      </c>
      <c r="BC225" s="60">
        <v>50</v>
      </c>
      <c r="BD225" s="60"/>
      <c r="BE225" s="60">
        <f t="shared" si="750"/>
        <v>50</v>
      </c>
      <c r="BF225" s="60">
        <f t="shared" si="751"/>
        <v>85</v>
      </c>
      <c r="BG225" s="60">
        <f t="shared" si="752"/>
        <v>0</v>
      </c>
      <c r="BH225" s="60">
        <f t="shared" si="753"/>
        <v>85</v>
      </c>
      <c r="BI225" s="508"/>
      <c r="BJ225" s="488" t="str">
        <f t="shared" si="664"/>
        <v>Lò</v>
      </c>
      <c r="BK225" s="523">
        <f t="shared" si="754"/>
        <v>0</v>
      </c>
      <c r="BL225" s="523">
        <f t="shared" si="755"/>
        <v>0</v>
      </c>
      <c r="BM225" s="523">
        <f t="shared" si="756"/>
        <v>0</v>
      </c>
      <c r="BN225" s="523">
        <f t="shared" si="757"/>
        <v>0</v>
      </c>
      <c r="BO225" s="523">
        <f t="shared" si="758"/>
        <v>0</v>
      </c>
      <c r="BP225" s="523">
        <f t="shared" si="759"/>
        <v>0</v>
      </c>
      <c r="BQ225" s="523">
        <f t="shared" si="760"/>
        <v>0</v>
      </c>
      <c r="BR225" s="523">
        <f t="shared" si="761"/>
        <v>0</v>
      </c>
      <c r="BS225" s="523">
        <f t="shared" si="762"/>
        <v>0</v>
      </c>
      <c r="BT225" s="523">
        <f t="shared" si="763"/>
        <v>0</v>
      </c>
      <c r="BU225" s="523">
        <f t="shared" si="764"/>
        <v>0</v>
      </c>
      <c r="BV225" s="523">
        <f t="shared" si="765"/>
        <v>0</v>
      </c>
      <c r="BW225" s="523">
        <f t="shared" si="766"/>
        <v>0</v>
      </c>
      <c r="BX225" s="523">
        <f t="shared" si="767"/>
        <v>500</v>
      </c>
      <c r="BY225" s="523">
        <f t="shared" si="768"/>
        <v>700</v>
      </c>
      <c r="BZ225" s="523">
        <f t="shared" si="769"/>
        <v>1100</v>
      </c>
      <c r="CA225" s="354"/>
      <c r="CB225" s="354" t="str">
        <f t="shared" si="671"/>
        <v>X</v>
      </c>
      <c r="CC225" s="509" t="str">
        <f>CC216</f>
        <v>ĐL3.</v>
      </c>
      <c r="CD225" s="509" t="str">
        <f t="shared" si="673"/>
        <v>ĐL3.11,2</v>
      </c>
      <c r="CE225" s="351" t="str">
        <f t="shared" si="665"/>
        <v>Lò</v>
      </c>
      <c r="CF225" s="509" t="str">
        <f t="shared" si="674"/>
        <v>ĐL3.Lò</v>
      </c>
      <c r="CG225" s="509"/>
      <c r="CH225" s="509"/>
    </row>
    <row r="226" spans="1:86" ht="24" customHeight="1" x14ac:dyDescent="0.25">
      <c r="A226" s="354" t="e">
        <f>A220</f>
        <v>#REF!</v>
      </c>
      <c r="B226" s="518"/>
      <c r="C226" s="519" t="s">
        <v>209</v>
      </c>
      <c r="D226" s="447" t="s">
        <v>14</v>
      </c>
      <c r="E226" s="447"/>
      <c r="F226" s="447"/>
      <c r="G226" s="520">
        <v>20.5</v>
      </c>
      <c r="H226" s="521">
        <v>0.7</v>
      </c>
      <c r="I226" s="522">
        <f>V226+AH226+AT226+BF226</f>
        <v>0</v>
      </c>
      <c r="J226" s="522">
        <f>W226+AI226+AU226+BG226</f>
        <v>0</v>
      </c>
      <c r="K226" s="522">
        <f>X226+AJ226+AV226+BH226</f>
        <v>0</v>
      </c>
      <c r="L226" s="57">
        <f>BN226+BR226+BV226+BZ226</f>
        <v>0</v>
      </c>
      <c r="M226" s="60"/>
      <c r="N226" s="60"/>
      <c r="O226" s="60">
        <f t="shared" si="732"/>
        <v>0</v>
      </c>
      <c r="P226" s="60"/>
      <c r="Q226" s="60"/>
      <c r="R226" s="60">
        <f t="shared" si="733"/>
        <v>0</v>
      </c>
      <c r="S226" s="824"/>
      <c r="T226" s="60"/>
      <c r="U226" s="60">
        <f t="shared" si="734"/>
        <v>0</v>
      </c>
      <c r="V226" s="60"/>
      <c r="W226" s="60"/>
      <c r="X226" s="60"/>
      <c r="Y226" s="60"/>
      <c r="Z226" s="60"/>
      <c r="AA226" s="60">
        <f t="shared" si="738"/>
        <v>0</v>
      </c>
      <c r="AB226" s="60"/>
      <c r="AC226" s="60"/>
      <c r="AD226" s="60">
        <f t="shared" si="739"/>
        <v>0</v>
      </c>
      <c r="AE226" s="60"/>
      <c r="AF226" s="60"/>
      <c r="AG226" s="60">
        <f t="shared" si="740"/>
        <v>0</v>
      </c>
      <c r="AH226" s="60">
        <f t="shared" ref="AH226:AJ228" si="783">Y226+AB226+AE226</f>
        <v>0</v>
      </c>
      <c r="AI226" s="60">
        <f t="shared" si="783"/>
        <v>0</v>
      </c>
      <c r="AJ226" s="60">
        <f t="shared" si="783"/>
        <v>0</v>
      </c>
      <c r="AK226" s="60"/>
      <c r="AL226" s="60"/>
      <c r="AM226" s="60">
        <f t="shared" si="744"/>
        <v>0</v>
      </c>
      <c r="AN226" s="60"/>
      <c r="AO226" s="60"/>
      <c r="AP226" s="60">
        <f t="shared" si="745"/>
        <v>0</v>
      </c>
      <c r="AQ226" s="60"/>
      <c r="AR226" s="60"/>
      <c r="AS226" s="60">
        <f t="shared" si="746"/>
        <v>0</v>
      </c>
      <c r="AT226" s="60">
        <f t="shared" ref="AT226:AV229" si="784">AK226+AN226+AQ226</f>
        <v>0</v>
      </c>
      <c r="AU226" s="60">
        <f t="shared" si="784"/>
        <v>0</v>
      </c>
      <c r="AV226" s="60">
        <f t="shared" si="784"/>
        <v>0</v>
      </c>
      <c r="AW226" s="60"/>
      <c r="AX226" s="60"/>
      <c r="AY226" s="60">
        <f t="shared" si="748"/>
        <v>0</v>
      </c>
      <c r="AZ226" s="60"/>
      <c r="BA226" s="60"/>
      <c r="BB226" s="60">
        <f t="shared" si="749"/>
        <v>0</v>
      </c>
      <c r="BC226" s="60"/>
      <c r="BD226" s="60"/>
      <c r="BE226" s="60">
        <f t="shared" si="750"/>
        <v>0</v>
      </c>
      <c r="BF226" s="60">
        <f t="shared" si="751"/>
        <v>0</v>
      </c>
      <c r="BG226" s="60">
        <f t="shared" si="752"/>
        <v>0</v>
      </c>
      <c r="BH226" s="60">
        <f t="shared" si="753"/>
        <v>0</v>
      </c>
      <c r="BI226" s="508"/>
      <c r="BJ226" s="488" t="str">
        <f t="shared" si="664"/>
        <v>Lò</v>
      </c>
      <c r="BK226" s="523">
        <f t="shared" si="754"/>
        <v>0</v>
      </c>
      <c r="BL226" s="523">
        <f t="shared" si="755"/>
        <v>0</v>
      </c>
      <c r="BM226" s="523">
        <f t="shared" si="756"/>
        <v>0</v>
      </c>
      <c r="BN226" s="523">
        <f t="shared" si="757"/>
        <v>0</v>
      </c>
      <c r="BO226" s="523">
        <f t="shared" si="758"/>
        <v>0</v>
      </c>
      <c r="BP226" s="523">
        <f t="shared" si="759"/>
        <v>0</v>
      </c>
      <c r="BQ226" s="523">
        <f t="shared" si="760"/>
        <v>0</v>
      </c>
      <c r="BR226" s="523">
        <f t="shared" si="761"/>
        <v>0</v>
      </c>
      <c r="BS226" s="523">
        <f t="shared" si="762"/>
        <v>0</v>
      </c>
      <c r="BT226" s="523">
        <f t="shared" si="763"/>
        <v>0</v>
      </c>
      <c r="BU226" s="523">
        <f t="shared" si="764"/>
        <v>0</v>
      </c>
      <c r="BV226" s="523">
        <f t="shared" si="765"/>
        <v>0</v>
      </c>
      <c r="BW226" s="523">
        <f t="shared" si="766"/>
        <v>0</v>
      </c>
      <c r="BX226" s="523">
        <f t="shared" si="767"/>
        <v>0</v>
      </c>
      <c r="BY226" s="523">
        <f t="shared" si="768"/>
        <v>0</v>
      </c>
      <c r="BZ226" s="523">
        <f t="shared" si="769"/>
        <v>0</v>
      </c>
      <c r="CA226" s="354"/>
      <c r="CB226" s="354" t="b">
        <f>IF(SUM(I226:L226)&lt;&gt;0,"X")</f>
        <v>0</v>
      </c>
      <c r="CC226" s="509" t="str">
        <f>CC225</f>
        <v>ĐL3.</v>
      </c>
      <c r="CD226" s="509" t="str">
        <f>CC226&amp;G226</f>
        <v>ĐL3.20,5</v>
      </c>
      <c r="CE226" s="351" t="str">
        <f t="shared" si="665"/>
        <v>Lò</v>
      </c>
      <c r="CF226" s="509" t="str">
        <f>CC226&amp;CE226</f>
        <v>ĐL3.Lò</v>
      </c>
      <c r="CG226" s="509"/>
      <c r="CH226" s="509"/>
    </row>
    <row r="227" spans="1:86" ht="24" customHeight="1" x14ac:dyDescent="0.25">
      <c r="A227" s="354" t="e">
        <f>A225</f>
        <v>#REF!</v>
      </c>
      <c r="B227" s="518" t="s">
        <v>546</v>
      </c>
      <c r="C227" s="519" t="s">
        <v>709</v>
      </c>
      <c r="D227" s="447" t="s">
        <v>14</v>
      </c>
      <c r="E227" s="447"/>
      <c r="F227" s="447"/>
      <c r="G227" s="520">
        <v>16.100000000000001</v>
      </c>
      <c r="H227" s="521">
        <v>0.7</v>
      </c>
      <c r="I227" s="522">
        <f t="shared" si="728"/>
        <v>351</v>
      </c>
      <c r="J227" s="522">
        <f t="shared" si="729"/>
        <v>60</v>
      </c>
      <c r="K227" s="522">
        <f t="shared" si="730"/>
        <v>291</v>
      </c>
      <c r="L227" s="57">
        <f t="shared" si="731"/>
        <v>5600</v>
      </c>
      <c r="M227" s="60">
        <v>75</v>
      </c>
      <c r="N227" s="60"/>
      <c r="O227" s="60">
        <f t="shared" si="732"/>
        <v>75</v>
      </c>
      <c r="P227" s="60">
        <v>56</v>
      </c>
      <c r="Q227" s="60">
        <v>15</v>
      </c>
      <c r="R227" s="60">
        <f t="shared" si="733"/>
        <v>41</v>
      </c>
      <c r="S227" s="824">
        <v>75</v>
      </c>
      <c r="T227" s="60">
        <v>15</v>
      </c>
      <c r="U227" s="60">
        <f t="shared" si="734"/>
        <v>60</v>
      </c>
      <c r="V227" s="60">
        <f>M227+P227+S227</f>
        <v>206</v>
      </c>
      <c r="W227" s="60">
        <f>N227+Q227+T227</f>
        <v>30</v>
      </c>
      <c r="X227" s="60">
        <f>O227+R227+U227</f>
        <v>176</v>
      </c>
      <c r="Y227" s="60">
        <v>70</v>
      </c>
      <c r="Z227" s="60">
        <v>15</v>
      </c>
      <c r="AA227" s="60">
        <f t="shared" si="738"/>
        <v>55</v>
      </c>
      <c r="AB227" s="60">
        <v>70</v>
      </c>
      <c r="AC227" s="60">
        <v>15</v>
      </c>
      <c r="AD227" s="60">
        <f t="shared" si="739"/>
        <v>55</v>
      </c>
      <c r="AE227" s="60">
        <v>5</v>
      </c>
      <c r="AF227" s="60">
        <v>0</v>
      </c>
      <c r="AG227" s="60">
        <f t="shared" si="740"/>
        <v>5</v>
      </c>
      <c r="AH227" s="60">
        <f t="shared" si="783"/>
        <v>145</v>
      </c>
      <c r="AI227" s="60">
        <f t="shared" si="783"/>
        <v>30</v>
      </c>
      <c r="AJ227" s="60">
        <f t="shared" si="783"/>
        <v>115</v>
      </c>
      <c r="AK227" s="60"/>
      <c r="AL227" s="60"/>
      <c r="AM227" s="60">
        <f t="shared" si="744"/>
        <v>0</v>
      </c>
      <c r="AN227" s="60"/>
      <c r="AO227" s="60"/>
      <c r="AP227" s="60">
        <f t="shared" si="745"/>
        <v>0</v>
      </c>
      <c r="AQ227" s="60"/>
      <c r="AR227" s="60"/>
      <c r="AS227" s="60">
        <f t="shared" si="746"/>
        <v>0</v>
      </c>
      <c r="AT227" s="60">
        <f t="shared" si="784"/>
        <v>0</v>
      </c>
      <c r="AU227" s="60">
        <f t="shared" si="784"/>
        <v>0</v>
      </c>
      <c r="AV227" s="60">
        <f t="shared" si="784"/>
        <v>0</v>
      </c>
      <c r="AW227" s="60"/>
      <c r="AX227" s="60"/>
      <c r="AY227" s="60">
        <f t="shared" si="748"/>
        <v>0</v>
      </c>
      <c r="AZ227" s="60"/>
      <c r="BA227" s="60"/>
      <c r="BB227" s="60">
        <f t="shared" si="749"/>
        <v>0</v>
      </c>
      <c r="BC227" s="60"/>
      <c r="BD227" s="60"/>
      <c r="BE227" s="60">
        <f t="shared" si="750"/>
        <v>0</v>
      </c>
      <c r="BF227" s="60">
        <f t="shared" si="751"/>
        <v>0</v>
      </c>
      <c r="BG227" s="60">
        <f t="shared" si="752"/>
        <v>0</v>
      </c>
      <c r="BH227" s="60">
        <f t="shared" si="753"/>
        <v>0</v>
      </c>
      <c r="BI227" s="508"/>
      <c r="BJ227" s="488" t="str">
        <f t="shared" si="664"/>
        <v>Lò</v>
      </c>
      <c r="BK227" s="523">
        <f t="shared" si="754"/>
        <v>1400</v>
      </c>
      <c r="BL227" s="523">
        <f t="shared" si="755"/>
        <v>800</v>
      </c>
      <c r="BM227" s="523">
        <f t="shared" si="756"/>
        <v>1200</v>
      </c>
      <c r="BN227" s="523">
        <f t="shared" si="757"/>
        <v>3400</v>
      </c>
      <c r="BO227" s="523">
        <f t="shared" si="758"/>
        <v>1100</v>
      </c>
      <c r="BP227" s="523">
        <f t="shared" si="759"/>
        <v>1100</v>
      </c>
      <c r="BQ227" s="523">
        <f t="shared" si="760"/>
        <v>100</v>
      </c>
      <c r="BR227" s="523">
        <f t="shared" si="761"/>
        <v>2200</v>
      </c>
      <c r="BS227" s="523">
        <f t="shared" si="762"/>
        <v>0</v>
      </c>
      <c r="BT227" s="523">
        <f t="shared" si="763"/>
        <v>0</v>
      </c>
      <c r="BU227" s="523">
        <f t="shared" si="764"/>
        <v>0</v>
      </c>
      <c r="BV227" s="523">
        <f t="shared" si="765"/>
        <v>0</v>
      </c>
      <c r="BW227" s="523">
        <f t="shared" si="766"/>
        <v>0</v>
      </c>
      <c r="BX227" s="523">
        <f t="shared" si="767"/>
        <v>0</v>
      </c>
      <c r="BY227" s="523">
        <f t="shared" si="768"/>
        <v>0</v>
      </c>
      <c r="BZ227" s="523">
        <f t="shared" si="769"/>
        <v>0</v>
      </c>
      <c r="CA227" s="354"/>
      <c r="CB227" s="354" t="str">
        <f t="shared" si="671"/>
        <v>X</v>
      </c>
      <c r="CC227" s="509" t="str">
        <f>CC225</f>
        <v>ĐL3.</v>
      </c>
      <c r="CD227" s="509" t="str">
        <f t="shared" si="673"/>
        <v>ĐL3.16,1</v>
      </c>
      <c r="CE227" s="351" t="str">
        <f t="shared" si="665"/>
        <v>Lò</v>
      </c>
      <c r="CF227" s="509" t="str">
        <f t="shared" si="674"/>
        <v>ĐL3.Lò</v>
      </c>
      <c r="CG227" s="509"/>
      <c r="CH227" s="509">
        <f>254+118</f>
        <v>372</v>
      </c>
    </row>
    <row r="228" spans="1:86" ht="24" customHeight="1" x14ac:dyDescent="0.25">
      <c r="A228" s="354" t="e">
        <f>A222</f>
        <v>#REF!</v>
      </c>
      <c r="B228" s="518"/>
      <c r="C228" s="519" t="s">
        <v>711</v>
      </c>
      <c r="D228" s="447" t="s">
        <v>14</v>
      </c>
      <c r="E228" s="447"/>
      <c r="F228" s="447"/>
      <c r="G228" s="520">
        <v>20.5</v>
      </c>
      <c r="H228" s="521">
        <v>0.5</v>
      </c>
      <c r="I228" s="522">
        <f>V228+AH228+AT228+BF228</f>
        <v>90</v>
      </c>
      <c r="J228" s="522">
        <f>W228+AI228+AU228+BG228</f>
        <v>0</v>
      </c>
      <c r="K228" s="522">
        <f>X228+AJ228+AV228+BH228</f>
        <v>90</v>
      </c>
      <c r="L228" s="57">
        <f>BN228+BR228+BV228+BZ228</f>
        <v>2200</v>
      </c>
      <c r="M228" s="60"/>
      <c r="N228" s="60"/>
      <c r="O228" s="60">
        <f>M228-N228</f>
        <v>0</v>
      </c>
      <c r="P228" s="60"/>
      <c r="Q228" s="60"/>
      <c r="R228" s="60">
        <f>P228-Q228</f>
        <v>0</v>
      </c>
      <c r="S228" s="824"/>
      <c r="T228" s="60"/>
      <c r="U228" s="60">
        <f>S228-T228</f>
        <v>0</v>
      </c>
      <c r="V228" s="60"/>
      <c r="W228" s="60"/>
      <c r="X228" s="60"/>
      <c r="Y228" s="60"/>
      <c r="Z228" s="60"/>
      <c r="AA228" s="60">
        <f>Y228-Z228</f>
        <v>0</v>
      </c>
      <c r="AB228" s="60"/>
      <c r="AC228" s="60"/>
      <c r="AD228" s="60">
        <f>AB228-AC228</f>
        <v>0</v>
      </c>
      <c r="AE228" s="60">
        <v>50</v>
      </c>
      <c r="AF228" s="60"/>
      <c r="AG228" s="60">
        <f>AE228-AF228</f>
        <v>50</v>
      </c>
      <c r="AH228" s="60">
        <f t="shared" si="783"/>
        <v>50</v>
      </c>
      <c r="AI228" s="60">
        <f t="shared" si="783"/>
        <v>0</v>
      </c>
      <c r="AJ228" s="60">
        <f t="shared" si="783"/>
        <v>50</v>
      </c>
      <c r="AK228" s="60">
        <v>40</v>
      </c>
      <c r="AL228" s="60"/>
      <c r="AM228" s="60">
        <f>AK228-AL228</f>
        <v>40</v>
      </c>
      <c r="AN228" s="60"/>
      <c r="AO228" s="60"/>
      <c r="AP228" s="60">
        <f>AN228-AO228</f>
        <v>0</v>
      </c>
      <c r="AQ228" s="60"/>
      <c r="AR228" s="60"/>
      <c r="AS228" s="60">
        <f>AQ228-AR228</f>
        <v>0</v>
      </c>
      <c r="AT228" s="60">
        <f t="shared" si="784"/>
        <v>40</v>
      </c>
      <c r="AU228" s="60">
        <f t="shared" si="784"/>
        <v>0</v>
      </c>
      <c r="AV228" s="60">
        <f t="shared" si="784"/>
        <v>40</v>
      </c>
      <c r="AW228" s="60"/>
      <c r="AX228" s="60"/>
      <c r="AY228" s="60">
        <f>AW228-AX228</f>
        <v>0</v>
      </c>
      <c r="AZ228" s="60"/>
      <c r="BA228" s="60"/>
      <c r="BB228" s="60">
        <f>AZ228-BA228</f>
        <v>0</v>
      </c>
      <c r="BC228" s="60"/>
      <c r="BD228" s="60"/>
      <c r="BE228" s="60">
        <f>BC228-BD228</f>
        <v>0</v>
      </c>
      <c r="BF228" s="60">
        <f>AW228+AZ228+BC228</f>
        <v>0</v>
      </c>
      <c r="BG228" s="60">
        <f>AX228+BA228+BD228</f>
        <v>0</v>
      </c>
      <c r="BH228" s="60">
        <f>AY228+BB228+BE228</f>
        <v>0</v>
      </c>
      <c r="BI228" s="508"/>
      <c r="BJ228" s="488" t="str">
        <f t="shared" si="664"/>
        <v>Lò</v>
      </c>
      <c r="BK228" s="523">
        <f>ROUND(O228*G228*$C$3*$B$5,-2)</f>
        <v>0</v>
      </c>
      <c r="BL228" s="523">
        <f>ROUND(R228*G228*$C$3*$B$5,-2)</f>
        <v>0</v>
      </c>
      <c r="BM228" s="523">
        <f>ROUND(U228*G228*$C$3*$B$5,-2)</f>
        <v>0</v>
      </c>
      <c r="BN228" s="523">
        <f>ROUND(X228*G228*$C$3*$B$5,-2)</f>
        <v>0</v>
      </c>
      <c r="BO228" s="523">
        <f>ROUND(AA228*G228*$C$3*$B$5,-2)</f>
        <v>0</v>
      </c>
      <c r="BP228" s="523">
        <f>ROUND(AD228*G228*$C$3*$B$5,-2)</f>
        <v>0</v>
      </c>
      <c r="BQ228" s="523">
        <f>ROUND(AG228*G228*$C$3*$B$5,-2)</f>
        <v>1200</v>
      </c>
      <c r="BR228" s="523">
        <f>ROUND(AJ228*G228*$B$5*$C$3,-2)</f>
        <v>1200</v>
      </c>
      <c r="BS228" s="523">
        <f>ROUND(AM228*G228*$C$3*$B$5,-2)</f>
        <v>1000</v>
      </c>
      <c r="BT228" s="523">
        <f>ROUND(AP228*G228*$C$3*$B$5,-2)</f>
        <v>0</v>
      </c>
      <c r="BU228" s="523">
        <f>ROUND(AS228*G228*$C$3*$B$5,-2)</f>
        <v>0</v>
      </c>
      <c r="BV228" s="523">
        <f>ROUND(AV228*G228*$C$3*$B$5,-2)</f>
        <v>1000</v>
      </c>
      <c r="BW228" s="523">
        <f>ROUND(AY228*G228*$C$3*$B$5,-2)</f>
        <v>0</v>
      </c>
      <c r="BX228" s="523">
        <f>ROUND(BB228*G228*$C$3*$B$5,-2)</f>
        <v>0</v>
      </c>
      <c r="BY228" s="523">
        <f>ROUND(BE228*G228*$C$3*$B$5,-2)</f>
        <v>0</v>
      </c>
      <c r="BZ228" s="523">
        <f>ROUND(BH228*G228*$C$3*$B$5,-2)</f>
        <v>0</v>
      </c>
      <c r="CA228" s="354"/>
      <c r="CB228" s="354" t="str">
        <f>IF(SUM(I228:L228)&lt;&gt;0,"X")</f>
        <v>X</v>
      </c>
      <c r="CC228" s="509" t="str">
        <f>CC227</f>
        <v>ĐL3.</v>
      </c>
      <c r="CD228" s="509" t="str">
        <f>CC228&amp;G228</f>
        <v>ĐL3.20,5</v>
      </c>
      <c r="CE228" s="351" t="str">
        <f t="shared" si="665"/>
        <v>Lò</v>
      </c>
      <c r="CF228" s="509" t="str">
        <f>CC228&amp;CE228</f>
        <v>ĐL3.Lò</v>
      </c>
      <c r="CG228" s="509"/>
      <c r="CH228" s="509"/>
    </row>
    <row r="229" spans="1:86" ht="21" customHeight="1" x14ac:dyDescent="0.25">
      <c r="A229" s="354" t="e">
        <f>#REF!</f>
        <v>#REF!</v>
      </c>
      <c r="B229" s="518"/>
      <c r="C229" s="519" t="s">
        <v>708</v>
      </c>
      <c r="D229" s="447" t="s">
        <v>14</v>
      </c>
      <c r="E229" s="447"/>
      <c r="F229" s="447"/>
      <c r="G229" s="520">
        <v>16.100000000000001</v>
      </c>
      <c r="H229" s="521">
        <v>0.7</v>
      </c>
      <c r="I229" s="522">
        <f t="shared" si="728"/>
        <v>58</v>
      </c>
      <c r="J229" s="522">
        <f t="shared" si="729"/>
        <v>38</v>
      </c>
      <c r="K229" s="522">
        <f t="shared" si="730"/>
        <v>20</v>
      </c>
      <c r="L229" s="57">
        <f t="shared" si="731"/>
        <v>400</v>
      </c>
      <c r="M229" s="60">
        <v>50</v>
      </c>
      <c r="N229" s="60">
        <v>30</v>
      </c>
      <c r="O229" s="60">
        <f t="shared" si="732"/>
        <v>20</v>
      </c>
      <c r="P229" s="60">
        <v>8</v>
      </c>
      <c r="Q229" s="60">
        <v>8</v>
      </c>
      <c r="R229" s="60">
        <f t="shared" si="733"/>
        <v>0</v>
      </c>
      <c r="S229" s="824"/>
      <c r="T229" s="60"/>
      <c r="U229" s="60">
        <f t="shared" si="734"/>
        <v>0</v>
      </c>
      <c r="V229" s="60">
        <f t="shared" ref="V229:X235" si="785">M229+P229+S229</f>
        <v>58</v>
      </c>
      <c r="W229" s="60">
        <f t="shared" si="785"/>
        <v>38</v>
      </c>
      <c r="X229" s="60">
        <f t="shared" si="785"/>
        <v>20</v>
      </c>
      <c r="Y229" s="60"/>
      <c r="Z229" s="60"/>
      <c r="AA229" s="60">
        <f t="shared" si="738"/>
        <v>0</v>
      </c>
      <c r="AB229" s="60"/>
      <c r="AC229" s="60"/>
      <c r="AD229" s="60">
        <f t="shared" si="739"/>
        <v>0</v>
      </c>
      <c r="AE229" s="60"/>
      <c r="AF229" s="60"/>
      <c r="AG229" s="60">
        <f t="shared" si="740"/>
        <v>0</v>
      </c>
      <c r="AH229" s="60">
        <f t="shared" ref="AH229:AH235" si="786">Y229+AB229+AE229</f>
        <v>0</v>
      </c>
      <c r="AI229" s="60">
        <f t="shared" ref="AI229:AI235" si="787">Z229+AC229+AF229</f>
        <v>0</v>
      </c>
      <c r="AJ229" s="60">
        <f t="shared" ref="AJ229:AJ235" si="788">AA229+AD229+AG229</f>
        <v>0</v>
      </c>
      <c r="AK229" s="60"/>
      <c r="AL229" s="60"/>
      <c r="AM229" s="60">
        <f t="shared" si="744"/>
        <v>0</v>
      </c>
      <c r="AN229" s="60"/>
      <c r="AO229" s="60"/>
      <c r="AP229" s="60">
        <f t="shared" si="745"/>
        <v>0</v>
      </c>
      <c r="AQ229" s="60"/>
      <c r="AR229" s="60"/>
      <c r="AS229" s="60">
        <f t="shared" si="746"/>
        <v>0</v>
      </c>
      <c r="AT229" s="60">
        <f t="shared" si="784"/>
        <v>0</v>
      </c>
      <c r="AU229" s="60">
        <f t="shared" si="784"/>
        <v>0</v>
      </c>
      <c r="AV229" s="60">
        <f t="shared" si="784"/>
        <v>0</v>
      </c>
      <c r="AW229" s="60"/>
      <c r="AX229" s="60"/>
      <c r="AY229" s="60">
        <f t="shared" si="748"/>
        <v>0</v>
      </c>
      <c r="AZ229" s="60"/>
      <c r="BA229" s="60"/>
      <c r="BB229" s="60">
        <f t="shared" si="749"/>
        <v>0</v>
      </c>
      <c r="BC229" s="60"/>
      <c r="BD229" s="60"/>
      <c r="BE229" s="60">
        <f t="shared" si="750"/>
        <v>0</v>
      </c>
      <c r="BF229" s="60">
        <f t="shared" ref="BF229:BF235" si="789">AW229+AZ229+BC229</f>
        <v>0</v>
      </c>
      <c r="BG229" s="60">
        <f t="shared" ref="BG229:BG235" si="790">AX229+BA229+BD229</f>
        <v>0</v>
      </c>
      <c r="BH229" s="60">
        <f t="shared" ref="BH229:BH235" si="791">AY229+BB229+BE229</f>
        <v>0</v>
      </c>
      <c r="BI229" s="508"/>
      <c r="BJ229" s="488" t="str">
        <f t="shared" si="664"/>
        <v>Lò</v>
      </c>
      <c r="BK229" s="523">
        <f t="shared" si="754"/>
        <v>400</v>
      </c>
      <c r="BL229" s="523">
        <f t="shared" si="755"/>
        <v>0</v>
      </c>
      <c r="BM229" s="523">
        <f t="shared" si="756"/>
        <v>0</v>
      </c>
      <c r="BN229" s="523">
        <f t="shared" si="757"/>
        <v>400</v>
      </c>
      <c r="BO229" s="523">
        <f t="shared" si="758"/>
        <v>0</v>
      </c>
      <c r="BP229" s="523">
        <f t="shared" si="759"/>
        <v>0</v>
      </c>
      <c r="BQ229" s="523">
        <f t="shared" si="760"/>
        <v>0</v>
      </c>
      <c r="BR229" s="523">
        <f t="shared" si="761"/>
        <v>0</v>
      </c>
      <c r="BS229" s="523">
        <f t="shared" si="762"/>
        <v>0</v>
      </c>
      <c r="BT229" s="523">
        <f t="shared" si="763"/>
        <v>0</v>
      </c>
      <c r="BU229" s="523">
        <f t="shared" si="764"/>
        <v>0</v>
      </c>
      <c r="BV229" s="523">
        <f t="shared" si="765"/>
        <v>0</v>
      </c>
      <c r="BW229" s="523">
        <f t="shared" si="766"/>
        <v>0</v>
      </c>
      <c r="BX229" s="523">
        <f t="shared" si="767"/>
        <v>0</v>
      </c>
      <c r="BY229" s="523">
        <f t="shared" si="768"/>
        <v>0</v>
      </c>
      <c r="BZ229" s="523">
        <f t="shared" si="769"/>
        <v>0</v>
      </c>
      <c r="CA229" s="354"/>
      <c r="CB229" s="354" t="str">
        <f t="shared" si="671"/>
        <v>X</v>
      </c>
      <c r="CC229" s="509" t="str">
        <f>CC226</f>
        <v>ĐL3.</v>
      </c>
      <c r="CD229" s="509" t="str">
        <f>CC229&amp;G229</f>
        <v>ĐL3.16,1</v>
      </c>
      <c r="CE229" s="351" t="str">
        <f t="shared" si="665"/>
        <v>Lò</v>
      </c>
      <c r="CF229" s="509" t="str">
        <f t="shared" si="674"/>
        <v>ĐL3.Lò</v>
      </c>
      <c r="CG229" s="509"/>
      <c r="CH229" s="509"/>
    </row>
    <row r="230" spans="1:86" ht="23.25" customHeight="1" x14ac:dyDescent="0.25">
      <c r="A230" s="354" t="e">
        <f>A227</f>
        <v>#REF!</v>
      </c>
      <c r="B230" s="518"/>
      <c r="C230" s="519" t="s">
        <v>710</v>
      </c>
      <c r="D230" s="447" t="s">
        <v>14</v>
      </c>
      <c r="E230" s="447" t="s">
        <v>876</v>
      </c>
      <c r="F230" s="447"/>
      <c r="G230" s="520">
        <v>16.100000000000001</v>
      </c>
      <c r="H230" s="521">
        <v>0.7</v>
      </c>
      <c r="I230" s="522">
        <f t="shared" si="728"/>
        <v>352</v>
      </c>
      <c r="J230" s="522">
        <f t="shared" si="729"/>
        <v>75</v>
      </c>
      <c r="K230" s="522">
        <f t="shared" si="730"/>
        <v>277</v>
      </c>
      <c r="L230" s="57">
        <f t="shared" si="731"/>
        <v>5400</v>
      </c>
      <c r="M230" s="60"/>
      <c r="N230" s="60"/>
      <c r="O230" s="60">
        <f t="shared" si="732"/>
        <v>0</v>
      </c>
      <c r="P230" s="60">
        <v>52</v>
      </c>
      <c r="Q230" s="60"/>
      <c r="R230" s="60">
        <f t="shared" si="733"/>
        <v>52</v>
      </c>
      <c r="S230" s="824">
        <v>75</v>
      </c>
      <c r="T230" s="60">
        <v>15</v>
      </c>
      <c r="U230" s="60">
        <f t="shared" si="734"/>
        <v>60</v>
      </c>
      <c r="V230" s="60">
        <f t="shared" si="785"/>
        <v>127</v>
      </c>
      <c r="W230" s="60">
        <f t="shared" si="785"/>
        <v>15</v>
      </c>
      <c r="X230" s="60">
        <f t="shared" si="785"/>
        <v>112</v>
      </c>
      <c r="Y230" s="60">
        <v>75</v>
      </c>
      <c r="Z230" s="60">
        <v>20</v>
      </c>
      <c r="AA230" s="60">
        <f t="shared" si="738"/>
        <v>55</v>
      </c>
      <c r="AB230" s="60">
        <v>75</v>
      </c>
      <c r="AC230" s="60">
        <v>20</v>
      </c>
      <c r="AD230" s="60">
        <f t="shared" si="739"/>
        <v>55</v>
      </c>
      <c r="AE230" s="60">
        <v>75</v>
      </c>
      <c r="AF230" s="60">
        <v>20</v>
      </c>
      <c r="AG230" s="60">
        <f t="shared" si="740"/>
        <v>55</v>
      </c>
      <c r="AH230" s="60">
        <f t="shared" si="786"/>
        <v>225</v>
      </c>
      <c r="AI230" s="60">
        <f t="shared" si="787"/>
        <v>60</v>
      </c>
      <c r="AJ230" s="60">
        <f t="shared" si="788"/>
        <v>165</v>
      </c>
      <c r="AK230" s="60"/>
      <c r="AL230" s="60"/>
      <c r="AM230" s="60">
        <f t="shared" si="744"/>
        <v>0</v>
      </c>
      <c r="AN230" s="60"/>
      <c r="AO230" s="60"/>
      <c r="AP230" s="60">
        <f t="shared" si="745"/>
        <v>0</v>
      </c>
      <c r="AQ230" s="60"/>
      <c r="AR230" s="60"/>
      <c r="AS230" s="60">
        <f t="shared" si="746"/>
        <v>0</v>
      </c>
      <c r="AT230" s="60">
        <f t="shared" ref="AT230:AT235" si="792">AK230+AN230+AQ230</f>
        <v>0</v>
      </c>
      <c r="AU230" s="60">
        <f t="shared" ref="AU230:AU235" si="793">AL230+AO230+AR230</f>
        <v>0</v>
      </c>
      <c r="AV230" s="60">
        <f t="shared" ref="AV230:AV235" si="794">AM230+AP230+AS230</f>
        <v>0</v>
      </c>
      <c r="AW230" s="60"/>
      <c r="AX230" s="60"/>
      <c r="AY230" s="60">
        <f t="shared" si="748"/>
        <v>0</v>
      </c>
      <c r="AZ230" s="60"/>
      <c r="BA230" s="60"/>
      <c r="BB230" s="60">
        <f t="shared" si="749"/>
        <v>0</v>
      </c>
      <c r="BC230" s="60"/>
      <c r="BD230" s="60"/>
      <c r="BE230" s="60">
        <f t="shared" si="750"/>
        <v>0</v>
      </c>
      <c r="BF230" s="60">
        <f t="shared" si="789"/>
        <v>0</v>
      </c>
      <c r="BG230" s="60">
        <f t="shared" si="790"/>
        <v>0</v>
      </c>
      <c r="BH230" s="60">
        <f t="shared" si="791"/>
        <v>0</v>
      </c>
      <c r="BI230" s="508"/>
      <c r="BJ230" s="488" t="str">
        <f t="shared" si="664"/>
        <v>Lò</v>
      </c>
      <c r="BK230" s="523">
        <f t="shared" si="754"/>
        <v>0</v>
      </c>
      <c r="BL230" s="523">
        <f t="shared" si="755"/>
        <v>1000</v>
      </c>
      <c r="BM230" s="523">
        <f t="shared" si="756"/>
        <v>1200</v>
      </c>
      <c r="BN230" s="523">
        <f t="shared" si="757"/>
        <v>2200</v>
      </c>
      <c r="BO230" s="523">
        <f t="shared" si="758"/>
        <v>1100</v>
      </c>
      <c r="BP230" s="523">
        <f t="shared" si="759"/>
        <v>1100</v>
      </c>
      <c r="BQ230" s="523">
        <f t="shared" si="760"/>
        <v>1100</v>
      </c>
      <c r="BR230" s="523">
        <f t="shared" si="761"/>
        <v>3200</v>
      </c>
      <c r="BS230" s="523">
        <f t="shared" si="762"/>
        <v>0</v>
      </c>
      <c r="BT230" s="523">
        <f t="shared" si="763"/>
        <v>0</v>
      </c>
      <c r="BU230" s="523">
        <f t="shared" si="764"/>
        <v>0</v>
      </c>
      <c r="BV230" s="523">
        <f t="shared" si="765"/>
        <v>0</v>
      </c>
      <c r="BW230" s="523">
        <f t="shared" si="766"/>
        <v>0</v>
      </c>
      <c r="BX230" s="523">
        <f t="shared" si="767"/>
        <v>0</v>
      </c>
      <c r="BY230" s="523">
        <f t="shared" si="768"/>
        <v>0</v>
      </c>
      <c r="BZ230" s="523">
        <f t="shared" si="769"/>
        <v>0</v>
      </c>
      <c r="CA230" s="354"/>
      <c r="CB230" s="354" t="str">
        <f t="shared" si="671"/>
        <v>X</v>
      </c>
      <c r="CC230" s="509" t="str">
        <f t="shared" ref="CC230:CC241" si="795">CC229</f>
        <v>ĐL3.</v>
      </c>
      <c r="CD230" s="509" t="str">
        <f t="shared" si="673"/>
        <v>ĐL3.16,1</v>
      </c>
      <c r="CE230" s="351" t="str">
        <f t="shared" si="665"/>
        <v>Lò</v>
      </c>
      <c r="CF230" s="509" t="str">
        <f t="shared" si="674"/>
        <v>ĐL3.Lò</v>
      </c>
      <c r="CG230" s="509"/>
      <c r="CH230" s="509"/>
    </row>
    <row r="231" spans="1:86" ht="17.25" customHeight="1" x14ac:dyDescent="0.25">
      <c r="A231" s="354" t="e">
        <f>A214</f>
        <v>#REF!</v>
      </c>
      <c r="B231" s="518"/>
      <c r="C231" s="519" t="s">
        <v>712</v>
      </c>
      <c r="D231" s="447" t="s">
        <v>14</v>
      </c>
      <c r="E231" s="447"/>
      <c r="F231" s="447"/>
      <c r="G231" s="520">
        <v>20.5</v>
      </c>
      <c r="H231" s="521">
        <v>0.7</v>
      </c>
      <c r="I231" s="522">
        <f t="shared" si="728"/>
        <v>30</v>
      </c>
      <c r="J231" s="522">
        <f t="shared" si="729"/>
        <v>0</v>
      </c>
      <c r="K231" s="522">
        <f t="shared" si="730"/>
        <v>30</v>
      </c>
      <c r="L231" s="57">
        <f t="shared" si="731"/>
        <v>700</v>
      </c>
      <c r="M231" s="60"/>
      <c r="N231" s="60"/>
      <c r="O231" s="60">
        <f t="shared" si="732"/>
        <v>0</v>
      </c>
      <c r="P231" s="60"/>
      <c r="Q231" s="60"/>
      <c r="R231" s="60">
        <f t="shared" si="733"/>
        <v>0</v>
      </c>
      <c r="S231" s="824"/>
      <c r="T231" s="60"/>
      <c r="U231" s="60">
        <f t="shared" si="734"/>
        <v>0</v>
      </c>
      <c r="V231" s="60">
        <f t="shared" si="785"/>
        <v>0</v>
      </c>
      <c r="W231" s="60">
        <f t="shared" si="785"/>
        <v>0</v>
      </c>
      <c r="X231" s="60">
        <f t="shared" si="785"/>
        <v>0</v>
      </c>
      <c r="Y231" s="60"/>
      <c r="Z231" s="60"/>
      <c r="AA231" s="60">
        <f t="shared" si="738"/>
        <v>0</v>
      </c>
      <c r="AB231" s="60"/>
      <c r="AC231" s="60"/>
      <c r="AD231" s="60">
        <f t="shared" si="739"/>
        <v>0</v>
      </c>
      <c r="AE231" s="60"/>
      <c r="AF231" s="60"/>
      <c r="AG231" s="60">
        <f t="shared" si="740"/>
        <v>0</v>
      </c>
      <c r="AH231" s="60">
        <f t="shared" si="786"/>
        <v>0</v>
      </c>
      <c r="AI231" s="60">
        <f t="shared" si="787"/>
        <v>0</v>
      </c>
      <c r="AJ231" s="60">
        <f t="shared" si="788"/>
        <v>0</v>
      </c>
      <c r="AK231" s="60">
        <v>30</v>
      </c>
      <c r="AL231" s="60"/>
      <c r="AM231" s="60">
        <f t="shared" si="744"/>
        <v>30</v>
      </c>
      <c r="AN231" s="60"/>
      <c r="AO231" s="60"/>
      <c r="AP231" s="60">
        <f t="shared" si="745"/>
        <v>0</v>
      </c>
      <c r="AQ231" s="60"/>
      <c r="AR231" s="60"/>
      <c r="AS231" s="60">
        <f t="shared" si="746"/>
        <v>0</v>
      </c>
      <c r="AT231" s="60">
        <f t="shared" si="792"/>
        <v>30</v>
      </c>
      <c r="AU231" s="60">
        <f t="shared" si="793"/>
        <v>0</v>
      </c>
      <c r="AV231" s="60">
        <f t="shared" si="794"/>
        <v>30</v>
      </c>
      <c r="AW231" s="60"/>
      <c r="AX231" s="60"/>
      <c r="AY231" s="60">
        <f t="shared" si="748"/>
        <v>0</v>
      </c>
      <c r="AZ231" s="60"/>
      <c r="BA231" s="60"/>
      <c r="BB231" s="60">
        <f t="shared" si="749"/>
        <v>0</v>
      </c>
      <c r="BC231" s="60"/>
      <c r="BD231" s="60"/>
      <c r="BE231" s="60">
        <f t="shared" si="750"/>
        <v>0</v>
      </c>
      <c r="BF231" s="60">
        <f t="shared" si="789"/>
        <v>0</v>
      </c>
      <c r="BG231" s="60">
        <f t="shared" si="790"/>
        <v>0</v>
      </c>
      <c r="BH231" s="60">
        <f t="shared" si="791"/>
        <v>0</v>
      </c>
      <c r="BI231" s="508"/>
      <c r="BJ231" s="488" t="str">
        <f t="shared" si="664"/>
        <v>Lò</v>
      </c>
      <c r="BK231" s="523">
        <f t="shared" si="754"/>
        <v>0</v>
      </c>
      <c r="BL231" s="523">
        <f t="shared" si="755"/>
        <v>0</v>
      </c>
      <c r="BM231" s="523">
        <f t="shared" si="756"/>
        <v>0</v>
      </c>
      <c r="BN231" s="523">
        <f t="shared" si="757"/>
        <v>0</v>
      </c>
      <c r="BO231" s="523">
        <f t="shared" si="758"/>
        <v>0</v>
      </c>
      <c r="BP231" s="523">
        <f t="shared" si="759"/>
        <v>0</v>
      </c>
      <c r="BQ231" s="523">
        <f t="shared" si="760"/>
        <v>0</v>
      </c>
      <c r="BR231" s="523">
        <f t="shared" si="761"/>
        <v>0</v>
      </c>
      <c r="BS231" s="523">
        <f t="shared" si="762"/>
        <v>700</v>
      </c>
      <c r="BT231" s="523">
        <f t="shared" si="763"/>
        <v>0</v>
      </c>
      <c r="BU231" s="523">
        <f t="shared" si="764"/>
        <v>0</v>
      </c>
      <c r="BV231" s="523">
        <f t="shared" si="765"/>
        <v>700</v>
      </c>
      <c r="BW231" s="523">
        <f t="shared" si="766"/>
        <v>0</v>
      </c>
      <c r="BX231" s="523">
        <f t="shared" si="767"/>
        <v>0</v>
      </c>
      <c r="BY231" s="523">
        <f t="shared" si="768"/>
        <v>0</v>
      </c>
      <c r="BZ231" s="523">
        <f t="shared" si="769"/>
        <v>0</v>
      </c>
      <c r="CA231" s="354"/>
      <c r="CB231" s="354" t="str">
        <f t="shared" si="671"/>
        <v>X</v>
      </c>
      <c r="CC231" s="509" t="str">
        <f t="shared" si="795"/>
        <v>ĐL3.</v>
      </c>
      <c r="CD231" s="509" t="str">
        <f t="shared" si="673"/>
        <v>ĐL3.20,5</v>
      </c>
      <c r="CE231" s="351" t="str">
        <f t="shared" si="665"/>
        <v>Lò</v>
      </c>
      <c r="CF231" s="509" t="str">
        <f t="shared" si="674"/>
        <v>ĐL3.Lò</v>
      </c>
      <c r="CG231" s="509"/>
      <c r="CH231" s="509"/>
    </row>
    <row r="232" spans="1:86" ht="17.25" customHeight="1" x14ac:dyDescent="0.25">
      <c r="A232" s="354" t="e">
        <f>A229</f>
        <v>#REF!</v>
      </c>
      <c r="B232" s="518"/>
      <c r="C232" s="519" t="s">
        <v>713</v>
      </c>
      <c r="D232" s="447" t="s">
        <v>14</v>
      </c>
      <c r="E232" s="447"/>
      <c r="F232" s="447"/>
      <c r="G232" s="520">
        <v>16.100000000000001</v>
      </c>
      <c r="H232" s="521">
        <v>0.7</v>
      </c>
      <c r="I232" s="522">
        <f t="shared" si="728"/>
        <v>115</v>
      </c>
      <c r="J232" s="522">
        <f t="shared" si="729"/>
        <v>5</v>
      </c>
      <c r="K232" s="522">
        <f t="shared" si="730"/>
        <v>110</v>
      </c>
      <c r="L232" s="57">
        <f t="shared" si="731"/>
        <v>2100</v>
      </c>
      <c r="M232" s="60"/>
      <c r="N232" s="60"/>
      <c r="O232" s="60">
        <f t="shared" si="732"/>
        <v>0</v>
      </c>
      <c r="P232" s="60"/>
      <c r="Q232" s="60"/>
      <c r="R232" s="60">
        <f t="shared" si="733"/>
        <v>0</v>
      </c>
      <c r="S232" s="824"/>
      <c r="T232" s="60"/>
      <c r="U232" s="60">
        <f t="shared" si="734"/>
        <v>0</v>
      </c>
      <c r="V232" s="60">
        <f t="shared" si="785"/>
        <v>0</v>
      </c>
      <c r="W232" s="60">
        <f t="shared" si="785"/>
        <v>0</v>
      </c>
      <c r="X232" s="60">
        <f t="shared" si="785"/>
        <v>0</v>
      </c>
      <c r="Y232" s="60"/>
      <c r="Z232" s="60"/>
      <c r="AA232" s="60">
        <f t="shared" si="738"/>
        <v>0</v>
      </c>
      <c r="AB232" s="60"/>
      <c r="AC232" s="60"/>
      <c r="AD232" s="60">
        <f t="shared" si="739"/>
        <v>0</v>
      </c>
      <c r="AE232" s="60"/>
      <c r="AF232" s="60"/>
      <c r="AG232" s="60">
        <f t="shared" si="740"/>
        <v>0</v>
      </c>
      <c r="AH232" s="60">
        <f t="shared" si="786"/>
        <v>0</v>
      </c>
      <c r="AI232" s="60">
        <f t="shared" si="787"/>
        <v>0</v>
      </c>
      <c r="AJ232" s="60">
        <f t="shared" si="788"/>
        <v>0</v>
      </c>
      <c r="AK232" s="60">
        <v>15</v>
      </c>
      <c r="AL232" s="60"/>
      <c r="AM232" s="60">
        <f t="shared" si="744"/>
        <v>15</v>
      </c>
      <c r="AN232" s="60">
        <v>65</v>
      </c>
      <c r="AO232" s="60">
        <v>5</v>
      </c>
      <c r="AP232" s="60">
        <f t="shared" si="745"/>
        <v>60</v>
      </c>
      <c r="AQ232" s="60">
        <v>35</v>
      </c>
      <c r="AR232" s="60"/>
      <c r="AS232" s="60">
        <f t="shared" si="746"/>
        <v>35</v>
      </c>
      <c r="AT232" s="60">
        <f t="shared" si="792"/>
        <v>115</v>
      </c>
      <c r="AU232" s="60">
        <f t="shared" si="793"/>
        <v>5</v>
      </c>
      <c r="AV232" s="60">
        <f t="shared" si="794"/>
        <v>110</v>
      </c>
      <c r="AW232" s="60"/>
      <c r="AX232" s="60"/>
      <c r="AY232" s="60">
        <f t="shared" si="748"/>
        <v>0</v>
      </c>
      <c r="AZ232" s="60"/>
      <c r="BA232" s="60"/>
      <c r="BB232" s="60">
        <f t="shared" si="749"/>
        <v>0</v>
      </c>
      <c r="BC232" s="60"/>
      <c r="BD232" s="60"/>
      <c r="BE232" s="60">
        <f t="shared" si="750"/>
        <v>0</v>
      </c>
      <c r="BF232" s="60">
        <f t="shared" si="789"/>
        <v>0</v>
      </c>
      <c r="BG232" s="60">
        <f t="shared" si="790"/>
        <v>0</v>
      </c>
      <c r="BH232" s="60">
        <f t="shared" si="791"/>
        <v>0</v>
      </c>
      <c r="BI232" s="508"/>
      <c r="BJ232" s="488" t="str">
        <f t="shared" si="664"/>
        <v>Lò</v>
      </c>
      <c r="BK232" s="523">
        <f t="shared" si="754"/>
        <v>0</v>
      </c>
      <c r="BL232" s="523">
        <f t="shared" si="755"/>
        <v>0</v>
      </c>
      <c r="BM232" s="523">
        <f t="shared" si="756"/>
        <v>0</v>
      </c>
      <c r="BN232" s="523">
        <f t="shared" si="757"/>
        <v>0</v>
      </c>
      <c r="BO232" s="523">
        <f t="shared" si="758"/>
        <v>0</v>
      </c>
      <c r="BP232" s="523">
        <f t="shared" si="759"/>
        <v>0</v>
      </c>
      <c r="BQ232" s="523">
        <f t="shared" si="760"/>
        <v>0</v>
      </c>
      <c r="BR232" s="523">
        <f t="shared" si="761"/>
        <v>0</v>
      </c>
      <c r="BS232" s="523">
        <f t="shared" si="762"/>
        <v>300</v>
      </c>
      <c r="BT232" s="523">
        <f t="shared" si="763"/>
        <v>1200</v>
      </c>
      <c r="BU232" s="523">
        <f t="shared" si="764"/>
        <v>700</v>
      </c>
      <c r="BV232" s="523">
        <f t="shared" si="765"/>
        <v>2100</v>
      </c>
      <c r="BW232" s="523">
        <f t="shared" si="766"/>
        <v>0</v>
      </c>
      <c r="BX232" s="523">
        <f t="shared" si="767"/>
        <v>0</v>
      </c>
      <c r="BY232" s="523">
        <f t="shared" si="768"/>
        <v>0</v>
      </c>
      <c r="BZ232" s="523">
        <f t="shared" si="769"/>
        <v>0</v>
      </c>
      <c r="CA232" s="354"/>
      <c r="CB232" s="354" t="str">
        <f t="shared" si="671"/>
        <v>X</v>
      </c>
      <c r="CC232" s="509" t="str">
        <f t="shared" si="795"/>
        <v>ĐL3.</v>
      </c>
      <c r="CD232" s="509" t="str">
        <f t="shared" si="673"/>
        <v>ĐL3.16,1</v>
      </c>
      <c r="CE232" s="351" t="str">
        <f t="shared" si="665"/>
        <v>Lò</v>
      </c>
      <c r="CF232" s="509" t="str">
        <f t="shared" si="674"/>
        <v>ĐL3.Lò</v>
      </c>
      <c r="CG232" s="509"/>
      <c r="CH232" s="509"/>
    </row>
    <row r="233" spans="1:86" ht="17.25" customHeight="1" x14ac:dyDescent="0.25">
      <c r="A233" s="354" t="e">
        <f>A216</f>
        <v>#REF!</v>
      </c>
      <c r="B233" s="518"/>
      <c r="C233" s="519" t="s">
        <v>714</v>
      </c>
      <c r="D233" s="447" t="s">
        <v>14</v>
      </c>
      <c r="E233" s="447"/>
      <c r="F233" s="447"/>
      <c r="G233" s="520">
        <v>16.100000000000001</v>
      </c>
      <c r="H233" s="521">
        <v>0.7</v>
      </c>
      <c r="I233" s="522">
        <f t="shared" si="728"/>
        <v>150</v>
      </c>
      <c r="J233" s="522">
        <f t="shared" si="729"/>
        <v>0</v>
      </c>
      <c r="K233" s="522">
        <f t="shared" si="730"/>
        <v>150</v>
      </c>
      <c r="L233" s="57">
        <f t="shared" si="731"/>
        <v>2900</v>
      </c>
      <c r="M233" s="60"/>
      <c r="N233" s="60"/>
      <c r="O233" s="60">
        <f t="shared" si="732"/>
        <v>0</v>
      </c>
      <c r="P233" s="60"/>
      <c r="Q233" s="60"/>
      <c r="R233" s="60">
        <f t="shared" si="733"/>
        <v>0</v>
      </c>
      <c r="S233" s="824"/>
      <c r="T233" s="60"/>
      <c r="U233" s="60">
        <f t="shared" si="734"/>
        <v>0</v>
      </c>
      <c r="V233" s="60">
        <f t="shared" si="785"/>
        <v>0</v>
      </c>
      <c r="W233" s="60">
        <f t="shared" si="785"/>
        <v>0</v>
      </c>
      <c r="X233" s="60">
        <f t="shared" si="785"/>
        <v>0</v>
      </c>
      <c r="Y233" s="60"/>
      <c r="Z233" s="60"/>
      <c r="AA233" s="60">
        <f t="shared" si="738"/>
        <v>0</v>
      </c>
      <c r="AB233" s="60"/>
      <c r="AC233" s="60"/>
      <c r="AD233" s="60">
        <f t="shared" si="739"/>
        <v>0</v>
      </c>
      <c r="AE233" s="60"/>
      <c r="AF233" s="60"/>
      <c r="AG233" s="60">
        <f t="shared" si="740"/>
        <v>0</v>
      </c>
      <c r="AH233" s="60">
        <f t="shared" si="786"/>
        <v>0</v>
      </c>
      <c r="AI233" s="60">
        <f t="shared" si="787"/>
        <v>0</v>
      </c>
      <c r="AJ233" s="60">
        <f t="shared" si="788"/>
        <v>0</v>
      </c>
      <c r="AK233" s="60"/>
      <c r="AL233" s="60"/>
      <c r="AM233" s="60">
        <f t="shared" si="744"/>
        <v>0</v>
      </c>
      <c r="AN233" s="60"/>
      <c r="AO233" s="60"/>
      <c r="AP233" s="60">
        <f t="shared" si="745"/>
        <v>0</v>
      </c>
      <c r="AQ233" s="60">
        <v>25</v>
      </c>
      <c r="AR233" s="60"/>
      <c r="AS233" s="60">
        <f t="shared" si="746"/>
        <v>25</v>
      </c>
      <c r="AT233" s="60">
        <f t="shared" si="792"/>
        <v>25</v>
      </c>
      <c r="AU233" s="60">
        <f t="shared" si="793"/>
        <v>0</v>
      </c>
      <c r="AV233" s="60">
        <f t="shared" si="794"/>
        <v>25</v>
      </c>
      <c r="AW233" s="60">
        <v>50</v>
      </c>
      <c r="AX233" s="60"/>
      <c r="AY233" s="60">
        <f t="shared" si="748"/>
        <v>50</v>
      </c>
      <c r="AZ233" s="60">
        <v>50</v>
      </c>
      <c r="BA233" s="60"/>
      <c r="BB233" s="60">
        <f t="shared" si="749"/>
        <v>50</v>
      </c>
      <c r="BC233" s="60">
        <v>25</v>
      </c>
      <c r="BD233" s="60"/>
      <c r="BE233" s="60">
        <f t="shared" si="750"/>
        <v>25</v>
      </c>
      <c r="BF233" s="60">
        <f t="shared" si="789"/>
        <v>125</v>
      </c>
      <c r="BG233" s="60">
        <f t="shared" si="790"/>
        <v>0</v>
      </c>
      <c r="BH233" s="60">
        <f t="shared" si="791"/>
        <v>125</v>
      </c>
      <c r="BI233" s="508"/>
      <c r="BJ233" s="488" t="str">
        <f t="shared" si="664"/>
        <v>Lò</v>
      </c>
      <c r="BK233" s="523">
        <f t="shared" si="754"/>
        <v>0</v>
      </c>
      <c r="BL233" s="523">
        <f t="shared" si="755"/>
        <v>0</v>
      </c>
      <c r="BM233" s="523">
        <f t="shared" si="756"/>
        <v>0</v>
      </c>
      <c r="BN233" s="523">
        <f t="shared" si="757"/>
        <v>0</v>
      </c>
      <c r="BO233" s="523">
        <f t="shared" si="758"/>
        <v>0</v>
      </c>
      <c r="BP233" s="523">
        <f t="shared" si="759"/>
        <v>0</v>
      </c>
      <c r="BQ233" s="523">
        <f t="shared" si="760"/>
        <v>0</v>
      </c>
      <c r="BR233" s="523">
        <f t="shared" si="761"/>
        <v>0</v>
      </c>
      <c r="BS233" s="523">
        <f t="shared" si="762"/>
        <v>0</v>
      </c>
      <c r="BT233" s="523">
        <f t="shared" si="763"/>
        <v>0</v>
      </c>
      <c r="BU233" s="523">
        <f t="shared" si="764"/>
        <v>500</v>
      </c>
      <c r="BV233" s="523">
        <f t="shared" si="765"/>
        <v>500</v>
      </c>
      <c r="BW233" s="523">
        <f t="shared" si="766"/>
        <v>1000</v>
      </c>
      <c r="BX233" s="523">
        <f t="shared" si="767"/>
        <v>1000</v>
      </c>
      <c r="BY233" s="523">
        <f t="shared" si="768"/>
        <v>500</v>
      </c>
      <c r="BZ233" s="523">
        <f t="shared" si="769"/>
        <v>2400</v>
      </c>
      <c r="CA233" s="354"/>
      <c r="CB233" s="354" t="str">
        <f t="shared" si="671"/>
        <v>X</v>
      </c>
      <c r="CC233" s="509" t="str">
        <f t="shared" si="795"/>
        <v>ĐL3.</v>
      </c>
      <c r="CD233" s="509" t="str">
        <f t="shared" si="673"/>
        <v>ĐL3.16,1</v>
      </c>
      <c r="CE233" s="351" t="str">
        <f t="shared" si="665"/>
        <v>Lò</v>
      </c>
      <c r="CF233" s="509" t="str">
        <f t="shared" si="674"/>
        <v>ĐL3.Lò</v>
      </c>
      <c r="CG233" s="509"/>
      <c r="CH233" s="509"/>
    </row>
    <row r="234" spans="1:86" ht="16.5" x14ac:dyDescent="0.25">
      <c r="A234" s="354" t="e">
        <f>A233</f>
        <v>#REF!</v>
      </c>
      <c r="B234" s="518"/>
      <c r="C234" s="519" t="s">
        <v>564</v>
      </c>
      <c r="D234" s="447" t="s">
        <v>14</v>
      </c>
      <c r="E234" s="447"/>
      <c r="F234" s="447"/>
      <c r="G234" s="520">
        <v>16.100000000000001</v>
      </c>
      <c r="H234" s="521">
        <v>0.7</v>
      </c>
      <c r="I234" s="522">
        <f t="shared" si="728"/>
        <v>20</v>
      </c>
      <c r="J234" s="522">
        <f t="shared" si="729"/>
        <v>0</v>
      </c>
      <c r="K234" s="522">
        <f t="shared" si="730"/>
        <v>20</v>
      </c>
      <c r="L234" s="57">
        <f t="shared" si="731"/>
        <v>400</v>
      </c>
      <c r="M234" s="60"/>
      <c r="N234" s="60"/>
      <c r="O234" s="60">
        <f t="shared" si="732"/>
        <v>0</v>
      </c>
      <c r="P234" s="60"/>
      <c r="Q234" s="60"/>
      <c r="R234" s="60">
        <f t="shared" si="733"/>
        <v>0</v>
      </c>
      <c r="S234" s="824"/>
      <c r="T234" s="60"/>
      <c r="U234" s="60">
        <f t="shared" si="734"/>
        <v>0</v>
      </c>
      <c r="V234" s="60">
        <f t="shared" si="785"/>
        <v>0</v>
      </c>
      <c r="W234" s="60">
        <f t="shared" si="785"/>
        <v>0</v>
      </c>
      <c r="X234" s="60">
        <f t="shared" si="785"/>
        <v>0</v>
      </c>
      <c r="Y234" s="60"/>
      <c r="Z234" s="60"/>
      <c r="AA234" s="60">
        <f t="shared" si="738"/>
        <v>0</v>
      </c>
      <c r="AB234" s="60"/>
      <c r="AC234" s="60"/>
      <c r="AD234" s="60">
        <f t="shared" si="739"/>
        <v>0</v>
      </c>
      <c r="AE234" s="60"/>
      <c r="AF234" s="60"/>
      <c r="AG234" s="60">
        <f t="shared" si="740"/>
        <v>0</v>
      </c>
      <c r="AH234" s="60">
        <f t="shared" si="786"/>
        <v>0</v>
      </c>
      <c r="AI234" s="60">
        <f t="shared" si="787"/>
        <v>0</v>
      </c>
      <c r="AJ234" s="60">
        <f t="shared" si="788"/>
        <v>0</v>
      </c>
      <c r="AK234" s="60"/>
      <c r="AL234" s="60"/>
      <c r="AM234" s="60">
        <f t="shared" si="744"/>
        <v>0</v>
      </c>
      <c r="AN234" s="60"/>
      <c r="AO234" s="60"/>
      <c r="AP234" s="60">
        <f t="shared" si="745"/>
        <v>0</v>
      </c>
      <c r="AQ234" s="60"/>
      <c r="AR234" s="60"/>
      <c r="AS234" s="60">
        <f t="shared" si="746"/>
        <v>0</v>
      </c>
      <c r="AT234" s="60">
        <f t="shared" si="792"/>
        <v>0</v>
      </c>
      <c r="AU234" s="60">
        <f t="shared" si="793"/>
        <v>0</v>
      </c>
      <c r="AV234" s="60">
        <f t="shared" si="794"/>
        <v>0</v>
      </c>
      <c r="AW234" s="60"/>
      <c r="AX234" s="60"/>
      <c r="AY234" s="60">
        <f t="shared" si="748"/>
        <v>0</v>
      </c>
      <c r="AZ234" s="60"/>
      <c r="BA234" s="60"/>
      <c r="BB234" s="60">
        <f t="shared" si="749"/>
        <v>0</v>
      </c>
      <c r="BC234" s="60">
        <v>20</v>
      </c>
      <c r="BD234" s="60"/>
      <c r="BE234" s="60">
        <f t="shared" si="750"/>
        <v>20</v>
      </c>
      <c r="BF234" s="60">
        <f t="shared" si="789"/>
        <v>20</v>
      </c>
      <c r="BG234" s="60">
        <f t="shared" si="790"/>
        <v>0</v>
      </c>
      <c r="BH234" s="60">
        <f t="shared" si="791"/>
        <v>20</v>
      </c>
      <c r="BI234" s="508"/>
      <c r="BJ234" s="488" t="str">
        <f t="shared" si="664"/>
        <v>Lò</v>
      </c>
      <c r="BK234" s="523">
        <f t="shared" si="754"/>
        <v>0</v>
      </c>
      <c r="BL234" s="523">
        <f t="shared" si="755"/>
        <v>0</v>
      </c>
      <c r="BM234" s="523">
        <f t="shared" si="756"/>
        <v>0</v>
      </c>
      <c r="BN234" s="523">
        <f t="shared" si="757"/>
        <v>0</v>
      </c>
      <c r="BO234" s="523">
        <f t="shared" si="758"/>
        <v>0</v>
      </c>
      <c r="BP234" s="523">
        <f t="shared" si="759"/>
        <v>0</v>
      </c>
      <c r="BQ234" s="523">
        <f t="shared" si="760"/>
        <v>0</v>
      </c>
      <c r="BR234" s="523">
        <f t="shared" si="761"/>
        <v>0</v>
      </c>
      <c r="BS234" s="523">
        <f t="shared" si="762"/>
        <v>0</v>
      </c>
      <c r="BT234" s="523">
        <f t="shared" si="763"/>
        <v>0</v>
      </c>
      <c r="BU234" s="523">
        <f t="shared" si="764"/>
        <v>0</v>
      </c>
      <c r="BV234" s="523">
        <f t="shared" si="765"/>
        <v>0</v>
      </c>
      <c r="BW234" s="523">
        <f t="shared" si="766"/>
        <v>0</v>
      </c>
      <c r="BX234" s="523">
        <f t="shared" si="767"/>
        <v>0</v>
      </c>
      <c r="BY234" s="523">
        <f t="shared" si="768"/>
        <v>400</v>
      </c>
      <c r="BZ234" s="523">
        <f t="shared" si="769"/>
        <v>400</v>
      </c>
      <c r="CA234" s="354"/>
      <c r="CB234" s="354" t="str">
        <f t="shared" si="671"/>
        <v>X</v>
      </c>
      <c r="CC234" s="509" t="str">
        <f t="shared" si="795"/>
        <v>ĐL3.</v>
      </c>
      <c r="CD234" s="509" t="str">
        <f t="shared" si="673"/>
        <v>ĐL3.16,1</v>
      </c>
      <c r="CE234" s="351" t="str">
        <f t="shared" si="665"/>
        <v>Lò</v>
      </c>
      <c r="CF234" s="509" t="str">
        <f t="shared" si="674"/>
        <v>ĐL3.Lò</v>
      </c>
      <c r="CG234" s="509"/>
      <c r="CH234" s="509"/>
    </row>
    <row r="235" spans="1:86" ht="16.5" x14ac:dyDescent="0.25">
      <c r="A235" s="354" t="e">
        <f>A234</f>
        <v>#REF!</v>
      </c>
      <c r="B235" s="518"/>
      <c r="C235" s="519" t="s">
        <v>715</v>
      </c>
      <c r="D235" s="447" t="s">
        <v>14</v>
      </c>
      <c r="E235" s="447"/>
      <c r="F235" s="447"/>
      <c r="G235" s="520">
        <v>16.100000000000001</v>
      </c>
      <c r="H235" s="521">
        <v>0.7</v>
      </c>
      <c r="I235" s="522">
        <f t="shared" si="728"/>
        <v>0</v>
      </c>
      <c r="J235" s="522">
        <f t="shared" si="729"/>
        <v>0</v>
      </c>
      <c r="K235" s="522">
        <f t="shared" si="730"/>
        <v>0</v>
      </c>
      <c r="L235" s="57">
        <f t="shared" si="731"/>
        <v>0</v>
      </c>
      <c r="M235" s="60"/>
      <c r="N235" s="60"/>
      <c r="O235" s="60">
        <f t="shared" si="732"/>
        <v>0</v>
      </c>
      <c r="P235" s="60"/>
      <c r="Q235" s="60"/>
      <c r="R235" s="60">
        <f t="shared" si="733"/>
        <v>0</v>
      </c>
      <c r="S235" s="824"/>
      <c r="T235" s="60"/>
      <c r="U235" s="60">
        <f t="shared" si="734"/>
        <v>0</v>
      </c>
      <c r="V235" s="60">
        <f t="shared" si="785"/>
        <v>0</v>
      </c>
      <c r="W235" s="60">
        <f t="shared" si="785"/>
        <v>0</v>
      </c>
      <c r="X235" s="60">
        <f t="shared" si="785"/>
        <v>0</v>
      </c>
      <c r="Y235" s="60"/>
      <c r="Z235" s="60"/>
      <c r="AA235" s="60">
        <f t="shared" si="738"/>
        <v>0</v>
      </c>
      <c r="AB235" s="60"/>
      <c r="AC235" s="60"/>
      <c r="AD235" s="60">
        <f t="shared" si="739"/>
        <v>0</v>
      </c>
      <c r="AE235" s="60"/>
      <c r="AF235" s="60"/>
      <c r="AG235" s="60">
        <f t="shared" si="740"/>
        <v>0</v>
      </c>
      <c r="AH235" s="60">
        <f t="shared" si="786"/>
        <v>0</v>
      </c>
      <c r="AI235" s="60">
        <f t="shared" si="787"/>
        <v>0</v>
      </c>
      <c r="AJ235" s="60">
        <f t="shared" si="788"/>
        <v>0</v>
      </c>
      <c r="AK235" s="60"/>
      <c r="AL235" s="60"/>
      <c r="AM235" s="60">
        <f t="shared" si="744"/>
        <v>0</v>
      </c>
      <c r="AN235" s="60"/>
      <c r="AO235" s="60"/>
      <c r="AP235" s="60">
        <f t="shared" si="745"/>
        <v>0</v>
      </c>
      <c r="AQ235" s="60"/>
      <c r="AR235" s="60"/>
      <c r="AS235" s="60">
        <f t="shared" si="746"/>
        <v>0</v>
      </c>
      <c r="AT235" s="60">
        <f t="shared" si="792"/>
        <v>0</v>
      </c>
      <c r="AU235" s="60">
        <f t="shared" si="793"/>
        <v>0</v>
      </c>
      <c r="AV235" s="60">
        <f t="shared" si="794"/>
        <v>0</v>
      </c>
      <c r="AW235" s="60"/>
      <c r="AX235" s="60"/>
      <c r="AY235" s="60">
        <f t="shared" si="748"/>
        <v>0</v>
      </c>
      <c r="AZ235" s="60"/>
      <c r="BA235" s="60"/>
      <c r="BB235" s="60">
        <f t="shared" si="749"/>
        <v>0</v>
      </c>
      <c r="BC235" s="60"/>
      <c r="BD235" s="60"/>
      <c r="BE235" s="60">
        <f t="shared" si="750"/>
        <v>0</v>
      </c>
      <c r="BF235" s="60">
        <f t="shared" si="789"/>
        <v>0</v>
      </c>
      <c r="BG235" s="60">
        <f t="shared" si="790"/>
        <v>0</v>
      </c>
      <c r="BH235" s="60">
        <f t="shared" si="791"/>
        <v>0</v>
      </c>
      <c r="BI235" s="508"/>
      <c r="BJ235" s="488" t="str">
        <f t="shared" si="664"/>
        <v>Lò</v>
      </c>
      <c r="BK235" s="523">
        <f t="shared" si="754"/>
        <v>0</v>
      </c>
      <c r="BL235" s="523">
        <f t="shared" si="755"/>
        <v>0</v>
      </c>
      <c r="BM235" s="523">
        <f t="shared" si="756"/>
        <v>0</v>
      </c>
      <c r="BN235" s="523">
        <f t="shared" si="757"/>
        <v>0</v>
      </c>
      <c r="BO235" s="523">
        <f t="shared" si="758"/>
        <v>0</v>
      </c>
      <c r="BP235" s="523">
        <f t="shared" si="759"/>
        <v>0</v>
      </c>
      <c r="BQ235" s="523">
        <f t="shared" si="760"/>
        <v>0</v>
      </c>
      <c r="BR235" s="523">
        <f t="shared" si="761"/>
        <v>0</v>
      </c>
      <c r="BS235" s="523">
        <f t="shared" si="762"/>
        <v>0</v>
      </c>
      <c r="BT235" s="523">
        <f t="shared" si="763"/>
        <v>0</v>
      </c>
      <c r="BU235" s="523">
        <f t="shared" si="764"/>
        <v>0</v>
      </c>
      <c r="BV235" s="523">
        <f t="shared" si="765"/>
        <v>0</v>
      </c>
      <c r="BW235" s="523">
        <f t="shared" si="766"/>
        <v>0</v>
      </c>
      <c r="BX235" s="523">
        <f t="shared" si="767"/>
        <v>0</v>
      </c>
      <c r="BY235" s="523">
        <f t="shared" si="768"/>
        <v>0</v>
      </c>
      <c r="BZ235" s="523">
        <f t="shared" si="769"/>
        <v>0</v>
      </c>
      <c r="CA235" s="354"/>
      <c r="CB235" s="354" t="b">
        <f t="shared" si="671"/>
        <v>0</v>
      </c>
      <c r="CC235" s="509" t="str">
        <f t="shared" si="795"/>
        <v>ĐL3.</v>
      </c>
      <c r="CD235" s="509" t="str">
        <f t="shared" si="673"/>
        <v>ĐL3.16,1</v>
      </c>
      <c r="CE235" s="351" t="str">
        <f t="shared" si="665"/>
        <v>Lò</v>
      </c>
      <c r="CF235" s="509" t="str">
        <f t="shared" si="674"/>
        <v>ĐL3.Lò</v>
      </c>
      <c r="CG235" s="509"/>
      <c r="CH235" s="509"/>
    </row>
    <row r="236" spans="1:86" s="359" customFormat="1" ht="17.25" x14ac:dyDescent="0.3">
      <c r="A236" s="354" t="e">
        <f>A235</f>
        <v>#REF!</v>
      </c>
      <c r="B236" s="525" t="s">
        <v>37</v>
      </c>
      <c r="C236" s="526" t="s">
        <v>178</v>
      </c>
      <c r="D236" s="527"/>
      <c r="E236" s="527"/>
      <c r="F236" s="527"/>
      <c r="G236" s="528"/>
      <c r="H236" s="529"/>
      <c r="I236" s="70">
        <f t="shared" ref="I236:V236" si="796">SUM(I237:I241)</f>
        <v>200</v>
      </c>
      <c r="J236" s="70">
        <f t="shared" si="796"/>
        <v>50</v>
      </c>
      <c r="K236" s="70">
        <f t="shared" si="796"/>
        <v>150</v>
      </c>
      <c r="L236" s="70">
        <f t="shared" si="796"/>
        <v>600</v>
      </c>
      <c r="M236" s="210">
        <f t="shared" si="796"/>
        <v>0</v>
      </c>
      <c r="N236" s="210">
        <f t="shared" si="796"/>
        <v>0</v>
      </c>
      <c r="O236" s="210">
        <f t="shared" si="796"/>
        <v>0</v>
      </c>
      <c r="P236" s="210">
        <f t="shared" si="796"/>
        <v>0</v>
      </c>
      <c r="Q236" s="210">
        <f t="shared" si="796"/>
        <v>0</v>
      </c>
      <c r="R236" s="210">
        <f t="shared" si="796"/>
        <v>0</v>
      </c>
      <c r="S236" s="829">
        <f t="shared" si="796"/>
        <v>0</v>
      </c>
      <c r="T236" s="210">
        <f t="shared" si="796"/>
        <v>0</v>
      </c>
      <c r="U236" s="210">
        <f t="shared" si="796"/>
        <v>0</v>
      </c>
      <c r="V236" s="224">
        <f t="shared" si="796"/>
        <v>0</v>
      </c>
      <c r="W236" s="224">
        <f t="shared" ref="W236:BH236" si="797">SUM(W237:W241)</f>
        <v>0</v>
      </c>
      <c r="X236" s="224">
        <f t="shared" si="797"/>
        <v>0</v>
      </c>
      <c r="Y236" s="224">
        <f t="shared" si="797"/>
        <v>0</v>
      </c>
      <c r="Z236" s="224">
        <f t="shared" si="797"/>
        <v>0</v>
      </c>
      <c r="AA236" s="224">
        <f t="shared" si="797"/>
        <v>0</v>
      </c>
      <c r="AB236" s="224">
        <f t="shared" si="797"/>
        <v>0</v>
      </c>
      <c r="AC236" s="224">
        <f t="shared" si="797"/>
        <v>0</v>
      </c>
      <c r="AD236" s="224">
        <f t="shared" si="797"/>
        <v>0</v>
      </c>
      <c r="AE236" s="224">
        <f t="shared" si="797"/>
        <v>0</v>
      </c>
      <c r="AF236" s="224">
        <f t="shared" si="797"/>
        <v>0</v>
      </c>
      <c r="AG236" s="224">
        <f t="shared" si="797"/>
        <v>0</v>
      </c>
      <c r="AH236" s="224">
        <f t="shared" si="797"/>
        <v>0</v>
      </c>
      <c r="AI236" s="224">
        <f t="shared" si="797"/>
        <v>0</v>
      </c>
      <c r="AJ236" s="224">
        <f t="shared" si="797"/>
        <v>0</v>
      </c>
      <c r="AK236" s="224">
        <f t="shared" si="797"/>
        <v>0</v>
      </c>
      <c r="AL236" s="224">
        <f t="shared" si="797"/>
        <v>0</v>
      </c>
      <c r="AM236" s="224">
        <f t="shared" si="797"/>
        <v>0</v>
      </c>
      <c r="AN236" s="224">
        <f t="shared" si="797"/>
        <v>40</v>
      </c>
      <c r="AO236" s="224">
        <f t="shared" si="797"/>
        <v>10</v>
      </c>
      <c r="AP236" s="224">
        <f t="shared" si="797"/>
        <v>30</v>
      </c>
      <c r="AQ236" s="224">
        <f t="shared" si="797"/>
        <v>40</v>
      </c>
      <c r="AR236" s="224">
        <f t="shared" si="797"/>
        <v>10</v>
      </c>
      <c r="AS236" s="224">
        <f t="shared" si="797"/>
        <v>30</v>
      </c>
      <c r="AT236" s="224">
        <f t="shared" si="797"/>
        <v>80</v>
      </c>
      <c r="AU236" s="224">
        <f t="shared" si="797"/>
        <v>20</v>
      </c>
      <c r="AV236" s="224">
        <f t="shared" si="797"/>
        <v>60</v>
      </c>
      <c r="AW236" s="224">
        <f t="shared" si="797"/>
        <v>40</v>
      </c>
      <c r="AX236" s="224">
        <f t="shared" si="797"/>
        <v>10</v>
      </c>
      <c r="AY236" s="224">
        <f t="shared" si="797"/>
        <v>30</v>
      </c>
      <c r="AZ236" s="224">
        <f t="shared" si="797"/>
        <v>40</v>
      </c>
      <c r="BA236" s="224">
        <f t="shared" si="797"/>
        <v>10</v>
      </c>
      <c r="BB236" s="224">
        <f t="shared" si="797"/>
        <v>30</v>
      </c>
      <c r="BC236" s="224">
        <f t="shared" si="797"/>
        <v>40</v>
      </c>
      <c r="BD236" s="224">
        <f t="shared" si="797"/>
        <v>10</v>
      </c>
      <c r="BE236" s="224">
        <f t="shared" si="797"/>
        <v>30</v>
      </c>
      <c r="BF236" s="224">
        <f t="shared" si="797"/>
        <v>120</v>
      </c>
      <c r="BG236" s="224">
        <f t="shared" si="797"/>
        <v>30</v>
      </c>
      <c r="BH236" s="224">
        <f t="shared" si="797"/>
        <v>90</v>
      </c>
      <c r="BI236" s="530"/>
      <c r="BJ236" s="488" t="str">
        <f t="shared" si="664"/>
        <v>XL</v>
      </c>
      <c r="BK236" s="225">
        <f>SUM(BK237:BK241)</f>
        <v>0</v>
      </c>
      <c r="BL236" s="225">
        <f t="shared" ref="BL236:BZ236" si="798">SUM(BL237:BL241)</f>
        <v>0</v>
      </c>
      <c r="BM236" s="225">
        <f t="shared" si="798"/>
        <v>0</v>
      </c>
      <c r="BN236" s="225">
        <f t="shared" si="798"/>
        <v>0</v>
      </c>
      <c r="BO236" s="225">
        <f t="shared" si="798"/>
        <v>0</v>
      </c>
      <c r="BP236" s="225">
        <f t="shared" si="798"/>
        <v>0</v>
      </c>
      <c r="BQ236" s="225">
        <f t="shared" si="798"/>
        <v>0</v>
      </c>
      <c r="BR236" s="225">
        <f t="shared" si="798"/>
        <v>0</v>
      </c>
      <c r="BS236" s="225">
        <f t="shared" si="798"/>
        <v>0</v>
      </c>
      <c r="BT236" s="225">
        <f t="shared" si="798"/>
        <v>100</v>
      </c>
      <c r="BU236" s="225">
        <f t="shared" si="798"/>
        <v>100</v>
      </c>
      <c r="BV236" s="225">
        <f t="shared" si="798"/>
        <v>200</v>
      </c>
      <c r="BW236" s="225">
        <f t="shared" si="798"/>
        <v>100</v>
      </c>
      <c r="BX236" s="225">
        <f t="shared" si="798"/>
        <v>100</v>
      </c>
      <c r="BY236" s="225">
        <f t="shared" si="798"/>
        <v>200</v>
      </c>
      <c r="BZ236" s="225">
        <f t="shared" si="798"/>
        <v>400</v>
      </c>
      <c r="CA236" s="510"/>
      <c r="CB236" s="510" t="str">
        <f t="shared" si="671"/>
        <v>X</v>
      </c>
      <c r="CC236" s="509" t="str">
        <f t="shared" si="795"/>
        <v>ĐL3.</v>
      </c>
      <c r="CD236" s="509" t="str">
        <f t="shared" si="673"/>
        <v>ĐL3.</v>
      </c>
      <c r="CE236" s="351" t="str">
        <f t="shared" si="665"/>
        <v>XL</v>
      </c>
      <c r="CF236" s="509" t="str">
        <f t="shared" si="674"/>
        <v>ĐL3.XL</v>
      </c>
      <c r="CG236" s="509"/>
      <c r="CH236" s="509"/>
    </row>
    <row r="237" spans="1:86" ht="24.75" customHeight="1" x14ac:dyDescent="0.25">
      <c r="A237" s="354" t="e">
        <f>A236</f>
        <v>#REF!</v>
      </c>
      <c r="B237" s="484"/>
      <c r="C237" s="531" t="s">
        <v>806</v>
      </c>
      <c r="D237" s="447" t="s">
        <v>14</v>
      </c>
      <c r="E237" s="447"/>
      <c r="F237" s="447"/>
      <c r="G237" s="520">
        <v>16.100000000000001</v>
      </c>
      <c r="H237" s="521">
        <v>0.5</v>
      </c>
      <c r="I237" s="522">
        <f t="shared" ref="I237:K241" si="799">V237+AH237+AT237+BF237</f>
        <v>160</v>
      </c>
      <c r="J237" s="522">
        <f t="shared" si="799"/>
        <v>40</v>
      </c>
      <c r="K237" s="522">
        <f t="shared" si="799"/>
        <v>120</v>
      </c>
      <c r="L237" s="57">
        <f>BN237+BR237+BV237+BZ237</f>
        <v>400</v>
      </c>
      <c r="M237" s="60"/>
      <c r="N237" s="60"/>
      <c r="O237" s="60">
        <f>M237-N237</f>
        <v>0</v>
      </c>
      <c r="P237" s="60"/>
      <c r="Q237" s="60"/>
      <c r="R237" s="60">
        <f>P237-Q237</f>
        <v>0</v>
      </c>
      <c r="S237" s="824"/>
      <c r="T237" s="60"/>
      <c r="U237" s="60">
        <f>S237-T237</f>
        <v>0</v>
      </c>
      <c r="V237" s="60">
        <f>M237+P237+S237</f>
        <v>0</v>
      </c>
      <c r="W237" s="60">
        <f>N237+Q237+T237</f>
        <v>0</v>
      </c>
      <c r="X237" s="60">
        <f>O237+R237+U237</f>
        <v>0</v>
      </c>
      <c r="Y237" s="60"/>
      <c r="Z237" s="60"/>
      <c r="AA237" s="60">
        <f>Y237-Z237</f>
        <v>0</v>
      </c>
      <c r="AB237" s="60"/>
      <c r="AC237" s="60"/>
      <c r="AD237" s="60">
        <f>AB237-AC237</f>
        <v>0</v>
      </c>
      <c r="AE237" s="60"/>
      <c r="AF237" s="60"/>
      <c r="AG237" s="60">
        <f>AE237-AF237</f>
        <v>0</v>
      </c>
      <c r="AH237" s="60">
        <f>Y237+AB237+AE237</f>
        <v>0</v>
      </c>
      <c r="AI237" s="60">
        <f>Z237+AC237+AF237</f>
        <v>0</v>
      </c>
      <c r="AJ237" s="60">
        <f>AA237+AD237+AG237</f>
        <v>0</v>
      </c>
      <c r="AK237" s="60"/>
      <c r="AL237" s="60"/>
      <c r="AM237" s="60">
        <f>AK237-AL237</f>
        <v>0</v>
      </c>
      <c r="AN237" s="60">
        <v>40</v>
      </c>
      <c r="AO237" s="60">
        <v>10</v>
      </c>
      <c r="AP237" s="60">
        <f>AN237-AO237</f>
        <v>30</v>
      </c>
      <c r="AQ237" s="60">
        <v>40</v>
      </c>
      <c r="AR237" s="60">
        <v>10</v>
      </c>
      <c r="AS237" s="60">
        <f>AQ237-AR237</f>
        <v>30</v>
      </c>
      <c r="AT237" s="60">
        <f t="shared" ref="AT237:AV238" si="800">AK237+AN237+AQ237</f>
        <v>80</v>
      </c>
      <c r="AU237" s="60">
        <f t="shared" si="800"/>
        <v>20</v>
      </c>
      <c r="AV237" s="60">
        <f t="shared" si="800"/>
        <v>60</v>
      </c>
      <c r="AW237" s="60">
        <v>40</v>
      </c>
      <c r="AX237" s="60">
        <v>10</v>
      </c>
      <c r="AY237" s="60">
        <f>AW237-AX237</f>
        <v>30</v>
      </c>
      <c r="AZ237" s="60">
        <v>40</v>
      </c>
      <c r="BA237" s="60">
        <v>10</v>
      </c>
      <c r="BB237" s="60">
        <f>AZ237-BA237</f>
        <v>30</v>
      </c>
      <c r="BC237" s="60"/>
      <c r="BD237" s="60"/>
      <c r="BE237" s="60">
        <f>BC237-BD237</f>
        <v>0</v>
      </c>
      <c r="BF237" s="60">
        <f t="shared" ref="BF237:BH239" si="801">AW237+AZ237+BC237</f>
        <v>80</v>
      </c>
      <c r="BG237" s="60">
        <f t="shared" si="801"/>
        <v>20</v>
      </c>
      <c r="BH237" s="60">
        <f t="shared" si="801"/>
        <v>60</v>
      </c>
      <c r="BI237" s="508"/>
      <c r="BJ237" s="488" t="str">
        <f t="shared" si="664"/>
        <v>Xé</v>
      </c>
      <c r="BK237" s="523">
        <f>ROUND(O237*G237*$B$6,-2)</f>
        <v>0</v>
      </c>
      <c r="BL237" s="523">
        <f>ROUND(R237*G237*$B$6,-2)</f>
        <v>0</v>
      </c>
      <c r="BM237" s="523">
        <f>ROUND(U237*G237*$B$6,-2)</f>
        <v>0</v>
      </c>
      <c r="BN237" s="523">
        <f>ROUND(X237*G237*$B$6,-2)</f>
        <v>0</v>
      </c>
      <c r="BO237" s="523">
        <f>ROUND(AA237*G237*$B$6,-2)</f>
        <v>0</v>
      </c>
      <c r="BP237" s="523">
        <f>ROUND(AD237*G237*$B$6,-2)</f>
        <v>0</v>
      </c>
      <c r="BQ237" s="523">
        <f>ROUND(AG237*G237*$B$6,-2)</f>
        <v>0</v>
      </c>
      <c r="BR237" s="523">
        <f>ROUND(AJ237*G237*$B$6,-2)</f>
        <v>0</v>
      </c>
      <c r="BS237" s="523">
        <f>ROUND(AM237*G237*$B$6,-2)</f>
        <v>0</v>
      </c>
      <c r="BT237" s="523">
        <f>ROUND(AP237*G237*$B$6,-2)</f>
        <v>100</v>
      </c>
      <c r="BU237" s="523">
        <f>ROUND(AS237*G237*$B$6,-2)</f>
        <v>100</v>
      </c>
      <c r="BV237" s="523">
        <f>ROUND(AV237*G237*$B$6,-2)</f>
        <v>200</v>
      </c>
      <c r="BW237" s="523">
        <f>ROUND(AY237*G237*$B$6,-2)</f>
        <v>100</v>
      </c>
      <c r="BX237" s="523">
        <f>ROUND(BB237*G237*$B$6,-2)</f>
        <v>100</v>
      </c>
      <c r="BY237" s="523">
        <f>ROUND(BE237*G237*$B$6,-2)</f>
        <v>0</v>
      </c>
      <c r="BZ237" s="523">
        <f>ROUND(BH237*G237*$B$6,-2)</f>
        <v>200</v>
      </c>
      <c r="CA237" s="354"/>
      <c r="CB237" s="354" t="str">
        <f t="shared" si="671"/>
        <v>X</v>
      </c>
      <c r="CC237" s="509" t="str">
        <f t="shared" si="795"/>
        <v>ĐL3.</v>
      </c>
      <c r="CD237" s="509" t="str">
        <f t="shared" si="673"/>
        <v>ĐL3.16,1</v>
      </c>
      <c r="CE237" s="351" t="str">
        <f t="shared" si="665"/>
        <v>Xé</v>
      </c>
      <c r="CF237" s="509" t="str">
        <f t="shared" si="674"/>
        <v>ĐL3.Xé</v>
      </c>
      <c r="CG237" s="509"/>
      <c r="CH237" s="509"/>
    </row>
    <row r="238" spans="1:86" ht="24.75" customHeight="1" x14ac:dyDescent="0.25">
      <c r="A238" s="354" t="e">
        <f>A236</f>
        <v>#REF!</v>
      </c>
      <c r="B238" s="484"/>
      <c r="C238" s="531" t="s">
        <v>704</v>
      </c>
      <c r="D238" s="447" t="s">
        <v>14</v>
      </c>
      <c r="E238" s="447"/>
      <c r="F238" s="447"/>
      <c r="G238" s="520">
        <v>16.100000000000001</v>
      </c>
      <c r="H238" s="521">
        <v>0.5</v>
      </c>
      <c r="I238" s="522">
        <f t="shared" si="799"/>
        <v>0</v>
      </c>
      <c r="J238" s="522">
        <f t="shared" si="799"/>
        <v>0</v>
      </c>
      <c r="K238" s="522">
        <f t="shared" si="799"/>
        <v>0</v>
      </c>
      <c r="L238" s="57">
        <f>BN238+BR238+BV238+BZ238</f>
        <v>0</v>
      </c>
      <c r="M238" s="60"/>
      <c r="N238" s="60"/>
      <c r="O238" s="60">
        <f>M238-N238</f>
        <v>0</v>
      </c>
      <c r="P238" s="60"/>
      <c r="Q238" s="60"/>
      <c r="R238" s="60">
        <f>P238-Q238</f>
        <v>0</v>
      </c>
      <c r="S238" s="824"/>
      <c r="T238" s="60"/>
      <c r="U238" s="60">
        <f>S238-T238</f>
        <v>0</v>
      </c>
      <c r="V238" s="60"/>
      <c r="W238" s="60"/>
      <c r="X238" s="60"/>
      <c r="Y238" s="60"/>
      <c r="Z238" s="60"/>
      <c r="AA238" s="60">
        <f>Y238-Z238</f>
        <v>0</v>
      </c>
      <c r="AB238" s="60"/>
      <c r="AC238" s="60"/>
      <c r="AD238" s="60">
        <f>AB238-AC238</f>
        <v>0</v>
      </c>
      <c r="AE238" s="60"/>
      <c r="AF238" s="60"/>
      <c r="AG238" s="60">
        <f>AE238-AF238</f>
        <v>0</v>
      </c>
      <c r="AH238" s="60"/>
      <c r="AI238" s="60"/>
      <c r="AJ238" s="60"/>
      <c r="AK238" s="60"/>
      <c r="AL238" s="60"/>
      <c r="AM238" s="60">
        <f>AK238-AL238</f>
        <v>0</v>
      </c>
      <c r="AN238" s="60"/>
      <c r="AO238" s="60"/>
      <c r="AP238" s="60">
        <f>AN238-AO238</f>
        <v>0</v>
      </c>
      <c r="AQ238" s="60"/>
      <c r="AR238" s="60"/>
      <c r="AS238" s="60">
        <f>AQ238-AR238</f>
        <v>0</v>
      </c>
      <c r="AT238" s="60">
        <f t="shared" si="800"/>
        <v>0</v>
      </c>
      <c r="AU238" s="60">
        <f t="shared" si="800"/>
        <v>0</v>
      </c>
      <c r="AV238" s="60">
        <f t="shared" si="800"/>
        <v>0</v>
      </c>
      <c r="AW238" s="60"/>
      <c r="AX238" s="60"/>
      <c r="AY238" s="60">
        <f>AW238-AX238</f>
        <v>0</v>
      </c>
      <c r="AZ238" s="60"/>
      <c r="BA238" s="60"/>
      <c r="BB238" s="60">
        <f>AZ238-BA238</f>
        <v>0</v>
      </c>
      <c r="BC238" s="60"/>
      <c r="BD238" s="60"/>
      <c r="BE238" s="60">
        <f>BC238-BD238</f>
        <v>0</v>
      </c>
      <c r="BF238" s="60">
        <f t="shared" si="801"/>
        <v>0</v>
      </c>
      <c r="BG238" s="60">
        <f t="shared" si="801"/>
        <v>0</v>
      </c>
      <c r="BH238" s="60">
        <f t="shared" si="801"/>
        <v>0</v>
      </c>
      <c r="BI238" s="508"/>
      <c r="BJ238" s="488" t="str">
        <f t="shared" si="664"/>
        <v>Xé</v>
      </c>
      <c r="BK238" s="523">
        <f>ROUND(O238*G238*$B$6,-2)</f>
        <v>0</v>
      </c>
      <c r="BL238" s="523">
        <f>ROUND(R238*G238*$B$6,-2)</f>
        <v>0</v>
      </c>
      <c r="BM238" s="523">
        <f>ROUND(U238*G238*$B$6,-2)</f>
        <v>0</v>
      </c>
      <c r="BN238" s="523">
        <f>ROUND(X238*G238*$B$6,-2)</f>
        <v>0</v>
      </c>
      <c r="BO238" s="523">
        <f>ROUND(AA238*G238*$B$6,-2)</f>
        <v>0</v>
      </c>
      <c r="BP238" s="523">
        <f>ROUND(AD238*G238*$B$6,-2)</f>
        <v>0</v>
      </c>
      <c r="BQ238" s="523">
        <f>ROUND(AG238*G238*$B$6,-2)</f>
        <v>0</v>
      </c>
      <c r="BR238" s="523">
        <f>ROUND(AJ238*G238*$B$6,-2)</f>
        <v>0</v>
      </c>
      <c r="BS238" s="523">
        <f>ROUND(AM238*G238*$B$6,-2)</f>
        <v>0</v>
      </c>
      <c r="BT238" s="523">
        <f>ROUND(AP238*G238*$B$6,-2)</f>
        <v>0</v>
      </c>
      <c r="BU238" s="523">
        <f>ROUND(AS238*G238*$B$6,-2)</f>
        <v>0</v>
      </c>
      <c r="BV238" s="523">
        <f>ROUND(AV238*G238*$B$6,-2)</f>
        <v>0</v>
      </c>
      <c r="BW238" s="523">
        <f>ROUND(AY238*G238*$B$6,-2)</f>
        <v>0</v>
      </c>
      <c r="BX238" s="523">
        <f>ROUND(BB238*G238*$B$6,-2)</f>
        <v>0</v>
      </c>
      <c r="BY238" s="523">
        <f>ROUND(BE238*G238*$B$6,-2)</f>
        <v>0</v>
      </c>
      <c r="BZ238" s="523">
        <f>ROUND(BH238*G238*$B$6,-2)</f>
        <v>0</v>
      </c>
      <c r="CA238" s="354"/>
      <c r="CB238" s="354" t="b">
        <f t="shared" si="671"/>
        <v>0</v>
      </c>
      <c r="CC238" s="509" t="str">
        <f t="shared" si="795"/>
        <v>ĐL3.</v>
      </c>
      <c r="CD238" s="509" t="str">
        <f t="shared" si="673"/>
        <v>ĐL3.16,1</v>
      </c>
      <c r="CE238" s="351" t="str">
        <f t="shared" si="665"/>
        <v>Xé</v>
      </c>
      <c r="CF238" s="509" t="str">
        <f t="shared" si="674"/>
        <v>ĐL3.Xé</v>
      </c>
      <c r="CG238" s="509"/>
      <c r="CH238" s="509"/>
    </row>
    <row r="239" spans="1:86" ht="24.75" customHeight="1" x14ac:dyDescent="0.25">
      <c r="A239" s="354" t="e">
        <f>A235</f>
        <v>#REF!</v>
      </c>
      <c r="B239" s="484"/>
      <c r="C239" s="531" t="s">
        <v>672</v>
      </c>
      <c r="D239" s="447" t="s">
        <v>14</v>
      </c>
      <c r="E239" s="447"/>
      <c r="F239" s="447"/>
      <c r="G239" s="520">
        <v>23.9</v>
      </c>
      <c r="H239" s="521">
        <v>0.5</v>
      </c>
      <c r="I239" s="522">
        <f t="shared" si="799"/>
        <v>40</v>
      </c>
      <c r="J239" s="522">
        <f t="shared" si="799"/>
        <v>10</v>
      </c>
      <c r="K239" s="522">
        <f t="shared" si="799"/>
        <v>30</v>
      </c>
      <c r="L239" s="57">
        <f>BN239+BR239+BV239+BZ239</f>
        <v>200</v>
      </c>
      <c r="M239" s="60"/>
      <c r="N239" s="60"/>
      <c r="O239" s="60">
        <f>M239-N239</f>
        <v>0</v>
      </c>
      <c r="P239" s="60"/>
      <c r="Q239" s="60"/>
      <c r="R239" s="60">
        <f>P239-Q239</f>
        <v>0</v>
      </c>
      <c r="S239" s="824"/>
      <c r="T239" s="60"/>
      <c r="U239" s="60">
        <f>S239-T239</f>
        <v>0</v>
      </c>
      <c r="V239" s="60"/>
      <c r="W239" s="60"/>
      <c r="X239" s="60"/>
      <c r="Y239" s="60"/>
      <c r="Z239" s="60"/>
      <c r="AA239" s="60">
        <f>Y239-Z239</f>
        <v>0</v>
      </c>
      <c r="AB239" s="60"/>
      <c r="AC239" s="60"/>
      <c r="AD239" s="60">
        <f>AB239-AC239</f>
        <v>0</v>
      </c>
      <c r="AE239" s="60"/>
      <c r="AF239" s="60"/>
      <c r="AG239" s="60">
        <f>AE239-AF239</f>
        <v>0</v>
      </c>
      <c r="AH239" s="60"/>
      <c r="AI239" s="60"/>
      <c r="AJ239" s="60"/>
      <c r="AK239" s="60"/>
      <c r="AL239" s="60"/>
      <c r="AM239" s="60">
        <f>AK239-AL239</f>
        <v>0</v>
      </c>
      <c r="AN239" s="60"/>
      <c r="AO239" s="60"/>
      <c r="AP239" s="60">
        <f>AN239-AO239</f>
        <v>0</v>
      </c>
      <c r="AQ239" s="60"/>
      <c r="AR239" s="60"/>
      <c r="AS239" s="60">
        <f>AQ239-AR239</f>
        <v>0</v>
      </c>
      <c r="AT239" s="60"/>
      <c r="AU239" s="60"/>
      <c r="AV239" s="60"/>
      <c r="AW239" s="60"/>
      <c r="AX239" s="60"/>
      <c r="AY239" s="60">
        <f>AW239-AX239</f>
        <v>0</v>
      </c>
      <c r="AZ239" s="60"/>
      <c r="BA239" s="60"/>
      <c r="BB239" s="60">
        <f>AZ239-BA239</f>
        <v>0</v>
      </c>
      <c r="BC239" s="60">
        <v>40</v>
      </c>
      <c r="BD239" s="60">
        <v>10</v>
      </c>
      <c r="BE239" s="60">
        <f>BC239-BD239</f>
        <v>30</v>
      </c>
      <c r="BF239" s="60">
        <f t="shared" si="801"/>
        <v>40</v>
      </c>
      <c r="BG239" s="60">
        <f t="shared" si="801"/>
        <v>10</v>
      </c>
      <c r="BH239" s="60">
        <f t="shared" si="801"/>
        <v>30</v>
      </c>
      <c r="BI239" s="508"/>
      <c r="BJ239" s="488" t="str">
        <f t="shared" si="664"/>
        <v>Xé</v>
      </c>
      <c r="BK239" s="523">
        <f>ROUND(O239*G239*$B$6,-2)</f>
        <v>0</v>
      </c>
      <c r="BL239" s="523">
        <f>ROUND(R239*G239*$B$6,-2)</f>
        <v>0</v>
      </c>
      <c r="BM239" s="523">
        <f>ROUND(U239*G239*$B$6,-2)</f>
        <v>0</v>
      </c>
      <c r="BN239" s="523">
        <f>ROUND(X239*G239*$B$6,-2)</f>
        <v>0</v>
      </c>
      <c r="BO239" s="523">
        <f>ROUND(AA239*G239*$B$6,-2)</f>
        <v>0</v>
      </c>
      <c r="BP239" s="523">
        <f>ROUND(AD239*G239*$B$6,-2)</f>
        <v>0</v>
      </c>
      <c r="BQ239" s="523">
        <f>ROUND(AG239*G239*$B$6,-2)</f>
        <v>0</v>
      </c>
      <c r="BR239" s="523">
        <f>ROUND(AJ239*G239*$B$6,-2)</f>
        <v>0</v>
      </c>
      <c r="BS239" s="523">
        <f>ROUND(AM239*G239*$B$6,-2)</f>
        <v>0</v>
      </c>
      <c r="BT239" s="523">
        <f>ROUND(AP239*G239*$B$6,-2)</f>
        <v>0</v>
      </c>
      <c r="BU239" s="523">
        <f>ROUND(AS239*G239*$B$6,-2)</f>
        <v>0</v>
      </c>
      <c r="BV239" s="523">
        <f>ROUND(AV239*G239*$B$6,-2)</f>
        <v>0</v>
      </c>
      <c r="BW239" s="523">
        <f>ROUND(AY239*G239*$B$6,-2)</f>
        <v>0</v>
      </c>
      <c r="BX239" s="523">
        <f>ROUND(BB239*G239*$B$6,-2)</f>
        <v>0</v>
      </c>
      <c r="BY239" s="523">
        <f>ROUND(BE239*G239*$B$6,-2)</f>
        <v>200</v>
      </c>
      <c r="BZ239" s="523">
        <f>ROUND(BH239*G239*$B$6,-2)</f>
        <v>200</v>
      </c>
      <c r="CA239" s="354"/>
      <c r="CB239" s="354" t="str">
        <f t="shared" si="671"/>
        <v>X</v>
      </c>
      <c r="CC239" s="509" t="str">
        <f t="shared" si="795"/>
        <v>ĐL3.</v>
      </c>
      <c r="CD239" s="509" t="str">
        <f t="shared" si="673"/>
        <v>ĐL3.23,9</v>
      </c>
      <c r="CE239" s="351" t="str">
        <f t="shared" si="665"/>
        <v>Xé</v>
      </c>
      <c r="CF239" s="509" t="str">
        <f t="shared" si="674"/>
        <v>ĐL3.Xé</v>
      </c>
      <c r="CG239" s="509"/>
      <c r="CH239" s="509"/>
    </row>
    <row r="240" spans="1:86" ht="24.75" customHeight="1" x14ac:dyDescent="0.25">
      <c r="A240" s="354" t="e">
        <f>A236</f>
        <v>#REF!</v>
      </c>
      <c r="B240" s="484"/>
      <c r="C240" s="531" t="s">
        <v>20</v>
      </c>
      <c r="D240" s="447" t="s">
        <v>14</v>
      </c>
      <c r="E240" s="447"/>
      <c r="F240" s="447"/>
      <c r="G240" s="520">
        <v>13.1</v>
      </c>
      <c r="H240" s="521">
        <v>0.7</v>
      </c>
      <c r="I240" s="522">
        <f t="shared" si="799"/>
        <v>0</v>
      </c>
      <c r="J240" s="522">
        <f t="shared" si="799"/>
        <v>0</v>
      </c>
      <c r="K240" s="522">
        <f t="shared" si="799"/>
        <v>0</v>
      </c>
      <c r="L240" s="57">
        <f>BN240+BR240+BV240+BZ240</f>
        <v>0</v>
      </c>
      <c r="M240" s="60"/>
      <c r="N240" s="60"/>
      <c r="O240" s="60">
        <f>M240-N240</f>
        <v>0</v>
      </c>
      <c r="P240" s="60"/>
      <c r="Q240" s="60"/>
      <c r="R240" s="60">
        <f>P240-Q240</f>
        <v>0</v>
      </c>
      <c r="S240" s="824"/>
      <c r="T240" s="60"/>
      <c r="U240" s="60">
        <f>S240-T240</f>
        <v>0</v>
      </c>
      <c r="V240" s="60"/>
      <c r="W240" s="60"/>
      <c r="X240" s="60"/>
      <c r="Y240" s="60"/>
      <c r="Z240" s="60"/>
      <c r="AA240" s="60">
        <f>Y240-Z240</f>
        <v>0</v>
      </c>
      <c r="AB240" s="60"/>
      <c r="AC240" s="60"/>
      <c r="AD240" s="60">
        <f>AB240-AC240</f>
        <v>0</v>
      </c>
      <c r="AE240" s="60"/>
      <c r="AF240" s="60"/>
      <c r="AG240" s="60">
        <f>AE240-AF240</f>
        <v>0</v>
      </c>
      <c r="AH240" s="60"/>
      <c r="AI240" s="60"/>
      <c r="AJ240" s="60"/>
      <c r="AK240" s="60"/>
      <c r="AL240" s="60"/>
      <c r="AM240" s="60">
        <f>AK240-AL240</f>
        <v>0</v>
      </c>
      <c r="AN240" s="60"/>
      <c r="AO240" s="60"/>
      <c r="AP240" s="60">
        <f>AN240-AO240</f>
        <v>0</v>
      </c>
      <c r="AQ240" s="60"/>
      <c r="AR240" s="60"/>
      <c r="AS240" s="60">
        <f>AQ240-AR240</f>
        <v>0</v>
      </c>
      <c r="AT240" s="60"/>
      <c r="AU240" s="60"/>
      <c r="AV240" s="60"/>
      <c r="AW240" s="60"/>
      <c r="AX240" s="60"/>
      <c r="AY240" s="60">
        <f>AW240-AX240</f>
        <v>0</v>
      </c>
      <c r="AZ240" s="60"/>
      <c r="BA240" s="60"/>
      <c r="BB240" s="60">
        <f>AZ240-BA240</f>
        <v>0</v>
      </c>
      <c r="BC240" s="60"/>
      <c r="BD240" s="60"/>
      <c r="BE240" s="60">
        <f>BC240-BD240</f>
        <v>0</v>
      </c>
      <c r="BF240" s="60"/>
      <c r="BG240" s="60"/>
      <c r="BH240" s="60"/>
      <c r="BI240" s="508"/>
      <c r="BJ240" s="488" t="str">
        <f t="shared" si="664"/>
        <v>Xé</v>
      </c>
      <c r="BK240" s="523">
        <f>ROUND(O240*G240*$B$6,-2)</f>
        <v>0</v>
      </c>
      <c r="BL240" s="523">
        <f>ROUND(R240*G240*$B$6,-2)</f>
        <v>0</v>
      </c>
      <c r="BM240" s="523">
        <f>ROUND(U240*G240*$B$6,-2)</f>
        <v>0</v>
      </c>
      <c r="BN240" s="523">
        <f>ROUND(X240*G240*$B$6,-2)</f>
        <v>0</v>
      </c>
      <c r="BO240" s="523">
        <f>ROUND(AA240*G240*$B$6,-2)</f>
        <v>0</v>
      </c>
      <c r="BP240" s="523">
        <f>ROUND(AD240*G240*$B$6,-2)</f>
        <v>0</v>
      </c>
      <c r="BQ240" s="523">
        <f>ROUND(AG240*G240*$B$6,-2)</f>
        <v>0</v>
      </c>
      <c r="BR240" s="523">
        <f>ROUND(AJ240*G240*$B$6,-2)</f>
        <v>0</v>
      </c>
      <c r="BS240" s="523">
        <f>ROUND(AM240*G240*$B$6,-2)</f>
        <v>0</v>
      </c>
      <c r="BT240" s="523">
        <f>ROUND(AP240*G240*$B$6,-2)</f>
        <v>0</v>
      </c>
      <c r="BU240" s="523">
        <f>ROUND(AS240*G240*$B$6,-2)</f>
        <v>0</v>
      </c>
      <c r="BV240" s="523">
        <f>ROUND(AV240*G240*$B$6,-2)</f>
        <v>0</v>
      </c>
      <c r="BW240" s="523">
        <f>ROUND(AY240*G240*$B$6,-2)</f>
        <v>0</v>
      </c>
      <c r="BX240" s="523">
        <f>ROUND(BB240*G240*$B$6,-2)</f>
        <v>0</v>
      </c>
      <c r="BY240" s="523">
        <f>ROUND(BE240*G240*$B$6,-2)</f>
        <v>0</v>
      </c>
      <c r="BZ240" s="523">
        <f>ROUND(BH240*G240*$B$6,-2)</f>
        <v>0</v>
      </c>
      <c r="CA240" s="354"/>
      <c r="CB240" s="354" t="b">
        <f t="shared" si="671"/>
        <v>0</v>
      </c>
      <c r="CC240" s="509" t="str">
        <f t="shared" si="795"/>
        <v>ĐL3.</v>
      </c>
      <c r="CD240" s="509" t="str">
        <f t="shared" si="673"/>
        <v>ĐL3.13,1</v>
      </c>
      <c r="CE240" s="351" t="str">
        <f t="shared" si="665"/>
        <v>Xé</v>
      </c>
      <c r="CF240" s="509" t="str">
        <f t="shared" si="674"/>
        <v>ĐL3.Xé</v>
      </c>
      <c r="CG240" s="509"/>
      <c r="CH240" s="509"/>
    </row>
    <row r="241" spans="1:86" ht="24.75" customHeight="1" x14ac:dyDescent="0.25">
      <c r="A241" s="354" t="e">
        <f>A237</f>
        <v>#REF!</v>
      </c>
      <c r="B241" s="484"/>
      <c r="C241" s="531" t="s">
        <v>20</v>
      </c>
      <c r="D241" s="447" t="s">
        <v>14</v>
      </c>
      <c r="E241" s="447"/>
      <c r="F241" s="447"/>
      <c r="G241" s="520">
        <v>13.1</v>
      </c>
      <c r="H241" s="521">
        <v>0.7</v>
      </c>
      <c r="I241" s="522">
        <f t="shared" si="799"/>
        <v>0</v>
      </c>
      <c r="J241" s="522">
        <f t="shared" si="799"/>
        <v>0</v>
      </c>
      <c r="K241" s="522">
        <f t="shared" si="799"/>
        <v>0</v>
      </c>
      <c r="L241" s="57">
        <f>BN241+BR241+BV241+BZ241</f>
        <v>0</v>
      </c>
      <c r="M241" s="60"/>
      <c r="N241" s="60"/>
      <c r="O241" s="60">
        <f>M241-N241</f>
        <v>0</v>
      </c>
      <c r="P241" s="60"/>
      <c r="Q241" s="60"/>
      <c r="R241" s="60">
        <f>P241-Q241</f>
        <v>0</v>
      </c>
      <c r="S241" s="824"/>
      <c r="T241" s="60"/>
      <c r="U241" s="60">
        <f>S241-T241</f>
        <v>0</v>
      </c>
      <c r="V241" s="60"/>
      <c r="W241" s="60"/>
      <c r="X241" s="60"/>
      <c r="Y241" s="60"/>
      <c r="Z241" s="60"/>
      <c r="AA241" s="60">
        <f>Y241-Z241</f>
        <v>0</v>
      </c>
      <c r="AB241" s="60"/>
      <c r="AC241" s="60"/>
      <c r="AD241" s="60">
        <f>AB241-AC241</f>
        <v>0</v>
      </c>
      <c r="AE241" s="60"/>
      <c r="AF241" s="60"/>
      <c r="AG241" s="60">
        <f>AE241-AF241</f>
        <v>0</v>
      </c>
      <c r="AH241" s="60"/>
      <c r="AI241" s="60"/>
      <c r="AJ241" s="60"/>
      <c r="AK241" s="60"/>
      <c r="AL241" s="60"/>
      <c r="AM241" s="60">
        <f>AK241-AL241</f>
        <v>0</v>
      </c>
      <c r="AN241" s="60"/>
      <c r="AO241" s="60"/>
      <c r="AP241" s="60">
        <f>AN241-AO241</f>
        <v>0</v>
      </c>
      <c r="AQ241" s="60"/>
      <c r="AR241" s="60"/>
      <c r="AS241" s="60">
        <f>AQ241-AR241</f>
        <v>0</v>
      </c>
      <c r="AT241" s="60"/>
      <c r="AU241" s="60"/>
      <c r="AV241" s="60"/>
      <c r="AW241" s="60"/>
      <c r="AX241" s="60"/>
      <c r="AY241" s="60">
        <f>AW241-AX241</f>
        <v>0</v>
      </c>
      <c r="AZ241" s="60"/>
      <c r="BA241" s="60"/>
      <c r="BB241" s="60">
        <f>AZ241-BA241</f>
        <v>0</v>
      </c>
      <c r="BC241" s="60"/>
      <c r="BD241" s="60"/>
      <c r="BE241" s="60">
        <f>BC241-BD241</f>
        <v>0</v>
      </c>
      <c r="BF241" s="60"/>
      <c r="BG241" s="60"/>
      <c r="BH241" s="60"/>
      <c r="BI241" s="508"/>
      <c r="BJ241" s="488" t="str">
        <f t="shared" si="664"/>
        <v>Xé</v>
      </c>
      <c r="BK241" s="523">
        <f>ROUND(O241*G241*$B$6,-2)</f>
        <v>0</v>
      </c>
      <c r="BL241" s="523">
        <f>ROUND(R241*G241*$B$6,-2)</f>
        <v>0</v>
      </c>
      <c r="BM241" s="523">
        <f>ROUND(U241*G241*$B$6,-2)</f>
        <v>0</v>
      </c>
      <c r="BN241" s="523">
        <f>ROUND(X241*G241*$B$6,-2)</f>
        <v>0</v>
      </c>
      <c r="BO241" s="523">
        <f>ROUND(AA241*G241*$B$6,-2)</f>
        <v>0</v>
      </c>
      <c r="BP241" s="523">
        <f>ROUND(AD241*G241*$B$6,-2)</f>
        <v>0</v>
      </c>
      <c r="BQ241" s="523">
        <f>ROUND(AG241*G241*$B$6,-2)</f>
        <v>0</v>
      </c>
      <c r="BR241" s="523">
        <f>ROUND(AJ241*G241*$B$6,-2)</f>
        <v>0</v>
      </c>
      <c r="BS241" s="523">
        <f>ROUND(AM241*G241*$B$6,-2)</f>
        <v>0</v>
      </c>
      <c r="BT241" s="523">
        <f>ROUND(AP241*G241*$B$6,-2)</f>
        <v>0</v>
      </c>
      <c r="BU241" s="523">
        <f>ROUND(AS241*G241*$B$6,-2)</f>
        <v>0</v>
      </c>
      <c r="BV241" s="523">
        <f>ROUND(AV241*G241*$B$6,-2)</f>
        <v>0</v>
      </c>
      <c r="BW241" s="523">
        <f>ROUND(AY241*G241*$B$6,-2)</f>
        <v>0</v>
      </c>
      <c r="BX241" s="523">
        <f>ROUND(BB241*G241*$B$6,-2)</f>
        <v>0</v>
      </c>
      <c r="BY241" s="523">
        <f>ROUND(BE241*G241*$B$6,-2)</f>
        <v>0</v>
      </c>
      <c r="BZ241" s="523">
        <f>ROUND(BH241*G241*$B$6,-2)</f>
        <v>0</v>
      </c>
      <c r="CA241" s="354"/>
      <c r="CB241" s="354" t="b">
        <f t="shared" si="671"/>
        <v>0</v>
      </c>
      <c r="CC241" s="509" t="str">
        <f t="shared" si="795"/>
        <v>ĐL3.</v>
      </c>
      <c r="CD241" s="509" t="str">
        <f t="shared" si="673"/>
        <v>ĐL3.13,1</v>
      </c>
      <c r="CE241" s="351" t="str">
        <f t="shared" si="665"/>
        <v>Xé</v>
      </c>
      <c r="CF241" s="509" t="str">
        <f t="shared" si="674"/>
        <v>ĐL3.Xé</v>
      </c>
      <c r="CG241" s="509"/>
      <c r="CH241" s="509"/>
    </row>
    <row r="242" spans="1:86" ht="17.25" x14ac:dyDescent="0.3">
      <c r="A242" s="354" t="e">
        <f>#REF!</f>
        <v>#REF!</v>
      </c>
      <c r="B242" s="503">
        <v>15</v>
      </c>
      <c r="C242" s="507" t="s">
        <v>551</v>
      </c>
      <c r="D242" s="505"/>
      <c r="E242" s="505"/>
      <c r="F242" s="505"/>
      <c r="G242" s="505"/>
      <c r="H242" s="505"/>
      <c r="I242" s="63">
        <f t="shared" ref="I242:AN242" si="802">SUM(I243:I265)/2</f>
        <v>2660</v>
      </c>
      <c r="J242" s="63">
        <f t="shared" si="802"/>
        <v>695</v>
      </c>
      <c r="K242" s="63">
        <f t="shared" si="802"/>
        <v>1965</v>
      </c>
      <c r="L242" s="63">
        <f t="shared" si="802"/>
        <v>33900</v>
      </c>
      <c r="M242" s="209">
        <f t="shared" si="802"/>
        <v>220</v>
      </c>
      <c r="N242" s="209">
        <f t="shared" si="802"/>
        <v>100</v>
      </c>
      <c r="O242" s="209">
        <f t="shared" si="802"/>
        <v>120</v>
      </c>
      <c r="P242" s="209">
        <f t="shared" si="802"/>
        <v>170</v>
      </c>
      <c r="Q242" s="209">
        <f t="shared" si="802"/>
        <v>80</v>
      </c>
      <c r="R242" s="209">
        <f t="shared" si="802"/>
        <v>90</v>
      </c>
      <c r="S242" s="822">
        <f t="shared" si="802"/>
        <v>220</v>
      </c>
      <c r="T242" s="209">
        <f t="shared" si="802"/>
        <v>65</v>
      </c>
      <c r="U242" s="209">
        <f t="shared" si="802"/>
        <v>155</v>
      </c>
      <c r="V242" s="209">
        <f t="shared" si="802"/>
        <v>610</v>
      </c>
      <c r="W242" s="209">
        <f t="shared" si="802"/>
        <v>245</v>
      </c>
      <c r="X242" s="209">
        <f t="shared" si="802"/>
        <v>365</v>
      </c>
      <c r="Y242" s="209">
        <f t="shared" si="802"/>
        <v>225</v>
      </c>
      <c r="Z242" s="209">
        <f t="shared" si="802"/>
        <v>50</v>
      </c>
      <c r="AA242" s="209">
        <f t="shared" si="802"/>
        <v>175</v>
      </c>
      <c r="AB242" s="209">
        <f t="shared" si="802"/>
        <v>205</v>
      </c>
      <c r="AC242" s="209">
        <f t="shared" si="802"/>
        <v>50</v>
      </c>
      <c r="AD242" s="209">
        <f t="shared" si="802"/>
        <v>155</v>
      </c>
      <c r="AE242" s="209">
        <f t="shared" si="802"/>
        <v>245</v>
      </c>
      <c r="AF242" s="209">
        <f t="shared" si="802"/>
        <v>80</v>
      </c>
      <c r="AG242" s="209">
        <f t="shared" si="802"/>
        <v>165</v>
      </c>
      <c r="AH242" s="209">
        <f t="shared" si="802"/>
        <v>675</v>
      </c>
      <c r="AI242" s="209">
        <f t="shared" si="802"/>
        <v>180</v>
      </c>
      <c r="AJ242" s="209">
        <f t="shared" si="802"/>
        <v>495</v>
      </c>
      <c r="AK242" s="209">
        <f t="shared" si="802"/>
        <v>255</v>
      </c>
      <c r="AL242" s="209">
        <f t="shared" si="802"/>
        <v>85</v>
      </c>
      <c r="AM242" s="209">
        <f t="shared" si="802"/>
        <v>170</v>
      </c>
      <c r="AN242" s="209">
        <f t="shared" si="802"/>
        <v>245</v>
      </c>
      <c r="AO242" s="209">
        <f t="shared" ref="AO242:BH242" si="803">SUM(AO243:AO265)/2</f>
        <v>45</v>
      </c>
      <c r="AP242" s="209">
        <f t="shared" si="803"/>
        <v>200</v>
      </c>
      <c r="AQ242" s="209">
        <f t="shared" si="803"/>
        <v>215</v>
      </c>
      <c r="AR242" s="209">
        <f t="shared" si="803"/>
        <v>35</v>
      </c>
      <c r="AS242" s="209">
        <f t="shared" si="803"/>
        <v>180</v>
      </c>
      <c r="AT242" s="209">
        <f t="shared" si="803"/>
        <v>715</v>
      </c>
      <c r="AU242" s="209">
        <f t="shared" si="803"/>
        <v>165</v>
      </c>
      <c r="AV242" s="209">
        <f t="shared" si="803"/>
        <v>550</v>
      </c>
      <c r="AW242" s="209">
        <f t="shared" si="803"/>
        <v>230</v>
      </c>
      <c r="AX242" s="209">
        <f t="shared" si="803"/>
        <v>35</v>
      </c>
      <c r="AY242" s="209">
        <f t="shared" si="803"/>
        <v>195</v>
      </c>
      <c r="AZ242" s="209">
        <f t="shared" si="803"/>
        <v>225</v>
      </c>
      <c r="BA242" s="209">
        <f t="shared" si="803"/>
        <v>35</v>
      </c>
      <c r="BB242" s="209">
        <f t="shared" si="803"/>
        <v>190</v>
      </c>
      <c r="BC242" s="209">
        <f t="shared" si="803"/>
        <v>205</v>
      </c>
      <c r="BD242" s="209">
        <f t="shared" si="803"/>
        <v>35</v>
      </c>
      <c r="BE242" s="209">
        <f t="shared" si="803"/>
        <v>170</v>
      </c>
      <c r="BF242" s="209">
        <f t="shared" si="803"/>
        <v>660</v>
      </c>
      <c r="BG242" s="209">
        <f t="shared" si="803"/>
        <v>105</v>
      </c>
      <c r="BH242" s="209">
        <f t="shared" si="803"/>
        <v>555</v>
      </c>
      <c r="BI242" s="536"/>
      <c r="BJ242" s="488" t="str">
        <f t="shared" si="664"/>
        <v>PX</v>
      </c>
      <c r="BK242" s="209">
        <f t="shared" ref="BK242:BZ242" si="804">SUM(BK243:BK265)/2</f>
        <v>2400</v>
      </c>
      <c r="BL242" s="209">
        <f t="shared" si="804"/>
        <v>1800</v>
      </c>
      <c r="BM242" s="209">
        <f t="shared" si="804"/>
        <v>3200</v>
      </c>
      <c r="BN242" s="209">
        <f t="shared" si="804"/>
        <v>7200</v>
      </c>
      <c r="BO242" s="209">
        <f t="shared" si="804"/>
        <v>3700</v>
      </c>
      <c r="BP242" s="209">
        <f t="shared" si="804"/>
        <v>2900</v>
      </c>
      <c r="BQ242" s="209">
        <f t="shared" si="804"/>
        <v>3100</v>
      </c>
      <c r="BR242" s="209">
        <f t="shared" si="804"/>
        <v>9400</v>
      </c>
      <c r="BS242" s="209">
        <f t="shared" si="804"/>
        <v>2900</v>
      </c>
      <c r="BT242" s="209">
        <f t="shared" si="804"/>
        <v>3100</v>
      </c>
      <c r="BU242" s="209">
        <f t="shared" si="804"/>
        <v>2800</v>
      </c>
      <c r="BV242" s="209">
        <f t="shared" si="804"/>
        <v>8600</v>
      </c>
      <c r="BW242" s="209">
        <f t="shared" si="804"/>
        <v>3200</v>
      </c>
      <c r="BX242" s="209">
        <f t="shared" si="804"/>
        <v>3000</v>
      </c>
      <c r="BY242" s="209">
        <f t="shared" si="804"/>
        <v>2600</v>
      </c>
      <c r="BZ242" s="209">
        <f t="shared" si="804"/>
        <v>8700</v>
      </c>
      <c r="CA242" s="354"/>
      <c r="CB242" s="354" t="str">
        <f t="shared" si="671"/>
        <v>X</v>
      </c>
      <c r="CC242" s="534" t="s">
        <v>523</v>
      </c>
      <c r="CD242" s="509" t="str">
        <f t="shared" si="673"/>
        <v>ĐL1.</v>
      </c>
      <c r="CE242" s="351" t="str">
        <f t="shared" si="665"/>
        <v>PX</v>
      </c>
      <c r="CF242" s="509" t="str">
        <f t="shared" si="674"/>
        <v>ĐL1.PX</v>
      </c>
      <c r="CG242" s="509"/>
      <c r="CH242" s="509"/>
    </row>
    <row r="243" spans="1:86" s="358" customFormat="1" ht="19.5" customHeight="1" x14ac:dyDescent="0.3">
      <c r="A243" s="354" t="e">
        <f>A242</f>
        <v>#REF!</v>
      </c>
      <c r="B243" s="511" t="s">
        <v>8</v>
      </c>
      <c r="C243" s="512" t="s">
        <v>177</v>
      </c>
      <c r="D243" s="513"/>
      <c r="E243" s="513"/>
      <c r="F243" s="513"/>
      <c r="G243" s="514"/>
      <c r="H243" s="515"/>
      <c r="I243" s="69">
        <f t="shared" ref="I243:AN243" si="805">SUM(I244:I260)</f>
        <v>2225</v>
      </c>
      <c r="J243" s="69">
        <f t="shared" si="805"/>
        <v>260</v>
      </c>
      <c r="K243" s="69">
        <f t="shared" si="805"/>
        <v>1965</v>
      </c>
      <c r="L243" s="69">
        <f t="shared" si="805"/>
        <v>33900</v>
      </c>
      <c r="M243" s="229">
        <f t="shared" si="805"/>
        <v>180</v>
      </c>
      <c r="N243" s="57">
        <f t="shared" si="805"/>
        <v>60</v>
      </c>
      <c r="O243" s="57">
        <f t="shared" si="805"/>
        <v>120</v>
      </c>
      <c r="P243" s="229">
        <f t="shared" si="805"/>
        <v>140</v>
      </c>
      <c r="Q243" s="57">
        <f t="shared" si="805"/>
        <v>50</v>
      </c>
      <c r="R243" s="57">
        <f t="shared" si="805"/>
        <v>90</v>
      </c>
      <c r="S243" s="831">
        <f t="shared" si="805"/>
        <v>180</v>
      </c>
      <c r="T243" s="57">
        <f t="shared" si="805"/>
        <v>25</v>
      </c>
      <c r="U243" s="57">
        <f t="shared" si="805"/>
        <v>155</v>
      </c>
      <c r="V243" s="69">
        <f t="shared" si="805"/>
        <v>500</v>
      </c>
      <c r="W243" s="211">
        <f t="shared" si="805"/>
        <v>135</v>
      </c>
      <c r="X243" s="211">
        <f t="shared" si="805"/>
        <v>365</v>
      </c>
      <c r="Y243" s="229">
        <f t="shared" si="805"/>
        <v>185</v>
      </c>
      <c r="Z243" s="57">
        <f t="shared" si="805"/>
        <v>10</v>
      </c>
      <c r="AA243" s="57">
        <f t="shared" si="805"/>
        <v>175</v>
      </c>
      <c r="AB243" s="229">
        <f t="shared" si="805"/>
        <v>175</v>
      </c>
      <c r="AC243" s="57">
        <f t="shared" si="805"/>
        <v>20</v>
      </c>
      <c r="AD243" s="57">
        <f t="shared" si="805"/>
        <v>155</v>
      </c>
      <c r="AE243" s="229">
        <f t="shared" si="805"/>
        <v>205</v>
      </c>
      <c r="AF243" s="57">
        <f t="shared" si="805"/>
        <v>40</v>
      </c>
      <c r="AG243" s="57">
        <f t="shared" si="805"/>
        <v>165</v>
      </c>
      <c r="AH243" s="69">
        <f t="shared" si="805"/>
        <v>565</v>
      </c>
      <c r="AI243" s="211">
        <f t="shared" si="805"/>
        <v>70</v>
      </c>
      <c r="AJ243" s="211">
        <f t="shared" si="805"/>
        <v>495</v>
      </c>
      <c r="AK243" s="229">
        <f t="shared" si="805"/>
        <v>215</v>
      </c>
      <c r="AL243" s="57">
        <f t="shared" si="805"/>
        <v>45</v>
      </c>
      <c r="AM243" s="57">
        <f t="shared" si="805"/>
        <v>170</v>
      </c>
      <c r="AN243" s="229">
        <f t="shared" si="805"/>
        <v>205</v>
      </c>
      <c r="AO243" s="57">
        <f t="shared" ref="AO243:BH243" si="806">SUM(AO244:AO260)</f>
        <v>5</v>
      </c>
      <c r="AP243" s="57">
        <f t="shared" si="806"/>
        <v>200</v>
      </c>
      <c r="AQ243" s="229">
        <f t="shared" si="806"/>
        <v>185</v>
      </c>
      <c r="AR243" s="57">
        <f t="shared" si="806"/>
        <v>5</v>
      </c>
      <c r="AS243" s="57">
        <f t="shared" si="806"/>
        <v>180</v>
      </c>
      <c r="AT243" s="69">
        <f t="shared" si="806"/>
        <v>605</v>
      </c>
      <c r="AU243" s="211">
        <f t="shared" si="806"/>
        <v>55</v>
      </c>
      <c r="AV243" s="211">
        <f t="shared" si="806"/>
        <v>550</v>
      </c>
      <c r="AW243" s="229">
        <f t="shared" si="806"/>
        <v>195</v>
      </c>
      <c r="AX243" s="57">
        <f t="shared" si="806"/>
        <v>0</v>
      </c>
      <c r="AY243" s="57">
        <f t="shared" si="806"/>
        <v>195</v>
      </c>
      <c r="AZ243" s="229">
        <f t="shared" si="806"/>
        <v>190</v>
      </c>
      <c r="BA243" s="57">
        <f t="shared" si="806"/>
        <v>0</v>
      </c>
      <c r="BB243" s="57">
        <f t="shared" si="806"/>
        <v>190</v>
      </c>
      <c r="BC243" s="229">
        <f t="shared" si="806"/>
        <v>170</v>
      </c>
      <c r="BD243" s="57">
        <f t="shared" si="806"/>
        <v>0</v>
      </c>
      <c r="BE243" s="57">
        <f t="shared" si="806"/>
        <v>170</v>
      </c>
      <c r="BF243" s="69">
        <f t="shared" si="806"/>
        <v>555</v>
      </c>
      <c r="BG243" s="211">
        <f t="shared" si="806"/>
        <v>0</v>
      </c>
      <c r="BH243" s="211">
        <f t="shared" si="806"/>
        <v>555</v>
      </c>
      <c r="BI243" s="516"/>
      <c r="BJ243" s="488" t="str">
        <f t="shared" si="664"/>
        <v>ĐL</v>
      </c>
      <c r="BK243" s="230">
        <f t="shared" ref="BK243:BZ243" si="807">SUM(BK244:BK260)</f>
        <v>2400</v>
      </c>
      <c r="BL243" s="230">
        <f t="shared" si="807"/>
        <v>1800</v>
      </c>
      <c r="BM243" s="230">
        <f t="shared" si="807"/>
        <v>3200</v>
      </c>
      <c r="BN243" s="230">
        <f t="shared" si="807"/>
        <v>7200</v>
      </c>
      <c r="BO243" s="230">
        <f t="shared" si="807"/>
        <v>3700</v>
      </c>
      <c r="BP243" s="230">
        <f t="shared" si="807"/>
        <v>2900</v>
      </c>
      <c r="BQ243" s="230">
        <f t="shared" si="807"/>
        <v>3100</v>
      </c>
      <c r="BR243" s="230">
        <f t="shared" si="807"/>
        <v>9400</v>
      </c>
      <c r="BS243" s="230">
        <f t="shared" si="807"/>
        <v>2900</v>
      </c>
      <c r="BT243" s="230">
        <f t="shared" si="807"/>
        <v>3100</v>
      </c>
      <c r="BU243" s="230">
        <f t="shared" si="807"/>
        <v>2800</v>
      </c>
      <c r="BV243" s="230">
        <f t="shared" si="807"/>
        <v>8600</v>
      </c>
      <c r="BW243" s="230">
        <f t="shared" si="807"/>
        <v>3200</v>
      </c>
      <c r="BX243" s="230">
        <f t="shared" si="807"/>
        <v>3000</v>
      </c>
      <c r="BY243" s="230">
        <f t="shared" si="807"/>
        <v>2600</v>
      </c>
      <c r="BZ243" s="230">
        <f t="shared" si="807"/>
        <v>8700</v>
      </c>
      <c r="CA243" s="517">
        <f>I243-V243-AH243-AT243-BF243</f>
        <v>0</v>
      </c>
      <c r="CB243" s="354" t="str">
        <f t="shared" ref="CB243:CB265" si="808">IF(SUM(I243:L243)&lt;&gt;0,"X")</f>
        <v>X</v>
      </c>
      <c r="CC243" s="534" t="s">
        <v>523</v>
      </c>
      <c r="CD243" s="509" t="str">
        <f t="shared" ref="CD243:CD265" si="809">CC243&amp;G243</f>
        <v>ĐL1.</v>
      </c>
      <c r="CE243" s="351" t="str">
        <f t="shared" si="665"/>
        <v>ĐL</v>
      </c>
      <c r="CF243" s="509" t="str">
        <f t="shared" ref="CF243:CF265" si="810">CC243&amp;CE243</f>
        <v>ĐL1.ĐL</v>
      </c>
      <c r="CG243" s="509"/>
      <c r="CH243" s="509"/>
    </row>
    <row r="244" spans="1:86" ht="24" customHeight="1" x14ac:dyDescent="0.3">
      <c r="A244" s="354" t="e">
        <f>A243</f>
        <v>#REF!</v>
      </c>
      <c r="B244" s="932" t="s">
        <v>544</v>
      </c>
      <c r="C244" s="519" t="s">
        <v>692</v>
      </c>
      <c r="D244" s="447" t="s">
        <v>14</v>
      </c>
      <c r="E244" s="447"/>
      <c r="F244" s="447"/>
      <c r="G244" s="520">
        <v>16.100000000000001</v>
      </c>
      <c r="H244" s="521">
        <v>0.7</v>
      </c>
      <c r="I244" s="522">
        <f t="shared" ref="I244:I260" si="811">V244+AH244+AT244+BF244</f>
        <v>185</v>
      </c>
      <c r="J244" s="522">
        <f t="shared" ref="J244:J260" si="812">W244+AI244+AU244+BG244</f>
        <v>50</v>
      </c>
      <c r="K244" s="522">
        <f t="shared" ref="K244:K260" si="813">X244+AJ244+AV244+BH244</f>
        <v>135</v>
      </c>
      <c r="L244" s="57">
        <f t="shared" ref="L244:L260" si="814">BN244+BR244+BV244+BZ244</f>
        <v>2600</v>
      </c>
      <c r="M244" s="60">
        <v>80</v>
      </c>
      <c r="N244" s="60">
        <v>20</v>
      </c>
      <c r="O244" s="60">
        <f t="shared" ref="O244:O260" si="815">M244-N244</f>
        <v>60</v>
      </c>
      <c r="P244" s="60">
        <v>60</v>
      </c>
      <c r="Q244" s="60">
        <v>20</v>
      </c>
      <c r="R244" s="60">
        <f t="shared" ref="R244:R260" si="816">P244-Q244</f>
        <v>40</v>
      </c>
      <c r="S244" s="824">
        <v>45</v>
      </c>
      <c r="T244" s="60">
        <v>10</v>
      </c>
      <c r="U244" s="60">
        <f t="shared" ref="U244:U260" si="817">S244-T244</f>
        <v>35</v>
      </c>
      <c r="V244" s="60">
        <f t="shared" ref="V244:X245" si="818">M244+P244+S244</f>
        <v>185</v>
      </c>
      <c r="W244" s="60">
        <f t="shared" si="818"/>
        <v>50</v>
      </c>
      <c r="X244" s="60">
        <f t="shared" si="818"/>
        <v>135</v>
      </c>
      <c r="Y244" s="60"/>
      <c r="Z244" s="60"/>
      <c r="AA244" s="60">
        <f t="shared" ref="AA244:AA260" si="819">Y244-Z244</f>
        <v>0</v>
      </c>
      <c r="AB244" s="60"/>
      <c r="AC244" s="60"/>
      <c r="AD244" s="60">
        <f t="shared" ref="AD244:AD260" si="820">AB244-AC244</f>
        <v>0</v>
      </c>
      <c r="AE244" s="60"/>
      <c r="AF244" s="60"/>
      <c r="AG244" s="60">
        <f t="shared" ref="AG244:AG260" si="821">AE244-AF244</f>
        <v>0</v>
      </c>
      <c r="AH244" s="60"/>
      <c r="AI244" s="60"/>
      <c r="AJ244" s="60">
        <f>AH244-AI244</f>
        <v>0</v>
      </c>
      <c r="AK244" s="60"/>
      <c r="AL244" s="60"/>
      <c r="AM244" s="60">
        <f t="shared" ref="AM244:AM260" si="822">AK244-AL244</f>
        <v>0</v>
      </c>
      <c r="AN244" s="60"/>
      <c r="AO244" s="60"/>
      <c r="AP244" s="60">
        <f t="shared" ref="AP244:AP260" si="823">AN244-AO244</f>
        <v>0</v>
      </c>
      <c r="AQ244" s="60"/>
      <c r="AR244" s="60"/>
      <c r="AS244" s="60">
        <f t="shared" ref="AS244:AS260" si="824">AQ244-AR244</f>
        <v>0</v>
      </c>
      <c r="AT244" s="60"/>
      <c r="AU244" s="60"/>
      <c r="AV244" s="60">
        <f>AT244-AU244</f>
        <v>0</v>
      </c>
      <c r="AW244" s="60"/>
      <c r="AX244" s="60"/>
      <c r="AY244" s="60">
        <f t="shared" ref="AY244:AY260" si="825">AW244-AX244</f>
        <v>0</v>
      </c>
      <c r="AZ244" s="60"/>
      <c r="BA244" s="60"/>
      <c r="BB244" s="60">
        <f t="shared" ref="BB244:BB260" si="826">AZ244-BA244</f>
        <v>0</v>
      </c>
      <c r="BC244" s="60"/>
      <c r="BD244" s="60"/>
      <c r="BE244" s="60">
        <f t="shared" ref="BE244:BE260" si="827">BC244-BD244</f>
        <v>0</v>
      </c>
      <c r="BF244" s="60"/>
      <c r="BG244" s="60"/>
      <c r="BH244" s="60"/>
      <c r="BI244" s="508"/>
      <c r="BJ244" s="488" t="str">
        <f t="shared" si="664"/>
        <v>Lò</v>
      </c>
      <c r="BK244" s="523">
        <f>ROUND(O244*G244*$C$3*$B$5,-2)</f>
        <v>1200</v>
      </c>
      <c r="BL244" s="523">
        <f>ROUND(R244*G244*$C$3*$B$5,-2)</f>
        <v>800</v>
      </c>
      <c r="BM244" s="523">
        <f>ROUND(U244*G244*$C$3*$B$5,-2)</f>
        <v>700</v>
      </c>
      <c r="BN244" s="523">
        <f>ROUND(X244*G244*$C$3*$B$5,-2)</f>
        <v>2600</v>
      </c>
      <c r="BO244" s="523">
        <f>ROUND(AA244*G244*$C$3*$B$5,-2)</f>
        <v>0</v>
      </c>
      <c r="BP244" s="523">
        <f>ROUND(AD244*G244*$C$3*$B$5,-2)</f>
        <v>0</v>
      </c>
      <c r="BQ244" s="523">
        <f>ROUND(AG244*G244*$C$3*$B$5,-2)</f>
        <v>0</v>
      </c>
      <c r="BR244" s="523">
        <f>ROUND(AJ244*G244*$B$5*$C$3,-2)</f>
        <v>0</v>
      </c>
      <c r="BS244" s="523">
        <f>ROUND(AM244*G244*$C$3*$B$5,-2)</f>
        <v>0</v>
      </c>
      <c r="BT244" s="523">
        <f>ROUND(AP244*G244*$C$3*$B$5,-2)</f>
        <v>0</v>
      </c>
      <c r="BU244" s="523">
        <f>ROUND(AS244*G244*$C$3*$B$5,-2)</f>
        <v>0</v>
      </c>
      <c r="BV244" s="523">
        <f>ROUND(AV244*G244*$C$3*$B$5,-2)</f>
        <v>0</v>
      </c>
      <c r="BW244" s="523">
        <f>ROUND(AY244*G244*$C$3*$B$5,-2)</f>
        <v>0</v>
      </c>
      <c r="BX244" s="523">
        <f>ROUND(BB244*G244*$C$3*$B$5,-2)</f>
        <v>0</v>
      </c>
      <c r="BY244" s="523">
        <f>ROUND(BE244*G244*$C$3*$B$5,-2)</f>
        <v>0</v>
      </c>
      <c r="BZ244" s="523">
        <f>ROUND(BH244*G244*$C$3*$B$5,-2)</f>
        <v>0</v>
      </c>
      <c r="CA244" s="354"/>
      <c r="CB244" s="354" t="str">
        <f t="shared" si="808"/>
        <v>X</v>
      </c>
      <c r="CC244" s="534" t="s">
        <v>523</v>
      </c>
      <c r="CD244" s="509" t="str">
        <f t="shared" si="809"/>
        <v>ĐL1.16,1</v>
      </c>
      <c r="CE244" s="351" t="str">
        <f t="shared" si="665"/>
        <v>Lò</v>
      </c>
      <c r="CF244" s="509" t="str">
        <f t="shared" si="810"/>
        <v>ĐL1.Lò</v>
      </c>
      <c r="CG244" s="509"/>
      <c r="CH244" s="509"/>
    </row>
    <row r="245" spans="1:86" ht="24" customHeight="1" x14ac:dyDescent="0.3">
      <c r="A245" s="354" t="e">
        <f>A241</f>
        <v>#REF!</v>
      </c>
      <c r="B245" s="933"/>
      <c r="C245" s="519" t="s">
        <v>693</v>
      </c>
      <c r="D245" s="447" t="s">
        <v>14</v>
      </c>
      <c r="E245" s="447"/>
      <c r="F245" s="447"/>
      <c r="G245" s="520">
        <v>20.5</v>
      </c>
      <c r="H245" s="521">
        <v>0.5</v>
      </c>
      <c r="I245" s="522">
        <f t="shared" si="811"/>
        <v>70</v>
      </c>
      <c r="J245" s="522">
        <f t="shared" si="812"/>
        <v>5</v>
      </c>
      <c r="K245" s="522">
        <f t="shared" si="813"/>
        <v>65</v>
      </c>
      <c r="L245" s="57">
        <f t="shared" si="814"/>
        <v>1600</v>
      </c>
      <c r="M245" s="60"/>
      <c r="N245" s="60"/>
      <c r="O245" s="60">
        <f t="shared" si="815"/>
        <v>0</v>
      </c>
      <c r="P245" s="60"/>
      <c r="Q245" s="60"/>
      <c r="R245" s="60">
        <f t="shared" si="816"/>
        <v>0</v>
      </c>
      <c r="S245" s="824">
        <v>15</v>
      </c>
      <c r="T245" s="60"/>
      <c r="U245" s="60">
        <f t="shared" si="817"/>
        <v>15</v>
      </c>
      <c r="V245" s="60">
        <f t="shared" si="818"/>
        <v>15</v>
      </c>
      <c r="W245" s="60">
        <f t="shared" si="818"/>
        <v>0</v>
      </c>
      <c r="X245" s="60">
        <f t="shared" si="818"/>
        <v>15</v>
      </c>
      <c r="Y245" s="60">
        <v>55</v>
      </c>
      <c r="Z245" s="60">
        <v>5</v>
      </c>
      <c r="AA245" s="60">
        <f t="shared" si="819"/>
        <v>50</v>
      </c>
      <c r="AB245" s="60"/>
      <c r="AC245" s="60"/>
      <c r="AD245" s="60">
        <f t="shared" si="820"/>
        <v>0</v>
      </c>
      <c r="AE245" s="60"/>
      <c r="AF245" s="60"/>
      <c r="AG245" s="60">
        <f t="shared" si="821"/>
        <v>0</v>
      </c>
      <c r="AH245" s="60">
        <f t="shared" ref="AH245:AJ246" si="828">Y245+AB245+AE245</f>
        <v>55</v>
      </c>
      <c r="AI245" s="60">
        <f t="shared" si="828"/>
        <v>5</v>
      </c>
      <c r="AJ245" s="60">
        <f t="shared" si="828"/>
        <v>50</v>
      </c>
      <c r="AK245" s="60"/>
      <c r="AL245" s="60"/>
      <c r="AM245" s="60">
        <f t="shared" si="822"/>
        <v>0</v>
      </c>
      <c r="AN245" s="60"/>
      <c r="AO245" s="60"/>
      <c r="AP245" s="60">
        <f t="shared" si="823"/>
        <v>0</v>
      </c>
      <c r="AQ245" s="60"/>
      <c r="AR245" s="60"/>
      <c r="AS245" s="60">
        <f t="shared" si="824"/>
        <v>0</v>
      </c>
      <c r="AT245" s="60"/>
      <c r="AU245" s="60"/>
      <c r="AV245" s="60">
        <f>AT245-AU245</f>
        <v>0</v>
      </c>
      <c r="AW245" s="60"/>
      <c r="AX245" s="60"/>
      <c r="AY245" s="60">
        <f t="shared" si="825"/>
        <v>0</v>
      </c>
      <c r="AZ245" s="60"/>
      <c r="BA245" s="60"/>
      <c r="BB245" s="60">
        <f t="shared" si="826"/>
        <v>0</v>
      </c>
      <c r="BC245" s="60"/>
      <c r="BD245" s="60"/>
      <c r="BE245" s="60">
        <f t="shared" si="827"/>
        <v>0</v>
      </c>
      <c r="BF245" s="60"/>
      <c r="BG245" s="60"/>
      <c r="BH245" s="60"/>
      <c r="BI245" s="508"/>
      <c r="BJ245" s="488" t="str">
        <f t="shared" si="664"/>
        <v>Lò</v>
      </c>
      <c r="BK245" s="523">
        <f t="shared" ref="BK245:BK255" si="829">ROUND(O245*G245*$C$3*$B$5,-2)</f>
        <v>0</v>
      </c>
      <c r="BL245" s="523">
        <f t="shared" ref="BL245:BL255" si="830">ROUND(R245*G245*$C$3*$B$5,-2)</f>
        <v>0</v>
      </c>
      <c r="BM245" s="523">
        <f t="shared" ref="BM245:BM255" si="831">ROUND(U245*G245*$C$3*$B$5,-2)</f>
        <v>400</v>
      </c>
      <c r="BN245" s="523">
        <f t="shared" ref="BN245:BN255" si="832">ROUND(X245*G245*$C$3*$B$5,-2)</f>
        <v>400</v>
      </c>
      <c r="BO245" s="523">
        <f t="shared" ref="BO245:BO255" si="833">ROUND(AA245*G245*$C$3*$B$5,-2)</f>
        <v>1200</v>
      </c>
      <c r="BP245" s="523">
        <f t="shared" ref="BP245:BP255" si="834">ROUND(AD245*G245*$C$3*$B$5,-2)</f>
        <v>0</v>
      </c>
      <c r="BQ245" s="523">
        <f t="shared" ref="BQ245:BQ255" si="835">ROUND(AG245*G245*$C$3*$B$5,-2)</f>
        <v>0</v>
      </c>
      <c r="BR245" s="523">
        <f t="shared" ref="BR245:BR255" si="836">ROUND(AJ245*G245*$B$5*$C$3,-2)</f>
        <v>1200</v>
      </c>
      <c r="BS245" s="523">
        <f t="shared" ref="BS245:BS255" si="837">ROUND(AM245*G245*$C$3*$B$5,-2)</f>
        <v>0</v>
      </c>
      <c r="BT245" s="523">
        <f t="shared" ref="BT245:BT255" si="838">ROUND(AP245*G245*$C$3*$B$5,-2)</f>
        <v>0</v>
      </c>
      <c r="BU245" s="523">
        <f t="shared" ref="BU245:BU255" si="839">ROUND(AS245*G245*$C$3*$B$5,-2)</f>
        <v>0</v>
      </c>
      <c r="BV245" s="523">
        <f t="shared" ref="BV245:BV255" si="840">ROUND(AV245*G245*$C$3*$B$5,-2)</f>
        <v>0</v>
      </c>
      <c r="BW245" s="523">
        <f t="shared" ref="BW245:BW255" si="841">ROUND(AY245*G245*$C$3*$B$5,-2)</f>
        <v>0</v>
      </c>
      <c r="BX245" s="523">
        <f t="shared" ref="BX245:BX255" si="842">ROUND(BB245*G245*$C$3*$B$5,-2)</f>
        <v>0</v>
      </c>
      <c r="BY245" s="523">
        <f t="shared" ref="BY245:BY255" si="843">ROUND(BE245*G245*$C$3*$B$5,-2)</f>
        <v>0</v>
      </c>
      <c r="BZ245" s="523">
        <f t="shared" ref="BZ245:BZ255" si="844">ROUND(BH245*G245*$C$3*$B$5,-2)</f>
        <v>0</v>
      </c>
      <c r="CA245" s="354"/>
      <c r="CB245" s="354" t="str">
        <f t="shared" si="808"/>
        <v>X</v>
      </c>
      <c r="CC245" s="534" t="s">
        <v>523</v>
      </c>
      <c r="CD245" s="509" t="str">
        <f t="shared" si="809"/>
        <v>ĐL1.20,5</v>
      </c>
      <c r="CE245" s="351" t="str">
        <f t="shared" si="665"/>
        <v>Lò</v>
      </c>
      <c r="CF245" s="509" t="str">
        <f t="shared" si="810"/>
        <v>ĐL1.Lò</v>
      </c>
      <c r="CG245" s="509"/>
      <c r="CH245" s="509"/>
    </row>
    <row r="246" spans="1:86" ht="24" customHeight="1" x14ac:dyDescent="0.3">
      <c r="A246" s="354" t="e">
        <f>A245</f>
        <v>#REF!</v>
      </c>
      <c r="B246" s="934"/>
      <c r="C246" s="519" t="s">
        <v>696</v>
      </c>
      <c r="D246" s="447" t="s">
        <v>14</v>
      </c>
      <c r="E246" s="447"/>
      <c r="F246" s="447"/>
      <c r="G246" s="520">
        <v>13.1</v>
      </c>
      <c r="H246" s="521">
        <v>0.7</v>
      </c>
      <c r="I246" s="522">
        <f t="shared" si="811"/>
        <v>570</v>
      </c>
      <c r="J246" s="522">
        <f t="shared" si="812"/>
        <v>65</v>
      </c>
      <c r="K246" s="522">
        <f t="shared" si="813"/>
        <v>505</v>
      </c>
      <c r="L246" s="57">
        <f t="shared" si="814"/>
        <v>7900</v>
      </c>
      <c r="M246" s="60"/>
      <c r="N246" s="60"/>
      <c r="O246" s="60">
        <f t="shared" si="815"/>
        <v>0</v>
      </c>
      <c r="P246" s="60"/>
      <c r="Q246" s="60"/>
      <c r="R246" s="60">
        <f t="shared" si="816"/>
        <v>0</v>
      </c>
      <c r="S246" s="824"/>
      <c r="T246" s="60"/>
      <c r="U246" s="60">
        <f t="shared" si="817"/>
        <v>0</v>
      </c>
      <c r="V246" s="60"/>
      <c r="W246" s="60"/>
      <c r="X246" s="60">
        <f>V246-W246</f>
        <v>0</v>
      </c>
      <c r="Y246" s="60"/>
      <c r="Z246" s="60"/>
      <c r="AA246" s="60">
        <f t="shared" si="819"/>
        <v>0</v>
      </c>
      <c r="AB246" s="60">
        <v>75</v>
      </c>
      <c r="AC246" s="60">
        <v>20</v>
      </c>
      <c r="AD246" s="60">
        <f t="shared" si="820"/>
        <v>55</v>
      </c>
      <c r="AE246" s="60">
        <v>75</v>
      </c>
      <c r="AF246" s="60">
        <v>20</v>
      </c>
      <c r="AG246" s="60">
        <f t="shared" si="821"/>
        <v>55</v>
      </c>
      <c r="AH246" s="60">
        <f t="shared" si="828"/>
        <v>150</v>
      </c>
      <c r="AI246" s="60">
        <f t="shared" si="828"/>
        <v>40</v>
      </c>
      <c r="AJ246" s="60">
        <f t="shared" si="828"/>
        <v>110</v>
      </c>
      <c r="AK246" s="60">
        <v>70</v>
      </c>
      <c r="AL246" s="60">
        <v>15</v>
      </c>
      <c r="AM246" s="60">
        <f t="shared" si="822"/>
        <v>55</v>
      </c>
      <c r="AN246" s="60">
        <v>70</v>
      </c>
      <c r="AO246" s="60">
        <v>5</v>
      </c>
      <c r="AP246" s="60">
        <f t="shared" si="823"/>
        <v>65</v>
      </c>
      <c r="AQ246" s="60">
        <v>70</v>
      </c>
      <c r="AR246" s="60">
        <v>5</v>
      </c>
      <c r="AS246" s="60">
        <f t="shared" si="824"/>
        <v>65</v>
      </c>
      <c r="AT246" s="60">
        <f>AK246+AN246+AQ246</f>
        <v>210</v>
      </c>
      <c r="AU246" s="60">
        <f>AL246+AO246+AR246</f>
        <v>25</v>
      </c>
      <c r="AV246" s="60">
        <f>AM246+AP246+AS246</f>
        <v>185</v>
      </c>
      <c r="AW246" s="60">
        <v>70</v>
      </c>
      <c r="AX246" s="60"/>
      <c r="AY246" s="60">
        <f t="shared" si="825"/>
        <v>70</v>
      </c>
      <c r="AZ246" s="60">
        <v>70</v>
      </c>
      <c r="BA246" s="60"/>
      <c r="BB246" s="60">
        <f t="shared" si="826"/>
        <v>70</v>
      </c>
      <c r="BC246" s="60">
        <v>70</v>
      </c>
      <c r="BD246" s="60"/>
      <c r="BE246" s="60">
        <f t="shared" si="827"/>
        <v>70</v>
      </c>
      <c r="BF246" s="60">
        <f>AW246+AZ246+BC246</f>
        <v>210</v>
      </c>
      <c r="BG246" s="60">
        <f>AX246+BA246+BD246</f>
        <v>0</v>
      </c>
      <c r="BH246" s="60">
        <f>AY246+BB246+BE246</f>
        <v>210</v>
      </c>
      <c r="BI246" s="508"/>
      <c r="BJ246" s="488" t="str">
        <f t="shared" si="664"/>
        <v>Lò</v>
      </c>
      <c r="BK246" s="523">
        <f t="shared" si="829"/>
        <v>0</v>
      </c>
      <c r="BL246" s="523">
        <f t="shared" si="830"/>
        <v>0</v>
      </c>
      <c r="BM246" s="523">
        <f t="shared" si="831"/>
        <v>0</v>
      </c>
      <c r="BN246" s="523">
        <f t="shared" si="832"/>
        <v>0</v>
      </c>
      <c r="BO246" s="523">
        <f t="shared" si="833"/>
        <v>0</v>
      </c>
      <c r="BP246" s="523">
        <f t="shared" si="834"/>
        <v>900</v>
      </c>
      <c r="BQ246" s="523">
        <f t="shared" si="835"/>
        <v>900</v>
      </c>
      <c r="BR246" s="523">
        <f t="shared" si="836"/>
        <v>1700</v>
      </c>
      <c r="BS246" s="523">
        <f t="shared" si="837"/>
        <v>900</v>
      </c>
      <c r="BT246" s="523">
        <f t="shared" si="838"/>
        <v>1000</v>
      </c>
      <c r="BU246" s="523">
        <f t="shared" si="839"/>
        <v>1000</v>
      </c>
      <c r="BV246" s="523">
        <f t="shared" si="840"/>
        <v>2900</v>
      </c>
      <c r="BW246" s="523">
        <f t="shared" si="841"/>
        <v>1100</v>
      </c>
      <c r="BX246" s="523">
        <f t="shared" si="842"/>
        <v>1100</v>
      </c>
      <c r="BY246" s="523">
        <f t="shared" si="843"/>
        <v>1100</v>
      </c>
      <c r="BZ246" s="523">
        <f t="shared" si="844"/>
        <v>3300</v>
      </c>
      <c r="CA246" s="354"/>
      <c r="CB246" s="354" t="str">
        <f t="shared" si="808"/>
        <v>X</v>
      </c>
      <c r="CC246" s="534" t="s">
        <v>523</v>
      </c>
      <c r="CD246" s="509" t="str">
        <f t="shared" si="809"/>
        <v>ĐL1.13,1</v>
      </c>
      <c r="CE246" s="351" t="str">
        <f t="shared" si="665"/>
        <v>Lò</v>
      </c>
      <c r="CF246" s="509" t="str">
        <f t="shared" si="810"/>
        <v>ĐL1.Lò</v>
      </c>
      <c r="CG246" s="509"/>
      <c r="CH246" s="509"/>
    </row>
    <row r="247" spans="1:86" ht="24" customHeight="1" x14ac:dyDescent="0.3">
      <c r="A247" s="354"/>
      <c r="B247" s="541"/>
      <c r="C247" s="519" t="s">
        <v>847</v>
      </c>
      <c r="D247" s="447" t="s">
        <v>14</v>
      </c>
      <c r="E247" s="447"/>
      <c r="F247" s="447"/>
      <c r="G247" s="520">
        <v>16.100000000000001</v>
      </c>
      <c r="H247" s="521">
        <v>0.5</v>
      </c>
      <c r="I247" s="522">
        <f>V247+AH247+AT247+BF247</f>
        <v>70</v>
      </c>
      <c r="J247" s="522">
        <f>W247+AI247+AU247+BG247</f>
        <v>70</v>
      </c>
      <c r="K247" s="522">
        <f>X247+AJ247+AV247+BH247</f>
        <v>0</v>
      </c>
      <c r="L247" s="57"/>
      <c r="M247" s="60">
        <v>40</v>
      </c>
      <c r="N247" s="60">
        <v>40</v>
      </c>
      <c r="O247" s="60">
        <f>M247-N247</f>
        <v>0</v>
      </c>
      <c r="P247" s="60">
        <v>30</v>
      </c>
      <c r="Q247" s="60">
        <v>30</v>
      </c>
      <c r="R247" s="60">
        <f>P247-Q247</f>
        <v>0</v>
      </c>
      <c r="S247" s="824"/>
      <c r="T247" s="60"/>
      <c r="U247" s="60"/>
      <c r="V247" s="60">
        <f>M247+P247+S247</f>
        <v>70</v>
      </c>
      <c r="W247" s="60">
        <f>N247+Q247+T247</f>
        <v>70</v>
      </c>
      <c r="X247" s="60">
        <f>O247+R247+U247</f>
        <v>0</v>
      </c>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508"/>
      <c r="BJ247" s="488" t="str">
        <f t="shared" si="664"/>
        <v>Lò</v>
      </c>
      <c r="BK247" s="523">
        <f t="shared" si="829"/>
        <v>0</v>
      </c>
      <c r="BL247" s="523">
        <f t="shared" si="830"/>
        <v>0</v>
      </c>
      <c r="BM247" s="523">
        <f t="shared" si="831"/>
        <v>0</v>
      </c>
      <c r="BN247" s="523">
        <f t="shared" si="832"/>
        <v>0</v>
      </c>
      <c r="BO247" s="523">
        <f t="shared" si="833"/>
        <v>0</v>
      </c>
      <c r="BP247" s="523">
        <f t="shared" si="834"/>
        <v>0</v>
      </c>
      <c r="BQ247" s="523">
        <f t="shared" si="835"/>
        <v>0</v>
      </c>
      <c r="BR247" s="523">
        <f t="shared" si="836"/>
        <v>0</v>
      </c>
      <c r="BS247" s="523">
        <f t="shared" si="837"/>
        <v>0</v>
      </c>
      <c r="BT247" s="523">
        <f t="shared" si="838"/>
        <v>0</v>
      </c>
      <c r="BU247" s="523">
        <f t="shared" si="839"/>
        <v>0</v>
      </c>
      <c r="BV247" s="523">
        <f t="shared" si="840"/>
        <v>0</v>
      </c>
      <c r="BW247" s="523">
        <f t="shared" si="841"/>
        <v>0</v>
      </c>
      <c r="BX247" s="523">
        <f t="shared" si="842"/>
        <v>0</v>
      </c>
      <c r="BY247" s="523">
        <f t="shared" si="843"/>
        <v>0</v>
      </c>
      <c r="BZ247" s="523">
        <f t="shared" si="844"/>
        <v>0</v>
      </c>
      <c r="CA247" s="354"/>
      <c r="CB247" s="354" t="str">
        <f t="shared" si="808"/>
        <v>X</v>
      </c>
      <c r="CC247" s="534" t="s">
        <v>523</v>
      </c>
      <c r="CD247" s="509" t="str">
        <f t="shared" si="809"/>
        <v>ĐL1.16,1</v>
      </c>
      <c r="CE247" s="351" t="str">
        <f t="shared" si="665"/>
        <v>Lò</v>
      </c>
      <c r="CF247" s="509" t="str">
        <f t="shared" si="810"/>
        <v>ĐL1.Lò</v>
      </c>
      <c r="CG247" s="509"/>
      <c r="CH247" s="509"/>
    </row>
    <row r="248" spans="1:86" ht="24" customHeight="1" x14ac:dyDescent="0.3">
      <c r="A248" s="354" t="e">
        <f>A242</f>
        <v>#REF!</v>
      </c>
      <c r="B248" s="932" t="s">
        <v>595</v>
      </c>
      <c r="C248" s="519" t="s">
        <v>848</v>
      </c>
      <c r="D248" s="447" t="s">
        <v>14</v>
      </c>
      <c r="E248" s="447"/>
      <c r="F248" s="447"/>
      <c r="G248" s="520">
        <v>16.100000000000001</v>
      </c>
      <c r="H248" s="521">
        <v>0.5</v>
      </c>
      <c r="I248" s="522">
        <f t="shared" si="811"/>
        <v>150</v>
      </c>
      <c r="J248" s="522">
        <f t="shared" si="812"/>
        <v>0</v>
      </c>
      <c r="K248" s="522">
        <f t="shared" si="813"/>
        <v>150</v>
      </c>
      <c r="L248" s="57">
        <f t="shared" si="814"/>
        <v>2900</v>
      </c>
      <c r="M248" s="60"/>
      <c r="N248" s="60"/>
      <c r="O248" s="60">
        <f t="shared" si="815"/>
        <v>0</v>
      </c>
      <c r="P248" s="60"/>
      <c r="Q248" s="60"/>
      <c r="R248" s="60">
        <f t="shared" si="816"/>
        <v>0</v>
      </c>
      <c r="S248" s="824">
        <v>60</v>
      </c>
      <c r="T248" s="60"/>
      <c r="U248" s="60">
        <f t="shared" si="817"/>
        <v>60</v>
      </c>
      <c r="V248" s="60">
        <f t="shared" ref="V248:V253" si="845">M248+P248+S248</f>
        <v>60</v>
      </c>
      <c r="W248" s="60">
        <f t="shared" ref="W248:W253" si="846">N248+Q248+T248</f>
        <v>0</v>
      </c>
      <c r="X248" s="60">
        <f t="shared" ref="X248:X253" si="847">O248+R248+U248</f>
        <v>60</v>
      </c>
      <c r="Y248" s="60">
        <v>60</v>
      </c>
      <c r="Z248" s="60"/>
      <c r="AA248" s="60">
        <f t="shared" si="819"/>
        <v>60</v>
      </c>
      <c r="AB248" s="60">
        <v>30</v>
      </c>
      <c r="AC248" s="60"/>
      <c r="AD248" s="60">
        <f t="shared" si="820"/>
        <v>30</v>
      </c>
      <c r="AE248" s="60"/>
      <c r="AF248" s="60"/>
      <c r="AG248" s="60">
        <f t="shared" si="821"/>
        <v>0</v>
      </c>
      <c r="AH248" s="60">
        <f t="shared" ref="AH248:AJ254" si="848">Y248+AB248+AE248</f>
        <v>90</v>
      </c>
      <c r="AI248" s="60">
        <f t="shared" si="848"/>
        <v>0</v>
      </c>
      <c r="AJ248" s="60">
        <f t="shared" si="848"/>
        <v>90</v>
      </c>
      <c r="AK248" s="60"/>
      <c r="AL248" s="60"/>
      <c r="AM248" s="60">
        <f t="shared" si="822"/>
        <v>0</v>
      </c>
      <c r="AN248" s="60"/>
      <c r="AO248" s="60"/>
      <c r="AP248" s="60">
        <f t="shared" si="823"/>
        <v>0</v>
      </c>
      <c r="AQ248" s="60"/>
      <c r="AR248" s="60"/>
      <c r="AS248" s="60">
        <f t="shared" si="824"/>
        <v>0</v>
      </c>
      <c r="AT248" s="60">
        <f t="shared" ref="AT248:AV255" si="849">AK248+AN248+AQ248</f>
        <v>0</v>
      </c>
      <c r="AU248" s="60">
        <f t="shared" si="849"/>
        <v>0</v>
      </c>
      <c r="AV248" s="60">
        <f t="shared" si="849"/>
        <v>0</v>
      </c>
      <c r="AW248" s="60"/>
      <c r="AX248" s="60"/>
      <c r="AY248" s="60">
        <f t="shared" si="825"/>
        <v>0</v>
      </c>
      <c r="AZ248" s="60"/>
      <c r="BA248" s="60"/>
      <c r="BB248" s="60">
        <f t="shared" si="826"/>
        <v>0</v>
      </c>
      <c r="BC248" s="60"/>
      <c r="BD248" s="60"/>
      <c r="BE248" s="60">
        <f t="shared" si="827"/>
        <v>0</v>
      </c>
      <c r="BF248" s="60">
        <f t="shared" ref="BF248:BH255" si="850">AW248+AZ248+BC248</f>
        <v>0</v>
      </c>
      <c r="BG248" s="60">
        <f t="shared" si="850"/>
        <v>0</v>
      </c>
      <c r="BH248" s="60">
        <f t="shared" si="850"/>
        <v>0</v>
      </c>
      <c r="BI248" s="508"/>
      <c r="BJ248" s="488" t="str">
        <f t="shared" si="664"/>
        <v>Lò</v>
      </c>
      <c r="BK248" s="523">
        <f t="shared" si="829"/>
        <v>0</v>
      </c>
      <c r="BL248" s="523">
        <f t="shared" si="830"/>
        <v>0</v>
      </c>
      <c r="BM248" s="523">
        <f t="shared" si="831"/>
        <v>1200</v>
      </c>
      <c r="BN248" s="523">
        <f t="shared" si="832"/>
        <v>1200</v>
      </c>
      <c r="BO248" s="523">
        <f t="shared" si="833"/>
        <v>1200</v>
      </c>
      <c r="BP248" s="523">
        <f t="shared" si="834"/>
        <v>600</v>
      </c>
      <c r="BQ248" s="523">
        <f t="shared" si="835"/>
        <v>0</v>
      </c>
      <c r="BR248" s="523">
        <f t="shared" si="836"/>
        <v>1700</v>
      </c>
      <c r="BS248" s="523">
        <f t="shared" si="837"/>
        <v>0</v>
      </c>
      <c r="BT248" s="523">
        <f t="shared" si="838"/>
        <v>0</v>
      </c>
      <c r="BU248" s="523">
        <f t="shared" si="839"/>
        <v>0</v>
      </c>
      <c r="BV248" s="523">
        <f t="shared" si="840"/>
        <v>0</v>
      </c>
      <c r="BW248" s="523">
        <f t="shared" si="841"/>
        <v>0</v>
      </c>
      <c r="BX248" s="523">
        <f t="shared" si="842"/>
        <v>0</v>
      </c>
      <c r="BY248" s="523">
        <f t="shared" si="843"/>
        <v>0</v>
      </c>
      <c r="BZ248" s="523">
        <f t="shared" si="844"/>
        <v>0</v>
      </c>
      <c r="CA248" s="354"/>
      <c r="CB248" s="354" t="str">
        <f t="shared" si="808"/>
        <v>X</v>
      </c>
      <c r="CC248" s="534" t="s">
        <v>523</v>
      </c>
      <c r="CD248" s="509" t="str">
        <f t="shared" si="809"/>
        <v>ĐL1.16,1</v>
      </c>
      <c r="CE248" s="351" t="str">
        <f t="shared" si="665"/>
        <v>Lò</v>
      </c>
      <c r="CF248" s="509" t="str">
        <f t="shared" si="810"/>
        <v>ĐL1.Lò</v>
      </c>
      <c r="CG248" s="509"/>
      <c r="CH248" s="509"/>
    </row>
    <row r="249" spans="1:86" ht="24" customHeight="1" x14ac:dyDescent="0.3">
      <c r="A249" s="354" t="e">
        <f>A248</f>
        <v>#REF!</v>
      </c>
      <c r="B249" s="933"/>
      <c r="C249" s="519" t="s">
        <v>849</v>
      </c>
      <c r="D249" s="447" t="s">
        <v>14</v>
      </c>
      <c r="E249" s="447"/>
      <c r="F249" s="447"/>
      <c r="G249" s="520">
        <v>16.100000000000001</v>
      </c>
      <c r="H249" s="521">
        <v>0.5</v>
      </c>
      <c r="I249" s="522">
        <f t="shared" si="811"/>
        <v>200</v>
      </c>
      <c r="J249" s="522">
        <f t="shared" si="812"/>
        <v>35</v>
      </c>
      <c r="K249" s="522">
        <f t="shared" si="813"/>
        <v>165</v>
      </c>
      <c r="L249" s="57">
        <f t="shared" si="814"/>
        <v>3200</v>
      </c>
      <c r="M249" s="60"/>
      <c r="N249" s="60"/>
      <c r="O249" s="60">
        <f t="shared" si="815"/>
        <v>0</v>
      </c>
      <c r="P249" s="60"/>
      <c r="Q249" s="60">
        <v>0</v>
      </c>
      <c r="R249" s="60">
        <f t="shared" si="816"/>
        <v>0</v>
      </c>
      <c r="S249" s="824"/>
      <c r="T249" s="60"/>
      <c r="U249" s="60">
        <f t="shared" si="817"/>
        <v>0</v>
      </c>
      <c r="V249" s="60">
        <f t="shared" si="845"/>
        <v>0</v>
      </c>
      <c r="W249" s="60">
        <f t="shared" si="846"/>
        <v>0</v>
      </c>
      <c r="X249" s="60">
        <f t="shared" si="847"/>
        <v>0</v>
      </c>
      <c r="Y249" s="60"/>
      <c r="Z249" s="60"/>
      <c r="AA249" s="60">
        <f t="shared" si="819"/>
        <v>0</v>
      </c>
      <c r="AB249" s="60"/>
      <c r="AC249" s="60"/>
      <c r="AD249" s="60">
        <f t="shared" si="820"/>
        <v>0</v>
      </c>
      <c r="AE249" s="60">
        <v>60</v>
      </c>
      <c r="AF249" s="60">
        <v>20</v>
      </c>
      <c r="AG249" s="60">
        <f t="shared" si="821"/>
        <v>40</v>
      </c>
      <c r="AH249" s="60">
        <f t="shared" si="848"/>
        <v>60</v>
      </c>
      <c r="AI249" s="60">
        <f t="shared" si="848"/>
        <v>20</v>
      </c>
      <c r="AJ249" s="60">
        <f t="shared" si="848"/>
        <v>40</v>
      </c>
      <c r="AK249" s="60">
        <v>60</v>
      </c>
      <c r="AL249" s="60">
        <v>15</v>
      </c>
      <c r="AM249" s="60">
        <f t="shared" si="822"/>
        <v>45</v>
      </c>
      <c r="AN249" s="60">
        <v>60</v>
      </c>
      <c r="AO249" s="60"/>
      <c r="AP249" s="60">
        <f t="shared" si="823"/>
        <v>60</v>
      </c>
      <c r="AQ249" s="60">
        <v>20</v>
      </c>
      <c r="AR249" s="60"/>
      <c r="AS249" s="60">
        <f t="shared" si="824"/>
        <v>20</v>
      </c>
      <c r="AT249" s="60">
        <f t="shared" si="849"/>
        <v>140</v>
      </c>
      <c r="AU249" s="60">
        <f t="shared" si="849"/>
        <v>15</v>
      </c>
      <c r="AV249" s="60">
        <f t="shared" si="849"/>
        <v>125</v>
      </c>
      <c r="AW249" s="60"/>
      <c r="AX249" s="60"/>
      <c r="AY249" s="60">
        <f t="shared" si="825"/>
        <v>0</v>
      </c>
      <c r="AZ249" s="60"/>
      <c r="BA249" s="60"/>
      <c r="BB249" s="60">
        <f t="shared" si="826"/>
        <v>0</v>
      </c>
      <c r="BC249" s="60"/>
      <c r="BD249" s="60"/>
      <c r="BE249" s="60">
        <f t="shared" si="827"/>
        <v>0</v>
      </c>
      <c r="BF249" s="60">
        <f t="shared" si="850"/>
        <v>0</v>
      </c>
      <c r="BG249" s="60">
        <f t="shared" si="850"/>
        <v>0</v>
      </c>
      <c r="BH249" s="60">
        <f t="shared" si="850"/>
        <v>0</v>
      </c>
      <c r="BI249" s="508"/>
      <c r="BJ249" s="488" t="str">
        <f t="shared" si="664"/>
        <v>Lò</v>
      </c>
      <c r="BK249" s="523">
        <f t="shared" si="829"/>
        <v>0</v>
      </c>
      <c r="BL249" s="523">
        <f t="shared" si="830"/>
        <v>0</v>
      </c>
      <c r="BM249" s="523">
        <f t="shared" si="831"/>
        <v>0</v>
      </c>
      <c r="BN249" s="523">
        <f t="shared" si="832"/>
        <v>0</v>
      </c>
      <c r="BO249" s="523">
        <f t="shared" si="833"/>
        <v>0</v>
      </c>
      <c r="BP249" s="523">
        <f t="shared" si="834"/>
        <v>0</v>
      </c>
      <c r="BQ249" s="523">
        <f t="shared" si="835"/>
        <v>800</v>
      </c>
      <c r="BR249" s="523">
        <f t="shared" si="836"/>
        <v>800</v>
      </c>
      <c r="BS249" s="523">
        <f t="shared" si="837"/>
        <v>900</v>
      </c>
      <c r="BT249" s="523">
        <f t="shared" si="838"/>
        <v>1200</v>
      </c>
      <c r="BU249" s="523">
        <f t="shared" si="839"/>
        <v>400</v>
      </c>
      <c r="BV249" s="523">
        <f t="shared" si="840"/>
        <v>2400</v>
      </c>
      <c r="BW249" s="523">
        <f t="shared" si="841"/>
        <v>0</v>
      </c>
      <c r="BX249" s="523">
        <f t="shared" si="842"/>
        <v>0</v>
      </c>
      <c r="BY249" s="523">
        <f t="shared" si="843"/>
        <v>0</v>
      </c>
      <c r="BZ249" s="523">
        <f t="shared" si="844"/>
        <v>0</v>
      </c>
      <c r="CA249" s="354"/>
      <c r="CB249" s="354" t="str">
        <f t="shared" si="808"/>
        <v>X</v>
      </c>
      <c r="CC249" s="534" t="s">
        <v>523</v>
      </c>
      <c r="CD249" s="509" t="str">
        <f t="shared" si="809"/>
        <v>ĐL1.16,1</v>
      </c>
      <c r="CE249" s="351" t="str">
        <f t="shared" si="665"/>
        <v>Lò</v>
      </c>
      <c r="CF249" s="509" t="str">
        <f t="shared" si="810"/>
        <v>ĐL1.Lò</v>
      </c>
      <c r="CG249" s="509"/>
      <c r="CH249" s="509"/>
    </row>
    <row r="250" spans="1:86" ht="24" customHeight="1" x14ac:dyDescent="0.3">
      <c r="A250" s="354"/>
      <c r="B250" s="933"/>
      <c r="C250" s="519" t="s">
        <v>850</v>
      </c>
      <c r="D250" s="447" t="s">
        <v>14</v>
      </c>
      <c r="E250" s="447"/>
      <c r="F250" s="447"/>
      <c r="G250" s="520">
        <v>20.3</v>
      </c>
      <c r="H250" s="521">
        <v>0.5</v>
      </c>
      <c r="I250" s="522">
        <f t="shared" ref="I250:K251" si="851">V250+AH250+AT250+BF250</f>
        <v>100</v>
      </c>
      <c r="J250" s="522">
        <f t="shared" si="851"/>
        <v>0</v>
      </c>
      <c r="K250" s="522">
        <f t="shared" si="851"/>
        <v>100</v>
      </c>
      <c r="L250" s="57">
        <f t="shared" si="814"/>
        <v>2400</v>
      </c>
      <c r="M250" s="60"/>
      <c r="N250" s="60"/>
      <c r="O250" s="60"/>
      <c r="P250" s="60"/>
      <c r="Q250" s="60"/>
      <c r="R250" s="60"/>
      <c r="S250" s="824"/>
      <c r="T250" s="60"/>
      <c r="U250" s="60"/>
      <c r="V250" s="60">
        <f t="shared" si="845"/>
        <v>0</v>
      </c>
      <c r="W250" s="60">
        <f t="shared" si="846"/>
        <v>0</v>
      </c>
      <c r="X250" s="60">
        <f t="shared" si="847"/>
        <v>0</v>
      </c>
      <c r="Y250" s="60"/>
      <c r="Z250" s="60"/>
      <c r="AA250" s="60"/>
      <c r="AB250" s="60"/>
      <c r="AC250" s="60"/>
      <c r="AD250" s="60"/>
      <c r="AE250" s="60"/>
      <c r="AF250" s="60"/>
      <c r="AG250" s="60"/>
      <c r="AH250" s="60">
        <f t="shared" si="848"/>
        <v>0</v>
      </c>
      <c r="AI250" s="60">
        <f t="shared" si="848"/>
        <v>0</v>
      </c>
      <c r="AJ250" s="60">
        <f t="shared" si="848"/>
        <v>0</v>
      </c>
      <c r="AK250" s="60"/>
      <c r="AL250" s="60"/>
      <c r="AM250" s="60"/>
      <c r="AN250" s="60"/>
      <c r="AO250" s="60"/>
      <c r="AP250" s="60"/>
      <c r="AQ250" s="60">
        <v>20</v>
      </c>
      <c r="AR250" s="60"/>
      <c r="AS250" s="60">
        <f>AQ250-AR250</f>
        <v>20</v>
      </c>
      <c r="AT250" s="60">
        <f t="shared" si="849"/>
        <v>20</v>
      </c>
      <c r="AU250" s="60">
        <f t="shared" si="849"/>
        <v>0</v>
      </c>
      <c r="AV250" s="60">
        <f t="shared" si="849"/>
        <v>20</v>
      </c>
      <c r="AW250" s="60">
        <v>50</v>
      </c>
      <c r="AX250" s="60"/>
      <c r="AY250" s="60">
        <f>AW250-AX250</f>
        <v>50</v>
      </c>
      <c r="AZ250" s="60">
        <v>30</v>
      </c>
      <c r="BA250" s="60"/>
      <c r="BB250" s="60">
        <f>AZ250-BA250</f>
        <v>30</v>
      </c>
      <c r="BC250" s="60"/>
      <c r="BD250" s="60"/>
      <c r="BE250" s="60">
        <f>BC250-BD250</f>
        <v>0</v>
      </c>
      <c r="BF250" s="60">
        <f t="shared" si="850"/>
        <v>80</v>
      </c>
      <c r="BG250" s="60">
        <f t="shared" si="850"/>
        <v>0</v>
      </c>
      <c r="BH250" s="60">
        <f t="shared" si="850"/>
        <v>80</v>
      </c>
      <c r="BI250" s="508"/>
      <c r="BJ250" s="488" t="str">
        <f t="shared" si="664"/>
        <v>Lò</v>
      </c>
      <c r="BK250" s="523">
        <f t="shared" si="829"/>
        <v>0</v>
      </c>
      <c r="BL250" s="523">
        <f t="shared" si="830"/>
        <v>0</v>
      </c>
      <c r="BM250" s="523">
        <f t="shared" si="831"/>
        <v>0</v>
      </c>
      <c r="BN250" s="523">
        <f t="shared" si="832"/>
        <v>0</v>
      </c>
      <c r="BO250" s="523">
        <f t="shared" si="833"/>
        <v>0</v>
      </c>
      <c r="BP250" s="523">
        <f t="shared" si="834"/>
        <v>0</v>
      </c>
      <c r="BQ250" s="523">
        <f t="shared" si="835"/>
        <v>0</v>
      </c>
      <c r="BR250" s="523">
        <f t="shared" si="836"/>
        <v>0</v>
      </c>
      <c r="BS250" s="523">
        <f t="shared" si="837"/>
        <v>0</v>
      </c>
      <c r="BT250" s="523">
        <f t="shared" si="838"/>
        <v>0</v>
      </c>
      <c r="BU250" s="523">
        <f t="shared" si="839"/>
        <v>500</v>
      </c>
      <c r="BV250" s="523">
        <f t="shared" si="840"/>
        <v>500</v>
      </c>
      <c r="BW250" s="523">
        <f t="shared" si="841"/>
        <v>1200</v>
      </c>
      <c r="BX250" s="523">
        <f t="shared" si="842"/>
        <v>700</v>
      </c>
      <c r="BY250" s="523">
        <f t="shared" si="843"/>
        <v>0</v>
      </c>
      <c r="BZ250" s="523">
        <f t="shared" si="844"/>
        <v>1900</v>
      </c>
      <c r="CA250" s="354" t="s">
        <v>852</v>
      </c>
      <c r="CB250" s="354" t="str">
        <f t="shared" si="808"/>
        <v>X</v>
      </c>
      <c r="CC250" s="534" t="s">
        <v>523</v>
      </c>
      <c r="CD250" s="509" t="str">
        <f t="shared" si="809"/>
        <v>ĐL1.20,3</v>
      </c>
      <c r="CE250" s="351" t="str">
        <f t="shared" si="665"/>
        <v>Lò</v>
      </c>
      <c r="CF250" s="509" t="str">
        <f t="shared" si="810"/>
        <v>ĐL1.Lò</v>
      </c>
      <c r="CG250" s="509"/>
      <c r="CH250" s="509"/>
    </row>
    <row r="251" spans="1:86" ht="24" customHeight="1" x14ac:dyDescent="0.3">
      <c r="A251" s="354"/>
      <c r="B251" s="933"/>
      <c r="C251" s="519" t="s">
        <v>851</v>
      </c>
      <c r="D251" s="447" t="s">
        <v>14</v>
      </c>
      <c r="E251" s="447"/>
      <c r="F251" s="447"/>
      <c r="G251" s="520">
        <v>16.100000000000001</v>
      </c>
      <c r="H251" s="521">
        <v>0.5</v>
      </c>
      <c r="I251" s="522">
        <f t="shared" si="851"/>
        <v>60</v>
      </c>
      <c r="J251" s="522">
        <f t="shared" si="851"/>
        <v>0</v>
      </c>
      <c r="K251" s="522">
        <f t="shared" si="851"/>
        <v>60</v>
      </c>
      <c r="L251" s="57">
        <f t="shared" si="814"/>
        <v>1200</v>
      </c>
      <c r="M251" s="60"/>
      <c r="N251" s="60"/>
      <c r="O251" s="60"/>
      <c r="P251" s="60"/>
      <c r="Q251" s="60"/>
      <c r="R251" s="60"/>
      <c r="S251" s="824"/>
      <c r="T251" s="60"/>
      <c r="U251" s="60"/>
      <c r="V251" s="60">
        <f t="shared" si="845"/>
        <v>0</v>
      </c>
      <c r="W251" s="60">
        <f t="shared" si="846"/>
        <v>0</v>
      </c>
      <c r="X251" s="60">
        <f t="shared" si="847"/>
        <v>0</v>
      </c>
      <c r="Y251" s="60"/>
      <c r="Z251" s="60"/>
      <c r="AA251" s="60"/>
      <c r="AB251" s="60"/>
      <c r="AC251" s="60"/>
      <c r="AD251" s="60"/>
      <c r="AE251" s="60"/>
      <c r="AF251" s="60"/>
      <c r="AG251" s="60"/>
      <c r="AH251" s="60">
        <f t="shared" si="848"/>
        <v>0</v>
      </c>
      <c r="AI251" s="60">
        <f t="shared" si="848"/>
        <v>0</v>
      </c>
      <c r="AJ251" s="60">
        <f t="shared" si="848"/>
        <v>0</v>
      </c>
      <c r="AK251" s="60"/>
      <c r="AL251" s="60"/>
      <c r="AM251" s="60"/>
      <c r="AN251" s="60"/>
      <c r="AO251" s="60"/>
      <c r="AP251" s="60"/>
      <c r="AQ251" s="60"/>
      <c r="AR251" s="60"/>
      <c r="AS251" s="60"/>
      <c r="AT251" s="60">
        <f t="shared" si="849"/>
        <v>0</v>
      </c>
      <c r="AU251" s="60">
        <f t="shared" si="849"/>
        <v>0</v>
      </c>
      <c r="AV251" s="60">
        <f t="shared" si="849"/>
        <v>0</v>
      </c>
      <c r="AW251" s="60"/>
      <c r="AX251" s="60"/>
      <c r="AY251" s="60"/>
      <c r="AZ251" s="60">
        <v>20</v>
      </c>
      <c r="BA251" s="60"/>
      <c r="BB251" s="60">
        <f t="shared" si="826"/>
        <v>20</v>
      </c>
      <c r="BC251" s="60">
        <v>40</v>
      </c>
      <c r="BD251" s="60"/>
      <c r="BE251" s="60">
        <f>BC251-BD251</f>
        <v>40</v>
      </c>
      <c r="BF251" s="60">
        <f t="shared" si="850"/>
        <v>60</v>
      </c>
      <c r="BG251" s="60">
        <f t="shared" si="850"/>
        <v>0</v>
      </c>
      <c r="BH251" s="60">
        <f t="shared" si="850"/>
        <v>60</v>
      </c>
      <c r="BI251" s="508"/>
      <c r="BJ251" s="488" t="str">
        <f t="shared" si="664"/>
        <v>Lò</v>
      </c>
      <c r="BK251" s="523">
        <f t="shared" si="829"/>
        <v>0</v>
      </c>
      <c r="BL251" s="523">
        <f t="shared" si="830"/>
        <v>0</v>
      </c>
      <c r="BM251" s="523">
        <f t="shared" si="831"/>
        <v>0</v>
      </c>
      <c r="BN251" s="523">
        <f t="shared" si="832"/>
        <v>0</v>
      </c>
      <c r="BO251" s="523">
        <f t="shared" si="833"/>
        <v>0</v>
      </c>
      <c r="BP251" s="523">
        <f t="shared" si="834"/>
        <v>0</v>
      </c>
      <c r="BQ251" s="523">
        <f t="shared" si="835"/>
        <v>0</v>
      </c>
      <c r="BR251" s="523">
        <f t="shared" si="836"/>
        <v>0</v>
      </c>
      <c r="BS251" s="523">
        <f t="shared" si="837"/>
        <v>0</v>
      </c>
      <c r="BT251" s="523">
        <f t="shared" si="838"/>
        <v>0</v>
      </c>
      <c r="BU251" s="523">
        <f t="shared" si="839"/>
        <v>0</v>
      </c>
      <c r="BV251" s="523">
        <f t="shared" si="840"/>
        <v>0</v>
      </c>
      <c r="BW251" s="523">
        <f t="shared" si="841"/>
        <v>0</v>
      </c>
      <c r="BX251" s="523">
        <f t="shared" si="842"/>
        <v>400</v>
      </c>
      <c r="BY251" s="523">
        <f t="shared" si="843"/>
        <v>800</v>
      </c>
      <c r="BZ251" s="523">
        <f t="shared" si="844"/>
        <v>1200</v>
      </c>
      <c r="CA251" s="354"/>
      <c r="CB251" s="354" t="str">
        <f t="shared" si="808"/>
        <v>X</v>
      </c>
      <c r="CC251" s="534" t="s">
        <v>523</v>
      </c>
      <c r="CD251" s="509" t="str">
        <f t="shared" si="809"/>
        <v>ĐL1.16,1</v>
      </c>
      <c r="CE251" s="351" t="str">
        <f t="shared" si="665"/>
        <v>Lò</v>
      </c>
      <c r="CF251" s="509" t="str">
        <f t="shared" si="810"/>
        <v>ĐL1.Lò</v>
      </c>
      <c r="CG251" s="509"/>
      <c r="CH251" s="509"/>
    </row>
    <row r="252" spans="1:86" ht="24" customHeight="1" x14ac:dyDescent="0.3">
      <c r="A252" s="354" t="e">
        <f>A241</f>
        <v>#REF!</v>
      </c>
      <c r="B252" s="933"/>
      <c r="C252" s="519" t="s">
        <v>697</v>
      </c>
      <c r="D252" s="447" t="s">
        <v>14</v>
      </c>
      <c r="E252" s="447"/>
      <c r="F252" s="447"/>
      <c r="G252" s="520">
        <v>11.2</v>
      </c>
      <c r="H252" s="521">
        <v>0.7</v>
      </c>
      <c r="I252" s="522">
        <f t="shared" si="811"/>
        <v>0</v>
      </c>
      <c r="J252" s="522">
        <f t="shared" si="812"/>
        <v>0</v>
      </c>
      <c r="K252" s="522">
        <f t="shared" si="813"/>
        <v>0</v>
      </c>
      <c r="L252" s="57">
        <f t="shared" si="814"/>
        <v>0</v>
      </c>
      <c r="M252" s="60"/>
      <c r="N252" s="60"/>
      <c r="O252" s="60">
        <f t="shared" si="815"/>
        <v>0</v>
      </c>
      <c r="P252" s="60"/>
      <c r="Q252" s="60"/>
      <c r="R252" s="60">
        <f t="shared" si="816"/>
        <v>0</v>
      </c>
      <c r="S252" s="824"/>
      <c r="T252" s="60"/>
      <c r="U252" s="60">
        <f t="shared" si="817"/>
        <v>0</v>
      </c>
      <c r="V252" s="60">
        <f t="shared" si="845"/>
        <v>0</v>
      </c>
      <c r="W252" s="60">
        <f t="shared" si="846"/>
        <v>0</v>
      </c>
      <c r="X252" s="60">
        <f t="shared" si="847"/>
        <v>0</v>
      </c>
      <c r="Y252" s="60"/>
      <c r="Z252" s="60"/>
      <c r="AA252" s="60">
        <f t="shared" si="819"/>
        <v>0</v>
      </c>
      <c r="AB252" s="60"/>
      <c r="AC252" s="60"/>
      <c r="AD252" s="60">
        <f t="shared" si="820"/>
        <v>0</v>
      </c>
      <c r="AE252" s="60"/>
      <c r="AF252" s="60"/>
      <c r="AG252" s="60">
        <f t="shared" si="821"/>
        <v>0</v>
      </c>
      <c r="AH252" s="60">
        <f t="shared" si="848"/>
        <v>0</v>
      </c>
      <c r="AI252" s="60">
        <f t="shared" si="848"/>
        <v>0</v>
      </c>
      <c r="AJ252" s="60">
        <f t="shared" si="848"/>
        <v>0</v>
      </c>
      <c r="AK252" s="60"/>
      <c r="AL252" s="60"/>
      <c r="AM252" s="60">
        <f t="shared" si="822"/>
        <v>0</v>
      </c>
      <c r="AN252" s="60"/>
      <c r="AO252" s="60"/>
      <c r="AP252" s="60">
        <f t="shared" si="823"/>
        <v>0</v>
      </c>
      <c r="AQ252" s="60"/>
      <c r="AR252" s="60"/>
      <c r="AS252" s="60">
        <f t="shared" si="824"/>
        <v>0</v>
      </c>
      <c r="AT252" s="60">
        <f t="shared" si="849"/>
        <v>0</v>
      </c>
      <c r="AU252" s="60">
        <f t="shared" si="849"/>
        <v>0</v>
      </c>
      <c r="AV252" s="60">
        <f t="shared" si="849"/>
        <v>0</v>
      </c>
      <c r="AW252" s="60"/>
      <c r="AX252" s="60"/>
      <c r="AY252" s="60">
        <f t="shared" si="825"/>
        <v>0</v>
      </c>
      <c r="AZ252" s="60"/>
      <c r="BA252" s="60"/>
      <c r="BB252" s="60">
        <f t="shared" si="826"/>
        <v>0</v>
      </c>
      <c r="BC252" s="60"/>
      <c r="BD252" s="60"/>
      <c r="BE252" s="60">
        <f t="shared" si="827"/>
        <v>0</v>
      </c>
      <c r="BF252" s="60">
        <f t="shared" si="850"/>
        <v>0</v>
      </c>
      <c r="BG252" s="60">
        <f t="shared" si="850"/>
        <v>0</v>
      </c>
      <c r="BH252" s="60">
        <f t="shared" si="850"/>
        <v>0</v>
      </c>
      <c r="BI252" s="508"/>
      <c r="BJ252" s="488" t="str">
        <f t="shared" si="664"/>
        <v>Lò</v>
      </c>
      <c r="BK252" s="523">
        <f t="shared" si="829"/>
        <v>0</v>
      </c>
      <c r="BL252" s="523">
        <f t="shared" si="830"/>
        <v>0</v>
      </c>
      <c r="BM252" s="523">
        <f t="shared" si="831"/>
        <v>0</v>
      </c>
      <c r="BN252" s="523">
        <f t="shared" si="832"/>
        <v>0</v>
      </c>
      <c r="BO252" s="523">
        <f t="shared" si="833"/>
        <v>0</v>
      </c>
      <c r="BP252" s="523">
        <f t="shared" si="834"/>
        <v>0</v>
      </c>
      <c r="BQ252" s="523">
        <f t="shared" si="835"/>
        <v>0</v>
      </c>
      <c r="BR252" s="523">
        <f t="shared" si="836"/>
        <v>0</v>
      </c>
      <c r="BS252" s="523">
        <f t="shared" si="837"/>
        <v>0</v>
      </c>
      <c r="BT252" s="523">
        <f t="shared" si="838"/>
        <v>0</v>
      </c>
      <c r="BU252" s="523">
        <f t="shared" si="839"/>
        <v>0</v>
      </c>
      <c r="BV252" s="523">
        <f t="shared" si="840"/>
        <v>0</v>
      </c>
      <c r="BW252" s="523">
        <f t="shared" si="841"/>
        <v>0</v>
      </c>
      <c r="BX252" s="523">
        <f t="shared" si="842"/>
        <v>0</v>
      </c>
      <c r="BY252" s="523">
        <f t="shared" si="843"/>
        <v>0</v>
      </c>
      <c r="BZ252" s="523">
        <f t="shared" si="844"/>
        <v>0</v>
      </c>
      <c r="CA252" s="354"/>
      <c r="CB252" s="354" t="b">
        <f t="shared" si="808"/>
        <v>0</v>
      </c>
      <c r="CC252" s="534" t="s">
        <v>523</v>
      </c>
      <c r="CD252" s="509" t="str">
        <f t="shared" si="809"/>
        <v>ĐL1.11,2</v>
      </c>
      <c r="CE252" s="351" t="str">
        <f t="shared" si="665"/>
        <v>Lò</v>
      </c>
      <c r="CF252" s="509" t="str">
        <f t="shared" si="810"/>
        <v>ĐL1.Lò</v>
      </c>
      <c r="CG252" s="509"/>
      <c r="CH252" s="509"/>
    </row>
    <row r="253" spans="1:86" ht="24" customHeight="1" x14ac:dyDescent="0.3">
      <c r="A253" s="354" t="e">
        <f>A252</f>
        <v>#REF!</v>
      </c>
      <c r="B253" s="934"/>
      <c r="C253" s="519" t="s">
        <v>698</v>
      </c>
      <c r="D253" s="447" t="s">
        <v>14</v>
      </c>
      <c r="E253" s="447"/>
      <c r="F253" s="447"/>
      <c r="G253" s="520">
        <v>11.2</v>
      </c>
      <c r="H253" s="521">
        <v>0.7</v>
      </c>
      <c r="I253" s="522">
        <f t="shared" si="811"/>
        <v>0</v>
      </c>
      <c r="J253" s="522">
        <f t="shared" si="812"/>
        <v>0</v>
      </c>
      <c r="K253" s="522">
        <f t="shared" si="813"/>
        <v>0</v>
      </c>
      <c r="L253" s="57">
        <f t="shared" si="814"/>
        <v>0</v>
      </c>
      <c r="M253" s="60"/>
      <c r="N253" s="60"/>
      <c r="O253" s="60">
        <f t="shared" si="815"/>
        <v>0</v>
      </c>
      <c r="P253" s="60"/>
      <c r="Q253" s="60"/>
      <c r="R253" s="60">
        <f t="shared" si="816"/>
        <v>0</v>
      </c>
      <c r="S253" s="824"/>
      <c r="T253" s="60"/>
      <c r="U253" s="60">
        <f t="shared" si="817"/>
        <v>0</v>
      </c>
      <c r="V253" s="60">
        <f t="shared" si="845"/>
        <v>0</v>
      </c>
      <c r="W253" s="60">
        <f t="shared" si="846"/>
        <v>0</v>
      </c>
      <c r="X253" s="60">
        <f t="shared" si="847"/>
        <v>0</v>
      </c>
      <c r="Y253" s="60"/>
      <c r="Z253" s="60"/>
      <c r="AA253" s="60">
        <f t="shared" si="819"/>
        <v>0</v>
      </c>
      <c r="AB253" s="60"/>
      <c r="AC253" s="60"/>
      <c r="AD253" s="60">
        <f t="shared" si="820"/>
        <v>0</v>
      </c>
      <c r="AE253" s="60"/>
      <c r="AF253" s="60"/>
      <c r="AG253" s="60">
        <f t="shared" si="821"/>
        <v>0</v>
      </c>
      <c r="AH253" s="60">
        <f t="shared" si="848"/>
        <v>0</v>
      </c>
      <c r="AI253" s="60">
        <f t="shared" si="848"/>
        <v>0</v>
      </c>
      <c r="AJ253" s="60">
        <f t="shared" si="848"/>
        <v>0</v>
      </c>
      <c r="AK253" s="60"/>
      <c r="AL253" s="60"/>
      <c r="AM253" s="60">
        <f t="shared" si="822"/>
        <v>0</v>
      </c>
      <c r="AN253" s="60"/>
      <c r="AO253" s="60"/>
      <c r="AP253" s="60">
        <f t="shared" si="823"/>
        <v>0</v>
      </c>
      <c r="AQ253" s="60"/>
      <c r="AR253" s="60"/>
      <c r="AS253" s="60">
        <f t="shared" si="824"/>
        <v>0</v>
      </c>
      <c r="AT253" s="60">
        <f t="shared" si="849"/>
        <v>0</v>
      </c>
      <c r="AU253" s="60">
        <f t="shared" si="849"/>
        <v>0</v>
      </c>
      <c r="AV253" s="60">
        <f t="shared" si="849"/>
        <v>0</v>
      </c>
      <c r="AW253" s="60"/>
      <c r="AX253" s="60"/>
      <c r="AY253" s="60">
        <f t="shared" si="825"/>
        <v>0</v>
      </c>
      <c r="AZ253" s="60"/>
      <c r="BA253" s="60"/>
      <c r="BB253" s="60">
        <f t="shared" si="826"/>
        <v>0</v>
      </c>
      <c r="BC253" s="60"/>
      <c r="BD253" s="60"/>
      <c r="BE253" s="60">
        <f t="shared" si="827"/>
        <v>0</v>
      </c>
      <c r="BF253" s="60">
        <f t="shared" si="850"/>
        <v>0</v>
      </c>
      <c r="BG253" s="60">
        <f t="shared" si="850"/>
        <v>0</v>
      </c>
      <c r="BH253" s="60">
        <f t="shared" si="850"/>
        <v>0</v>
      </c>
      <c r="BI253" s="508"/>
      <c r="BJ253" s="488" t="str">
        <f t="shared" si="664"/>
        <v>Lò</v>
      </c>
      <c r="BK253" s="523">
        <f t="shared" si="829"/>
        <v>0</v>
      </c>
      <c r="BL253" s="523">
        <f t="shared" si="830"/>
        <v>0</v>
      </c>
      <c r="BM253" s="523">
        <f t="shared" si="831"/>
        <v>0</v>
      </c>
      <c r="BN253" s="523">
        <f t="shared" si="832"/>
        <v>0</v>
      </c>
      <c r="BO253" s="523">
        <f t="shared" si="833"/>
        <v>0</v>
      </c>
      <c r="BP253" s="523">
        <f t="shared" si="834"/>
        <v>0</v>
      </c>
      <c r="BQ253" s="523">
        <f t="shared" si="835"/>
        <v>0</v>
      </c>
      <c r="BR253" s="523">
        <f t="shared" si="836"/>
        <v>0</v>
      </c>
      <c r="BS253" s="523">
        <f t="shared" si="837"/>
        <v>0</v>
      </c>
      <c r="BT253" s="523">
        <f t="shared" si="838"/>
        <v>0</v>
      </c>
      <c r="BU253" s="523">
        <f t="shared" si="839"/>
        <v>0</v>
      </c>
      <c r="BV253" s="523">
        <f t="shared" si="840"/>
        <v>0</v>
      </c>
      <c r="BW253" s="523">
        <f t="shared" si="841"/>
        <v>0</v>
      </c>
      <c r="BX253" s="523">
        <f t="shared" si="842"/>
        <v>0</v>
      </c>
      <c r="BY253" s="523">
        <f t="shared" si="843"/>
        <v>0</v>
      </c>
      <c r="BZ253" s="523">
        <f t="shared" si="844"/>
        <v>0</v>
      </c>
      <c r="CA253" s="354"/>
      <c r="CB253" s="354" t="b">
        <f t="shared" si="808"/>
        <v>0</v>
      </c>
      <c r="CC253" s="534" t="s">
        <v>523</v>
      </c>
      <c r="CD253" s="509" t="str">
        <f t="shared" si="809"/>
        <v>ĐL1.11,2</v>
      </c>
      <c r="CE253" s="351" t="str">
        <f t="shared" si="665"/>
        <v>Lò</v>
      </c>
      <c r="CF253" s="509" t="str">
        <f t="shared" si="810"/>
        <v>ĐL1.Lò</v>
      </c>
      <c r="CG253" s="509"/>
      <c r="CH253" s="509"/>
    </row>
    <row r="254" spans="1:86" ht="24" customHeight="1" x14ac:dyDescent="0.3">
      <c r="A254" s="354" t="e">
        <f>A242</f>
        <v>#REF!</v>
      </c>
      <c r="B254" s="932" t="s">
        <v>546</v>
      </c>
      <c r="C254" s="519" t="s">
        <v>700</v>
      </c>
      <c r="D254" s="447" t="s">
        <v>14</v>
      </c>
      <c r="E254" s="447" t="s">
        <v>876</v>
      </c>
      <c r="F254" s="447"/>
      <c r="G254" s="520">
        <v>16.100000000000001</v>
      </c>
      <c r="H254" s="521">
        <v>0.7</v>
      </c>
      <c r="I254" s="522">
        <f t="shared" si="811"/>
        <v>415</v>
      </c>
      <c r="J254" s="522">
        <f t="shared" si="812"/>
        <v>20</v>
      </c>
      <c r="K254" s="522">
        <f t="shared" si="813"/>
        <v>395</v>
      </c>
      <c r="L254" s="57">
        <f t="shared" si="814"/>
        <v>7700</v>
      </c>
      <c r="M254" s="60">
        <v>60</v>
      </c>
      <c r="N254" s="60"/>
      <c r="O254" s="60">
        <f t="shared" si="815"/>
        <v>60</v>
      </c>
      <c r="P254" s="60">
        <v>50</v>
      </c>
      <c r="Q254" s="60"/>
      <c r="R254" s="60">
        <f t="shared" si="816"/>
        <v>50</v>
      </c>
      <c r="S254" s="824">
        <v>60</v>
      </c>
      <c r="T254" s="60">
        <v>15</v>
      </c>
      <c r="U254" s="60">
        <f t="shared" si="817"/>
        <v>45</v>
      </c>
      <c r="V254" s="60">
        <f t="shared" ref="V254:X256" si="852">M254+P254+S254</f>
        <v>170</v>
      </c>
      <c r="W254" s="60">
        <f t="shared" si="852"/>
        <v>15</v>
      </c>
      <c r="X254" s="60">
        <f t="shared" si="852"/>
        <v>155</v>
      </c>
      <c r="Y254" s="60">
        <v>70</v>
      </c>
      <c r="Z254" s="60">
        <v>5</v>
      </c>
      <c r="AA254" s="60">
        <f t="shared" si="819"/>
        <v>65</v>
      </c>
      <c r="AB254" s="60">
        <v>70</v>
      </c>
      <c r="AC254" s="60"/>
      <c r="AD254" s="60">
        <f t="shared" si="820"/>
        <v>70</v>
      </c>
      <c r="AE254" s="60">
        <v>70</v>
      </c>
      <c r="AF254" s="60"/>
      <c r="AG254" s="60">
        <f t="shared" si="821"/>
        <v>70</v>
      </c>
      <c r="AH254" s="60">
        <f t="shared" si="848"/>
        <v>210</v>
      </c>
      <c r="AI254" s="60">
        <f t="shared" si="848"/>
        <v>5</v>
      </c>
      <c r="AJ254" s="60">
        <f t="shared" si="848"/>
        <v>205</v>
      </c>
      <c r="AK254" s="60">
        <v>35</v>
      </c>
      <c r="AL254" s="60"/>
      <c r="AM254" s="60">
        <f t="shared" si="822"/>
        <v>35</v>
      </c>
      <c r="AN254" s="60"/>
      <c r="AO254" s="60"/>
      <c r="AP254" s="60">
        <f t="shared" si="823"/>
        <v>0</v>
      </c>
      <c r="AQ254" s="60"/>
      <c r="AR254" s="60"/>
      <c r="AS254" s="60">
        <f t="shared" si="824"/>
        <v>0</v>
      </c>
      <c r="AT254" s="60">
        <f t="shared" si="849"/>
        <v>35</v>
      </c>
      <c r="AU254" s="60">
        <f t="shared" si="849"/>
        <v>0</v>
      </c>
      <c r="AV254" s="60">
        <f t="shared" si="849"/>
        <v>35</v>
      </c>
      <c r="AW254" s="60"/>
      <c r="AX254" s="60"/>
      <c r="AY254" s="60">
        <f t="shared" si="825"/>
        <v>0</v>
      </c>
      <c r="AZ254" s="60"/>
      <c r="BA254" s="60"/>
      <c r="BB254" s="60">
        <f t="shared" si="826"/>
        <v>0</v>
      </c>
      <c r="BC254" s="60"/>
      <c r="BD254" s="60"/>
      <c r="BE254" s="60">
        <f t="shared" si="827"/>
        <v>0</v>
      </c>
      <c r="BF254" s="60">
        <f t="shared" si="850"/>
        <v>0</v>
      </c>
      <c r="BG254" s="60">
        <f t="shared" si="850"/>
        <v>0</v>
      </c>
      <c r="BH254" s="60">
        <f t="shared" si="850"/>
        <v>0</v>
      </c>
      <c r="BI254" s="508"/>
      <c r="BJ254" s="488" t="str">
        <f t="shared" si="664"/>
        <v>Lò</v>
      </c>
      <c r="BK254" s="523">
        <f t="shared" si="829"/>
        <v>1200</v>
      </c>
      <c r="BL254" s="523">
        <f t="shared" si="830"/>
        <v>1000</v>
      </c>
      <c r="BM254" s="523">
        <f t="shared" si="831"/>
        <v>900</v>
      </c>
      <c r="BN254" s="523">
        <f t="shared" si="832"/>
        <v>3000</v>
      </c>
      <c r="BO254" s="523">
        <f t="shared" si="833"/>
        <v>1300</v>
      </c>
      <c r="BP254" s="523">
        <f t="shared" si="834"/>
        <v>1400</v>
      </c>
      <c r="BQ254" s="523">
        <f t="shared" si="835"/>
        <v>1400</v>
      </c>
      <c r="BR254" s="523">
        <f t="shared" si="836"/>
        <v>4000</v>
      </c>
      <c r="BS254" s="523">
        <f t="shared" si="837"/>
        <v>700</v>
      </c>
      <c r="BT254" s="523">
        <f t="shared" si="838"/>
        <v>0</v>
      </c>
      <c r="BU254" s="523">
        <f t="shared" si="839"/>
        <v>0</v>
      </c>
      <c r="BV254" s="523">
        <f t="shared" si="840"/>
        <v>700</v>
      </c>
      <c r="BW254" s="523">
        <f t="shared" si="841"/>
        <v>0</v>
      </c>
      <c r="BX254" s="523">
        <f t="shared" si="842"/>
        <v>0</v>
      </c>
      <c r="BY254" s="523">
        <f t="shared" si="843"/>
        <v>0</v>
      </c>
      <c r="BZ254" s="523">
        <f t="shared" si="844"/>
        <v>0</v>
      </c>
      <c r="CA254" s="354"/>
      <c r="CB254" s="354" t="str">
        <f t="shared" si="808"/>
        <v>X</v>
      </c>
      <c r="CC254" s="534" t="s">
        <v>523</v>
      </c>
      <c r="CD254" s="509" t="str">
        <f t="shared" si="809"/>
        <v>ĐL1.16,1</v>
      </c>
      <c r="CE254" s="351" t="str">
        <f t="shared" si="665"/>
        <v>Lò</v>
      </c>
      <c r="CF254" s="509" t="str">
        <f t="shared" si="810"/>
        <v>ĐL1.Lò</v>
      </c>
      <c r="CG254" s="509"/>
      <c r="CH254" s="509"/>
    </row>
    <row r="255" spans="1:86" ht="24" customHeight="1" x14ac:dyDescent="0.3">
      <c r="A255" s="354" t="e">
        <f>A254</f>
        <v>#REF!</v>
      </c>
      <c r="B255" s="933"/>
      <c r="C255" s="519" t="s">
        <v>701</v>
      </c>
      <c r="D255" s="447" t="s">
        <v>14</v>
      </c>
      <c r="E255" s="447" t="s">
        <v>876</v>
      </c>
      <c r="F255" s="447"/>
      <c r="G255" s="520">
        <v>9.5</v>
      </c>
      <c r="H255" s="521">
        <v>0.7</v>
      </c>
      <c r="I255" s="522">
        <f t="shared" si="811"/>
        <v>405</v>
      </c>
      <c r="J255" s="522">
        <f t="shared" si="812"/>
        <v>15</v>
      </c>
      <c r="K255" s="522">
        <f t="shared" si="813"/>
        <v>390</v>
      </c>
      <c r="L255" s="57">
        <f t="shared" si="814"/>
        <v>4400</v>
      </c>
      <c r="M255" s="60"/>
      <c r="N255" s="60"/>
      <c r="O255" s="60">
        <f t="shared" si="815"/>
        <v>0</v>
      </c>
      <c r="P255" s="60"/>
      <c r="Q255" s="60"/>
      <c r="R255" s="60">
        <f t="shared" si="816"/>
        <v>0</v>
      </c>
      <c r="S255" s="824"/>
      <c r="T255" s="60"/>
      <c r="U255" s="60">
        <f t="shared" si="817"/>
        <v>0</v>
      </c>
      <c r="V255" s="60">
        <f t="shared" si="852"/>
        <v>0</v>
      </c>
      <c r="W255" s="60">
        <f t="shared" si="852"/>
        <v>0</v>
      </c>
      <c r="X255" s="60">
        <f t="shared" si="852"/>
        <v>0</v>
      </c>
      <c r="Y255" s="60"/>
      <c r="Z255" s="60"/>
      <c r="AA255" s="60">
        <f t="shared" si="819"/>
        <v>0</v>
      </c>
      <c r="AB255" s="60"/>
      <c r="AC255" s="60"/>
      <c r="AD255" s="60">
        <f t="shared" si="820"/>
        <v>0</v>
      </c>
      <c r="AE255" s="60"/>
      <c r="AF255" s="60"/>
      <c r="AG255" s="60">
        <f t="shared" si="821"/>
        <v>0</v>
      </c>
      <c r="AH255" s="60"/>
      <c r="AI255" s="60"/>
      <c r="AJ255" s="60">
        <f>AH255-AI255</f>
        <v>0</v>
      </c>
      <c r="AK255" s="60">
        <v>50</v>
      </c>
      <c r="AL255" s="60">
        <v>15</v>
      </c>
      <c r="AM255" s="60">
        <f t="shared" si="822"/>
        <v>35</v>
      </c>
      <c r="AN255" s="60">
        <v>75</v>
      </c>
      <c r="AO255" s="60"/>
      <c r="AP255" s="60">
        <f t="shared" si="823"/>
        <v>75</v>
      </c>
      <c r="AQ255" s="60">
        <v>75</v>
      </c>
      <c r="AR255" s="60"/>
      <c r="AS255" s="60">
        <f t="shared" si="824"/>
        <v>75</v>
      </c>
      <c r="AT255" s="60">
        <f t="shared" si="849"/>
        <v>200</v>
      </c>
      <c r="AU255" s="60">
        <f t="shared" si="849"/>
        <v>15</v>
      </c>
      <c r="AV255" s="60">
        <f t="shared" si="849"/>
        <v>185</v>
      </c>
      <c r="AW255" s="60">
        <v>75</v>
      </c>
      <c r="AX255" s="60"/>
      <c r="AY255" s="60">
        <f t="shared" si="825"/>
        <v>75</v>
      </c>
      <c r="AZ255" s="60">
        <v>70</v>
      </c>
      <c r="BA255" s="60"/>
      <c r="BB255" s="60">
        <f t="shared" si="826"/>
        <v>70</v>
      </c>
      <c r="BC255" s="60">
        <v>60</v>
      </c>
      <c r="BD255" s="60"/>
      <c r="BE255" s="60">
        <f t="shared" si="827"/>
        <v>60</v>
      </c>
      <c r="BF255" s="60">
        <f t="shared" si="850"/>
        <v>205</v>
      </c>
      <c r="BG255" s="60">
        <f t="shared" si="850"/>
        <v>0</v>
      </c>
      <c r="BH255" s="60">
        <f t="shared" si="850"/>
        <v>205</v>
      </c>
      <c r="BI255" s="508"/>
      <c r="BJ255" s="488" t="str">
        <f t="shared" si="664"/>
        <v>Lò</v>
      </c>
      <c r="BK255" s="523">
        <f t="shared" si="829"/>
        <v>0</v>
      </c>
      <c r="BL255" s="523">
        <f t="shared" si="830"/>
        <v>0</v>
      </c>
      <c r="BM255" s="523">
        <f t="shared" si="831"/>
        <v>0</v>
      </c>
      <c r="BN255" s="523">
        <f t="shared" si="832"/>
        <v>0</v>
      </c>
      <c r="BO255" s="523">
        <f t="shared" si="833"/>
        <v>0</v>
      </c>
      <c r="BP255" s="523">
        <f t="shared" si="834"/>
        <v>0</v>
      </c>
      <c r="BQ255" s="523">
        <f t="shared" si="835"/>
        <v>0</v>
      </c>
      <c r="BR255" s="523">
        <f t="shared" si="836"/>
        <v>0</v>
      </c>
      <c r="BS255" s="523">
        <f t="shared" si="837"/>
        <v>400</v>
      </c>
      <c r="BT255" s="523">
        <f t="shared" si="838"/>
        <v>900</v>
      </c>
      <c r="BU255" s="523">
        <f t="shared" si="839"/>
        <v>900</v>
      </c>
      <c r="BV255" s="523">
        <f t="shared" si="840"/>
        <v>2100</v>
      </c>
      <c r="BW255" s="523">
        <f t="shared" si="841"/>
        <v>900</v>
      </c>
      <c r="BX255" s="523">
        <f t="shared" si="842"/>
        <v>800</v>
      </c>
      <c r="BY255" s="523">
        <f t="shared" si="843"/>
        <v>700</v>
      </c>
      <c r="BZ255" s="523">
        <f t="shared" si="844"/>
        <v>2300</v>
      </c>
      <c r="CA255" s="354"/>
      <c r="CB255" s="354" t="str">
        <f t="shared" si="808"/>
        <v>X</v>
      </c>
      <c r="CC255" s="534" t="s">
        <v>523</v>
      </c>
      <c r="CD255" s="509" t="str">
        <f t="shared" si="809"/>
        <v>ĐL1.9,5</v>
      </c>
      <c r="CE255" s="351" t="str">
        <f t="shared" si="665"/>
        <v>Lò</v>
      </c>
      <c r="CF255" s="509" t="str">
        <f t="shared" si="810"/>
        <v>ĐL1.Lò</v>
      </c>
      <c r="CG255" s="509"/>
      <c r="CH255" s="509"/>
    </row>
    <row r="256" spans="1:86" ht="24" customHeight="1" x14ac:dyDescent="0.3">
      <c r="A256" s="354" t="e">
        <f>A255</f>
        <v>#REF!</v>
      </c>
      <c r="B256" s="934"/>
      <c r="C256" s="519" t="s">
        <v>702</v>
      </c>
      <c r="D256" s="447" t="s">
        <v>14</v>
      </c>
      <c r="E256" s="447"/>
      <c r="F256" s="447"/>
      <c r="G256" s="520">
        <v>8.5</v>
      </c>
      <c r="H256" s="521">
        <v>0.7</v>
      </c>
      <c r="I256" s="522">
        <f t="shared" si="811"/>
        <v>0</v>
      </c>
      <c r="J256" s="522">
        <f t="shared" si="812"/>
        <v>0</v>
      </c>
      <c r="K256" s="522">
        <f t="shared" si="813"/>
        <v>0</v>
      </c>
      <c r="L256" s="57">
        <f t="shared" si="814"/>
        <v>0</v>
      </c>
      <c r="M256" s="60"/>
      <c r="N256" s="60"/>
      <c r="O256" s="60">
        <f t="shared" si="815"/>
        <v>0</v>
      </c>
      <c r="P256" s="60"/>
      <c r="Q256" s="60"/>
      <c r="R256" s="60">
        <f t="shared" si="816"/>
        <v>0</v>
      </c>
      <c r="S256" s="824"/>
      <c r="T256" s="60"/>
      <c r="U256" s="60">
        <f t="shared" si="817"/>
        <v>0</v>
      </c>
      <c r="V256" s="60">
        <f t="shared" si="852"/>
        <v>0</v>
      </c>
      <c r="W256" s="60">
        <f t="shared" si="852"/>
        <v>0</v>
      </c>
      <c r="X256" s="60">
        <f t="shared" si="852"/>
        <v>0</v>
      </c>
      <c r="Y256" s="60"/>
      <c r="Z256" s="60"/>
      <c r="AA256" s="60">
        <f t="shared" si="819"/>
        <v>0</v>
      </c>
      <c r="AB256" s="60"/>
      <c r="AC256" s="60"/>
      <c r="AD256" s="60">
        <f t="shared" si="820"/>
        <v>0</v>
      </c>
      <c r="AE256" s="60"/>
      <c r="AF256" s="60"/>
      <c r="AG256" s="60">
        <f t="shared" si="821"/>
        <v>0</v>
      </c>
      <c r="AH256" s="60">
        <f t="shared" ref="AH256:AJ258" si="853">Y256+AB256+AE256</f>
        <v>0</v>
      </c>
      <c r="AI256" s="60">
        <f t="shared" si="853"/>
        <v>0</v>
      </c>
      <c r="AJ256" s="60">
        <f t="shared" si="853"/>
        <v>0</v>
      </c>
      <c r="AK256" s="60"/>
      <c r="AL256" s="60"/>
      <c r="AM256" s="60">
        <f t="shared" si="822"/>
        <v>0</v>
      </c>
      <c r="AN256" s="60"/>
      <c r="AO256" s="60"/>
      <c r="AP256" s="60">
        <f t="shared" si="823"/>
        <v>0</v>
      </c>
      <c r="AQ256" s="60"/>
      <c r="AR256" s="60"/>
      <c r="AS256" s="60">
        <f t="shared" si="824"/>
        <v>0</v>
      </c>
      <c r="AT256" s="60">
        <f t="shared" ref="AT256:AV257" si="854">AK256+AN256+AQ256</f>
        <v>0</v>
      </c>
      <c r="AU256" s="60">
        <f t="shared" si="854"/>
        <v>0</v>
      </c>
      <c r="AV256" s="60">
        <f t="shared" si="854"/>
        <v>0</v>
      </c>
      <c r="AW256" s="60"/>
      <c r="AX256" s="60"/>
      <c r="AY256" s="60">
        <f t="shared" si="825"/>
        <v>0</v>
      </c>
      <c r="AZ256" s="60"/>
      <c r="BA256" s="60"/>
      <c r="BB256" s="60">
        <f t="shared" si="826"/>
        <v>0</v>
      </c>
      <c r="BC256" s="60"/>
      <c r="BD256" s="60"/>
      <c r="BE256" s="60">
        <f t="shared" si="827"/>
        <v>0</v>
      </c>
      <c r="BF256" s="60">
        <f t="shared" ref="BF256:BH259" si="855">AW256+AZ256+BC256</f>
        <v>0</v>
      </c>
      <c r="BG256" s="60">
        <f t="shared" si="855"/>
        <v>0</v>
      </c>
      <c r="BH256" s="60">
        <f t="shared" si="855"/>
        <v>0</v>
      </c>
      <c r="BI256" s="508"/>
      <c r="BJ256" s="488" t="str">
        <f t="shared" si="664"/>
        <v>Lò</v>
      </c>
      <c r="BK256" s="523">
        <f>ROUND(O256*G256*$C$3*$B$5,-2)</f>
        <v>0</v>
      </c>
      <c r="BL256" s="523">
        <f>ROUND(R256*G256*$C$3*$B$5,-2)</f>
        <v>0</v>
      </c>
      <c r="BM256" s="523">
        <f>ROUND(U256*G256*$C$3*$B$5,-2)</f>
        <v>0</v>
      </c>
      <c r="BN256" s="523">
        <f>ROUND(X256*G256*$C$3*$B$5,-2)</f>
        <v>0</v>
      </c>
      <c r="BO256" s="523">
        <f>ROUND(AA256*G256*$C$3*$B$5,-2)</f>
        <v>0</v>
      </c>
      <c r="BP256" s="523">
        <f>ROUND(AD256*G256*$C$3*$B$5,-2)</f>
        <v>0</v>
      </c>
      <c r="BQ256" s="523">
        <f>ROUND(AG256*G256*$C$3*$B$5,-2)</f>
        <v>0</v>
      </c>
      <c r="BR256" s="523">
        <f>ROUND(AJ256*G256*$B$5*$C$3,-2)</f>
        <v>0</v>
      </c>
      <c r="BS256" s="523">
        <f>ROUND(AM256*G256*$C$3*$B$5,-2)</f>
        <v>0</v>
      </c>
      <c r="BT256" s="523">
        <f>ROUND(AP256*G256*$C$3*$B$5,-2)</f>
        <v>0</v>
      </c>
      <c r="BU256" s="523">
        <f>ROUND(AS256*G256*$C$3*$B$5,-2)</f>
        <v>0</v>
      </c>
      <c r="BV256" s="523">
        <f>ROUND(AV256*G256*$C$3*$B$5,-2)</f>
        <v>0</v>
      </c>
      <c r="BW256" s="523">
        <f>ROUND(AY256*G256*$C$3*$B$5,-2)</f>
        <v>0</v>
      </c>
      <c r="BX256" s="523">
        <f>ROUND(BB256*G256*$C$3*$B$5,-2)</f>
        <v>0</v>
      </c>
      <c r="BY256" s="523">
        <f>ROUND(BE256*G256*$C$3*$B$5,-2)</f>
        <v>0</v>
      </c>
      <c r="BZ256" s="523">
        <f>ROUND(BH256*G256*$C$3*$B$5,-2)</f>
        <v>0</v>
      </c>
      <c r="CA256" s="354"/>
      <c r="CB256" s="354" t="b">
        <f t="shared" si="808"/>
        <v>0</v>
      </c>
      <c r="CC256" s="534" t="s">
        <v>523</v>
      </c>
      <c r="CD256" s="509" t="str">
        <f t="shared" si="809"/>
        <v>ĐL1.8,5</v>
      </c>
      <c r="CE256" s="351" t="str">
        <f t="shared" si="665"/>
        <v>Lò</v>
      </c>
      <c r="CF256" s="509" t="str">
        <f t="shared" si="810"/>
        <v>ĐL1.Lò</v>
      </c>
      <c r="CG256" s="509"/>
      <c r="CH256" s="509"/>
    </row>
    <row r="257" spans="1:86" ht="24" customHeight="1" x14ac:dyDescent="0.3">
      <c r="A257" s="354" t="e">
        <f>A253</f>
        <v>#REF!</v>
      </c>
      <c r="B257" s="518"/>
      <c r="C257" s="519" t="s">
        <v>699</v>
      </c>
      <c r="D257" s="447" t="s">
        <v>14</v>
      </c>
      <c r="E257" s="447"/>
      <c r="F257" s="447"/>
      <c r="G257" s="520">
        <v>9.5</v>
      </c>
      <c r="H257" s="521">
        <v>0.7</v>
      </c>
      <c r="I257" s="522">
        <f t="shared" si="811"/>
        <v>0</v>
      </c>
      <c r="J257" s="522">
        <f t="shared" si="812"/>
        <v>0</v>
      </c>
      <c r="K257" s="522">
        <f t="shared" si="813"/>
        <v>0</v>
      </c>
      <c r="L257" s="57">
        <f t="shared" si="814"/>
        <v>0</v>
      </c>
      <c r="M257" s="60"/>
      <c r="N257" s="60"/>
      <c r="O257" s="60">
        <f t="shared" si="815"/>
        <v>0</v>
      </c>
      <c r="P257" s="60"/>
      <c r="Q257" s="60"/>
      <c r="R257" s="60">
        <f t="shared" si="816"/>
        <v>0</v>
      </c>
      <c r="S257" s="824"/>
      <c r="T257" s="60"/>
      <c r="U257" s="60">
        <f t="shared" si="817"/>
        <v>0</v>
      </c>
      <c r="V257" s="60">
        <f t="shared" ref="V257:X258" si="856">M257+P257+S257</f>
        <v>0</v>
      </c>
      <c r="W257" s="60">
        <f t="shared" si="856"/>
        <v>0</v>
      </c>
      <c r="X257" s="60">
        <f t="shared" si="856"/>
        <v>0</v>
      </c>
      <c r="Y257" s="60"/>
      <c r="Z257" s="60"/>
      <c r="AA257" s="60">
        <f t="shared" si="819"/>
        <v>0</v>
      </c>
      <c r="AB257" s="60"/>
      <c r="AC257" s="60"/>
      <c r="AD257" s="60">
        <f t="shared" si="820"/>
        <v>0</v>
      </c>
      <c r="AE257" s="60"/>
      <c r="AF257" s="60"/>
      <c r="AG257" s="60">
        <f t="shared" si="821"/>
        <v>0</v>
      </c>
      <c r="AH257" s="60">
        <f t="shared" si="853"/>
        <v>0</v>
      </c>
      <c r="AI257" s="60">
        <f t="shared" si="853"/>
        <v>0</v>
      </c>
      <c r="AJ257" s="60">
        <f t="shared" si="853"/>
        <v>0</v>
      </c>
      <c r="AK257" s="60"/>
      <c r="AL257" s="60"/>
      <c r="AM257" s="60">
        <f t="shared" si="822"/>
        <v>0</v>
      </c>
      <c r="AN257" s="60"/>
      <c r="AO257" s="60"/>
      <c r="AP257" s="60">
        <f t="shared" si="823"/>
        <v>0</v>
      </c>
      <c r="AQ257" s="60"/>
      <c r="AR257" s="60"/>
      <c r="AS257" s="60">
        <f t="shared" si="824"/>
        <v>0</v>
      </c>
      <c r="AT257" s="60">
        <f t="shared" si="854"/>
        <v>0</v>
      </c>
      <c r="AU257" s="60">
        <f t="shared" si="854"/>
        <v>0</v>
      </c>
      <c r="AV257" s="60">
        <f t="shared" si="854"/>
        <v>0</v>
      </c>
      <c r="AW257" s="60"/>
      <c r="AX257" s="60"/>
      <c r="AY257" s="60">
        <f t="shared" si="825"/>
        <v>0</v>
      </c>
      <c r="AZ257" s="60"/>
      <c r="BA257" s="60"/>
      <c r="BB257" s="60">
        <f t="shared" si="826"/>
        <v>0</v>
      </c>
      <c r="BC257" s="60"/>
      <c r="BD257" s="60"/>
      <c r="BE257" s="60">
        <f t="shared" si="827"/>
        <v>0</v>
      </c>
      <c r="BF257" s="60">
        <f t="shared" si="855"/>
        <v>0</v>
      </c>
      <c r="BG257" s="60">
        <f t="shared" si="855"/>
        <v>0</v>
      </c>
      <c r="BH257" s="60">
        <f t="shared" si="855"/>
        <v>0</v>
      </c>
      <c r="BI257" s="508"/>
      <c r="BJ257" s="488" t="str">
        <f t="shared" si="664"/>
        <v>Lò</v>
      </c>
      <c r="BK257" s="523">
        <f>ROUND(O257*G257*$C$3*$B$5,-2)</f>
        <v>0</v>
      </c>
      <c r="BL257" s="523">
        <f>ROUND(R257*G257*$C$3*$B$5,-2)</f>
        <v>0</v>
      </c>
      <c r="BM257" s="523">
        <f>ROUND(U257*G257*$C$3*$B$5,-2)</f>
        <v>0</v>
      </c>
      <c r="BN257" s="523">
        <f>ROUND(X257*G257*$C$3*$B$5,-2)</f>
        <v>0</v>
      </c>
      <c r="BO257" s="523">
        <f>ROUND(AA257*G257*$C$3*$B$5,-2)</f>
        <v>0</v>
      </c>
      <c r="BP257" s="523">
        <f>ROUND(AD257*G257*$C$3*$B$5,-2)</f>
        <v>0</v>
      </c>
      <c r="BQ257" s="523">
        <f>ROUND(AG257*G257*$C$3*$B$5,-2)</f>
        <v>0</v>
      </c>
      <c r="BR257" s="523">
        <f>ROUND(AJ257*G257*$B$5*$C$3,-2)</f>
        <v>0</v>
      </c>
      <c r="BS257" s="523">
        <f>ROUND(AM257*G257*$C$3*$B$5,-2)</f>
        <v>0</v>
      </c>
      <c r="BT257" s="523">
        <f>ROUND(AP257*G257*$C$3*$B$5,-2)</f>
        <v>0</v>
      </c>
      <c r="BU257" s="523">
        <f>ROUND(AS257*G257*$C$3*$B$5,-2)</f>
        <v>0</v>
      </c>
      <c r="BV257" s="523">
        <f>ROUND(AV257*G257*$C$3*$B$5,-2)</f>
        <v>0</v>
      </c>
      <c r="BW257" s="523">
        <f>ROUND(AY257*G257*$C$3*$B$5,-2)</f>
        <v>0</v>
      </c>
      <c r="BX257" s="523">
        <f>ROUND(BB257*G257*$C$3*$B$5,-2)</f>
        <v>0</v>
      </c>
      <c r="BY257" s="523">
        <f>ROUND(BE257*G257*$C$3*$B$5,-2)</f>
        <v>0</v>
      </c>
      <c r="BZ257" s="523">
        <f>ROUND(BH257*G257*$C$3*$B$5,-2)</f>
        <v>0</v>
      </c>
      <c r="CA257" s="354"/>
      <c r="CB257" s="354" t="b">
        <f t="shared" si="808"/>
        <v>0</v>
      </c>
      <c r="CC257" s="534" t="s">
        <v>523</v>
      </c>
      <c r="CD257" s="509" t="str">
        <f t="shared" si="809"/>
        <v>ĐL1.9,5</v>
      </c>
      <c r="CE257" s="351" t="str">
        <f t="shared" si="665"/>
        <v>Lò</v>
      </c>
      <c r="CF257" s="509" t="str">
        <f t="shared" si="810"/>
        <v>ĐL1.Lò</v>
      </c>
      <c r="CG257" s="509"/>
      <c r="CH257" s="509"/>
    </row>
    <row r="258" spans="1:86" ht="21.75" customHeight="1" x14ac:dyDescent="0.3">
      <c r="A258" s="354" t="e">
        <f>A254</f>
        <v>#REF!</v>
      </c>
      <c r="B258" s="518"/>
      <c r="C258" s="519" t="s">
        <v>699</v>
      </c>
      <c r="D258" s="447" t="s">
        <v>14</v>
      </c>
      <c r="E258" s="447"/>
      <c r="F258" s="447"/>
      <c r="G258" s="520">
        <v>8.5</v>
      </c>
      <c r="H258" s="521">
        <v>0.7</v>
      </c>
      <c r="I258" s="522">
        <f t="shared" si="811"/>
        <v>0</v>
      </c>
      <c r="J258" s="522">
        <f t="shared" si="812"/>
        <v>0</v>
      </c>
      <c r="K258" s="522">
        <f t="shared" si="813"/>
        <v>0</v>
      </c>
      <c r="L258" s="57">
        <f t="shared" si="814"/>
        <v>0</v>
      </c>
      <c r="M258" s="60"/>
      <c r="N258" s="60"/>
      <c r="O258" s="60">
        <f t="shared" si="815"/>
        <v>0</v>
      </c>
      <c r="P258" s="60"/>
      <c r="Q258" s="60"/>
      <c r="R258" s="60">
        <f t="shared" si="816"/>
        <v>0</v>
      </c>
      <c r="S258" s="824"/>
      <c r="T258" s="60"/>
      <c r="U258" s="60">
        <f t="shared" si="817"/>
        <v>0</v>
      </c>
      <c r="V258" s="60">
        <f t="shared" si="856"/>
        <v>0</v>
      </c>
      <c r="W258" s="60">
        <f t="shared" si="856"/>
        <v>0</v>
      </c>
      <c r="X258" s="60">
        <f t="shared" si="856"/>
        <v>0</v>
      </c>
      <c r="Y258" s="60"/>
      <c r="Z258" s="60"/>
      <c r="AA258" s="60">
        <f t="shared" si="819"/>
        <v>0</v>
      </c>
      <c r="AB258" s="60"/>
      <c r="AC258" s="60"/>
      <c r="AD258" s="60">
        <f t="shared" si="820"/>
        <v>0</v>
      </c>
      <c r="AE258" s="60"/>
      <c r="AF258" s="60"/>
      <c r="AG258" s="60">
        <f t="shared" si="821"/>
        <v>0</v>
      </c>
      <c r="AH258" s="60">
        <f t="shared" si="853"/>
        <v>0</v>
      </c>
      <c r="AI258" s="60">
        <f t="shared" si="853"/>
        <v>0</v>
      </c>
      <c r="AJ258" s="60">
        <f t="shared" si="853"/>
        <v>0</v>
      </c>
      <c r="AK258" s="60"/>
      <c r="AL258" s="60"/>
      <c r="AM258" s="60">
        <f t="shared" si="822"/>
        <v>0</v>
      </c>
      <c r="AN258" s="60"/>
      <c r="AO258" s="60"/>
      <c r="AP258" s="60">
        <f t="shared" si="823"/>
        <v>0</v>
      </c>
      <c r="AQ258" s="60"/>
      <c r="AR258" s="60"/>
      <c r="AS258" s="60">
        <f t="shared" si="824"/>
        <v>0</v>
      </c>
      <c r="AT258" s="60"/>
      <c r="AU258" s="60"/>
      <c r="AV258" s="60">
        <f>AT258-AU258</f>
        <v>0</v>
      </c>
      <c r="AW258" s="60"/>
      <c r="AX258" s="60"/>
      <c r="AY258" s="60">
        <f t="shared" si="825"/>
        <v>0</v>
      </c>
      <c r="AZ258" s="60"/>
      <c r="BA258" s="60"/>
      <c r="BB258" s="60">
        <f t="shared" si="826"/>
        <v>0</v>
      </c>
      <c r="BC258" s="60"/>
      <c r="BD258" s="60"/>
      <c r="BE258" s="60">
        <f t="shared" si="827"/>
        <v>0</v>
      </c>
      <c r="BF258" s="60">
        <f t="shared" si="855"/>
        <v>0</v>
      </c>
      <c r="BG258" s="60">
        <f t="shared" si="855"/>
        <v>0</v>
      </c>
      <c r="BH258" s="60">
        <f t="shared" si="855"/>
        <v>0</v>
      </c>
      <c r="BI258" s="508"/>
      <c r="BJ258" s="488" t="str">
        <f t="shared" si="664"/>
        <v>Lò</v>
      </c>
      <c r="BK258" s="523">
        <f>ROUND(O258*G258*$C$3*$B$5,-2)</f>
        <v>0</v>
      </c>
      <c r="BL258" s="523">
        <f>ROUND(R258*G258*$C$3*$B$5,-2)</f>
        <v>0</v>
      </c>
      <c r="BM258" s="523">
        <f>ROUND(U258*G258*$C$3*$B$5,-2)</f>
        <v>0</v>
      </c>
      <c r="BN258" s="523">
        <f>ROUND(X258*G258*$C$3*$B$5,-2)</f>
        <v>0</v>
      </c>
      <c r="BO258" s="523">
        <f>ROUND(AA258*G258*$C$3*$B$5,-2)</f>
        <v>0</v>
      </c>
      <c r="BP258" s="523">
        <f>ROUND(AD258*G258*$C$3*$B$5,-2)</f>
        <v>0</v>
      </c>
      <c r="BQ258" s="523">
        <f>ROUND(AG258*G258*$C$3*$B$5,-2)</f>
        <v>0</v>
      </c>
      <c r="BR258" s="523">
        <f>ROUND(AJ258*G258*$B$5*$C$3,-2)</f>
        <v>0</v>
      </c>
      <c r="BS258" s="523">
        <f>ROUND(AM258*G258*$C$3*$B$5,-2)</f>
        <v>0</v>
      </c>
      <c r="BT258" s="523">
        <f>ROUND(AP258*G258*$C$3*$B$5,-2)</f>
        <v>0</v>
      </c>
      <c r="BU258" s="523">
        <f>ROUND(AS258*G258*$C$3*$B$5,-2)</f>
        <v>0</v>
      </c>
      <c r="BV258" s="523">
        <f>ROUND(AV258*G258*$C$3*$B$5,-2)</f>
        <v>0</v>
      </c>
      <c r="BW258" s="523">
        <f>ROUND(AY258*G258*$C$3*$B$5,-2)</f>
        <v>0</v>
      </c>
      <c r="BX258" s="523">
        <f>ROUND(BB258*G258*$C$3*$B$5,-2)</f>
        <v>0</v>
      </c>
      <c r="BY258" s="523">
        <f>ROUND(BE258*G258*$C$3*$B$5,-2)</f>
        <v>0</v>
      </c>
      <c r="BZ258" s="523">
        <f>ROUND(BH258*G258*$C$3*$B$5,-2)</f>
        <v>0</v>
      </c>
      <c r="CA258" s="354"/>
      <c r="CB258" s="354" t="b">
        <f t="shared" si="808"/>
        <v>0</v>
      </c>
      <c r="CC258" s="534" t="s">
        <v>523</v>
      </c>
      <c r="CD258" s="509" t="str">
        <f t="shared" si="809"/>
        <v>ĐL1.8,5</v>
      </c>
      <c r="CE258" s="351" t="str">
        <f t="shared" si="665"/>
        <v>Lò</v>
      </c>
      <c r="CF258" s="509" t="str">
        <f t="shared" si="810"/>
        <v>ĐL1.Lò</v>
      </c>
      <c r="CG258" s="509"/>
      <c r="CH258" s="509"/>
    </row>
    <row r="259" spans="1:86" ht="24" customHeight="1" x14ac:dyDescent="0.3">
      <c r="A259" s="354" t="e">
        <f>A256</f>
        <v>#REF!</v>
      </c>
      <c r="B259" s="518" t="s">
        <v>544</v>
      </c>
      <c r="C259" s="519" t="s">
        <v>596</v>
      </c>
      <c r="D259" s="447" t="s">
        <v>14</v>
      </c>
      <c r="E259" s="447"/>
      <c r="F259" s="447"/>
      <c r="G259" s="520">
        <v>11.2</v>
      </c>
      <c r="H259" s="521">
        <v>0.7</v>
      </c>
      <c r="I259" s="522">
        <f t="shared" si="811"/>
        <v>0</v>
      </c>
      <c r="J259" s="522">
        <f t="shared" si="812"/>
        <v>0</v>
      </c>
      <c r="K259" s="522">
        <f t="shared" si="813"/>
        <v>0</v>
      </c>
      <c r="L259" s="57">
        <f t="shared" si="814"/>
        <v>0</v>
      </c>
      <c r="M259" s="60"/>
      <c r="N259" s="60"/>
      <c r="O259" s="60">
        <f t="shared" si="815"/>
        <v>0</v>
      </c>
      <c r="P259" s="60"/>
      <c r="Q259" s="60"/>
      <c r="R259" s="60">
        <f t="shared" si="816"/>
        <v>0</v>
      </c>
      <c r="S259" s="824"/>
      <c r="T259" s="60"/>
      <c r="U259" s="60">
        <f t="shared" si="817"/>
        <v>0</v>
      </c>
      <c r="V259" s="60"/>
      <c r="W259" s="60"/>
      <c r="X259" s="60">
        <f>V259-W259</f>
        <v>0</v>
      </c>
      <c r="Y259" s="60"/>
      <c r="Z259" s="60"/>
      <c r="AA259" s="60">
        <f t="shared" si="819"/>
        <v>0</v>
      </c>
      <c r="AB259" s="60"/>
      <c r="AC259" s="60"/>
      <c r="AD259" s="60">
        <f t="shared" si="820"/>
        <v>0</v>
      </c>
      <c r="AE259" s="60"/>
      <c r="AF259" s="60"/>
      <c r="AG259" s="60">
        <f t="shared" si="821"/>
        <v>0</v>
      </c>
      <c r="AH259" s="60"/>
      <c r="AI259" s="60"/>
      <c r="AJ259" s="60">
        <f>AH259-AI259</f>
        <v>0</v>
      </c>
      <c r="AK259" s="60"/>
      <c r="AL259" s="60"/>
      <c r="AM259" s="60">
        <f t="shared" si="822"/>
        <v>0</v>
      </c>
      <c r="AN259" s="60"/>
      <c r="AO259" s="60"/>
      <c r="AP259" s="60">
        <f t="shared" si="823"/>
        <v>0</v>
      </c>
      <c r="AQ259" s="60"/>
      <c r="AR259" s="60"/>
      <c r="AS259" s="60">
        <f t="shared" si="824"/>
        <v>0</v>
      </c>
      <c r="AT259" s="60"/>
      <c r="AU259" s="60"/>
      <c r="AV259" s="60">
        <f>AT259-AU259</f>
        <v>0</v>
      </c>
      <c r="AW259" s="60"/>
      <c r="AX259" s="60"/>
      <c r="AY259" s="60">
        <f t="shared" si="825"/>
        <v>0</v>
      </c>
      <c r="AZ259" s="60"/>
      <c r="BA259" s="60"/>
      <c r="BB259" s="60">
        <f t="shared" si="826"/>
        <v>0</v>
      </c>
      <c r="BC259" s="60"/>
      <c r="BD259" s="60"/>
      <c r="BE259" s="60">
        <f t="shared" si="827"/>
        <v>0</v>
      </c>
      <c r="BF259" s="60">
        <f t="shared" si="855"/>
        <v>0</v>
      </c>
      <c r="BG259" s="60">
        <f t="shared" si="855"/>
        <v>0</v>
      </c>
      <c r="BH259" s="60">
        <f t="shared" si="855"/>
        <v>0</v>
      </c>
      <c r="BI259" s="508"/>
      <c r="BJ259" s="488" t="str">
        <f t="shared" si="664"/>
        <v>Lò</v>
      </c>
      <c r="BK259" s="523">
        <f>ROUND(O259*G259*$C$3*$B$5,-2)</f>
        <v>0</v>
      </c>
      <c r="BL259" s="523">
        <f>ROUND(R259*G259*$C$3*$B$5,-2)</f>
        <v>0</v>
      </c>
      <c r="BM259" s="523">
        <f>ROUND(U259*G259*$C$3*$B$5,-2)</f>
        <v>0</v>
      </c>
      <c r="BN259" s="523">
        <f>ROUND(X259*G259*$C$3*$B$5,-2)</f>
        <v>0</v>
      </c>
      <c r="BO259" s="523">
        <f>ROUND(AA259*G259*$C$3*$B$5,-2)</f>
        <v>0</v>
      </c>
      <c r="BP259" s="523">
        <f>ROUND(AD259*G259*$C$3*$B$5,-2)</f>
        <v>0</v>
      </c>
      <c r="BQ259" s="523">
        <f>ROUND(AG259*G259*$C$3*$B$5,-2)</f>
        <v>0</v>
      </c>
      <c r="BR259" s="523">
        <f>ROUND(AJ259*G259*$B$5*$C$3,-2)</f>
        <v>0</v>
      </c>
      <c r="BS259" s="523">
        <f>ROUND(AM259*G259*$C$3*$B$5,-2)</f>
        <v>0</v>
      </c>
      <c r="BT259" s="523">
        <f>ROUND(AP259*G259*$C$3*$B$5,-2)</f>
        <v>0</v>
      </c>
      <c r="BU259" s="523">
        <f>ROUND(AS259*G259*$C$3*$B$5,-2)</f>
        <v>0</v>
      </c>
      <c r="BV259" s="523">
        <f>ROUND(AV259*G259*$C$3*$B$5,-2)</f>
        <v>0</v>
      </c>
      <c r="BW259" s="523">
        <f>ROUND(AY259*G259*$C$3*$B$5,-2)</f>
        <v>0</v>
      </c>
      <c r="BX259" s="523">
        <f>ROUND(BB259*G259*$C$3*$B$5,-2)</f>
        <v>0</v>
      </c>
      <c r="BY259" s="523">
        <f>ROUND(BE259*G259*$C$3*$B$5,-2)</f>
        <v>0</v>
      </c>
      <c r="BZ259" s="523">
        <f>ROUND(BH259*G259*$C$3*$B$5,-2)</f>
        <v>0</v>
      </c>
      <c r="CA259" s="354"/>
      <c r="CB259" s="354" t="b">
        <f t="shared" si="808"/>
        <v>0</v>
      </c>
      <c r="CC259" s="534" t="s">
        <v>523</v>
      </c>
      <c r="CD259" s="509" t="str">
        <f t="shared" si="809"/>
        <v>ĐL1.11,2</v>
      </c>
      <c r="CE259" s="351" t="str">
        <f t="shared" si="665"/>
        <v>Lò</v>
      </c>
      <c r="CF259" s="509" t="str">
        <f t="shared" si="810"/>
        <v>ĐL1.Lò</v>
      </c>
      <c r="CG259" s="509"/>
      <c r="CH259" s="509"/>
    </row>
    <row r="260" spans="1:86" ht="24" customHeight="1" x14ac:dyDescent="0.3">
      <c r="A260" s="354" t="e">
        <f>A259</f>
        <v>#REF!</v>
      </c>
      <c r="B260" s="518"/>
      <c r="C260" s="519" t="s">
        <v>209</v>
      </c>
      <c r="D260" s="447" t="s">
        <v>14</v>
      </c>
      <c r="E260" s="447"/>
      <c r="F260" s="447"/>
      <c r="G260" s="520">
        <v>11.2</v>
      </c>
      <c r="H260" s="521">
        <v>0.7</v>
      </c>
      <c r="I260" s="522">
        <f t="shared" si="811"/>
        <v>0</v>
      </c>
      <c r="J260" s="522">
        <f t="shared" si="812"/>
        <v>0</v>
      </c>
      <c r="K260" s="522">
        <f t="shared" si="813"/>
        <v>0</v>
      </c>
      <c r="L260" s="57">
        <f t="shared" si="814"/>
        <v>0</v>
      </c>
      <c r="M260" s="60"/>
      <c r="N260" s="60"/>
      <c r="O260" s="60">
        <f t="shared" si="815"/>
        <v>0</v>
      </c>
      <c r="P260" s="60"/>
      <c r="Q260" s="60"/>
      <c r="R260" s="60">
        <f t="shared" si="816"/>
        <v>0</v>
      </c>
      <c r="S260" s="824"/>
      <c r="T260" s="60"/>
      <c r="U260" s="60">
        <f t="shared" si="817"/>
        <v>0</v>
      </c>
      <c r="V260" s="60"/>
      <c r="W260" s="60"/>
      <c r="X260" s="60">
        <f>V260-W260</f>
        <v>0</v>
      </c>
      <c r="Y260" s="60"/>
      <c r="Z260" s="60"/>
      <c r="AA260" s="60">
        <f t="shared" si="819"/>
        <v>0</v>
      </c>
      <c r="AB260" s="60"/>
      <c r="AC260" s="60"/>
      <c r="AD260" s="60">
        <f t="shared" si="820"/>
        <v>0</v>
      </c>
      <c r="AE260" s="60"/>
      <c r="AF260" s="60"/>
      <c r="AG260" s="60">
        <f t="shared" si="821"/>
        <v>0</v>
      </c>
      <c r="AH260" s="60"/>
      <c r="AI260" s="60"/>
      <c r="AJ260" s="60">
        <f>AH260-AI260</f>
        <v>0</v>
      </c>
      <c r="AK260" s="60"/>
      <c r="AL260" s="60"/>
      <c r="AM260" s="60">
        <f t="shared" si="822"/>
        <v>0</v>
      </c>
      <c r="AN260" s="60"/>
      <c r="AO260" s="60"/>
      <c r="AP260" s="60">
        <f t="shared" si="823"/>
        <v>0</v>
      </c>
      <c r="AQ260" s="60"/>
      <c r="AR260" s="60"/>
      <c r="AS260" s="60">
        <f t="shared" si="824"/>
        <v>0</v>
      </c>
      <c r="AT260" s="60"/>
      <c r="AU260" s="60"/>
      <c r="AV260" s="60">
        <f>AT260-AU260</f>
        <v>0</v>
      </c>
      <c r="AW260" s="60"/>
      <c r="AX260" s="60"/>
      <c r="AY260" s="60">
        <f t="shared" si="825"/>
        <v>0</v>
      </c>
      <c r="AZ260" s="60"/>
      <c r="BA260" s="60"/>
      <c r="BB260" s="60">
        <f t="shared" si="826"/>
        <v>0</v>
      </c>
      <c r="BC260" s="60"/>
      <c r="BD260" s="60"/>
      <c r="BE260" s="60">
        <f t="shared" si="827"/>
        <v>0</v>
      </c>
      <c r="BF260" s="60"/>
      <c r="BG260" s="60"/>
      <c r="BH260" s="60">
        <f>BF260-BG260</f>
        <v>0</v>
      </c>
      <c r="BI260" s="508"/>
      <c r="BJ260" s="488" t="str">
        <f t="shared" si="664"/>
        <v>Lò</v>
      </c>
      <c r="BK260" s="523">
        <f>ROUND(O260*G260*$C$3*$B$5,-2)</f>
        <v>0</v>
      </c>
      <c r="BL260" s="523">
        <f>ROUND(R260*G260*$C$3*$B$5,-2)</f>
        <v>0</v>
      </c>
      <c r="BM260" s="523">
        <f>ROUND(U260*G260*$C$3*$B$5,-2)</f>
        <v>0</v>
      </c>
      <c r="BN260" s="523">
        <f>ROUND(X260*G260*$C$3*$B$5,-2)</f>
        <v>0</v>
      </c>
      <c r="BO260" s="523">
        <f>ROUND(AA260*G260*$C$3*$B$5,-2)</f>
        <v>0</v>
      </c>
      <c r="BP260" s="523">
        <f>ROUND(AD260*G260*$C$3*$B$5,-2)</f>
        <v>0</v>
      </c>
      <c r="BQ260" s="523">
        <f>ROUND(AG260*G260*$C$3*$B$5,-2)</f>
        <v>0</v>
      </c>
      <c r="BR260" s="523">
        <f>ROUND(AJ260*G260*$B$5*$C$3,-2)</f>
        <v>0</v>
      </c>
      <c r="BS260" s="523">
        <f>ROUND(AM260*G260*$C$3*$B$5,-2)</f>
        <v>0</v>
      </c>
      <c r="BT260" s="523">
        <f>ROUND(AP260*G260*$C$3*$B$5,-2)</f>
        <v>0</v>
      </c>
      <c r="BU260" s="523">
        <f>ROUND(AS260*G260*$C$3*$B$5,-2)</f>
        <v>0</v>
      </c>
      <c r="BV260" s="523">
        <f>ROUND(AV260*G260*$C$3*$B$5,-2)</f>
        <v>0</v>
      </c>
      <c r="BW260" s="523">
        <f>ROUND(AY260*G260*$C$3*$B$5,-2)</f>
        <v>0</v>
      </c>
      <c r="BX260" s="523">
        <f>ROUND(BB260*G260*$C$3*$B$5,-2)</f>
        <v>0</v>
      </c>
      <c r="BY260" s="523">
        <f>ROUND(BE260*G260*$C$3*$B$5,-2)</f>
        <v>0</v>
      </c>
      <c r="BZ260" s="523">
        <f>ROUND(BH260*G260*$C$3*$B$5,-2)</f>
        <v>0</v>
      </c>
      <c r="CA260" s="354"/>
      <c r="CB260" s="354" t="b">
        <f t="shared" si="808"/>
        <v>0</v>
      </c>
      <c r="CC260" s="534" t="s">
        <v>523</v>
      </c>
      <c r="CD260" s="509" t="str">
        <f t="shared" si="809"/>
        <v>ĐL1.11,2</v>
      </c>
      <c r="CE260" s="351" t="str">
        <f t="shared" si="665"/>
        <v>Lò</v>
      </c>
      <c r="CF260" s="509" t="str">
        <f t="shared" si="810"/>
        <v>ĐL1.Lò</v>
      </c>
      <c r="CG260" s="509"/>
      <c r="CH260" s="509"/>
    </row>
    <row r="261" spans="1:86" s="359" customFormat="1" ht="17.25" x14ac:dyDescent="0.3">
      <c r="A261" s="354" t="e">
        <f>A260</f>
        <v>#REF!</v>
      </c>
      <c r="B261" s="525" t="s">
        <v>37</v>
      </c>
      <c r="C261" s="526" t="s">
        <v>178</v>
      </c>
      <c r="D261" s="527"/>
      <c r="E261" s="527"/>
      <c r="F261" s="527"/>
      <c r="G261" s="528"/>
      <c r="H261" s="529"/>
      <c r="I261" s="70">
        <f t="shared" ref="I261:AN261" si="857">SUM(I262:I265)</f>
        <v>435</v>
      </c>
      <c r="J261" s="70">
        <f t="shared" si="857"/>
        <v>435</v>
      </c>
      <c r="K261" s="70">
        <f t="shared" si="857"/>
        <v>0</v>
      </c>
      <c r="L261" s="70">
        <f t="shared" si="857"/>
        <v>0</v>
      </c>
      <c r="M261" s="210">
        <f t="shared" si="857"/>
        <v>40</v>
      </c>
      <c r="N261" s="210">
        <f t="shared" si="857"/>
        <v>40</v>
      </c>
      <c r="O261" s="210">
        <f t="shared" si="857"/>
        <v>0</v>
      </c>
      <c r="P261" s="210">
        <f t="shared" si="857"/>
        <v>30</v>
      </c>
      <c r="Q261" s="210">
        <f t="shared" si="857"/>
        <v>30</v>
      </c>
      <c r="R261" s="210">
        <f t="shared" si="857"/>
        <v>0</v>
      </c>
      <c r="S261" s="829">
        <f t="shared" si="857"/>
        <v>40</v>
      </c>
      <c r="T261" s="210">
        <f t="shared" si="857"/>
        <v>40</v>
      </c>
      <c r="U261" s="210">
        <f t="shared" si="857"/>
        <v>0</v>
      </c>
      <c r="V261" s="224">
        <f t="shared" si="857"/>
        <v>110</v>
      </c>
      <c r="W261" s="224">
        <f t="shared" si="857"/>
        <v>110</v>
      </c>
      <c r="X261" s="224">
        <f t="shared" si="857"/>
        <v>0</v>
      </c>
      <c r="Y261" s="210">
        <f t="shared" si="857"/>
        <v>40</v>
      </c>
      <c r="Z261" s="210">
        <f t="shared" si="857"/>
        <v>40</v>
      </c>
      <c r="AA261" s="210">
        <f t="shared" si="857"/>
        <v>0</v>
      </c>
      <c r="AB261" s="210">
        <f t="shared" si="857"/>
        <v>30</v>
      </c>
      <c r="AC261" s="210">
        <f t="shared" si="857"/>
        <v>30</v>
      </c>
      <c r="AD261" s="210">
        <f t="shared" si="857"/>
        <v>0</v>
      </c>
      <c r="AE261" s="210">
        <f t="shared" si="857"/>
        <v>40</v>
      </c>
      <c r="AF261" s="210">
        <f t="shared" si="857"/>
        <v>40</v>
      </c>
      <c r="AG261" s="210">
        <f t="shared" si="857"/>
        <v>0</v>
      </c>
      <c r="AH261" s="224">
        <f t="shared" si="857"/>
        <v>110</v>
      </c>
      <c r="AI261" s="224">
        <f t="shared" si="857"/>
        <v>110</v>
      </c>
      <c r="AJ261" s="224">
        <f t="shared" si="857"/>
        <v>0</v>
      </c>
      <c r="AK261" s="210">
        <f t="shared" si="857"/>
        <v>40</v>
      </c>
      <c r="AL261" s="210">
        <f t="shared" si="857"/>
        <v>40</v>
      </c>
      <c r="AM261" s="210">
        <f t="shared" si="857"/>
        <v>0</v>
      </c>
      <c r="AN261" s="210">
        <f t="shared" si="857"/>
        <v>40</v>
      </c>
      <c r="AO261" s="210">
        <f t="shared" ref="AO261:BH261" si="858">SUM(AO262:AO265)</f>
        <v>40</v>
      </c>
      <c r="AP261" s="210">
        <f t="shared" si="858"/>
        <v>0</v>
      </c>
      <c r="AQ261" s="210">
        <f t="shared" si="858"/>
        <v>30</v>
      </c>
      <c r="AR261" s="210">
        <f t="shared" si="858"/>
        <v>30</v>
      </c>
      <c r="AS261" s="210">
        <f t="shared" si="858"/>
        <v>0</v>
      </c>
      <c r="AT261" s="224">
        <f t="shared" si="858"/>
        <v>110</v>
      </c>
      <c r="AU261" s="224">
        <f t="shared" si="858"/>
        <v>110</v>
      </c>
      <c r="AV261" s="224">
        <f t="shared" si="858"/>
        <v>0</v>
      </c>
      <c r="AW261" s="210">
        <f t="shared" si="858"/>
        <v>35</v>
      </c>
      <c r="AX261" s="210">
        <f t="shared" si="858"/>
        <v>35</v>
      </c>
      <c r="AY261" s="210">
        <f t="shared" si="858"/>
        <v>0</v>
      </c>
      <c r="AZ261" s="210">
        <f t="shared" si="858"/>
        <v>35</v>
      </c>
      <c r="BA261" s="210">
        <f t="shared" si="858"/>
        <v>35</v>
      </c>
      <c r="BB261" s="210">
        <f t="shared" si="858"/>
        <v>0</v>
      </c>
      <c r="BC261" s="210">
        <f t="shared" si="858"/>
        <v>35</v>
      </c>
      <c r="BD261" s="210">
        <f t="shared" si="858"/>
        <v>35</v>
      </c>
      <c r="BE261" s="210">
        <f t="shared" si="858"/>
        <v>0</v>
      </c>
      <c r="BF261" s="224">
        <f t="shared" si="858"/>
        <v>105</v>
      </c>
      <c r="BG261" s="224">
        <f t="shared" si="858"/>
        <v>105</v>
      </c>
      <c r="BH261" s="224">
        <f t="shared" si="858"/>
        <v>0</v>
      </c>
      <c r="BI261" s="530"/>
      <c r="BJ261" s="488" t="str">
        <f t="shared" ref="BJ261:BJ324" si="859">LEFT(C261,2)</f>
        <v>XL</v>
      </c>
      <c r="BK261" s="225">
        <f>SUM(BK262:BK265)</f>
        <v>0</v>
      </c>
      <c r="BL261" s="225">
        <f t="shared" ref="BL261:BZ261" si="860">SUM(BL262:BL265)</f>
        <v>0</v>
      </c>
      <c r="BM261" s="225">
        <f t="shared" si="860"/>
        <v>0</v>
      </c>
      <c r="BN261" s="225">
        <f t="shared" si="860"/>
        <v>0</v>
      </c>
      <c r="BO261" s="225">
        <f t="shared" si="860"/>
        <v>0</v>
      </c>
      <c r="BP261" s="225">
        <f t="shared" si="860"/>
        <v>0</v>
      </c>
      <c r="BQ261" s="225">
        <f t="shared" si="860"/>
        <v>0</v>
      </c>
      <c r="BR261" s="225">
        <f t="shared" si="860"/>
        <v>0</v>
      </c>
      <c r="BS261" s="225">
        <f t="shared" si="860"/>
        <v>0</v>
      </c>
      <c r="BT261" s="225">
        <f t="shared" si="860"/>
        <v>0</v>
      </c>
      <c r="BU261" s="225">
        <f t="shared" si="860"/>
        <v>0</v>
      </c>
      <c r="BV261" s="225">
        <f t="shared" si="860"/>
        <v>0</v>
      </c>
      <c r="BW261" s="225">
        <f t="shared" si="860"/>
        <v>0</v>
      </c>
      <c r="BX261" s="225">
        <f t="shared" si="860"/>
        <v>0</v>
      </c>
      <c r="BY261" s="225">
        <f t="shared" si="860"/>
        <v>0</v>
      </c>
      <c r="BZ261" s="225">
        <f t="shared" si="860"/>
        <v>0</v>
      </c>
      <c r="CA261" s="510"/>
      <c r="CB261" s="354" t="str">
        <f t="shared" si="808"/>
        <v>X</v>
      </c>
      <c r="CC261" s="534" t="s">
        <v>523</v>
      </c>
      <c r="CD261" s="509" t="str">
        <f t="shared" si="809"/>
        <v>ĐL1.</v>
      </c>
      <c r="CE261" s="351" t="str">
        <f t="shared" ref="CE261:CE324" si="861">LEFT(C261,2)</f>
        <v>XL</v>
      </c>
      <c r="CF261" s="509" t="str">
        <f t="shared" si="810"/>
        <v>ĐL1.XL</v>
      </c>
      <c r="CG261" s="509"/>
      <c r="CH261" s="509"/>
    </row>
    <row r="262" spans="1:86" ht="24.75" customHeight="1" x14ac:dyDescent="0.3">
      <c r="A262" s="354" t="e">
        <f>A261</f>
        <v>#REF!</v>
      </c>
      <c r="B262" s="484"/>
      <c r="C262" s="531" t="s">
        <v>807</v>
      </c>
      <c r="D262" s="447" t="s">
        <v>14</v>
      </c>
      <c r="E262" s="447"/>
      <c r="F262" s="447"/>
      <c r="G262" s="520">
        <v>17.899999999999999</v>
      </c>
      <c r="H262" s="521">
        <v>0.5</v>
      </c>
      <c r="I262" s="522">
        <f t="shared" ref="I262:K265" si="862">V262+AH262+AT262+BF262</f>
        <v>180</v>
      </c>
      <c r="J262" s="522">
        <f t="shared" si="862"/>
        <v>180</v>
      </c>
      <c r="K262" s="522">
        <f t="shared" si="862"/>
        <v>0</v>
      </c>
      <c r="L262" s="57">
        <f>BN262+BR262+BV262+BZ262</f>
        <v>0</v>
      </c>
      <c r="M262" s="60">
        <v>40</v>
      </c>
      <c r="N262" s="60">
        <v>40</v>
      </c>
      <c r="O262" s="60">
        <f>M262-N262</f>
        <v>0</v>
      </c>
      <c r="P262" s="60">
        <v>30</v>
      </c>
      <c r="Q262" s="60">
        <v>30</v>
      </c>
      <c r="R262" s="60">
        <f>P262-Q262</f>
        <v>0</v>
      </c>
      <c r="S262" s="824">
        <v>40</v>
      </c>
      <c r="T262" s="60">
        <v>40</v>
      </c>
      <c r="U262" s="60">
        <f>S262-T262</f>
        <v>0</v>
      </c>
      <c r="V262" s="60">
        <f t="shared" ref="V262:X265" si="863">M262+P262+S262</f>
        <v>110</v>
      </c>
      <c r="W262" s="60">
        <f t="shared" si="863"/>
        <v>110</v>
      </c>
      <c r="X262" s="60">
        <f t="shared" si="863"/>
        <v>0</v>
      </c>
      <c r="Y262" s="60">
        <v>40</v>
      </c>
      <c r="Z262" s="60">
        <v>40</v>
      </c>
      <c r="AA262" s="60">
        <f>Y262-Z262</f>
        <v>0</v>
      </c>
      <c r="AB262" s="60">
        <v>30</v>
      </c>
      <c r="AC262" s="60">
        <v>30</v>
      </c>
      <c r="AD262" s="60">
        <f>AB262-AC262</f>
        <v>0</v>
      </c>
      <c r="AE262" s="60"/>
      <c r="AF262" s="60"/>
      <c r="AG262" s="60">
        <f>AE262-AF262</f>
        <v>0</v>
      </c>
      <c r="AH262" s="60">
        <f t="shared" ref="AH262:AJ265" si="864">Y262+AB262+AE262</f>
        <v>70</v>
      </c>
      <c r="AI262" s="60">
        <f t="shared" si="864"/>
        <v>70</v>
      </c>
      <c r="AJ262" s="60">
        <f t="shared" si="864"/>
        <v>0</v>
      </c>
      <c r="AK262" s="60"/>
      <c r="AL262" s="60"/>
      <c r="AM262" s="60">
        <f>AK262-AL262</f>
        <v>0</v>
      </c>
      <c r="AN262" s="60"/>
      <c r="AO262" s="60"/>
      <c r="AP262" s="60">
        <f>AN262-AO262</f>
        <v>0</v>
      </c>
      <c r="AQ262" s="60"/>
      <c r="AR262" s="60"/>
      <c r="AS262" s="60">
        <f>AQ262-AR262</f>
        <v>0</v>
      </c>
      <c r="AT262" s="60">
        <f t="shared" ref="AT262:AV263" si="865">AK262+AN262+AQ262</f>
        <v>0</v>
      </c>
      <c r="AU262" s="60">
        <f t="shared" si="865"/>
        <v>0</v>
      </c>
      <c r="AV262" s="60">
        <f t="shared" si="865"/>
        <v>0</v>
      </c>
      <c r="AW262" s="60"/>
      <c r="AX262" s="60"/>
      <c r="AY262" s="60">
        <f>AW262-AX262</f>
        <v>0</v>
      </c>
      <c r="AZ262" s="60"/>
      <c r="BA262" s="60"/>
      <c r="BB262" s="60">
        <f>AZ262-BA262</f>
        <v>0</v>
      </c>
      <c r="BC262" s="60"/>
      <c r="BD262" s="60"/>
      <c r="BE262" s="60">
        <f>BC262-BD262</f>
        <v>0</v>
      </c>
      <c r="BF262" s="60">
        <f t="shared" ref="BF262:BH263" si="866">AW262+AZ262+BC262</f>
        <v>0</v>
      </c>
      <c r="BG262" s="60">
        <f t="shared" si="866"/>
        <v>0</v>
      </c>
      <c r="BH262" s="60">
        <f t="shared" si="866"/>
        <v>0</v>
      </c>
      <c r="BI262" s="508"/>
      <c r="BJ262" s="488" t="str">
        <f t="shared" si="859"/>
        <v>Xé</v>
      </c>
      <c r="BK262" s="523">
        <f>ROUND(O262*G262*$B$6,-2)</f>
        <v>0</v>
      </c>
      <c r="BL262" s="523">
        <f>ROUND(R262*G262*$B$6,-2)</f>
        <v>0</v>
      </c>
      <c r="BM262" s="523">
        <f>ROUND(U262*G262*$B$6,-2)</f>
        <v>0</v>
      </c>
      <c r="BN262" s="523">
        <f>ROUND(X262*G262*$B$6,-2)</f>
        <v>0</v>
      </c>
      <c r="BO262" s="523">
        <f>ROUND(AA262*G262*$B$6,-2)</f>
        <v>0</v>
      </c>
      <c r="BP262" s="523">
        <f>ROUND(AD262*G262*$B$6,-2)</f>
        <v>0</v>
      </c>
      <c r="BQ262" s="523">
        <f>ROUND(AG262*G262*$B$6,-2)</f>
        <v>0</v>
      </c>
      <c r="BR262" s="523">
        <f>ROUND(AJ262*G262*$B$6,-2)</f>
        <v>0</v>
      </c>
      <c r="BS262" s="523">
        <f>ROUND(AM262*G262*$B$6,-2)</f>
        <v>0</v>
      </c>
      <c r="BT262" s="523">
        <f>ROUND(AP262*G262*$B$6,-2)</f>
        <v>0</v>
      </c>
      <c r="BU262" s="523">
        <f>ROUND(AS262*G262*$B$6,-2)</f>
        <v>0</v>
      </c>
      <c r="BV262" s="523">
        <f>ROUND(AV262*G262*$B$6,-2)</f>
        <v>0</v>
      </c>
      <c r="BW262" s="523">
        <f>ROUND(AY262*G262*$B$6,-2)</f>
        <v>0</v>
      </c>
      <c r="BX262" s="523">
        <f>ROUND(BB262*G262*$B$6,-2)</f>
        <v>0</v>
      </c>
      <c r="BY262" s="523">
        <f>ROUND(BE262*G262*$B$6,-2)</f>
        <v>0</v>
      </c>
      <c r="BZ262" s="523">
        <f>ROUND(BH262*G262*$B$6,-2)</f>
        <v>0</v>
      </c>
      <c r="CA262" s="354"/>
      <c r="CB262" s="354" t="str">
        <f t="shared" si="808"/>
        <v>X</v>
      </c>
      <c r="CC262" s="534" t="s">
        <v>523</v>
      </c>
      <c r="CD262" s="509" t="str">
        <f t="shared" si="809"/>
        <v>ĐL1.17,9</v>
      </c>
      <c r="CE262" s="351" t="str">
        <f t="shared" si="861"/>
        <v>Xé</v>
      </c>
      <c r="CF262" s="509" t="str">
        <f t="shared" si="810"/>
        <v>ĐL1.Xé</v>
      </c>
      <c r="CG262" s="509"/>
      <c r="CH262" s="509"/>
    </row>
    <row r="263" spans="1:86" ht="24.75" customHeight="1" x14ac:dyDescent="0.3">
      <c r="A263" s="354" t="e">
        <f>A260</f>
        <v>#REF!</v>
      </c>
      <c r="B263" s="484"/>
      <c r="C263" s="531" t="s">
        <v>808</v>
      </c>
      <c r="D263" s="447" t="s">
        <v>14</v>
      </c>
      <c r="E263" s="447"/>
      <c r="F263" s="447"/>
      <c r="G263" s="520">
        <v>17.899999999999999</v>
      </c>
      <c r="H263" s="521">
        <v>0.7</v>
      </c>
      <c r="I263" s="522">
        <f t="shared" si="862"/>
        <v>135</v>
      </c>
      <c r="J263" s="522">
        <f t="shared" si="862"/>
        <v>135</v>
      </c>
      <c r="K263" s="522">
        <f t="shared" si="862"/>
        <v>0</v>
      </c>
      <c r="L263" s="57">
        <f>BN263+BR263+BV263+BZ263</f>
        <v>0</v>
      </c>
      <c r="M263" s="60"/>
      <c r="N263" s="60"/>
      <c r="O263" s="60">
        <f>M263-N263</f>
        <v>0</v>
      </c>
      <c r="P263" s="60"/>
      <c r="Q263" s="60"/>
      <c r="R263" s="60">
        <f>P263-Q263</f>
        <v>0</v>
      </c>
      <c r="S263" s="824"/>
      <c r="T263" s="60"/>
      <c r="U263" s="60">
        <f>S263-T263</f>
        <v>0</v>
      </c>
      <c r="V263" s="60">
        <f t="shared" si="863"/>
        <v>0</v>
      </c>
      <c r="W263" s="60">
        <f t="shared" si="863"/>
        <v>0</v>
      </c>
      <c r="X263" s="60">
        <f t="shared" si="863"/>
        <v>0</v>
      </c>
      <c r="Y263" s="60"/>
      <c r="Z263" s="60"/>
      <c r="AA263" s="60">
        <f>Y263-Z263</f>
        <v>0</v>
      </c>
      <c r="AB263" s="60"/>
      <c r="AC263" s="60"/>
      <c r="AD263" s="60">
        <f>AB263-AC263</f>
        <v>0</v>
      </c>
      <c r="AE263" s="60">
        <v>40</v>
      </c>
      <c r="AF263" s="60">
        <v>40</v>
      </c>
      <c r="AG263" s="60">
        <f>AE263-AF263</f>
        <v>0</v>
      </c>
      <c r="AH263" s="60">
        <f t="shared" si="864"/>
        <v>40</v>
      </c>
      <c r="AI263" s="60">
        <f t="shared" si="864"/>
        <v>40</v>
      </c>
      <c r="AJ263" s="60">
        <f t="shared" si="864"/>
        <v>0</v>
      </c>
      <c r="AK263" s="60">
        <v>40</v>
      </c>
      <c r="AL263" s="60">
        <v>40</v>
      </c>
      <c r="AM263" s="60">
        <f>AK263-AL263</f>
        <v>0</v>
      </c>
      <c r="AN263" s="60">
        <v>40</v>
      </c>
      <c r="AO263" s="60">
        <v>40</v>
      </c>
      <c r="AP263" s="60">
        <f>AN263-AO263</f>
        <v>0</v>
      </c>
      <c r="AQ263" s="60">
        <v>15</v>
      </c>
      <c r="AR263" s="60">
        <v>15</v>
      </c>
      <c r="AS263" s="60">
        <f>AQ263-AR263</f>
        <v>0</v>
      </c>
      <c r="AT263" s="60">
        <f t="shared" si="865"/>
        <v>95</v>
      </c>
      <c r="AU263" s="60">
        <f t="shared" si="865"/>
        <v>95</v>
      </c>
      <c r="AV263" s="60">
        <f t="shared" si="865"/>
        <v>0</v>
      </c>
      <c r="AW263" s="60"/>
      <c r="AX263" s="60"/>
      <c r="AY263" s="60">
        <f>AW263-AX263</f>
        <v>0</v>
      </c>
      <c r="AZ263" s="60"/>
      <c r="BA263" s="60"/>
      <c r="BB263" s="60">
        <f>AZ263-BA263</f>
        <v>0</v>
      </c>
      <c r="BC263" s="60"/>
      <c r="BD263" s="60"/>
      <c r="BE263" s="60">
        <f>BC263-BD263</f>
        <v>0</v>
      </c>
      <c r="BF263" s="60">
        <f t="shared" si="866"/>
        <v>0</v>
      </c>
      <c r="BG263" s="60">
        <f t="shared" si="866"/>
        <v>0</v>
      </c>
      <c r="BH263" s="60">
        <f t="shared" si="866"/>
        <v>0</v>
      </c>
      <c r="BI263" s="508"/>
      <c r="BJ263" s="488" t="str">
        <f t="shared" si="859"/>
        <v>Xé</v>
      </c>
      <c r="BK263" s="523">
        <f>ROUND(O263*G263*$B$6,-2)</f>
        <v>0</v>
      </c>
      <c r="BL263" s="523">
        <f>ROUND(R263*G263*$B$6,-2)</f>
        <v>0</v>
      </c>
      <c r="BM263" s="523">
        <f>ROUND(U263*G263*$B$6,-2)</f>
        <v>0</v>
      </c>
      <c r="BN263" s="523">
        <f>ROUND(X263*G263*$B$6,-2)</f>
        <v>0</v>
      </c>
      <c r="BO263" s="523">
        <f>ROUND(AA263*G263*$B$6,-2)</f>
        <v>0</v>
      </c>
      <c r="BP263" s="523">
        <f>ROUND(AD263*G263*$B$6,-2)</f>
        <v>0</v>
      </c>
      <c r="BQ263" s="523">
        <f>ROUND(AG263*G263*$B$6,-2)</f>
        <v>0</v>
      </c>
      <c r="BR263" s="523">
        <f>ROUND(AJ263*G263*$B$6,-2)</f>
        <v>0</v>
      </c>
      <c r="BS263" s="523">
        <f>ROUND(AM263*G263*$B$6,-2)</f>
        <v>0</v>
      </c>
      <c r="BT263" s="523">
        <f>ROUND(AP263*G263*$B$6,-2)</f>
        <v>0</v>
      </c>
      <c r="BU263" s="523">
        <f>ROUND(AS263*G263*$B$6,-2)</f>
        <v>0</v>
      </c>
      <c r="BV263" s="523">
        <f>ROUND(AV263*G263*$B$6,-2)</f>
        <v>0</v>
      </c>
      <c r="BW263" s="523">
        <f>ROUND(AY263*G263*$B$6,-2)</f>
        <v>0</v>
      </c>
      <c r="BX263" s="523">
        <f>ROUND(BB263*G263*$B$6,-2)</f>
        <v>0</v>
      </c>
      <c r="BY263" s="523">
        <f>ROUND(BE263*G263*$B$6,-2)</f>
        <v>0</v>
      </c>
      <c r="BZ263" s="523">
        <f>ROUND(BH263*G263*$B$6,-2)</f>
        <v>0</v>
      </c>
      <c r="CA263" s="354"/>
      <c r="CB263" s="354" t="str">
        <f t="shared" si="808"/>
        <v>X</v>
      </c>
      <c r="CC263" s="534" t="s">
        <v>523</v>
      </c>
      <c r="CD263" s="509" t="str">
        <f t="shared" si="809"/>
        <v>ĐL1.17,9</v>
      </c>
      <c r="CE263" s="351" t="str">
        <f t="shared" si="861"/>
        <v>Xé</v>
      </c>
      <c r="CF263" s="509" t="str">
        <f t="shared" si="810"/>
        <v>ĐL1.Xé</v>
      </c>
      <c r="CG263" s="509"/>
      <c r="CH263" s="509"/>
    </row>
    <row r="264" spans="1:86" ht="24.75" customHeight="1" x14ac:dyDescent="0.3">
      <c r="A264" s="354" t="e">
        <f>A261</f>
        <v>#REF!</v>
      </c>
      <c r="B264" s="484"/>
      <c r="C264" s="531" t="s">
        <v>809</v>
      </c>
      <c r="D264" s="447" t="s">
        <v>14</v>
      </c>
      <c r="E264" s="447"/>
      <c r="F264" s="447"/>
      <c r="G264" s="520">
        <v>16.100000000000001</v>
      </c>
      <c r="H264" s="521">
        <v>0.7</v>
      </c>
      <c r="I264" s="522">
        <f t="shared" si="862"/>
        <v>120</v>
      </c>
      <c r="J264" s="522">
        <f t="shared" si="862"/>
        <v>120</v>
      </c>
      <c r="K264" s="522">
        <f t="shared" si="862"/>
        <v>0</v>
      </c>
      <c r="L264" s="57">
        <f>BN264+BR264+BV264+BZ264</f>
        <v>0</v>
      </c>
      <c r="M264" s="60"/>
      <c r="N264" s="60"/>
      <c r="O264" s="60">
        <f>M264-N264</f>
        <v>0</v>
      </c>
      <c r="P264" s="60"/>
      <c r="Q264" s="60"/>
      <c r="R264" s="60">
        <f>P264-Q264</f>
        <v>0</v>
      </c>
      <c r="S264" s="824"/>
      <c r="T264" s="60"/>
      <c r="U264" s="60">
        <f>S264-T264</f>
        <v>0</v>
      </c>
      <c r="V264" s="60">
        <f t="shared" si="863"/>
        <v>0</v>
      </c>
      <c r="W264" s="60">
        <f t="shared" si="863"/>
        <v>0</v>
      </c>
      <c r="X264" s="60">
        <f t="shared" si="863"/>
        <v>0</v>
      </c>
      <c r="Y264" s="60"/>
      <c r="Z264" s="60"/>
      <c r="AA264" s="60">
        <f>Y264-Z264</f>
        <v>0</v>
      </c>
      <c r="AB264" s="60"/>
      <c r="AC264" s="60"/>
      <c r="AD264" s="60">
        <f>AB264-AC264</f>
        <v>0</v>
      </c>
      <c r="AE264" s="60"/>
      <c r="AF264" s="60"/>
      <c r="AG264" s="60">
        <f>AE264-AF264</f>
        <v>0</v>
      </c>
      <c r="AH264" s="60">
        <f t="shared" si="864"/>
        <v>0</v>
      </c>
      <c r="AI264" s="60">
        <f t="shared" si="864"/>
        <v>0</v>
      </c>
      <c r="AJ264" s="60">
        <f t="shared" si="864"/>
        <v>0</v>
      </c>
      <c r="AK264" s="60"/>
      <c r="AL264" s="60"/>
      <c r="AM264" s="60">
        <f>AK264-AL264</f>
        <v>0</v>
      </c>
      <c r="AN264" s="60"/>
      <c r="AO264" s="60"/>
      <c r="AP264" s="60">
        <f>AN264-AO264</f>
        <v>0</v>
      </c>
      <c r="AQ264" s="60">
        <v>15</v>
      </c>
      <c r="AR264" s="60">
        <v>15</v>
      </c>
      <c r="AS264" s="60">
        <f>AQ264-AR264</f>
        <v>0</v>
      </c>
      <c r="AT264" s="60">
        <f t="shared" ref="AT264:AV265" si="867">AK264+AN264+AQ264</f>
        <v>15</v>
      </c>
      <c r="AU264" s="60">
        <f t="shared" si="867"/>
        <v>15</v>
      </c>
      <c r="AV264" s="60">
        <f t="shared" si="867"/>
        <v>0</v>
      </c>
      <c r="AW264" s="60">
        <v>35</v>
      </c>
      <c r="AX264" s="60">
        <v>35</v>
      </c>
      <c r="AY264" s="60">
        <f>AW264-AX264</f>
        <v>0</v>
      </c>
      <c r="AZ264" s="60">
        <v>35</v>
      </c>
      <c r="BA264" s="60">
        <v>35</v>
      </c>
      <c r="BB264" s="60">
        <f>AZ264-BA264</f>
        <v>0</v>
      </c>
      <c r="BC264" s="60">
        <v>35</v>
      </c>
      <c r="BD264" s="60">
        <v>35</v>
      </c>
      <c r="BE264" s="60">
        <f>BC264-BD264</f>
        <v>0</v>
      </c>
      <c r="BF264" s="60">
        <f t="shared" ref="BF264:BH265" si="868">AW264+AZ264+BC264</f>
        <v>105</v>
      </c>
      <c r="BG264" s="60">
        <f t="shared" si="868"/>
        <v>105</v>
      </c>
      <c r="BH264" s="60">
        <f t="shared" si="868"/>
        <v>0</v>
      </c>
      <c r="BI264" s="508"/>
      <c r="BJ264" s="488" t="str">
        <f t="shared" si="859"/>
        <v>Xé</v>
      </c>
      <c r="BK264" s="523">
        <f>ROUND(O264*G264*$B$6,-2)</f>
        <v>0</v>
      </c>
      <c r="BL264" s="523">
        <f>ROUND(R264*G264*$B$6,-2)</f>
        <v>0</v>
      </c>
      <c r="BM264" s="523">
        <f>ROUND(U264*G264*$B$6,-2)</f>
        <v>0</v>
      </c>
      <c r="BN264" s="523">
        <f>ROUND(X264*G264*$B$6,-2)</f>
        <v>0</v>
      </c>
      <c r="BO264" s="523">
        <f>ROUND(AA264*G264*$B$6,-2)</f>
        <v>0</v>
      </c>
      <c r="BP264" s="523">
        <f>ROUND(AD264*G264*$B$6,-2)</f>
        <v>0</v>
      </c>
      <c r="BQ264" s="523">
        <f>ROUND(AG264*G264*$B$6,-2)</f>
        <v>0</v>
      </c>
      <c r="BR264" s="523">
        <f>ROUND(AJ264*G264*$B$6,-2)</f>
        <v>0</v>
      </c>
      <c r="BS264" s="523">
        <f>ROUND(AM264*G264*$B$6,-2)</f>
        <v>0</v>
      </c>
      <c r="BT264" s="523">
        <f>ROUND(AP264*G264*$B$6,-2)</f>
        <v>0</v>
      </c>
      <c r="BU264" s="523">
        <f>ROUND(AS264*G264*$B$6,-2)</f>
        <v>0</v>
      </c>
      <c r="BV264" s="523">
        <f>ROUND(AV264*G264*$B$6,-2)</f>
        <v>0</v>
      </c>
      <c r="BW264" s="523">
        <f>ROUND(AY264*G264*$B$6,-2)</f>
        <v>0</v>
      </c>
      <c r="BX264" s="523">
        <f>ROUND(BB264*G264*$B$6,-2)</f>
        <v>0</v>
      </c>
      <c r="BY264" s="523">
        <f>ROUND(BE264*G264*$B$6,-2)</f>
        <v>0</v>
      </c>
      <c r="BZ264" s="523">
        <f>ROUND(BH264*G264*$B$6,-2)</f>
        <v>0</v>
      </c>
      <c r="CA264" s="354"/>
      <c r="CB264" s="354" t="str">
        <f t="shared" si="808"/>
        <v>X</v>
      </c>
      <c r="CC264" s="534" t="s">
        <v>523</v>
      </c>
      <c r="CD264" s="509" t="str">
        <f t="shared" si="809"/>
        <v>ĐL1.16,1</v>
      </c>
      <c r="CE264" s="351" t="str">
        <f t="shared" si="861"/>
        <v>Xé</v>
      </c>
      <c r="CF264" s="509" t="str">
        <f t="shared" si="810"/>
        <v>ĐL1.Xé</v>
      </c>
      <c r="CG264" s="509"/>
      <c r="CH264" s="509"/>
    </row>
    <row r="265" spans="1:86" ht="24.75" customHeight="1" x14ac:dyDescent="0.3">
      <c r="A265" s="354" t="e">
        <f>A262</f>
        <v>#REF!</v>
      </c>
      <c r="B265" s="484"/>
      <c r="C265" s="531" t="s">
        <v>20</v>
      </c>
      <c r="D265" s="447" t="s">
        <v>14</v>
      </c>
      <c r="E265" s="447"/>
      <c r="F265" s="447"/>
      <c r="G265" s="520">
        <v>13.1</v>
      </c>
      <c r="H265" s="521">
        <v>0.7</v>
      </c>
      <c r="I265" s="522">
        <f t="shared" si="862"/>
        <v>0</v>
      </c>
      <c r="J265" s="522">
        <f t="shared" si="862"/>
        <v>0</v>
      </c>
      <c r="K265" s="522">
        <f t="shared" si="862"/>
        <v>0</v>
      </c>
      <c r="L265" s="57">
        <f>BN265+BR265+BV265+BZ265</f>
        <v>0</v>
      </c>
      <c r="M265" s="60"/>
      <c r="N265" s="60"/>
      <c r="O265" s="60">
        <f>M265-N265</f>
        <v>0</v>
      </c>
      <c r="P265" s="60"/>
      <c r="Q265" s="60"/>
      <c r="R265" s="60">
        <f>P265-Q265</f>
        <v>0</v>
      </c>
      <c r="S265" s="824"/>
      <c r="T265" s="60"/>
      <c r="U265" s="60">
        <f>S265-T265</f>
        <v>0</v>
      </c>
      <c r="V265" s="60">
        <f t="shared" si="863"/>
        <v>0</v>
      </c>
      <c r="W265" s="60">
        <f t="shared" si="863"/>
        <v>0</v>
      </c>
      <c r="X265" s="60">
        <f t="shared" si="863"/>
        <v>0</v>
      </c>
      <c r="Y265" s="60"/>
      <c r="Z265" s="60"/>
      <c r="AA265" s="60">
        <f>Y265-Z265</f>
        <v>0</v>
      </c>
      <c r="AB265" s="60"/>
      <c r="AC265" s="60"/>
      <c r="AD265" s="60">
        <f>AB265-AC265</f>
        <v>0</v>
      </c>
      <c r="AE265" s="60"/>
      <c r="AF265" s="60"/>
      <c r="AG265" s="60">
        <f>AE265-AF265</f>
        <v>0</v>
      </c>
      <c r="AH265" s="60">
        <f t="shared" si="864"/>
        <v>0</v>
      </c>
      <c r="AI265" s="60">
        <f t="shared" si="864"/>
        <v>0</v>
      </c>
      <c r="AJ265" s="60">
        <f t="shared" si="864"/>
        <v>0</v>
      </c>
      <c r="AK265" s="60"/>
      <c r="AL265" s="60"/>
      <c r="AM265" s="60">
        <f>AK265-AL265</f>
        <v>0</v>
      </c>
      <c r="AN265" s="60"/>
      <c r="AO265" s="60"/>
      <c r="AP265" s="60">
        <f>AN265-AO265</f>
        <v>0</v>
      </c>
      <c r="AQ265" s="60"/>
      <c r="AR265" s="60"/>
      <c r="AS265" s="60">
        <f>AQ265-AR265</f>
        <v>0</v>
      </c>
      <c r="AT265" s="60">
        <f t="shared" si="867"/>
        <v>0</v>
      </c>
      <c r="AU265" s="60">
        <f t="shared" si="867"/>
        <v>0</v>
      </c>
      <c r="AV265" s="60">
        <f t="shared" si="867"/>
        <v>0</v>
      </c>
      <c r="AW265" s="60"/>
      <c r="AX265" s="60"/>
      <c r="AY265" s="60">
        <f>AW265-AX265</f>
        <v>0</v>
      </c>
      <c r="AZ265" s="60"/>
      <c r="BA265" s="60"/>
      <c r="BB265" s="60">
        <f>AZ265-BA265</f>
        <v>0</v>
      </c>
      <c r="BC265" s="60"/>
      <c r="BD265" s="60"/>
      <c r="BE265" s="60">
        <f>BC265-BD265</f>
        <v>0</v>
      </c>
      <c r="BF265" s="60">
        <f t="shared" si="868"/>
        <v>0</v>
      </c>
      <c r="BG265" s="60">
        <f t="shared" si="868"/>
        <v>0</v>
      </c>
      <c r="BH265" s="60">
        <f t="shared" si="868"/>
        <v>0</v>
      </c>
      <c r="BI265" s="508"/>
      <c r="BJ265" s="488" t="str">
        <f t="shared" si="859"/>
        <v>Xé</v>
      </c>
      <c r="BK265" s="523">
        <f>ROUND(O265*G265*$B$6,-2)</f>
        <v>0</v>
      </c>
      <c r="BL265" s="523">
        <f>ROUND(R265*G265*$B$6,-2)</f>
        <v>0</v>
      </c>
      <c r="BM265" s="523">
        <f>ROUND(U265*G265*$B$6,-2)</f>
        <v>0</v>
      </c>
      <c r="BN265" s="523">
        <f>ROUND(X265*G265*$B$6,-2)</f>
        <v>0</v>
      </c>
      <c r="BO265" s="523">
        <f>ROUND(AA265*G265*$B$6,-2)</f>
        <v>0</v>
      </c>
      <c r="BP265" s="523">
        <f>ROUND(AD265*G265*$B$6,-2)</f>
        <v>0</v>
      </c>
      <c r="BQ265" s="523">
        <f>ROUND(AG265*G265*$B$6,-2)</f>
        <v>0</v>
      </c>
      <c r="BR265" s="523">
        <f>ROUND(AJ265*G265*$B$6,-2)</f>
        <v>0</v>
      </c>
      <c r="BS265" s="523">
        <f>ROUND(AM265*G265*$B$6,-2)</f>
        <v>0</v>
      </c>
      <c r="BT265" s="523">
        <f>ROUND(AP265*G265*$B$6,-2)</f>
        <v>0</v>
      </c>
      <c r="BU265" s="523">
        <f>ROUND(AS265*G265*$B$6,-2)</f>
        <v>0</v>
      </c>
      <c r="BV265" s="523">
        <f>ROUND(AV265*G265*$B$6,-2)</f>
        <v>0</v>
      </c>
      <c r="BW265" s="523">
        <f>ROUND(AY265*G265*$B$6,-2)</f>
        <v>0</v>
      </c>
      <c r="BX265" s="523">
        <f>ROUND(BB265*G265*$B$6,-2)</f>
        <v>0</v>
      </c>
      <c r="BY265" s="523">
        <f>ROUND(BE265*G265*$B$6,-2)</f>
        <v>0</v>
      </c>
      <c r="BZ265" s="523">
        <f>ROUND(BH265*G265*$B$6,-2)</f>
        <v>0</v>
      </c>
      <c r="CA265" s="354"/>
      <c r="CB265" s="354" t="b">
        <f t="shared" si="808"/>
        <v>0</v>
      </c>
      <c r="CC265" s="534" t="s">
        <v>523</v>
      </c>
      <c r="CD265" s="509" t="str">
        <f t="shared" si="809"/>
        <v>ĐL1.13,1</v>
      </c>
      <c r="CE265" s="351" t="str">
        <f t="shared" si="861"/>
        <v>Xé</v>
      </c>
      <c r="CF265" s="509" t="str">
        <f t="shared" si="810"/>
        <v>ĐL1.Xé</v>
      </c>
      <c r="CG265" s="509"/>
      <c r="CH265" s="509"/>
    </row>
    <row r="266" spans="1:86" ht="17.25" x14ac:dyDescent="0.3">
      <c r="A266" s="354" t="e">
        <f>#REF!</f>
        <v>#REF!</v>
      </c>
      <c r="B266" s="503">
        <v>16</v>
      </c>
      <c r="C266" s="507" t="s">
        <v>456</v>
      </c>
      <c r="D266" s="505"/>
      <c r="E266" s="505"/>
      <c r="F266" s="505"/>
      <c r="G266" s="505"/>
      <c r="H266" s="505"/>
      <c r="I266" s="63">
        <f t="shared" ref="I266:AN266" si="869">SUM(I267:I291)/2</f>
        <v>2658</v>
      </c>
      <c r="J266" s="63">
        <f t="shared" si="869"/>
        <v>1023</v>
      </c>
      <c r="K266" s="63">
        <f t="shared" si="869"/>
        <v>1635</v>
      </c>
      <c r="L266" s="63">
        <f t="shared" si="869"/>
        <v>29600</v>
      </c>
      <c r="M266" s="209">
        <f t="shared" si="869"/>
        <v>235</v>
      </c>
      <c r="N266" s="209">
        <f t="shared" si="869"/>
        <v>95</v>
      </c>
      <c r="O266" s="209">
        <f t="shared" si="869"/>
        <v>140</v>
      </c>
      <c r="P266" s="209">
        <f t="shared" si="869"/>
        <v>190</v>
      </c>
      <c r="Q266" s="209">
        <f t="shared" si="869"/>
        <v>85</v>
      </c>
      <c r="R266" s="209">
        <f t="shared" si="869"/>
        <v>105</v>
      </c>
      <c r="S266" s="822">
        <f t="shared" si="869"/>
        <v>230</v>
      </c>
      <c r="T266" s="209">
        <f t="shared" si="869"/>
        <v>100</v>
      </c>
      <c r="U266" s="209">
        <f t="shared" si="869"/>
        <v>130</v>
      </c>
      <c r="V266" s="209">
        <f t="shared" si="869"/>
        <v>655</v>
      </c>
      <c r="W266" s="209">
        <f t="shared" si="869"/>
        <v>280</v>
      </c>
      <c r="X266" s="209">
        <f t="shared" si="869"/>
        <v>375</v>
      </c>
      <c r="Y266" s="209">
        <f t="shared" si="869"/>
        <v>255</v>
      </c>
      <c r="Z266" s="209">
        <f t="shared" si="869"/>
        <v>70</v>
      </c>
      <c r="AA266" s="209">
        <f t="shared" si="869"/>
        <v>185</v>
      </c>
      <c r="AB266" s="209">
        <f t="shared" si="869"/>
        <v>263</v>
      </c>
      <c r="AC266" s="209">
        <f t="shared" si="869"/>
        <v>75</v>
      </c>
      <c r="AD266" s="209">
        <f t="shared" si="869"/>
        <v>188</v>
      </c>
      <c r="AE266" s="209">
        <f t="shared" si="869"/>
        <v>265</v>
      </c>
      <c r="AF266" s="209">
        <f t="shared" si="869"/>
        <v>70</v>
      </c>
      <c r="AG266" s="209">
        <f t="shared" si="869"/>
        <v>195</v>
      </c>
      <c r="AH266" s="209">
        <f t="shared" si="869"/>
        <v>783</v>
      </c>
      <c r="AI266" s="209">
        <f t="shared" si="869"/>
        <v>215</v>
      </c>
      <c r="AJ266" s="209">
        <f t="shared" si="869"/>
        <v>568</v>
      </c>
      <c r="AK266" s="209">
        <f t="shared" si="869"/>
        <v>235</v>
      </c>
      <c r="AL266" s="209">
        <f t="shared" si="869"/>
        <v>108</v>
      </c>
      <c r="AM266" s="209">
        <f t="shared" si="869"/>
        <v>127</v>
      </c>
      <c r="AN266" s="209">
        <f t="shared" si="869"/>
        <v>165</v>
      </c>
      <c r="AO266" s="209">
        <f t="shared" ref="AO266:BH266" si="870">SUM(AO267:AO291)/2</f>
        <v>50</v>
      </c>
      <c r="AP266" s="209">
        <f t="shared" si="870"/>
        <v>115</v>
      </c>
      <c r="AQ266" s="209">
        <f t="shared" si="870"/>
        <v>195</v>
      </c>
      <c r="AR266" s="209">
        <f t="shared" si="870"/>
        <v>85</v>
      </c>
      <c r="AS266" s="209">
        <f t="shared" si="870"/>
        <v>110</v>
      </c>
      <c r="AT266" s="209">
        <f t="shared" si="870"/>
        <v>595</v>
      </c>
      <c r="AU266" s="209">
        <f t="shared" si="870"/>
        <v>243</v>
      </c>
      <c r="AV266" s="209">
        <f t="shared" si="870"/>
        <v>352</v>
      </c>
      <c r="AW266" s="209">
        <f t="shared" si="870"/>
        <v>210</v>
      </c>
      <c r="AX266" s="209">
        <f t="shared" si="870"/>
        <v>115</v>
      </c>
      <c r="AY266" s="209">
        <f t="shared" si="870"/>
        <v>95</v>
      </c>
      <c r="AZ266" s="209">
        <f t="shared" si="870"/>
        <v>195</v>
      </c>
      <c r="BA266" s="209">
        <f t="shared" si="870"/>
        <v>85</v>
      </c>
      <c r="BB266" s="209">
        <f t="shared" si="870"/>
        <v>110</v>
      </c>
      <c r="BC266" s="209">
        <f t="shared" si="870"/>
        <v>220</v>
      </c>
      <c r="BD266" s="209">
        <f t="shared" si="870"/>
        <v>85</v>
      </c>
      <c r="BE266" s="209">
        <f t="shared" si="870"/>
        <v>135</v>
      </c>
      <c r="BF266" s="209">
        <f t="shared" si="870"/>
        <v>625</v>
      </c>
      <c r="BG266" s="209">
        <f t="shared" si="870"/>
        <v>285</v>
      </c>
      <c r="BH266" s="209">
        <f t="shared" si="870"/>
        <v>340</v>
      </c>
      <c r="BI266" s="536"/>
      <c r="BJ266" s="488" t="str">
        <f t="shared" si="859"/>
        <v>PX</v>
      </c>
      <c r="BK266" s="209">
        <f t="shared" ref="BK266:BZ266" si="871">SUM(BK267:BK291)/2</f>
        <v>2800</v>
      </c>
      <c r="BL266" s="209">
        <f t="shared" si="871"/>
        <v>2100</v>
      </c>
      <c r="BM266" s="209">
        <f t="shared" si="871"/>
        <v>2500</v>
      </c>
      <c r="BN266" s="209">
        <f t="shared" si="871"/>
        <v>7100</v>
      </c>
      <c r="BO266" s="209">
        <f t="shared" si="871"/>
        <v>3000</v>
      </c>
      <c r="BP266" s="209">
        <f t="shared" si="871"/>
        <v>3500</v>
      </c>
      <c r="BQ266" s="209">
        <f t="shared" si="871"/>
        <v>3900</v>
      </c>
      <c r="BR266" s="209">
        <f t="shared" si="871"/>
        <v>10100</v>
      </c>
      <c r="BS266" s="209">
        <f t="shared" si="871"/>
        <v>2500</v>
      </c>
      <c r="BT266" s="209">
        <f t="shared" si="871"/>
        <v>2300</v>
      </c>
      <c r="BU266" s="209">
        <f t="shared" si="871"/>
        <v>2200</v>
      </c>
      <c r="BV266" s="209">
        <f t="shared" si="871"/>
        <v>6800</v>
      </c>
      <c r="BW266" s="209">
        <f t="shared" si="871"/>
        <v>1900</v>
      </c>
      <c r="BX266" s="209">
        <f t="shared" si="871"/>
        <v>2000</v>
      </c>
      <c r="BY266" s="209">
        <f t="shared" si="871"/>
        <v>1900</v>
      </c>
      <c r="BZ266" s="209">
        <f t="shared" si="871"/>
        <v>5600</v>
      </c>
      <c r="CA266" s="354"/>
      <c r="CB266" s="354" t="str">
        <f t="shared" si="671"/>
        <v>X</v>
      </c>
      <c r="CC266" s="534" t="s">
        <v>298</v>
      </c>
      <c r="CD266" s="509" t="str">
        <f t="shared" si="673"/>
        <v>ĐL5.</v>
      </c>
      <c r="CE266" s="351" t="str">
        <f t="shared" si="861"/>
        <v>PX</v>
      </c>
      <c r="CF266" s="509" t="str">
        <f t="shared" si="674"/>
        <v>ĐL5.PX</v>
      </c>
      <c r="CG266" s="509"/>
      <c r="CH266" s="509"/>
    </row>
    <row r="267" spans="1:86" s="358" customFormat="1" ht="19.5" customHeight="1" x14ac:dyDescent="0.25">
      <c r="A267" s="354" t="e">
        <f>A266</f>
        <v>#REF!</v>
      </c>
      <c r="B267" s="511" t="s">
        <v>8</v>
      </c>
      <c r="C267" s="512" t="s">
        <v>177</v>
      </c>
      <c r="D267" s="513"/>
      <c r="E267" s="513"/>
      <c r="F267" s="513"/>
      <c r="G267" s="514"/>
      <c r="H267" s="515"/>
      <c r="I267" s="211">
        <f>SUM(I268:I286)</f>
        <v>2273</v>
      </c>
      <c r="J267" s="211">
        <f>SUM(J268:J286)</f>
        <v>638</v>
      </c>
      <c r="K267" s="211">
        <f>SUM(K268:K286)</f>
        <v>1635</v>
      </c>
      <c r="L267" s="211">
        <f t="shared" ref="L267:AQ267" si="872">SUM(L268:L286)</f>
        <v>29600</v>
      </c>
      <c r="M267" s="211">
        <f t="shared" si="872"/>
        <v>235</v>
      </c>
      <c r="N267" s="211">
        <f t="shared" si="872"/>
        <v>95</v>
      </c>
      <c r="O267" s="211">
        <f t="shared" si="872"/>
        <v>140</v>
      </c>
      <c r="P267" s="211">
        <f t="shared" si="872"/>
        <v>190</v>
      </c>
      <c r="Q267" s="211">
        <f t="shared" si="872"/>
        <v>85</v>
      </c>
      <c r="R267" s="211">
        <f t="shared" si="872"/>
        <v>105</v>
      </c>
      <c r="S267" s="823">
        <f t="shared" si="872"/>
        <v>230</v>
      </c>
      <c r="T267" s="211">
        <f t="shared" si="872"/>
        <v>100</v>
      </c>
      <c r="U267" s="211">
        <f t="shared" si="872"/>
        <v>130</v>
      </c>
      <c r="V267" s="211">
        <f t="shared" si="872"/>
        <v>655</v>
      </c>
      <c r="W267" s="211">
        <f t="shared" si="872"/>
        <v>280</v>
      </c>
      <c r="X267" s="211">
        <f t="shared" si="872"/>
        <v>375</v>
      </c>
      <c r="Y267" s="211">
        <f t="shared" si="872"/>
        <v>255</v>
      </c>
      <c r="Z267" s="211">
        <f t="shared" si="872"/>
        <v>70</v>
      </c>
      <c r="AA267" s="211">
        <f t="shared" si="872"/>
        <v>185</v>
      </c>
      <c r="AB267" s="211">
        <f t="shared" si="872"/>
        <v>263</v>
      </c>
      <c r="AC267" s="211">
        <f t="shared" si="872"/>
        <v>75</v>
      </c>
      <c r="AD267" s="211">
        <f t="shared" si="872"/>
        <v>188</v>
      </c>
      <c r="AE267" s="211">
        <f t="shared" si="872"/>
        <v>265</v>
      </c>
      <c r="AF267" s="211">
        <f t="shared" si="872"/>
        <v>70</v>
      </c>
      <c r="AG267" s="211">
        <f t="shared" si="872"/>
        <v>195</v>
      </c>
      <c r="AH267" s="211">
        <f t="shared" si="872"/>
        <v>783</v>
      </c>
      <c r="AI267" s="211">
        <f t="shared" si="872"/>
        <v>215</v>
      </c>
      <c r="AJ267" s="211">
        <f t="shared" si="872"/>
        <v>568</v>
      </c>
      <c r="AK267" s="211">
        <f t="shared" si="872"/>
        <v>175</v>
      </c>
      <c r="AL267" s="211">
        <f t="shared" si="872"/>
        <v>48</v>
      </c>
      <c r="AM267" s="211">
        <f t="shared" si="872"/>
        <v>127</v>
      </c>
      <c r="AN267" s="211">
        <f t="shared" si="872"/>
        <v>135</v>
      </c>
      <c r="AO267" s="211">
        <f t="shared" si="872"/>
        <v>20</v>
      </c>
      <c r="AP267" s="211">
        <f t="shared" si="872"/>
        <v>115</v>
      </c>
      <c r="AQ267" s="211">
        <f t="shared" si="872"/>
        <v>135</v>
      </c>
      <c r="AR267" s="211">
        <f t="shared" ref="AR267:BH267" si="873">SUM(AR268:AR286)</f>
        <v>25</v>
      </c>
      <c r="AS267" s="211">
        <f t="shared" si="873"/>
        <v>110</v>
      </c>
      <c r="AT267" s="211">
        <f t="shared" si="873"/>
        <v>445</v>
      </c>
      <c r="AU267" s="211">
        <f t="shared" si="873"/>
        <v>93</v>
      </c>
      <c r="AV267" s="211">
        <f t="shared" si="873"/>
        <v>352</v>
      </c>
      <c r="AW267" s="211">
        <f t="shared" si="873"/>
        <v>135</v>
      </c>
      <c r="AX267" s="211">
        <f t="shared" si="873"/>
        <v>40</v>
      </c>
      <c r="AY267" s="211">
        <f t="shared" si="873"/>
        <v>95</v>
      </c>
      <c r="AZ267" s="211">
        <f t="shared" si="873"/>
        <v>120</v>
      </c>
      <c r="BA267" s="211">
        <f t="shared" si="873"/>
        <v>10</v>
      </c>
      <c r="BB267" s="211">
        <f t="shared" si="873"/>
        <v>110</v>
      </c>
      <c r="BC267" s="211">
        <f t="shared" si="873"/>
        <v>135</v>
      </c>
      <c r="BD267" s="211">
        <f t="shared" si="873"/>
        <v>0</v>
      </c>
      <c r="BE267" s="211">
        <f t="shared" si="873"/>
        <v>135</v>
      </c>
      <c r="BF267" s="211">
        <f t="shared" si="873"/>
        <v>390</v>
      </c>
      <c r="BG267" s="211">
        <f t="shared" si="873"/>
        <v>50</v>
      </c>
      <c r="BH267" s="211">
        <f t="shared" si="873"/>
        <v>340</v>
      </c>
      <c r="BI267" s="516"/>
      <c r="BJ267" s="488" t="str">
        <f t="shared" si="859"/>
        <v>ĐL</v>
      </c>
      <c r="BK267" s="57">
        <f>SUM(BK268:BK286)</f>
        <v>2800</v>
      </c>
      <c r="BL267" s="57">
        <f t="shared" ref="BL267:BZ267" si="874">SUM(BL268:BL286)</f>
        <v>2100</v>
      </c>
      <c r="BM267" s="57">
        <f t="shared" si="874"/>
        <v>2500</v>
      </c>
      <c r="BN267" s="57">
        <f t="shared" si="874"/>
        <v>7100</v>
      </c>
      <c r="BO267" s="57">
        <f t="shared" si="874"/>
        <v>3000</v>
      </c>
      <c r="BP267" s="57">
        <f t="shared" si="874"/>
        <v>3500</v>
      </c>
      <c r="BQ267" s="57">
        <f t="shared" si="874"/>
        <v>3900</v>
      </c>
      <c r="BR267" s="57">
        <f t="shared" si="874"/>
        <v>10100</v>
      </c>
      <c r="BS267" s="57">
        <f t="shared" si="874"/>
        <v>2500</v>
      </c>
      <c r="BT267" s="57">
        <f t="shared" si="874"/>
        <v>2300</v>
      </c>
      <c r="BU267" s="57">
        <f t="shared" si="874"/>
        <v>2200</v>
      </c>
      <c r="BV267" s="57">
        <f t="shared" si="874"/>
        <v>6800</v>
      </c>
      <c r="BW267" s="57">
        <f t="shared" si="874"/>
        <v>1900</v>
      </c>
      <c r="BX267" s="57">
        <f t="shared" si="874"/>
        <v>2000</v>
      </c>
      <c r="BY267" s="57">
        <f t="shared" si="874"/>
        <v>1900</v>
      </c>
      <c r="BZ267" s="57">
        <f t="shared" si="874"/>
        <v>5600</v>
      </c>
      <c r="CA267" s="517">
        <f>I267-V267-AH267-AT267-BF267</f>
        <v>0</v>
      </c>
      <c r="CB267" s="510" t="str">
        <f t="shared" si="671"/>
        <v>X</v>
      </c>
      <c r="CC267" s="509" t="str">
        <f t="shared" ref="CC267:CC273" si="875">CC266</f>
        <v>ĐL5.</v>
      </c>
      <c r="CD267" s="509" t="str">
        <f t="shared" si="673"/>
        <v>ĐL5.</v>
      </c>
      <c r="CE267" s="351" t="str">
        <f t="shared" si="861"/>
        <v>ĐL</v>
      </c>
      <c r="CF267" s="509" t="str">
        <f t="shared" si="674"/>
        <v>ĐL5.ĐL</v>
      </c>
      <c r="CG267" s="509"/>
      <c r="CH267" s="509"/>
    </row>
    <row r="268" spans="1:86" ht="24" customHeight="1" x14ac:dyDescent="0.25">
      <c r="A268" s="354" t="e">
        <f>A267</f>
        <v>#REF!</v>
      </c>
      <c r="B268" s="518"/>
      <c r="C268" s="519" t="s">
        <v>734</v>
      </c>
      <c r="D268" s="447" t="s">
        <v>14</v>
      </c>
      <c r="E268" s="447"/>
      <c r="F268" s="447"/>
      <c r="G268" s="520">
        <v>8.5</v>
      </c>
      <c r="H268" s="521">
        <v>0.7</v>
      </c>
      <c r="I268" s="522">
        <f t="shared" ref="I268:I286" si="876">V268+AH268+AT268+BF268</f>
        <v>108</v>
      </c>
      <c r="J268" s="522">
        <f t="shared" ref="J268:J286" si="877">W268+AI268+AU268+BG268</f>
        <v>30</v>
      </c>
      <c r="K268" s="522">
        <f t="shared" ref="K268:K286" si="878">X268+AJ268+AV268+BH268</f>
        <v>78</v>
      </c>
      <c r="L268" s="57">
        <f t="shared" ref="L268:L286" si="879">BN268+BR268+BV268+BZ268</f>
        <v>800</v>
      </c>
      <c r="M268" s="60"/>
      <c r="N268" s="60"/>
      <c r="O268" s="60">
        <f t="shared" ref="O268:O276" si="880">M268-N268</f>
        <v>0</v>
      </c>
      <c r="P268" s="60"/>
      <c r="Q268" s="60"/>
      <c r="R268" s="60">
        <f t="shared" ref="R268:R276" si="881">P268-Q268</f>
        <v>0</v>
      </c>
      <c r="S268" s="824">
        <v>15</v>
      </c>
      <c r="T268" s="60">
        <v>5</v>
      </c>
      <c r="U268" s="60">
        <f t="shared" ref="U268:U276" si="882">S268-T268</f>
        <v>10</v>
      </c>
      <c r="V268" s="60">
        <f t="shared" ref="V268:X275" si="883">M268+P268+S268</f>
        <v>15</v>
      </c>
      <c r="W268" s="60">
        <f t="shared" si="883"/>
        <v>5</v>
      </c>
      <c r="X268" s="60">
        <f t="shared" si="883"/>
        <v>10</v>
      </c>
      <c r="Y268" s="60">
        <v>60</v>
      </c>
      <c r="Z268" s="60">
        <v>15</v>
      </c>
      <c r="AA268" s="60">
        <f t="shared" ref="AA268:AA276" si="884">Y268-Z268</f>
        <v>45</v>
      </c>
      <c r="AB268" s="60">
        <v>33</v>
      </c>
      <c r="AC268" s="60">
        <v>10</v>
      </c>
      <c r="AD268" s="60">
        <f t="shared" ref="AD268:AD276" si="885">AB268-AC268</f>
        <v>23</v>
      </c>
      <c r="AE268" s="60"/>
      <c r="AF268" s="60"/>
      <c r="AG268" s="60">
        <f t="shared" ref="AG268:AG276" si="886">AE268-AF268</f>
        <v>0</v>
      </c>
      <c r="AH268" s="60">
        <f t="shared" ref="AH268:AH274" si="887">Y268+AB268+AE268</f>
        <v>93</v>
      </c>
      <c r="AI268" s="60">
        <f t="shared" ref="AI268:AI274" si="888">Z268+AC268+AF268</f>
        <v>25</v>
      </c>
      <c r="AJ268" s="60">
        <f t="shared" ref="AJ268:AJ274" si="889">AA268+AD268+AG268</f>
        <v>68</v>
      </c>
      <c r="AK268" s="60"/>
      <c r="AL268" s="60"/>
      <c r="AM268" s="60">
        <f t="shared" ref="AM268:AM276" si="890">AK268-AL268</f>
        <v>0</v>
      </c>
      <c r="AN268" s="60"/>
      <c r="AO268" s="60"/>
      <c r="AP268" s="60">
        <f t="shared" ref="AP268:AP276" si="891">AN268-AO268</f>
        <v>0</v>
      </c>
      <c r="AQ268" s="60"/>
      <c r="AR268" s="60"/>
      <c r="AS268" s="60">
        <f t="shared" ref="AS268:AS276" si="892">AQ268-AR268</f>
        <v>0</v>
      </c>
      <c r="AT268" s="60">
        <f t="shared" ref="AT268:AV273" si="893">AK268+AN268+AQ268</f>
        <v>0</v>
      </c>
      <c r="AU268" s="60">
        <f t="shared" si="893"/>
        <v>0</v>
      </c>
      <c r="AV268" s="60">
        <f t="shared" si="893"/>
        <v>0</v>
      </c>
      <c r="AW268" s="60"/>
      <c r="AX268" s="60"/>
      <c r="AY268" s="60">
        <f t="shared" ref="AY268:AY276" si="894">AW268-AX268</f>
        <v>0</v>
      </c>
      <c r="AZ268" s="60"/>
      <c r="BA268" s="60"/>
      <c r="BB268" s="60">
        <f t="shared" ref="BB268:BB276" si="895">AZ268-BA268</f>
        <v>0</v>
      </c>
      <c r="BC268" s="60"/>
      <c r="BD268" s="60"/>
      <c r="BE268" s="60">
        <f t="shared" ref="BE268:BE276" si="896">BC268-BD268</f>
        <v>0</v>
      </c>
      <c r="BF268" s="60">
        <f t="shared" ref="BF268:BH273" si="897">AW268+AZ268+BC268</f>
        <v>0</v>
      </c>
      <c r="BG268" s="60">
        <f t="shared" si="897"/>
        <v>0</v>
      </c>
      <c r="BH268" s="60">
        <f t="shared" si="897"/>
        <v>0</v>
      </c>
      <c r="BI268" s="508"/>
      <c r="BJ268" s="488" t="str">
        <f t="shared" si="859"/>
        <v>Lò</v>
      </c>
      <c r="BK268" s="523">
        <f t="shared" ref="BK268:BK286" si="898">ROUND(O268*G268*$C$3*$B$5,-2)</f>
        <v>0</v>
      </c>
      <c r="BL268" s="523">
        <f t="shared" ref="BL268:BL286" si="899">ROUND(R268*G268*$C$3*$B$5,-2)</f>
        <v>0</v>
      </c>
      <c r="BM268" s="523">
        <f t="shared" ref="BM268:BM286" si="900">ROUND(U268*G268*$C$3*$B$5,-2)</f>
        <v>100</v>
      </c>
      <c r="BN268" s="523">
        <f t="shared" ref="BN268:BN286" si="901">ROUND(X268*G268*$C$3*$B$5,-2)</f>
        <v>100</v>
      </c>
      <c r="BO268" s="523">
        <f t="shared" ref="BO268:BO286" si="902">ROUND(AA268*G268*$C$3*$B$5,-2)</f>
        <v>500</v>
      </c>
      <c r="BP268" s="523">
        <f t="shared" ref="BP268:BP286" si="903">ROUND(AD268*G268*$C$3*$B$5,-2)</f>
        <v>200</v>
      </c>
      <c r="BQ268" s="523">
        <f t="shared" ref="BQ268:BQ286" si="904">ROUND(AG268*G268*$C$3*$B$5,-2)</f>
        <v>0</v>
      </c>
      <c r="BR268" s="523">
        <f t="shared" ref="BR268:BR286" si="905">ROUND(AJ268*G268*$B$5*$C$3,-2)</f>
        <v>700</v>
      </c>
      <c r="BS268" s="523">
        <f t="shared" ref="BS268:BS286" si="906">ROUND(AM268*G268*$C$3*$B$5,-2)</f>
        <v>0</v>
      </c>
      <c r="BT268" s="523">
        <f t="shared" ref="BT268:BT286" si="907">ROUND(AP268*G268*$C$3*$B$5,-2)</f>
        <v>0</v>
      </c>
      <c r="BU268" s="523">
        <f t="shared" ref="BU268:BU286" si="908">ROUND(AS268*G268*$C$3*$B$5,-2)</f>
        <v>0</v>
      </c>
      <c r="BV268" s="523">
        <f t="shared" ref="BV268:BV286" si="909">ROUND(AV268*G268*$C$3*$B$5,-2)</f>
        <v>0</v>
      </c>
      <c r="BW268" s="523">
        <f t="shared" ref="BW268:BW286" si="910">ROUND(AY268*G268*$C$3*$B$5,-2)</f>
        <v>0</v>
      </c>
      <c r="BX268" s="523">
        <f t="shared" ref="BX268:BX286" si="911">ROUND(BB268*G268*$C$3*$B$5,-2)</f>
        <v>0</v>
      </c>
      <c r="BY268" s="523">
        <f t="shared" ref="BY268:BY286" si="912">ROUND(BE268*G268*$C$3*$B$5,-2)</f>
        <v>0</v>
      </c>
      <c r="BZ268" s="523">
        <f t="shared" ref="BZ268:BZ286" si="913">ROUND(BH268*G268*$C$3*$B$5,-2)</f>
        <v>0</v>
      </c>
      <c r="CA268" s="354"/>
      <c r="CB268" s="354" t="str">
        <f t="shared" si="671"/>
        <v>X</v>
      </c>
      <c r="CC268" s="509" t="str">
        <f t="shared" si="875"/>
        <v>ĐL5.</v>
      </c>
      <c r="CD268" s="509" t="str">
        <f t="shared" si="673"/>
        <v>ĐL5.8,5</v>
      </c>
      <c r="CE268" s="351" t="str">
        <f t="shared" si="861"/>
        <v>Lò</v>
      </c>
      <c r="CF268" s="509" t="str">
        <f t="shared" si="674"/>
        <v>ĐL5.Lò</v>
      </c>
      <c r="CG268" s="509"/>
      <c r="CH268" s="509"/>
    </row>
    <row r="269" spans="1:86" ht="24" customHeight="1" x14ac:dyDescent="0.25">
      <c r="A269" s="354" t="e">
        <f>A265</f>
        <v>#REF!</v>
      </c>
      <c r="B269" s="543" t="s">
        <v>544</v>
      </c>
      <c r="C269" s="519" t="s">
        <v>867</v>
      </c>
      <c r="D269" s="447" t="s">
        <v>14</v>
      </c>
      <c r="E269" s="447"/>
      <c r="F269" s="447"/>
      <c r="G269" s="520">
        <v>16.100000000000001</v>
      </c>
      <c r="H269" s="521">
        <v>0.7</v>
      </c>
      <c r="I269" s="522">
        <f t="shared" si="876"/>
        <v>115</v>
      </c>
      <c r="J269" s="522">
        <f t="shared" si="877"/>
        <v>30</v>
      </c>
      <c r="K269" s="522">
        <f t="shared" si="878"/>
        <v>85</v>
      </c>
      <c r="L269" s="57">
        <f t="shared" si="879"/>
        <v>1700</v>
      </c>
      <c r="M269" s="60"/>
      <c r="N269" s="60"/>
      <c r="O269" s="60">
        <f t="shared" si="880"/>
        <v>0</v>
      </c>
      <c r="P269" s="60"/>
      <c r="Q269" s="60"/>
      <c r="R269" s="60">
        <f t="shared" si="881"/>
        <v>0</v>
      </c>
      <c r="S269" s="824"/>
      <c r="T269" s="60"/>
      <c r="U269" s="60">
        <f t="shared" si="882"/>
        <v>0</v>
      </c>
      <c r="V269" s="60">
        <f t="shared" si="883"/>
        <v>0</v>
      </c>
      <c r="W269" s="60">
        <f t="shared" si="883"/>
        <v>0</v>
      </c>
      <c r="X269" s="60">
        <f t="shared" si="883"/>
        <v>0</v>
      </c>
      <c r="Y269" s="60"/>
      <c r="Z269" s="60"/>
      <c r="AA269" s="60">
        <f t="shared" si="884"/>
        <v>0</v>
      </c>
      <c r="AB269" s="60">
        <v>30</v>
      </c>
      <c r="AC269" s="60">
        <v>10</v>
      </c>
      <c r="AD269" s="60">
        <f t="shared" si="885"/>
        <v>20</v>
      </c>
      <c r="AE269" s="60">
        <v>65</v>
      </c>
      <c r="AF269" s="60">
        <v>15</v>
      </c>
      <c r="AG269" s="60">
        <f t="shared" si="886"/>
        <v>50</v>
      </c>
      <c r="AH269" s="60">
        <f t="shared" ref="AH269:AJ270" si="914">Y269+AB269+AE269</f>
        <v>95</v>
      </c>
      <c r="AI269" s="60">
        <f t="shared" si="914"/>
        <v>25</v>
      </c>
      <c r="AJ269" s="60">
        <f t="shared" si="914"/>
        <v>70</v>
      </c>
      <c r="AK269" s="60">
        <v>20</v>
      </c>
      <c r="AL269" s="60">
        <v>5</v>
      </c>
      <c r="AM269" s="60">
        <f t="shared" si="890"/>
        <v>15</v>
      </c>
      <c r="AN269" s="60"/>
      <c r="AO269" s="60"/>
      <c r="AP269" s="60">
        <f t="shared" si="891"/>
        <v>0</v>
      </c>
      <c r="AQ269" s="60"/>
      <c r="AR269" s="60"/>
      <c r="AS269" s="60">
        <f t="shared" si="892"/>
        <v>0</v>
      </c>
      <c r="AT269" s="60">
        <f t="shared" si="893"/>
        <v>20</v>
      </c>
      <c r="AU269" s="60">
        <f t="shared" si="893"/>
        <v>5</v>
      </c>
      <c r="AV269" s="60">
        <f t="shared" si="893"/>
        <v>15</v>
      </c>
      <c r="AW269" s="60"/>
      <c r="AX269" s="60"/>
      <c r="AY269" s="60">
        <f t="shared" si="894"/>
        <v>0</v>
      </c>
      <c r="AZ269" s="60"/>
      <c r="BA269" s="60"/>
      <c r="BB269" s="60">
        <f t="shared" si="895"/>
        <v>0</v>
      </c>
      <c r="BC269" s="60"/>
      <c r="BD269" s="60"/>
      <c r="BE269" s="60">
        <f t="shared" si="896"/>
        <v>0</v>
      </c>
      <c r="BF269" s="60">
        <f t="shared" si="897"/>
        <v>0</v>
      </c>
      <c r="BG269" s="60">
        <f t="shared" si="897"/>
        <v>0</v>
      </c>
      <c r="BH269" s="60">
        <f t="shared" si="897"/>
        <v>0</v>
      </c>
      <c r="BI269" s="508"/>
      <c r="BJ269" s="488" t="str">
        <f t="shared" si="859"/>
        <v>Lò</v>
      </c>
      <c r="BK269" s="523">
        <f t="shared" si="898"/>
        <v>0</v>
      </c>
      <c r="BL269" s="523">
        <f t="shared" si="899"/>
        <v>0</v>
      </c>
      <c r="BM269" s="523">
        <f t="shared" si="900"/>
        <v>0</v>
      </c>
      <c r="BN269" s="523">
        <f t="shared" si="901"/>
        <v>0</v>
      </c>
      <c r="BO269" s="523">
        <f t="shared" si="902"/>
        <v>0</v>
      </c>
      <c r="BP269" s="523">
        <f t="shared" si="903"/>
        <v>400</v>
      </c>
      <c r="BQ269" s="523">
        <f t="shared" si="904"/>
        <v>1000</v>
      </c>
      <c r="BR269" s="523">
        <f t="shared" si="905"/>
        <v>1400</v>
      </c>
      <c r="BS269" s="523">
        <f t="shared" si="906"/>
        <v>300</v>
      </c>
      <c r="BT269" s="523">
        <f t="shared" si="907"/>
        <v>0</v>
      </c>
      <c r="BU269" s="523">
        <f t="shared" si="908"/>
        <v>0</v>
      </c>
      <c r="BV269" s="523">
        <f t="shared" si="909"/>
        <v>300</v>
      </c>
      <c r="BW269" s="523">
        <f t="shared" si="910"/>
        <v>0</v>
      </c>
      <c r="BX269" s="523">
        <f t="shared" si="911"/>
        <v>0</v>
      </c>
      <c r="BY269" s="523">
        <f t="shared" si="912"/>
        <v>0</v>
      </c>
      <c r="BZ269" s="523">
        <f t="shared" si="913"/>
        <v>0</v>
      </c>
      <c r="CA269" s="354"/>
      <c r="CB269" s="354" t="str">
        <f t="shared" si="671"/>
        <v>X</v>
      </c>
      <c r="CC269" s="509" t="str">
        <f t="shared" si="875"/>
        <v>ĐL5.</v>
      </c>
      <c r="CD269" s="509" t="str">
        <f t="shared" si="673"/>
        <v>ĐL5.16,1</v>
      </c>
      <c r="CE269" s="351" t="str">
        <f t="shared" si="861"/>
        <v>Lò</v>
      </c>
      <c r="CF269" s="509" t="str">
        <f t="shared" si="674"/>
        <v>ĐL5.Lò</v>
      </c>
      <c r="CG269" s="509"/>
      <c r="CH269" s="509"/>
    </row>
    <row r="270" spans="1:86" ht="24" customHeight="1" x14ac:dyDescent="0.25">
      <c r="A270" s="354" t="e">
        <f>A269</f>
        <v>#REF!</v>
      </c>
      <c r="B270" s="543"/>
      <c r="C270" s="519" t="s">
        <v>215</v>
      </c>
      <c r="D270" s="447" t="s">
        <v>14</v>
      </c>
      <c r="E270" s="447"/>
      <c r="F270" s="447"/>
      <c r="G270" s="520">
        <v>16.100000000000001</v>
      </c>
      <c r="H270" s="521">
        <v>0.5</v>
      </c>
      <c r="I270" s="522">
        <f t="shared" si="876"/>
        <v>160</v>
      </c>
      <c r="J270" s="522">
        <f t="shared" si="877"/>
        <v>45</v>
      </c>
      <c r="K270" s="522">
        <f t="shared" si="878"/>
        <v>115</v>
      </c>
      <c r="L270" s="57">
        <f t="shared" si="879"/>
        <v>2200</v>
      </c>
      <c r="M270" s="60">
        <v>65</v>
      </c>
      <c r="N270" s="60">
        <v>15</v>
      </c>
      <c r="O270" s="60">
        <f t="shared" si="880"/>
        <v>50</v>
      </c>
      <c r="P270" s="60">
        <v>50</v>
      </c>
      <c r="Q270" s="60">
        <v>15</v>
      </c>
      <c r="R270" s="60">
        <f t="shared" si="881"/>
        <v>35</v>
      </c>
      <c r="S270" s="824">
        <v>45</v>
      </c>
      <c r="T270" s="60">
        <v>15</v>
      </c>
      <c r="U270" s="60">
        <f t="shared" si="882"/>
        <v>30</v>
      </c>
      <c r="V270" s="60">
        <f t="shared" si="883"/>
        <v>160</v>
      </c>
      <c r="W270" s="60">
        <f t="shared" si="883"/>
        <v>45</v>
      </c>
      <c r="X270" s="60">
        <f t="shared" si="883"/>
        <v>115</v>
      </c>
      <c r="Y270" s="60"/>
      <c r="Z270" s="60"/>
      <c r="AA270" s="60">
        <f t="shared" si="884"/>
        <v>0</v>
      </c>
      <c r="AB270" s="60"/>
      <c r="AC270" s="60"/>
      <c r="AD270" s="60">
        <f t="shared" si="885"/>
        <v>0</v>
      </c>
      <c r="AE270" s="60"/>
      <c r="AF270" s="60"/>
      <c r="AG270" s="60">
        <f t="shared" si="886"/>
        <v>0</v>
      </c>
      <c r="AH270" s="60">
        <f t="shared" si="914"/>
        <v>0</v>
      </c>
      <c r="AI270" s="60">
        <f t="shared" si="914"/>
        <v>0</v>
      </c>
      <c r="AJ270" s="60">
        <f t="shared" si="914"/>
        <v>0</v>
      </c>
      <c r="AK270" s="60"/>
      <c r="AL270" s="60"/>
      <c r="AM270" s="60">
        <f t="shared" si="890"/>
        <v>0</v>
      </c>
      <c r="AN270" s="60"/>
      <c r="AO270" s="60"/>
      <c r="AP270" s="60">
        <f t="shared" si="891"/>
        <v>0</v>
      </c>
      <c r="AQ270" s="60"/>
      <c r="AR270" s="60"/>
      <c r="AS270" s="60">
        <f t="shared" si="892"/>
        <v>0</v>
      </c>
      <c r="AT270" s="60">
        <f t="shared" si="893"/>
        <v>0</v>
      </c>
      <c r="AU270" s="60">
        <f t="shared" si="893"/>
        <v>0</v>
      </c>
      <c r="AV270" s="60">
        <f t="shared" si="893"/>
        <v>0</v>
      </c>
      <c r="AW270" s="60"/>
      <c r="AX270" s="60"/>
      <c r="AY270" s="60">
        <f t="shared" si="894"/>
        <v>0</v>
      </c>
      <c r="AZ270" s="60"/>
      <c r="BA270" s="60"/>
      <c r="BB270" s="60">
        <f t="shared" si="895"/>
        <v>0</v>
      </c>
      <c r="BC270" s="60"/>
      <c r="BD270" s="60"/>
      <c r="BE270" s="60">
        <f t="shared" si="896"/>
        <v>0</v>
      </c>
      <c r="BF270" s="60">
        <f t="shared" si="897"/>
        <v>0</v>
      </c>
      <c r="BG270" s="60">
        <f t="shared" si="897"/>
        <v>0</v>
      </c>
      <c r="BH270" s="60">
        <f t="shared" si="897"/>
        <v>0</v>
      </c>
      <c r="BI270" s="508"/>
      <c r="BJ270" s="488" t="str">
        <f t="shared" si="859"/>
        <v>Lò</v>
      </c>
      <c r="BK270" s="523">
        <f t="shared" si="898"/>
        <v>1000</v>
      </c>
      <c r="BL270" s="523">
        <f t="shared" si="899"/>
        <v>700</v>
      </c>
      <c r="BM270" s="523">
        <f t="shared" si="900"/>
        <v>600</v>
      </c>
      <c r="BN270" s="523">
        <f t="shared" si="901"/>
        <v>2200</v>
      </c>
      <c r="BO270" s="523">
        <f t="shared" si="902"/>
        <v>0</v>
      </c>
      <c r="BP270" s="523">
        <f t="shared" si="903"/>
        <v>0</v>
      </c>
      <c r="BQ270" s="523">
        <f t="shared" si="904"/>
        <v>0</v>
      </c>
      <c r="BR270" s="523">
        <f t="shared" si="905"/>
        <v>0</v>
      </c>
      <c r="BS270" s="523">
        <f t="shared" si="906"/>
        <v>0</v>
      </c>
      <c r="BT270" s="523">
        <f t="shared" si="907"/>
        <v>0</v>
      </c>
      <c r="BU270" s="523">
        <f t="shared" si="908"/>
        <v>0</v>
      </c>
      <c r="BV270" s="523">
        <f t="shared" si="909"/>
        <v>0</v>
      </c>
      <c r="BW270" s="523">
        <f t="shared" si="910"/>
        <v>0</v>
      </c>
      <c r="BX270" s="523">
        <f t="shared" si="911"/>
        <v>0</v>
      </c>
      <c r="BY270" s="523">
        <f t="shared" si="912"/>
        <v>0</v>
      </c>
      <c r="BZ270" s="523">
        <f t="shared" si="913"/>
        <v>0</v>
      </c>
      <c r="CA270" s="354"/>
      <c r="CB270" s="354" t="str">
        <f t="shared" si="671"/>
        <v>X</v>
      </c>
      <c r="CC270" s="509" t="str">
        <f t="shared" si="875"/>
        <v>ĐL5.</v>
      </c>
      <c r="CD270" s="509" t="str">
        <f t="shared" si="673"/>
        <v>ĐL5.16,1</v>
      </c>
      <c r="CE270" s="351" t="str">
        <f t="shared" si="861"/>
        <v>Lò</v>
      </c>
      <c r="CF270" s="509" t="str">
        <f t="shared" si="674"/>
        <v>ĐL5.Lò</v>
      </c>
      <c r="CG270" s="509"/>
      <c r="CH270" s="509"/>
    </row>
    <row r="271" spans="1:86" ht="24" customHeight="1" x14ac:dyDescent="0.25">
      <c r="A271" s="354" t="e">
        <f>A266</f>
        <v>#REF!</v>
      </c>
      <c r="B271" s="543"/>
      <c r="C271" s="519" t="s">
        <v>866</v>
      </c>
      <c r="D271" s="447" t="s">
        <v>14</v>
      </c>
      <c r="E271" s="447"/>
      <c r="F271" s="447"/>
      <c r="G271" s="520">
        <v>16.100000000000001</v>
      </c>
      <c r="H271" s="521">
        <v>0.5</v>
      </c>
      <c r="I271" s="522">
        <f t="shared" si="876"/>
        <v>400</v>
      </c>
      <c r="J271" s="522">
        <f t="shared" si="877"/>
        <v>95</v>
      </c>
      <c r="K271" s="522">
        <f t="shared" si="878"/>
        <v>305</v>
      </c>
      <c r="L271" s="57">
        <f t="shared" si="879"/>
        <v>5900</v>
      </c>
      <c r="M271" s="60">
        <v>65</v>
      </c>
      <c r="N271" s="60">
        <v>15</v>
      </c>
      <c r="O271" s="60">
        <f t="shared" si="880"/>
        <v>50</v>
      </c>
      <c r="P271" s="60">
        <v>55</v>
      </c>
      <c r="Q271" s="60">
        <v>15</v>
      </c>
      <c r="R271" s="60">
        <f t="shared" si="881"/>
        <v>40</v>
      </c>
      <c r="S271" s="824">
        <v>65</v>
      </c>
      <c r="T271" s="60">
        <v>15</v>
      </c>
      <c r="U271" s="60">
        <f t="shared" si="882"/>
        <v>50</v>
      </c>
      <c r="V271" s="60">
        <f t="shared" si="883"/>
        <v>185</v>
      </c>
      <c r="W271" s="60">
        <f t="shared" si="883"/>
        <v>45</v>
      </c>
      <c r="X271" s="60">
        <f t="shared" si="883"/>
        <v>140</v>
      </c>
      <c r="Y271" s="60">
        <v>65</v>
      </c>
      <c r="Z271" s="60">
        <v>15</v>
      </c>
      <c r="AA271" s="60">
        <f t="shared" si="884"/>
        <v>50</v>
      </c>
      <c r="AB271" s="60">
        <v>65</v>
      </c>
      <c r="AC271" s="60">
        <v>15</v>
      </c>
      <c r="AD271" s="60">
        <f t="shared" si="885"/>
        <v>50</v>
      </c>
      <c r="AE271" s="60">
        <v>65</v>
      </c>
      <c r="AF271" s="60">
        <v>15</v>
      </c>
      <c r="AG271" s="60">
        <f t="shared" si="886"/>
        <v>50</v>
      </c>
      <c r="AH271" s="60">
        <f t="shared" si="887"/>
        <v>195</v>
      </c>
      <c r="AI271" s="60">
        <f t="shared" si="888"/>
        <v>45</v>
      </c>
      <c r="AJ271" s="60">
        <f t="shared" si="889"/>
        <v>150</v>
      </c>
      <c r="AK271" s="60">
        <v>20</v>
      </c>
      <c r="AL271" s="60">
        <v>5</v>
      </c>
      <c r="AM271" s="60">
        <f t="shared" si="890"/>
        <v>15</v>
      </c>
      <c r="AN271" s="60"/>
      <c r="AO271" s="60"/>
      <c r="AP271" s="60">
        <f t="shared" si="891"/>
        <v>0</v>
      </c>
      <c r="AQ271" s="60"/>
      <c r="AR271" s="60"/>
      <c r="AS271" s="60">
        <f t="shared" si="892"/>
        <v>0</v>
      </c>
      <c r="AT271" s="60">
        <f t="shared" si="893"/>
        <v>20</v>
      </c>
      <c r="AU271" s="60">
        <f t="shared" si="893"/>
        <v>5</v>
      </c>
      <c r="AV271" s="60">
        <f t="shared" si="893"/>
        <v>15</v>
      </c>
      <c r="AW271" s="60"/>
      <c r="AX271" s="60"/>
      <c r="AY271" s="60">
        <f t="shared" si="894"/>
        <v>0</v>
      </c>
      <c r="AZ271" s="60"/>
      <c r="BA271" s="60"/>
      <c r="BB271" s="60">
        <f t="shared" si="895"/>
        <v>0</v>
      </c>
      <c r="BC271" s="60"/>
      <c r="BD271" s="60"/>
      <c r="BE271" s="60">
        <f t="shared" si="896"/>
        <v>0</v>
      </c>
      <c r="BF271" s="60">
        <f t="shared" si="897"/>
        <v>0</v>
      </c>
      <c r="BG271" s="60">
        <f t="shared" si="897"/>
        <v>0</v>
      </c>
      <c r="BH271" s="60">
        <f t="shared" si="897"/>
        <v>0</v>
      </c>
      <c r="BI271" s="508"/>
      <c r="BJ271" s="488" t="str">
        <f t="shared" si="859"/>
        <v>Lò</v>
      </c>
      <c r="BK271" s="523">
        <f t="shared" si="898"/>
        <v>1000</v>
      </c>
      <c r="BL271" s="523">
        <f t="shared" si="899"/>
        <v>800</v>
      </c>
      <c r="BM271" s="523">
        <f t="shared" si="900"/>
        <v>1000</v>
      </c>
      <c r="BN271" s="523">
        <f t="shared" si="901"/>
        <v>2700</v>
      </c>
      <c r="BO271" s="523">
        <f t="shared" si="902"/>
        <v>1000</v>
      </c>
      <c r="BP271" s="523">
        <f t="shared" si="903"/>
        <v>1000</v>
      </c>
      <c r="BQ271" s="523">
        <f t="shared" si="904"/>
        <v>1000</v>
      </c>
      <c r="BR271" s="523">
        <f t="shared" si="905"/>
        <v>2900</v>
      </c>
      <c r="BS271" s="523">
        <f t="shared" si="906"/>
        <v>300</v>
      </c>
      <c r="BT271" s="523">
        <f t="shared" si="907"/>
        <v>0</v>
      </c>
      <c r="BU271" s="523">
        <f t="shared" si="908"/>
        <v>0</v>
      </c>
      <c r="BV271" s="523">
        <f t="shared" si="909"/>
        <v>300</v>
      </c>
      <c r="BW271" s="523">
        <f t="shared" si="910"/>
        <v>0</v>
      </c>
      <c r="BX271" s="523">
        <f t="shared" si="911"/>
        <v>0</v>
      </c>
      <c r="BY271" s="523">
        <f t="shared" si="912"/>
        <v>0</v>
      </c>
      <c r="BZ271" s="523">
        <f t="shared" si="913"/>
        <v>0</v>
      </c>
      <c r="CA271" s="354"/>
      <c r="CB271" s="354" t="str">
        <f t="shared" si="671"/>
        <v>X</v>
      </c>
      <c r="CC271" s="509" t="str">
        <f t="shared" si="875"/>
        <v>ĐL5.</v>
      </c>
      <c r="CD271" s="509" t="str">
        <f t="shared" si="673"/>
        <v>ĐL5.16,1</v>
      </c>
      <c r="CE271" s="351" t="str">
        <f t="shared" si="861"/>
        <v>Lò</v>
      </c>
      <c r="CF271" s="509" t="str">
        <f t="shared" si="674"/>
        <v>ĐL5.Lò</v>
      </c>
      <c r="CG271" s="509"/>
      <c r="CH271" s="509"/>
    </row>
    <row r="272" spans="1:86" ht="24" customHeight="1" x14ac:dyDescent="0.25">
      <c r="A272" s="354" t="e">
        <f>A271</f>
        <v>#REF!</v>
      </c>
      <c r="B272" s="543" t="s">
        <v>545</v>
      </c>
      <c r="C272" s="519" t="s">
        <v>735</v>
      </c>
      <c r="D272" s="447" t="s">
        <v>14</v>
      </c>
      <c r="E272" s="447"/>
      <c r="F272" s="447"/>
      <c r="G272" s="520">
        <v>16.100000000000001</v>
      </c>
      <c r="H272" s="521">
        <v>0.7</v>
      </c>
      <c r="I272" s="522">
        <f t="shared" si="876"/>
        <v>745</v>
      </c>
      <c r="J272" s="522">
        <f t="shared" si="877"/>
        <v>178</v>
      </c>
      <c r="K272" s="522">
        <f t="shared" si="878"/>
        <v>567</v>
      </c>
      <c r="L272" s="57">
        <f t="shared" si="879"/>
        <v>10900</v>
      </c>
      <c r="M272" s="60">
        <v>60</v>
      </c>
      <c r="N272" s="60">
        <v>20</v>
      </c>
      <c r="O272" s="60">
        <f t="shared" si="880"/>
        <v>40</v>
      </c>
      <c r="P272" s="60">
        <v>50</v>
      </c>
      <c r="Q272" s="60">
        <v>20</v>
      </c>
      <c r="R272" s="60">
        <f t="shared" si="881"/>
        <v>30</v>
      </c>
      <c r="S272" s="824">
        <v>60</v>
      </c>
      <c r="T272" s="60">
        <v>20</v>
      </c>
      <c r="U272" s="60">
        <f t="shared" si="882"/>
        <v>40</v>
      </c>
      <c r="V272" s="60">
        <f t="shared" si="883"/>
        <v>170</v>
      </c>
      <c r="W272" s="60">
        <f t="shared" si="883"/>
        <v>60</v>
      </c>
      <c r="X272" s="60">
        <f t="shared" si="883"/>
        <v>110</v>
      </c>
      <c r="Y272" s="60">
        <v>65</v>
      </c>
      <c r="Z272" s="60">
        <v>20</v>
      </c>
      <c r="AA272" s="60">
        <f t="shared" si="884"/>
        <v>45</v>
      </c>
      <c r="AB272" s="60">
        <v>65</v>
      </c>
      <c r="AC272" s="60">
        <v>20</v>
      </c>
      <c r="AD272" s="60">
        <f t="shared" si="885"/>
        <v>45</v>
      </c>
      <c r="AE272" s="60">
        <v>65</v>
      </c>
      <c r="AF272" s="60">
        <v>20</v>
      </c>
      <c r="AG272" s="60">
        <f t="shared" si="886"/>
        <v>45</v>
      </c>
      <c r="AH272" s="60">
        <f>Y272+AB272+AE272</f>
        <v>195</v>
      </c>
      <c r="AI272" s="60">
        <f>Z272+AC272+AF272</f>
        <v>60</v>
      </c>
      <c r="AJ272" s="60">
        <f>AA272+AD272+AG272</f>
        <v>135</v>
      </c>
      <c r="AK272" s="60">
        <v>65</v>
      </c>
      <c r="AL272" s="60">
        <v>18</v>
      </c>
      <c r="AM272" s="60">
        <f t="shared" si="890"/>
        <v>47</v>
      </c>
      <c r="AN272" s="60">
        <v>65</v>
      </c>
      <c r="AO272" s="60">
        <v>5</v>
      </c>
      <c r="AP272" s="60">
        <f t="shared" si="891"/>
        <v>60</v>
      </c>
      <c r="AQ272" s="60">
        <v>65</v>
      </c>
      <c r="AR272" s="60">
        <v>10</v>
      </c>
      <c r="AS272" s="60">
        <f t="shared" si="892"/>
        <v>55</v>
      </c>
      <c r="AT272" s="60">
        <f t="shared" si="893"/>
        <v>195</v>
      </c>
      <c r="AU272" s="60">
        <f t="shared" si="893"/>
        <v>33</v>
      </c>
      <c r="AV272" s="60">
        <f t="shared" si="893"/>
        <v>162</v>
      </c>
      <c r="AW272" s="60">
        <v>65</v>
      </c>
      <c r="AX272" s="60">
        <v>25</v>
      </c>
      <c r="AY272" s="60">
        <f t="shared" si="894"/>
        <v>40</v>
      </c>
      <c r="AZ272" s="60">
        <v>65</v>
      </c>
      <c r="BA272" s="60"/>
      <c r="BB272" s="60">
        <f t="shared" si="895"/>
        <v>65</v>
      </c>
      <c r="BC272" s="60">
        <v>55</v>
      </c>
      <c r="BD272" s="60"/>
      <c r="BE272" s="60">
        <f t="shared" si="896"/>
        <v>55</v>
      </c>
      <c r="BF272" s="60">
        <f t="shared" si="897"/>
        <v>185</v>
      </c>
      <c r="BG272" s="60">
        <f t="shared" si="897"/>
        <v>25</v>
      </c>
      <c r="BH272" s="60">
        <f t="shared" si="897"/>
        <v>160</v>
      </c>
      <c r="BI272" s="508"/>
      <c r="BJ272" s="488" t="str">
        <f t="shared" si="859"/>
        <v>Lò</v>
      </c>
      <c r="BK272" s="523">
        <f t="shared" si="898"/>
        <v>800</v>
      </c>
      <c r="BL272" s="523">
        <f t="shared" si="899"/>
        <v>600</v>
      </c>
      <c r="BM272" s="523">
        <f t="shared" si="900"/>
        <v>800</v>
      </c>
      <c r="BN272" s="523">
        <f t="shared" si="901"/>
        <v>2100</v>
      </c>
      <c r="BO272" s="523">
        <f t="shared" si="902"/>
        <v>900</v>
      </c>
      <c r="BP272" s="523">
        <f t="shared" si="903"/>
        <v>900</v>
      </c>
      <c r="BQ272" s="523">
        <f t="shared" si="904"/>
        <v>900</v>
      </c>
      <c r="BR272" s="523">
        <f t="shared" si="905"/>
        <v>2600</v>
      </c>
      <c r="BS272" s="523">
        <f t="shared" si="906"/>
        <v>900</v>
      </c>
      <c r="BT272" s="523">
        <f t="shared" si="907"/>
        <v>1200</v>
      </c>
      <c r="BU272" s="523">
        <f t="shared" si="908"/>
        <v>1100</v>
      </c>
      <c r="BV272" s="523">
        <f t="shared" si="909"/>
        <v>3100</v>
      </c>
      <c r="BW272" s="523">
        <f t="shared" si="910"/>
        <v>800</v>
      </c>
      <c r="BX272" s="523">
        <f t="shared" si="911"/>
        <v>1300</v>
      </c>
      <c r="BY272" s="523">
        <f t="shared" si="912"/>
        <v>1100</v>
      </c>
      <c r="BZ272" s="523">
        <f t="shared" si="913"/>
        <v>3100</v>
      </c>
      <c r="CA272" s="354"/>
      <c r="CB272" s="354" t="str">
        <f t="shared" si="671"/>
        <v>X</v>
      </c>
      <c r="CC272" s="509" t="str">
        <f t="shared" si="875"/>
        <v>ĐL5.</v>
      </c>
      <c r="CD272" s="509" t="str">
        <f t="shared" si="673"/>
        <v>ĐL5.16,1</v>
      </c>
      <c r="CE272" s="351" t="str">
        <f t="shared" si="861"/>
        <v>Lò</v>
      </c>
      <c r="CF272" s="509" t="str">
        <f t="shared" si="674"/>
        <v>ĐL5.Lò</v>
      </c>
      <c r="CG272" s="509"/>
      <c r="CH272" s="509"/>
    </row>
    <row r="273" spans="1:86" ht="24" customHeight="1" x14ac:dyDescent="0.25">
      <c r="A273" s="354" t="e">
        <f>A268</f>
        <v>#REF!</v>
      </c>
      <c r="B273" s="543"/>
      <c r="C273" s="519" t="s">
        <v>736</v>
      </c>
      <c r="D273" s="447" t="s">
        <v>14</v>
      </c>
      <c r="E273" s="447"/>
      <c r="F273" s="447"/>
      <c r="G273" s="520">
        <v>8.5</v>
      </c>
      <c r="H273" s="521">
        <v>0.7</v>
      </c>
      <c r="I273" s="522">
        <f t="shared" si="876"/>
        <v>30</v>
      </c>
      <c r="J273" s="522">
        <f t="shared" si="877"/>
        <v>0</v>
      </c>
      <c r="K273" s="522">
        <f t="shared" si="878"/>
        <v>30</v>
      </c>
      <c r="L273" s="57">
        <f t="shared" si="879"/>
        <v>300</v>
      </c>
      <c r="M273" s="60"/>
      <c r="N273" s="60"/>
      <c r="O273" s="60">
        <f t="shared" si="880"/>
        <v>0</v>
      </c>
      <c r="P273" s="60"/>
      <c r="Q273" s="60"/>
      <c r="R273" s="60">
        <f t="shared" si="881"/>
        <v>0</v>
      </c>
      <c r="S273" s="824"/>
      <c r="T273" s="60"/>
      <c r="U273" s="60">
        <f t="shared" si="882"/>
        <v>0</v>
      </c>
      <c r="V273" s="60">
        <f t="shared" si="883"/>
        <v>0</v>
      </c>
      <c r="W273" s="60">
        <f t="shared" si="883"/>
        <v>0</v>
      </c>
      <c r="X273" s="60">
        <f t="shared" si="883"/>
        <v>0</v>
      </c>
      <c r="Y273" s="60"/>
      <c r="Z273" s="60"/>
      <c r="AA273" s="60">
        <f t="shared" si="884"/>
        <v>0</v>
      </c>
      <c r="AB273" s="60"/>
      <c r="AC273" s="60"/>
      <c r="AD273" s="60">
        <f t="shared" si="885"/>
        <v>0</v>
      </c>
      <c r="AE273" s="60"/>
      <c r="AF273" s="60"/>
      <c r="AG273" s="60">
        <f t="shared" si="886"/>
        <v>0</v>
      </c>
      <c r="AH273" s="60">
        <f t="shared" si="887"/>
        <v>0</v>
      </c>
      <c r="AI273" s="60">
        <f t="shared" si="888"/>
        <v>0</v>
      </c>
      <c r="AJ273" s="60">
        <f t="shared" si="889"/>
        <v>0</v>
      </c>
      <c r="AK273" s="60"/>
      <c r="AL273" s="60"/>
      <c r="AM273" s="60">
        <f t="shared" si="890"/>
        <v>0</v>
      </c>
      <c r="AN273" s="60"/>
      <c r="AO273" s="60"/>
      <c r="AP273" s="60">
        <f t="shared" si="891"/>
        <v>0</v>
      </c>
      <c r="AQ273" s="60"/>
      <c r="AR273" s="60"/>
      <c r="AS273" s="60">
        <f t="shared" si="892"/>
        <v>0</v>
      </c>
      <c r="AT273" s="60">
        <f t="shared" si="893"/>
        <v>0</v>
      </c>
      <c r="AU273" s="60">
        <f t="shared" si="893"/>
        <v>0</v>
      </c>
      <c r="AV273" s="60">
        <f t="shared" si="893"/>
        <v>0</v>
      </c>
      <c r="AW273" s="60"/>
      <c r="AX273" s="60"/>
      <c r="AY273" s="60">
        <f t="shared" si="894"/>
        <v>0</v>
      </c>
      <c r="AZ273" s="60"/>
      <c r="BA273" s="60"/>
      <c r="BB273" s="60">
        <f t="shared" si="895"/>
        <v>0</v>
      </c>
      <c r="BC273" s="60">
        <v>30</v>
      </c>
      <c r="BD273" s="60"/>
      <c r="BE273" s="60">
        <f t="shared" si="896"/>
        <v>30</v>
      </c>
      <c r="BF273" s="60">
        <f t="shared" si="897"/>
        <v>30</v>
      </c>
      <c r="BG273" s="60">
        <f t="shared" si="897"/>
        <v>0</v>
      </c>
      <c r="BH273" s="60">
        <f t="shared" si="897"/>
        <v>30</v>
      </c>
      <c r="BI273" s="508"/>
      <c r="BJ273" s="488" t="str">
        <f t="shared" si="859"/>
        <v>Lò</v>
      </c>
      <c r="BK273" s="523">
        <f t="shared" si="898"/>
        <v>0</v>
      </c>
      <c r="BL273" s="523">
        <f t="shared" si="899"/>
        <v>0</v>
      </c>
      <c r="BM273" s="523">
        <f t="shared" si="900"/>
        <v>0</v>
      </c>
      <c r="BN273" s="523">
        <f t="shared" si="901"/>
        <v>0</v>
      </c>
      <c r="BO273" s="523">
        <f t="shared" si="902"/>
        <v>0</v>
      </c>
      <c r="BP273" s="523">
        <f t="shared" si="903"/>
        <v>0</v>
      </c>
      <c r="BQ273" s="523">
        <f t="shared" si="904"/>
        <v>0</v>
      </c>
      <c r="BR273" s="523">
        <f t="shared" si="905"/>
        <v>0</v>
      </c>
      <c r="BS273" s="523">
        <f t="shared" si="906"/>
        <v>0</v>
      </c>
      <c r="BT273" s="523">
        <f t="shared" si="907"/>
        <v>0</v>
      </c>
      <c r="BU273" s="523">
        <f t="shared" si="908"/>
        <v>0</v>
      </c>
      <c r="BV273" s="523">
        <f t="shared" si="909"/>
        <v>0</v>
      </c>
      <c r="BW273" s="523">
        <f t="shared" si="910"/>
        <v>0</v>
      </c>
      <c r="BX273" s="523">
        <f t="shared" si="911"/>
        <v>0</v>
      </c>
      <c r="BY273" s="523">
        <f t="shared" si="912"/>
        <v>300</v>
      </c>
      <c r="BZ273" s="523">
        <f t="shared" si="913"/>
        <v>300</v>
      </c>
      <c r="CA273" s="354"/>
      <c r="CB273" s="354" t="str">
        <f t="shared" si="671"/>
        <v>X</v>
      </c>
      <c r="CC273" s="509" t="str">
        <f t="shared" si="875"/>
        <v>ĐL5.</v>
      </c>
      <c r="CD273" s="509" t="str">
        <f t="shared" si="673"/>
        <v>ĐL5.8,5</v>
      </c>
      <c r="CE273" s="351" t="str">
        <f t="shared" si="861"/>
        <v>Lò</v>
      </c>
      <c r="CF273" s="509" t="str">
        <f t="shared" si="674"/>
        <v>ĐL5.Lò</v>
      </c>
      <c r="CG273" s="509"/>
      <c r="CH273" s="509"/>
    </row>
    <row r="274" spans="1:86" ht="24" customHeight="1" x14ac:dyDescent="0.25">
      <c r="A274" s="354" t="e">
        <f>A271</f>
        <v>#REF!</v>
      </c>
      <c r="B274" s="543" t="s">
        <v>546</v>
      </c>
      <c r="C274" s="519" t="s">
        <v>737</v>
      </c>
      <c r="D274" s="447" t="s">
        <v>14</v>
      </c>
      <c r="E274" s="447"/>
      <c r="F274" s="447"/>
      <c r="G274" s="520">
        <v>16.100000000000001</v>
      </c>
      <c r="H274" s="521">
        <v>0.7</v>
      </c>
      <c r="I274" s="522">
        <f t="shared" si="876"/>
        <v>465</v>
      </c>
      <c r="J274" s="522">
        <f t="shared" si="877"/>
        <v>120</v>
      </c>
      <c r="K274" s="522">
        <f t="shared" si="878"/>
        <v>345</v>
      </c>
      <c r="L274" s="57">
        <f t="shared" si="879"/>
        <v>6600</v>
      </c>
      <c r="M274" s="60"/>
      <c r="N274" s="60"/>
      <c r="O274" s="60">
        <f t="shared" si="880"/>
        <v>0</v>
      </c>
      <c r="P274" s="60"/>
      <c r="Q274" s="60"/>
      <c r="R274" s="60">
        <f t="shared" si="881"/>
        <v>0</v>
      </c>
      <c r="S274" s="824"/>
      <c r="T274" s="60"/>
      <c r="U274" s="60">
        <f t="shared" si="882"/>
        <v>0</v>
      </c>
      <c r="V274" s="60">
        <f t="shared" si="883"/>
        <v>0</v>
      </c>
      <c r="W274" s="60">
        <f t="shared" si="883"/>
        <v>0</v>
      </c>
      <c r="X274" s="60">
        <f t="shared" si="883"/>
        <v>0</v>
      </c>
      <c r="Y274" s="60">
        <v>10</v>
      </c>
      <c r="Z274" s="60">
        <v>5</v>
      </c>
      <c r="AA274" s="60">
        <f t="shared" si="884"/>
        <v>5</v>
      </c>
      <c r="AB274" s="60">
        <v>70</v>
      </c>
      <c r="AC274" s="60">
        <v>20</v>
      </c>
      <c r="AD274" s="60">
        <f t="shared" si="885"/>
        <v>50</v>
      </c>
      <c r="AE274" s="60">
        <v>70</v>
      </c>
      <c r="AF274" s="60">
        <v>20</v>
      </c>
      <c r="AG274" s="60">
        <f t="shared" si="886"/>
        <v>50</v>
      </c>
      <c r="AH274" s="60">
        <f t="shared" si="887"/>
        <v>150</v>
      </c>
      <c r="AI274" s="60">
        <f t="shared" si="888"/>
        <v>45</v>
      </c>
      <c r="AJ274" s="60">
        <f t="shared" si="889"/>
        <v>105</v>
      </c>
      <c r="AK274" s="60">
        <v>70</v>
      </c>
      <c r="AL274" s="60">
        <v>20</v>
      </c>
      <c r="AM274" s="60">
        <f t="shared" si="890"/>
        <v>50</v>
      </c>
      <c r="AN274" s="60">
        <v>70</v>
      </c>
      <c r="AO274" s="60">
        <v>15</v>
      </c>
      <c r="AP274" s="60">
        <f t="shared" si="891"/>
        <v>55</v>
      </c>
      <c r="AQ274" s="60">
        <v>70</v>
      </c>
      <c r="AR274" s="60">
        <v>15</v>
      </c>
      <c r="AS274" s="60">
        <f t="shared" si="892"/>
        <v>55</v>
      </c>
      <c r="AT274" s="60">
        <f t="shared" ref="AT274:AV275" si="915">AK274+AN274+AQ274</f>
        <v>210</v>
      </c>
      <c r="AU274" s="60">
        <f t="shared" si="915"/>
        <v>50</v>
      </c>
      <c r="AV274" s="60">
        <f t="shared" si="915"/>
        <v>160</v>
      </c>
      <c r="AW274" s="60">
        <v>70</v>
      </c>
      <c r="AX274" s="60">
        <v>15</v>
      </c>
      <c r="AY274" s="60">
        <f t="shared" si="894"/>
        <v>55</v>
      </c>
      <c r="AZ274" s="60">
        <v>35</v>
      </c>
      <c r="BA274" s="60">
        <v>10</v>
      </c>
      <c r="BB274" s="60">
        <f t="shared" si="895"/>
        <v>25</v>
      </c>
      <c r="BC274" s="60"/>
      <c r="BD274" s="60"/>
      <c r="BE274" s="60">
        <f t="shared" si="896"/>
        <v>0</v>
      </c>
      <c r="BF274" s="60">
        <f t="shared" ref="BF274:BH275" si="916">AW274+AZ274+BC274</f>
        <v>105</v>
      </c>
      <c r="BG274" s="60">
        <f t="shared" si="916"/>
        <v>25</v>
      </c>
      <c r="BH274" s="60">
        <f t="shared" si="916"/>
        <v>80</v>
      </c>
      <c r="BI274" s="508"/>
      <c r="BJ274" s="488" t="str">
        <f t="shared" si="859"/>
        <v>Lò</v>
      </c>
      <c r="BK274" s="523">
        <f t="shared" si="898"/>
        <v>0</v>
      </c>
      <c r="BL274" s="523">
        <f t="shared" si="899"/>
        <v>0</v>
      </c>
      <c r="BM274" s="523">
        <f t="shared" si="900"/>
        <v>0</v>
      </c>
      <c r="BN274" s="523">
        <f t="shared" si="901"/>
        <v>0</v>
      </c>
      <c r="BO274" s="523">
        <f t="shared" si="902"/>
        <v>100</v>
      </c>
      <c r="BP274" s="523">
        <f t="shared" si="903"/>
        <v>1000</v>
      </c>
      <c r="BQ274" s="523">
        <f t="shared" si="904"/>
        <v>1000</v>
      </c>
      <c r="BR274" s="523">
        <f t="shared" si="905"/>
        <v>2000</v>
      </c>
      <c r="BS274" s="523">
        <f t="shared" si="906"/>
        <v>1000</v>
      </c>
      <c r="BT274" s="523">
        <f t="shared" si="907"/>
        <v>1100</v>
      </c>
      <c r="BU274" s="523">
        <f t="shared" si="908"/>
        <v>1100</v>
      </c>
      <c r="BV274" s="523">
        <f t="shared" si="909"/>
        <v>3100</v>
      </c>
      <c r="BW274" s="523">
        <f t="shared" si="910"/>
        <v>1100</v>
      </c>
      <c r="BX274" s="523">
        <f t="shared" si="911"/>
        <v>500</v>
      </c>
      <c r="BY274" s="523">
        <f t="shared" si="912"/>
        <v>0</v>
      </c>
      <c r="BZ274" s="523">
        <f t="shared" si="913"/>
        <v>1500</v>
      </c>
      <c r="CA274" s="354"/>
      <c r="CB274" s="354" t="str">
        <f t="shared" si="671"/>
        <v>X</v>
      </c>
      <c r="CC274" s="509" t="str">
        <f>CC271</f>
        <v>ĐL5.</v>
      </c>
      <c r="CD274" s="509" t="str">
        <f t="shared" si="673"/>
        <v>ĐL5.16,1</v>
      </c>
      <c r="CE274" s="351" t="str">
        <f t="shared" si="861"/>
        <v>Lò</v>
      </c>
      <c r="CF274" s="509" t="str">
        <f t="shared" si="674"/>
        <v>ĐL5.Lò</v>
      </c>
      <c r="CG274" s="509"/>
      <c r="CH274" s="509"/>
    </row>
    <row r="275" spans="1:86" ht="24" customHeight="1" x14ac:dyDescent="0.25">
      <c r="A275" s="354" t="e">
        <f>A272</f>
        <v>#REF!</v>
      </c>
      <c r="B275" s="543"/>
      <c r="C275" s="519" t="s">
        <v>738</v>
      </c>
      <c r="D275" s="447" t="s">
        <v>14</v>
      </c>
      <c r="E275" s="447"/>
      <c r="F275" s="447"/>
      <c r="G275" s="520">
        <v>8.5</v>
      </c>
      <c r="H275" s="521">
        <v>0.7</v>
      </c>
      <c r="I275" s="522">
        <f>V275+AH275+AT275+BF275</f>
        <v>70</v>
      </c>
      <c r="J275" s="522">
        <f>W275+AI275+AU275+BG275</f>
        <v>0</v>
      </c>
      <c r="K275" s="522">
        <f>X275+AJ275+AV275+BH275</f>
        <v>70</v>
      </c>
      <c r="L275" s="57">
        <f>BN275+BR275+BV275+BZ275</f>
        <v>700</v>
      </c>
      <c r="M275" s="60"/>
      <c r="N275" s="60"/>
      <c r="O275" s="60">
        <f t="shared" si="880"/>
        <v>0</v>
      </c>
      <c r="P275" s="60"/>
      <c r="Q275" s="60"/>
      <c r="R275" s="60">
        <f t="shared" si="881"/>
        <v>0</v>
      </c>
      <c r="S275" s="824"/>
      <c r="T275" s="60"/>
      <c r="U275" s="60">
        <f t="shared" si="882"/>
        <v>0</v>
      </c>
      <c r="V275" s="60">
        <f t="shared" si="883"/>
        <v>0</v>
      </c>
      <c r="W275" s="60">
        <f t="shared" si="883"/>
        <v>0</v>
      </c>
      <c r="X275" s="60">
        <f t="shared" si="883"/>
        <v>0</v>
      </c>
      <c r="Y275" s="60"/>
      <c r="Z275" s="60"/>
      <c r="AA275" s="60">
        <f t="shared" si="884"/>
        <v>0</v>
      </c>
      <c r="AB275" s="60"/>
      <c r="AC275" s="60"/>
      <c r="AD275" s="60">
        <f t="shared" si="885"/>
        <v>0</v>
      </c>
      <c r="AE275" s="60"/>
      <c r="AF275" s="60"/>
      <c r="AG275" s="60">
        <f t="shared" si="886"/>
        <v>0</v>
      </c>
      <c r="AH275" s="60">
        <f t="shared" ref="AH275:AJ276" si="917">Y275+AB275+AE275</f>
        <v>0</v>
      </c>
      <c r="AI275" s="60">
        <f t="shared" si="917"/>
        <v>0</v>
      </c>
      <c r="AJ275" s="60">
        <f t="shared" si="917"/>
        <v>0</v>
      </c>
      <c r="AK275" s="60"/>
      <c r="AL275" s="60"/>
      <c r="AM275" s="60">
        <f t="shared" si="890"/>
        <v>0</v>
      </c>
      <c r="AN275" s="60"/>
      <c r="AO275" s="60"/>
      <c r="AP275" s="60">
        <f t="shared" si="891"/>
        <v>0</v>
      </c>
      <c r="AQ275" s="60"/>
      <c r="AR275" s="60"/>
      <c r="AS275" s="60">
        <f t="shared" si="892"/>
        <v>0</v>
      </c>
      <c r="AT275" s="60">
        <f t="shared" si="915"/>
        <v>0</v>
      </c>
      <c r="AU275" s="60">
        <f t="shared" si="915"/>
        <v>0</v>
      </c>
      <c r="AV275" s="60">
        <f t="shared" si="915"/>
        <v>0</v>
      </c>
      <c r="AW275" s="60"/>
      <c r="AX275" s="60"/>
      <c r="AY275" s="60">
        <f t="shared" si="894"/>
        <v>0</v>
      </c>
      <c r="AZ275" s="60">
        <v>20</v>
      </c>
      <c r="BA275" s="60"/>
      <c r="BB275" s="60">
        <f t="shared" si="895"/>
        <v>20</v>
      </c>
      <c r="BC275" s="60">
        <v>50</v>
      </c>
      <c r="BD275" s="60"/>
      <c r="BE275" s="60">
        <f t="shared" si="896"/>
        <v>50</v>
      </c>
      <c r="BF275" s="60">
        <f t="shared" si="916"/>
        <v>70</v>
      </c>
      <c r="BG275" s="60">
        <f t="shared" si="916"/>
        <v>0</v>
      </c>
      <c r="BH275" s="60">
        <f t="shared" si="916"/>
        <v>70</v>
      </c>
      <c r="BI275" s="508"/>
      <c r="BJ275" s="488" t="str">
        <f t="shared" si="859"/>
        <v>Lò</v>
      </c>
      <c r="BK275" s="523">
        <f t="shared" si="898"/>
        <v>0</v>
      </c>
      <c r="BL275" s="523">
        <f t="shared" si="899"/>
        <v>0</v>
      </c>
      <c r="BM275" s="523">
        <f t="shared" si="900"/>
        <v>0</v>
      </c>
      <c r="BN275" s="523">
        <f t="shared" si="901"/>
        <v>0</v>
      </c>
      <c r="BO275" s="523">
        <f t="shared" si="902"/>
        <v>0</v>
      </c>
      <c r="BP275" s="523">
        <f t="shared" si="903"/>
        <v>0</v>
      </c>
      <c r="BQ275" s="523">
        <f t="shared" si="904"/>
        <v>0</v>
      </c>
      <c r="BR275" s="523">
        <f t="shared" si="905"/>
        <v>0</v>
      </c>
      <c r="BS275" s="523">
        <f t="shared" si="906"/>
        <v>0</v>
      </c>
      <c r="BT275" s="523">
        <f t="shared" si="907"/>
        <v>0</v>
      </c>
      <c r="BU275" s="523">
        <f t="shared" si="908"/>
        <v>0</v>
      </c>
      <c r="BV275" s="523">
        <f t="shared" si="909"/>
        <v>0</v>
      </c>
      <c r="BW275" s="523">
        <f t="shared" si="910"/>
        <v>0</v>
      </c>
      <c r="BX275" s="523">
        <f t="shared" si="911"/>
        <v>200</v>
      </c>
      <c r="BY275" s="523">
        <f t="shared" si="912"/>
        <v>500</v>
      </c>
      <c r="BZ275" s="523">
        <f t="shared" si="913"/>
        <v>700</v>
      </c>
      <c r="CA275" s="354"/>
      <c r="CB275" s="354" t="str">
        <f>IF(SUM(I275:L275)&lt;&gt;0,"X")</f>
        <v>X</v>
      </c>
      <c r="CC275" s="509" t="str">
        <f>CC272</f>
        <v>ĐL5.</v>
      </c>
      <c r="CD275" s="509" t="str">
        <f>CC275&amp;G275</f>
        <v>ĐL5.8,5</v>
      </c>
      <c r="CE275" s="351" t="str">
        <f t="shared" si="861"/>
        <v>Lò</v>
      </c>
      <c r="CF275" s="509" t="str">
        <f>CC275&amp;CE275</f>
        <v>ĐL5.Lò</v>
      </c>
      <c r="CG275" s="509"/>
      <c r="CH275" s="509"/>
    </row>
    <row r="276" spans="1:86" ht="24" customHeight="1" x14ac:dyDescent="0.25">
      <c r="A276" s="354" t="e">
        <f>A273</f>
        <v>#REF!</v>
      </c>
      <c r="B276" s="543"/>
      <c r="C276" s="519" t="s">
        <v>739</v>
      </c>
      <c r="D276" s="447" t="s">
        <v>14</v>
      </c>
      <c r="E276" s="447"/>
      <c r="F276" s="447"/>
      <c r="G276" s="520">
        <v>11.2</v>
      </c>
      <c r="H276" s="521">
        <v>0.7</v>
      </c>
      <c r="I276" s="522">
        <f t="shared" si="876"/>
        <v>0</v>
      </c>
      <c r="J276" s="522">
        <f t="shared" si="877"/>
        <v>0</v>
      </c>
      <c r="K276" s="522">
        <f t="shared" si="878"/>
        <v>0</v>
      </c>
      <c r="L276" s="57">
        <f t="shared" si="879"/>
        <v>0</v>
      </c>
      <c r="M276" s="60"/>
      <c r="N276" s="60"/>
      <c r="O276" s="60">
        <f t="shared" si="880"/>
        <v>0</v>
      </c>
      <c r="P276" s="60"/>
      <c r="Q276" s="60"/>
      <c r="R276" s="60">
        <f t="shared" si="881"/>
        <v>0</v>
      </c>
      <c r="S276" s="824"/>
      <c r="T276" s="60"/>
      <c r="U276" s="60">
        <f t="shared" si="882"/>
        <v>0</v>
      </c>
      <c r="V276" s="60">
        <f t="shared" ref="V276:X280" si="918">M276+P276+S276</f>
        <v>0</v>
      </c>
      <c r="W276" s="60">
        <f t="shared" si="918"/>
        <v>0</v>
      </c>
      <c r="X276" s="60">
        <f t="shared" si="918"/>
        <v>0</v>
      </c>
      <c r="Y276" s="60"/>
      <c r="Z276" s="60"/>
      <c r="AA276" s="60">
        <f t="shared" si="884"/>
        <v>0</v>
      </c>
      <c r="AB276" s="60"/>
      <c r="AC276" s="60"/>
      <c r="AD276" s="60">
        <f t="shared" si="885"/>
        <v>0</v>
      </c>
      <c r="AE276" s="60"/>
      <c r="AF276" s="60"/>
      <c r="AG276" s="60">
        <f t="shared" si="886"/>
        <v>0</v>
      </c>
      <c r="AH276" s="60">
        <f t="shared" si="917"/>
        <v>0</v>
      </c>
      <c r="AI276" s="60">
        <f t="shared" si="917"/>
        <v>0</v>
      </c>
      <c r="AJ276" s="60">
        <f t="shared" si="917"/>
        <v>0</v>
      </c>
      <c r="AK276" s="60"/>
      <c r="AL276" s="60"/>
      <c r="AM276" s="60">
        <f t="shared" si="890"/>
        <v>0</v>
      </c>
      <c r="AN276" s="60"/>
      <c r="AO276" s="60"/>
      <c r="AP276" s="60">
        <f t="shared" si="891"/>
        <v>0</v>
      </c>
      <c r="AQ276" s="60"/>
      <c r="AR276" s="60"/>
      <c r="AS276" s="60">
        <f t="shared" si="892"/>
        <v>0</v>
      </c>
      <c r="AT276" s="60">
        <f t="shared" ref="AT276:AT286" si="919">AK276+AN276+AQ276</f>
        <v>0</v>
      </c>
      <c r="AU276" s="60">
        <f t="shared" ref="AU276:AU286" si="920">AL276+AO276+AR276</f>
        <v>0</v>
      </c>
      <c r="AV276" s="60">
        <f t="shared" ref="AV276:AV286" si="921">AM276+AP276+AS276</f>
        <v>0</v>
      </c>
      <c r="AW276" s="60"/>
      <c r="AX276" s="60"/>
      <c r="AY276" s="60">
        <f t="shared" si="894"/>
        <v>0</v>
      </c>
      <c r="AZ276" s="60"/>
      <c r="BA276" s="60"/>
      <c r="BB276" s="60">
        <f t="shared" si="895"/>
        <v>0</v>
      </c>
      <c r="BC276" s="60"/>
      <c r="BD276" s="60"/>
      <c r="BE276" s="60">
        <f t="shared" si="896"/>
        <v>0</v>
      </c>
      <c r="BF276" s="60">
        <f t="shared" ref="BF276:BH278" si="922">AW276+AZ276+BC276</f>
        <v>0</v>
      </c>
      <c r="BG276" s="60">
        <f t="shared" si="922"/>
        <v>0</v>
      </c>
      <c r="BH276" s="60">
        <f t="shared" si="922"/>
        <v>0</v>
      </c>
      <c r="BI276" s="508"/>
      <c r="BJ276" s="488" t="str">
        <f t="shared" si="859"/>
        <v>Lò</v>
      </c>
      <c r="BK276" s="523">
        <f t="shared" si="898"/>
        <v>0</v>
      </c>
      <c r="BL276" s="523">
        <f t="shared" si="899"/>
        <v>0</v>
      </c>
      <c r="BM276" s="523">
        <f t="shared" si="900"/>
        <v>0</v>
      </c>
      <c r="BN276" s="523">
        <f t="shared" si="901"/>
        <v>0</v>
      </c>
      <c r="BO276" s="523">
        <f t="shared" si="902"/>
        <v>0</v>
      </c>
      <c r="BP276" s="523">
        <f t="shared" si="903"/>
        <v>0</v>
      </c>
      <c r="BQ276" s="523">
        <f t="shared" si="904"/>
        <v>0</v>
      </c>
      <c r="BR276" s="523">
        <f t="shared" si="905"/>
        <v>0</v>
      </c>
      <c r="BS276" s="523">
        <f t="shared" si="906"/>
        <v>0</v>
      </c>
      <c r="BT276" s="523">
        <f t="shared" si="907"/>
        <v>0</v>
      </c>
      <c r="BU276" s="523">
        <f t="shared" si="908"/>
        <v>0</v>
      </c>
      <c r="BV276" s="523">
        <f t="shared" si="909"/>
        <v>0</v>
      </c>
      <c r="BW276" s="523">
        <f t="shared" si="910"/>
        <v>0</v>
      </c>
      <c r="BX276" s="523">
        <f t="shared" si="911"/>
        <v>0</v>
      </c>
      <c r="BY276" s="523">
        <f t="shared" si="912"/>
        <v>0</v>
      </c>
      <c r="BZ276" s="523">
        <f t="shared" si="913"/>
        <v>0</v>
      </c>
      <c r="CA276" s="354"/>
      <c r="CB276" s="354" t="b">
        <f t="shared" si="671"/>
        <v>0</v>
      </c>
      <c r="CC276" s="509" t="str">
        <f>CC273</f>
        <v>ĐL5.</v>
      </c>
      <c r="CD276" s="509" t="str">
        <f t="shared" si="673"/>
        <v>ĐL5.11,2</v>
      </c>
      <c r="CE276" s="351" t="str">
        <f t="shared" si="861"/>
        <v>Lò</v>
      </c>
      <c r="CF276" s="509" t="str">
        <f t="shared" si="674"/>
        <v>ĐL5.Lò</v>
      </c>
      <c r="CG276" s="509"/>
      <c r="CH276" s="509"/>
    </row>
    <row r="277" spans="1:86" ht="24" customHeight="1" x14ac:dyDescent="0.25">
      <c r="A277" s="354" t="e">
        <f>A275</f>
        <v>#REF!</v>
      </c>
      <c r="B277" s="543"/>
      <c r="C277" s="519" t="s">
        <v>549</v>
      </c>
      <c r="D277" s="447" t="s">
        <v>14</v>
      </c>
      <c r="E277" s="447"/>
      <c r="F277" s="447"/>
      <c r="G277" s="520">
        <v>16.100000000000001</v>
      </c>
      <c r="H277" s="521">
        <v>0.7</v>
      </c>
      <c r="I277" s="522">
        <f t="shared" ref="I277:I285" si="923">V277+AH277+AT277+BF277</f>
        <v>0</v>
      </c>
      <c r="J277" s="522">
        <f t="shared" ref="J277:J285" si="924">W277+AI277+AU277+BG277</f>
        <v>0</v>
      </c>
      <c r="K277" s="522">
        <f t="shared" ref="K277:K285" si="925">X277+AJ277+AV277+BH277</f>
        <v>0</v>
      </c>
      <c r="L277" s="57">
        <f t="shared" ref="L277:L285" si="926">BN277+BR277+BV277+BZ277</f>
        <v>0</v>
      </c>
      <c r="M277" s="60"/>
      <c r="N277" s="60"/>
      <c r="O277" s="60">
        <f t="shared" ref="O277:O285" si="927">M277-N277</f>
        <v>0</v>
      </c>
      <c r="P277" s="60"/>
      <c r="Q277" s="60"/>
      <c r="R277" s="60">
        <f t="shared" ref="R277:R285" si="928">P277-Q277</f>
        <v>0</v>
      </c>
      <c r="S277" s="824"/>
      <c r="T277" s="60"/>
      <c r="U277" s="60">
        <f t="shared" ref="U277:U285" si="929">S277-T277</f>
        <v>0</v>
      </c>
      <c r="V277" s="60">
        <f t="shared" si="918"/>
        <v>0</v>
      </c>
      <c r="W277" s="60">
        <f t="shared" si="918"/>
        <v>0</v>
      </c>
      <c r="X277" s="60">
        <f t="shared" si="918"/>
        <v>0</v>
      </c>
      <c r="Y277" s="60"/>
      <c r="Z277" s="60"/>
      <c r="AA277" s="60">
        <f t="shared" ref="AA277:AA285" si="930">Y277-Z277</f>
        <v>0</v>
      </c>
      <c r="AB277" s="60"/>
      <c r="AC277" s="60"/>
      <c r="AD277" s="60">
        <f t="shared" ref="AD277:AD285" si="931">AB277-AC277</f>
        <v>0</v>
      </c>
      <c r="AE277" s="60"/>
      <c r="AF277" s="60"/>
      <c r="AG277" s="60">
        <f t="shared" ref="AG277:AG285" si="932">AE277-AF277</f>
        <v>0</v>
      </c>
      <c r="AH277" s="60">
        <f t="shared" ref="AH277:AJ280" si="933">Y277+AB277+AE277</f>
        <v>0</v>
      </c>
      <c r="AI277" s="60">
        <f t="shared" si="933"/>
        <v>0</v>
      </c>
      <c r="AJ277" s="60">
        <f t="shared" si="933"/>
        <v>0</v>
      </c>
      <c r="AK277" s="60"/>
      <c r="AL277" s="60"/>
      <c r="AM277" s="60">
        <f t="shared" ref="AM277:AM285" si="934">AK277-AL277</f>
        <v>0</v>
      </c>
      <c r="AN277" s="60"/>
      <c r="AO277" s="60"/>
      <c r="AP277" s="60">
        <f t="shared" ref="AP277:AP285" si="935">AN277-AO277</f>
        <v>0</v>
      </c>
      <c r="AQ277" s="60"/>
      <c r="AR277" s="60"/>
      <c r="AS277" s="60">
        <f t="shared" ref="AS277:AS285" si="936">AQ277-AR277</f>
        <v>0</v>
      </c>
      <c r="AT277" s="60">
        <f t="shared" si="919"/>
        <v>0</v>
      </c>
      <c r="AU277" s="60">
        <f t="shared" si="920"/>
        <v>0</v>
      </c>
      <c r="AV277" s="60">
        <f t="shared" si="921"/>
        <v>0</v>
      </c>
      <c r="AW277" s="60"/>
      <c r="AX277" s="60"/>
      <c r="AY277" s="60">
        <f t="shared" ref="AY277:AY285" si="937">AW277-AX277</f>
        <v>0</v>
      </c>
      <c r="AZ277" s="60"/>
      <c r="BA277" s="60"/>
      <c r="BB277" s="60">
        <f t="shared" ref="BB277:BB285" si="938">AZ277-BA277</f>
        <v>0</v>
      </c>
      <c r="BC277" s="60"/>
      <c r="BD277" s="60"/>
      <c r="BE277" s="60">
        <f t="shared" ref="BE277:BE285" si="939">BC277-BD277</f>
        <v>0</v>
      </c>
      <c r="BF277" s="60">
        <f t="shared" si="922"/>
        <v>0</v>
      </c>
      <c r="BG277" s="60">
        <f t="shared" si="922"/>
        <v>0</v>
      </c>
      <c r="BH277" s="60">
        <f t="shared" si="922"/>
        <v>0</v>
      </c>
      <c r="BI277" s="508"/>
      <c r="BJ277" s="488" t="str">
        <f t="shared" si="859"/>
        <v>Lò</v>
      </c>
      <c r="BK277" s="523">
        <f t="shared" si="898"/>
        <v>0</v>
      </c>
      <c r="BL277" s="523">
        <f t="shared" si="899"/>
        <v>0</v>
      </c>
      <c r="BM277" s="523">
        <f t="shared" si="900"/>
        <v>0</v>
      </c>
      <c r="BN277" s="523">
        <f t="shared" si="901"/>
        <v>0</v>
      </c>
      <c r="BO277" s="523">
        <f t="shared" si="902"/>
        <v>0</v>
      </c>
      <c r="BP277" s="523">
        <f t="shared" si="903"/>
        <v>0</v>
      </c>
      <c r="BQ277" s="523">
        <f t="shared" si="904"/>
        <v>0</v>
      </c>
      <c r="BR277" s="523">
        <f t="shared" si="905"/>
        <v>0</v>
      </c>
      <c r="BS277" s="523">
        <f t="shared" si="906"/>
        <v>0</v>
      </c>
      <c r="BT277" s="523">
        <f t="shared" si="907"/>
        <v>0</v>
      </c>
      <c r="BU277" s="523">
        <f t="shared" si="908"/>
        <v>0</v>
      </c>
      <c r="BV277" s="523">
        <f t="shared" si="909"/>
        <v>0</v>
      </c>
      <c r="BW277" s="523">
        <f t="shared" si="910"/>
        <v>0</v>
      </c>
      <c r="BX277" s="523">
        <f t="shared" si="911"/>
        <v>0</v>
      </c>
      <c r="BY277" s="523">
        <f t="shared" si="912"/>
        <v>0</v>
      </c>
      <c r="BZ277" s="523">
        <f t="shared" si="913"/>
        <v>0</v>
      </c>
      <c r="CA277" s="354"/>
      <c r="CB277" s="354" t="b">
        <f t="shared" ref="CB277:CB285" si="940">IF(SUM(I277:L277)&lt;&gt;0,"X")</f>
        <v>0</v>
      </c>
      <c r="CC277" s="509" t="str">
        <f>CC275</f>
        <v>ĐL5.</v>
      </c>
      <c r="CD277" s="509" t="str">
        <f t="shared" ref="CD277:CD285" si="941">CC277&amp;G277</f>
        <v>ĐL5.16,1</v>
      </c>
      <c r="CE277" s="351" t="str">
        <f t="shared" si="861"/>
        <v>Lò</v>
      </c>
      <c r="CF277" s="509" t="str">
        <f t="shared" ref="CF277:CF285" si="942">CC277&amp;CE277</f>
        <v>ĐL5.Lò</v>
      </c>
      <c r="CG277" s="509"/>
      <c r="CH277" s="509"/>
    </row>
    <row r="278" spans="1:86" ht="24" customHeight="1" x14ac:dyDescent="0.25">
      <c r="A278" s="354" t="e">
        <f>A275</f>
        <v>#REF!</v>
      </c>
      <c r="B278" s="543"/>
      <c r="C278" s="519" t="s">
        <v>550</v>
      </c>
      <c r="D278" s="447" t="s">
        <v>14</v>
      </c>
      <c r="E278" s="447"/>
      <c r="F278" s="447"/>
      <c r="G278" s="520">
        <v>16.100000000000001</v>
      </c>
      <c r="H278" s="521">
        <v>0.7</v>
      </c>
      <c r="I278" s="522">
        <f t="shared" si="923"/>
        <v>0</v>
      </c>
      <c r="J278" s="522">
        <f t="shared" si="924"/>
        <v>0</v>
      </c>
      <c r="K278" s="522">
        <f t="shared" si="925"/>
        <v>0</v>
      </c>
      <c r="L278" s="57">
        <f t="shared" si="926"/>
        <v>0</v>
      </c>
      <c r="M278" s="60"/>
      <c r="N278" s="60"/>
      <c r="O278" s="60">
        <f t="shared" si="927"/>
        <v>0</v>
      </c>
      <c r="P278" s="60"/>
      <c r="Q278" s="60"/>
      <c r="R278" s="60">
        <f t="shared" si="928"/>
        <v>0</v>
      </c>
      <c r="S278" s="824"/>
      <c r="T278" s="60"/>
      <c r="U278" s="60">
        <f t="shared" si="929"/>
        <v>0</v>
      </c>
      <c r="V278" s="60">
        <f t="shared" si="918"/>
        <v>0</v>
      </c>
      <c r="W278" s="60">
        <f t="shared" si="918"/>
        <v>0</v>
      </c>
      <c r="X278" s="60">
        <f t="shared" si="918"/>
        <v>0</v>
      </c>
      <c r="Y278" s="60"/>
      <c r="Z278" s="60"/>
      <c r="AA278" s="60">
        <f t="shared" si="930"/>
        <v>0</v>
      </c>
      <c r="AB278" s="60"/>
      <c r="AC278" s="60"/>
      <c r="AD278" s="60">
        <f t="shared" si="931"/>
        <v>0</v>
      </c>
      <c r="AE278" s="60"/>
      <c r="AF278" s="60"/>
      <c r="AG278" s="60">
        <f t="shared" si="932"/>
        <v>0</v>
      </c>
      <c r="AH278" s="60">
        <f t="shared" si="933"/>
        <v>0</v>
      </c>
      <c r="AI278" s="60">
        <f t="shared" si="933"/>
        <v>0</v>
      </c>
      <c r="AJ278" s="60">
        <f t="shared" si="933"/>
        <v>0</v>
      </c>
      <c r="AK278" s="60"/>
      <c r="AL278" s="60"/>
      <c r="AM278" s="60">
        <f t="shared" si="934"/>
        <v>0</v>
      </c>
      <c r="AN278" s="60"/>
      <c r="AO278" s="60"/>
      <c r="AP278" s="60">
        <f t="shared" si="935"/>
        <v>0</v>
      </c>
      <c r="AQ278" s="60"/>
      <c r="AR278" s="60"/>
      <c r="AS278" s="60">
        <f t="shared" si="936"/>
        <v>0</v>
      </c>
      <c r="AT278" s="60">
        <f t="shared" si="919"/>
        <v>0</v>
      </c>
      <c r="AU278" s="60">
        <f t="shared" si="920"/>
        <v>0</v>
      </c>
      <c r="AV278" s="60">
        <f t="shared" si="921"/>
        <v>0</v>
      </c>
      <c r="AW278" s="60"/>
      <c r="AX278" s="60"/>
      <c r="AY278" s="60">
        <f t="shared" si="937"/>
        <v>0</v>
      </c>
      <c r="AZ278" s="60"/>
      <c r="BA278" s="60"/>
      <c r="BB278" s="60">
        <f t="shared" si="938"/>
        <v>0</v>
      </c>
      <c r="BC278" s="60"/>
      <c r="BD278" s="60"/>
      <c r="BE278" s="60">
        <f t="shared" si="939"/>
        <v>0</v>
      </c>
      <c r="BF278" s="60">
        <f t="shared" si="922"/>
        <v>0</v>
      </c>
      <c r="BG278" s="60">
        <f t="shared" si="922"/>
        <v>0</v>
      </c>
      <c r="BH278" s="60">
        <f t="shared" si="922"/>
        <v>0</v>
      </c>
      <c r="BI278" s="508"/>
      <c r="BJ278" s="488" t="str">
        <f t="shared" si="859"/>
        <v>Lò</v>
      </c>
      <c r="BK278" s="523">
        <f t="shared" si="898"/>
        <v>0</v>
      </c>
      <c r="BL278" s="523">
        <f t="shared" si="899"/>
        <v>0</v>
      </c>
      <c r="BM278" s="523">
        <f t="shared" si="900"/>
        <v>0</v>
      </c>
      <c r="BN278" s="523">
        <f t="shared" si="901"/>
        <v>0</v>
      </c>
      <c r="BO278" s="523">
        <f t="shared" si="902"/>
        <v>0</v>
      </c>
      <c r="BP278" s="523">
        <f t="shared" si="903"/>
        <v>0</v>
      </c>
      <c r="BQ278" s="523">
        <f t="shared" si="904"/>
        <v>0</v>
      </c>
      <c r="BR278" s="523">
        <f t="shared" si="905"/>
        <v>0</v>
      </c>
      <c r="BS278" s="523">
        <f t="shared" si="906"/>
        <v>0</v>
      </c>
      <c r="BT278" s="523">
        <f t="shared" si="907"/>
        <v>0</v>
      </c>
      <c r="BU278" s="523">
        <f t="shared" si="908"/>
        <v>0</v>
      </c>
      <c r="BV278" s="523">
        <f t="shared" si="909"/>
        <v>0</v>
      </c>
      <c r="BW278" s="523">
        <f t="shared" si="910"/>
        <v>0</v>
      </c>
      <c r="BX278" s="523">
        <f t="shared" si="911"/>
        <v>0</v>
      </c>
      <c r="BY278" s="523">
        <f t="shared" si="912"/>
        <v>0</v>
      </c>
      <c r="BZ278" s="523">
        <f t="shared" si="913"/>
        <v>0</v>
      </c>
      <c r="CA278" s="354"/>
      <c r="CB278" s="354" t="b">
        <f t="shared" si="940"/>
        <v>0</v>
      </c>
      <c r="CC278" s="509" t="str">
        <f>CC275</f>
        <v>ĐL5.</v>
      </c>
      <c r="CD278" s="509" t="str">
        <f t="shared" si="941"/>
        <v>ĐL5.16,1</v>
      </c>
      <c r="CE278" s="351" t="str">
        <f t="shared" si="861"/>
        <v>Lò</v>
      </c>
      <c r="CF278" s="509" t="str">
        <f t="shared" si="942"/>
        <v>ĐL5.Lò</v>
      </c>
      <c r="CG278" s="509"/>
      <c r="CH278" s="509"/>
    </row>
    <row r="279" spans="1:86" ht="24" customHeight="1" x14ac:dyDescent="0.25">
      <c r="A279" s="354" t="e">
        <f>A275</f>
        <v>#REF!</v>
      </c>
      <c r="B279" s="543" t="s">
        <v>552</v>
      </c>
      <c r="C279" s="519" t="s">
        <v>740</v>
      </c>
      <c r="D279" s="447" t="s">
        <v>14</v>
      </c>
      <c r="E279" s="447"/>
      <c r="F279" s="447"/>
      <c r="G279" s="520">
        <v>11.2</v>
      </c>
      <c r="H279" s="521">
        <v>0.7</v>
      </c>
      <c r="I279" s="522">
        <f t="shared" si="923"/>
        <v>180</v>
      </c>
      <c r="J279" s="522">
        <f t="shared" si="924"/>
        <v>140</v>
      </c>
      <c r="K279" s="522">
        <f t="shared" si="925"/>
        <v>40</v>
      </c>
      <c r="L279" s="57">
        <f t="shared" si="926"/>
        <v>500</v>
      </c>
      <c r="M279" s="60">
        <v>45</v>
      </c>
      <c r="N279" s="60">
        <v>45</v>
      </c>
      <c r="O279" s="60">
        <f t="shared" si="927"/>
        <v>0</v>
      </c>
      <c r="P279" s="60">
        <v>35</v>
      </c>
      <c r="Q279" s="60">
        <v>35</v>
      </c>
      <c r="R279" s="60">
        <f t="shared" si="928"/>
        <v>0</v>
      </c>
      <c r="S279" s="824">
        <v>45</v>
      </c>
      <c r="T279" s="60">
        <v>45</v>
      </c>
      <c r="U279" s="60">
        <f t="shared" si="929"/>
        <v>0</v>
      </c>
      <c r="V279" s="60">
        <f t="shared" si="918"/>
        <v>125</v>
      </c>
      <c r="W279" s="60">
        <f t="shared" si="918"/>
        <v>125</v>
      </c>
      <c r="X279" s="60">
        <f t="shared" si="918"/>
        <v>0</v>
      </c>
      <c r="Y279" s="60">
        <v>55</v>
      </c>
      <c r="Z279" s="60">
        <v>15</v>
      </c>
      <c r="AA279" s="60">
        <f t="shared" si="930"/>
        <v>40</v>
      </c>
      <c r="AB279" s="60"/>
      <c r="AC279" s="60"/>
      <c r="AD279" s="60">
        <f t="shared" si="931"/>
        <v>0</v>
      </c>
      <c r="AE279" s="60"/>
      <c r="AF279" s="60"/>
      <c r="AG279" s="60">
        <f t="shared" si="932"/>
        <v>0</v>
      </c>
      <c r="AH279" s="60">
        <f t="shared" si="933"/>
        <v>55</v>
      </c>
      <c r="AI279" s="60">
        <f t="shared" si="933"/>
        <v>15</v>
      </c>
      <c r="AJ279" s="60">
        <f t="shared" si="933"/>
        <v>40</v>
      </c>
      <c r="AK279" s="60"/>
      <c r="AL279" s="60"/>
      <c r="AM279" s="60">
        <f t="shared" si="934"/>
        <v>0</v>
      </c>
      <c r="AN279" s="60"/>
      <c r="AO279" s="60"/>
      <c r="AP279" s="60">
        <f t="shared" si="935"/>
        <v>0</v>
      </c>
      <c r="AQ279" s="60"/>
      <c r="AR279" s="60"/>
      <c r="AS279" s="60">
        <f t="shared" si="936"/>
        <v>0</v>
      </c>
      <c r="AT279" s="60">
        <f t="shared" si="919"/>
        <v>0</v>
      </c>
      <c r="AU279" s="60">
        <f t="shared" si="920"/>
        <v>0</v>
      </c>
      <c r="AV279" s="60">
        <f t="shared" si="921"/>
        <v>0</v>
      </c>
      <c r="AW279" s="60"/>
      <c r="AX279" s="60"/>
      <c r="AY279" s="60">
        <f t="shared" si="937"/>
        <v>0</v>
      </c>
      <c r="AZ279" s="60"/>
      <c r="BA279" s="60"/>
      <c r="BB279" s="60">
        <f t="shared" si="938"/>
        <v>0</v>
      </c>
      <c r="BC279" s="60"/>
      <c r="BD279" s="60"/>
      <c r="BE279" s="60">
        <f t="shared" si="939"/>
        <v>0</v>
      </c>
      <c r="BF279" s="60">
        <f t="shared" ref="BF279:BF286" si="943">AW279+AZ279+BC279</f>
        <v>0</v>
      </c>
      <c r="BG279" s="60">
        <f t="shared" ref="BG279:BG286" si="944">AX279+BA279+BD279</f>
        <v>0</v>
      </c>
      <c r="BH279" s="60">
        <f t="shared" ref="BH279:BH286" si="945">AY279+BB279+BE279</f>
        <v>0</v>
      </c>
      <c r="BI279" s="508"/>
      <c r="BJ279" s="488" t="str">
        <f t="shared" si="859"/>
        <v>Lò</v>
      </c>
      <c r="BK279" s="523">
        <f t="shared" si="898"/>
        <v>0</v>
      </c>
      <c r="BL279" s="523">
        <f t="shared" si="899"/>
        <v>0</v>
      </c>
      <c r="BM279" s="523">
        <f t="shared" si="900"/>
        <v>0</v>
      </c>
      <c r="BN279" s="523">
        <f t="shared" si="901"/>
        <v>0</v>
      </c>
      <c r="BO279" s="523">
        <f t="shared" si="902"/>
        <v>500</v>
      </c>
      <c r="BP279" s="523">
        <f t="shared" si="903"/>
        <v>0</v>
      </c>
      <c r="BQ279" s="523">
        <f t="shared" si="904"/>
        <v>0</v>
      </c>
      <c r="BR279" s="523">
        <f t="shared" si="905"/>
        <v>500</v>
      </c>
      <c r="BS279" s="523">
        <f t="shared" si="906"/>
        <v>0</v>
      </c>
      <c r="BT279" s="523">
        <f t="shared" si="907"/>
        <v>0</v>
      </c>
      <c r="BU279" s="523">
        <f t="shared" si="908"/>
        <v>0</v>
      </c>
      <c r="BV279" s="523">
        <f t="shared" si="909"/>
        <v>0</v>
      </c>
      <c r="BW279" s="523">
        <f t="shared" si="910"/>
        <v>0</v>
      </c>
      <c r="BX279" s="523">
        <f t="shared" si="911"/>
        <v>0</v>
      </c>
      <c r="BY279" s="523">
        <f t="shared" si="912"/>
        <v>0</v>
      </c>
      <c r="BZ279" s="523">
        <f t="shared" si="913"/>
        <v>0</v>
      </c>
      <c r="CA279" s="354"/>
      <c r="CB279" s="354" t="str">
        <f t="shared" si="940"/>
        <v>X</v>
      </c>
      <c r="CC279" s="509" t="str">
        <f>CC275</f>
        <v>ĐL5.</v>
      </c>
      <c r="CD279" s="509" t="str">
        <f t="shared" si="941"/>
        <v>ĐL5.11,2</v>
      </c>
      <c r="CE279" s="351" t="str">
        <f t="shared" si="861"/>
        <v>Lò</v>
      </c>
      <c r="CF279" s="509" t="str">
        <f t="shared" si="942"/>
        <v>ĐL5.Lò</v>
      </c>
      <c r="CG279" s="509"/>
      <c r="CH279" s="509"/>
    </row>
    <row r="280" spans="1:86" ht="24" customHeight="1" x14ac:dyDescent="0.25">
      <c r="A280" s="354" t="e">
        <f>A275</f>
        <v>#REF!</v>
      </c>
      <c r="B280" s="518"/>
      <c r="C280" s="519" t="s">
        <v>555</v>
      </c>
      <c r="D280" s="447" t="s">
        <v>14</v>
      </c>
      <c r="E280" s="447"/>
      <c r="F280" s="447"/>
      <c r="G280" s="520">
        <v>11.2</v>
      </c>
      <c r="H280" s="521">
        <v>0.7</v>
      </c>
      <c r="I280" s="522">
        <f t="shared" si="923"/>
        <v>0</v>
      </c>
      <c r="J280" s="522">
        <f t="shared" si="924"/>
        <v>0</v>
      </c>
      <c r="K280" s="522">
        <f t="shared" si="925"/>
        <v>0</v>
      </c>
      <c r="L280" s="57">
        <f t="shared" si="926"/>
        <v>0</v>
      </c>
      <c r="M280" s="60"/>
      <c r="N280" s="60"/>
      <c r="O280" s="60">
        <f t="shared" si="927"/>
        <v>0</v>
      </c>
      <c r="P280" s="60"/>
      <c r="Q280" s="60"/>
      <c r="R280" s="60">
        <f t="shared" si="928"/>
        <v>0</v>
      </c>
      <c r="S280" s="824"/>
      <c r="T280" s="60"/>
      <c r="U280" s="60">
        <f t="shared" si="929"/>
        <v>0</v>
      </c>
      <c r="V280" s="60">
        <f t="shared" si="918"/>
        <v>0</v>
      </c>
      <c r="W280" s="60">
        <f t="shared" si="918"/>
        <v>0</v>
      </c>
      <c r="X280" s="60">
        <f t="shared" si="918"/>
        <v>0</v>
      </c>
      <c r="Y280" s="60"/>
      <c r="Z280" s="60"/>
      <c r="AA280" s="60">
        <f t="shared" si="930"/>
        <v>0</v>
      </c>
      <c r="AB280" s="60"/>
      <c r="AC280" s="60"/>
      <c r="AD280" s="60">
        <f t="shared" si="931"/>
        <v>0</v>
      </c>
      <c r="AE280" s="60"/>
      <c r="AF280" s="60"/>
      <c r="AG280" s="60">
        <f t="shared" si="932"/>
        <v>0</v>
      </c>
      <c r="AH280" s="60">
        <f t="shared" si="933"/>
        <v>0</v>
      </c>
      <c r="AI280" s="60">
        <f t="shared" si="933"/>
        <v>0</v>
      </c>
      <c r="AJ280" s="60">
        <f t="shared" si="933"/>
        <v>0</v>
      </c>
      <c r="AK280" s="60"/>
      <c r="AL280" s="60"/>
      <c r="AM280" s="60">
        <f t="shared" si="934"/>
        <v>0</v>
      </c>
      <c r="AN280" s="60"/>
      <c r="AO280" s="60"/>
      <c r="AP280" s="60">
        <f t="shared" si="935"/>
        <v>0</v>
      </c>
      <c r="AQ280" s="60"/>
      <c r="AR280" s="60"/>
      <c r="AS280" s="60">
        <f t="shared" si="936"/>
        <v>0</v>
      </c>
      <c r="AT280" s="60">
        <f t="shared" si="919"/>
        <v>0</v>
      </c>
      <c r="AU280" s="60">
        <f t="shared" si="920"/>
        <v>0</v>
      </c>
      <c r="AV280" s="60">
        <f t="shared" si="921"/>
        <v>0</v>
      </c>
      <c r="AW280" s="60"/>
      <c r="AX280" s="60"/>
      <c r="AY280" s="60">
        <f t="shared" si="937"/>
        <v>0</v>
      </c>
      <c r="AZ280" s="60"/>
      <c r="BA280" s="60"/>
      <c r="BB280" s="60">
        <f t="shared" si="938"/>
        <v>0</v>
      </c>
      <c r="BC280" s="60"/>
      <c r="BD280" s="60"/>
      <c r="BE280" s="60">
        <f t="shared" si="939"/>
        <v>0</v>
      </c>
      <c r="BF280" s="60">
        <f t="shared" si="943"/>
        <v>0</v>
      </c>
      <c r="BG280" s="60">
        <f t="shared" si="944"/>
        <v>0</v>
      </c>
      <c r="BH280" s="60">
        <f t="shared" si="945"/>
        <v>0</v>
      </c>
      <c r="BI280" s="508"/>
      <c r="BJ280" s="488" t="str">
        <f t="shared" si="859"/>
        <v>Lò</v>
      </c>
      <c r="BK280" s="523">
        <f t="shared" si="898"/>
        <v>0</v>
      </c>
      <c r="BL280" s="523">
        <f t="shared" si="899"/>
        <v>0</v>
      </c>
      <c r="BM280" s="523">
        <f t="shared" si="900"/>
        <v>0</v>
      </c>
      <c r="BN280" s="523">
        <f t="shared" si="901"/>
        <v>0</v>
      </c>
      <c r="BO280" s="523">
        <f t="shared" si="902"/>
        <v>0</v>
      </c>
      <c r="BP280" s="523">
        <f t="shared" si="903"/>
        <v>0</v>
      </c>
      <c r="BQ280" s="523">
        <f t="shared" si="904"/>
        <v>0</v>
      </c>
      <c r="BR280" s="523">
        <f t="shared" si="905"/>
        <v>0</v>
      </c>
      <c r="BS280" s="523">
        <f t="shared" si="906"/>
        <v>0</v>
      </c>
      <c r="BT280" s="523">
        <f t="shared" si="907"/>
        <v>0</v>
      </c>
      <c r="BU280" s="523">
        <f t="shared" si="908"/>
        <v>0</v>
      </c>
      <c r="BV280" s="523">
        <f t="shared" si="909"/>
        <v>0</v>
      </c>
      <c r="BW280" s="523">
        <f t="shared" si="910"/>
        <v>0</v>
      </c>
      <c r="BX280" s="523">
        <f t="shared" si="911"/>
        <v>0</v>
      </c>
      <c r="BY280" s="523">
        <f t="shared" si="912"/>
        <v>0</v>
      </c>
      <c r="BZ280" s="523">
        <f t="shared" si="913"/>
        <v>0</v>
      </c>
      <c r="CA280" s="354"/>
      <c r="CB280" s="354" t="b">
        <f t="shared" si="940"/>
        <v>0</v>
      </c>
      <c r="CC280" s="509" t="str">
        <f>CC275</f>
        <v>ĐL5.</v>
      </c>
      <c r="CD280" s="509" t="str">
        <f t="shared" si="941"/>
        <v>ĐL5.11,2</v>
      </c>
      <c r="CE280" s="351" t="str">
        <f t="shared" si="861"/>
        <v>Lò</v>
      </c>
      <c r="CF280" s="509" t="str">
        <f t="shared" si="942"/>
        <v>ĐL5.Lò</v>
      </c>
      <c r="CG280" s="509"/>
      <c r="CH280" s="509"/>
    </row>
    <row r="281" spans="1:86" ht="24" customHeight="1" x14ac:dyDescent="0.25">
      <c r="A281" s="354" t="e">
        <f>A275</f>
        <v>#REF!</v>
      </c>
      <c r="B281" s="518"/>
      <c r="C281" s="519" t="s">
        <v>212</v>
      </c>
      <c r="D281" s="447" t="s">
        <v>14</v>
      </c>
      <c r="E281" s="447"/>
      <c r="F281" s="447"/>
      <c r="G281" s="520">
        <v>11.2</v>
      </c>
      <c r="H281" s="521">
        <v>0.7</v>
      </c>
      <c r="I281" s="522">
        <f t="shared" si="923"/>
        <v>0</v>
      </c>
      <c r="J281" s="522">
        <f t="shared" si="924"/>
        <v>0</v>
      </c>
      <c r="K281" s="522">
        <f t="shared" si="925"/>
        <v>0</v>
      </c>
      <c r="L281" s="57">
        <f t="shared" si="926"/>
        <v>0</v>
      </c>
      <c r="M281" s="60"/>
      <c r="N281" s="60"/>
      <c r="O281" s="60">
        <f t="shared" si="927"/>
        <v>0</v>
      </c>
      <c r="P281" s="60"/>
      <c r="Q281" s="60"/>
      <c r="R281" s="60">
        <f t="shared" si="928"/>
        <v>0</v>
      </c>
      <c r="S281" s="824"/>
      <c r="T281" s="60"/>
      <c r="U281" s="60">
        <f t="shared" si="929"/>
        <v>0</v>
      </c>
      <c r="V281" s="60"/>
      <c r="W281" s="60"/>
      <c r="X281" s="60"/>
      <c r="Y281" s="60"/>
      <c r="Z281" s="60"/>
      <c r="AA281" s="60">
        <f t="shared" si="930"/>
        <v>0</v>
      </c>
      <c r="AB281" s="60"/>
      <c r="AC281" s="60"/>
      <c r="AD281" s="60">
        <f t="shared" si="931"/>
        <v>0</v>
      </c>
      <c r="AE281" s="60"/>
      <c r="AF281" s="60"/>
      <c r="AG281" s="60">
        <f t="shared" si="932"/>
        <v>0</v>
      </c>
      <c r="AH281" s="60"/>
      <c r="AI281" s="60"/>
      <c r="AJ281" s="60">
        <f t="shared" ref="AJ281:AJ286" si="946">AH281-AI281</f>
        <v>0</v>
      </c>
      <c r="AK281" s="60"/>
      <c r="AL281" s="60"/>
      <c r="AM281" s="60">
        <f t="shared" si="934"/>
        <v>0</v>
      </c>
      <c r="AN281" s="60"/>
      <c r="AO281" s="60"/>
      <c r="AP281" s="60">
        <f t="shared" si="935"/>
        <v>0</v>
      </c>
      <c r="AQ281" s="60"/>
      <c r="AR281" s="60"/>
      <c r="AS281" s="60">
        <f t="shared" si="936"/>
        <v>0</v>
      </c>
      <c r="AT281" s="60">
        <f t="shared" si="919"/>
        <v>0</v>
      </c>
      <c r="AU281" s="60">
        <f t="shared" si="920"/>
        <v>0</v>
      </c>
      <c r="AV281" s="60">
        <f t="shared" si="921"/>
        <v>0</v>
      </c>
      <c r="AW281" s="60"/>
      <c r="AX281" s="60"/>
      <c r="AY281" s="60">
        <f t="shared" si="937"/>
        <v>0</v>
      </c>
      <c r="AZ281" s="60"/>
      <c r="BA281" s="60"/>
      <c r="BB281" s="60">
        <f t="shared" si="938"/>
        <v>0</v>
      </c>
      <c r="BC281" s="60"/>
      <c r="BD281" s="60"/>
      <c r="BE281" s="60">
        <f t="shared" si="939"/>
        <v>0</v>
      </c>
      <c r="BF281" s="60">
        <f t="shared" si="943"/>
        <v>0</v>
      </c>
      <c r="BG281" s="60">
        <f t="shared" si="944"/>
        <v>0</v>
      </c>
      <c r="BH281" s="60">
        <f t="shared" si="945"/>
        <v>0</v>
      </c>
      <c r="BI281" s="508"/>
      <c r="BJ281" s="488" t="str">
        <f t="shared" si="859"/>
        <v>Lò</v>
      </c>
      <c r="BK281" s="523">
        <f t="shared" si="898"/>
        <v>0</v>
      </c>
      <c r="BL281" s="523">
        <f t="shared" si="899"/>
        <v>0</v>
      </c>
      <c r="BM281" s="523">
        <f t="shared" si="900"/>
        <v>0</v>
      </c>
      <c r="BN281" s="523">
        <f t="shared" si="901"/>
        <v>0</v>
      </c>
      <c r="BO281" s="523">
        <f t="shared" si="902"/>
        <v>0</v>
      </c>
      <c r="BP281" s="523">
        <f t="shared" si="903"/>
        <v>0</v>
      </c>
      <c r="BQ281" s="523">
        <f t="shared" si="904"/>
        <v>0</v>
      </c>
      <c r="BR281" s="523">
        <f t="shared" si="905"/>
        <v>0</v>
      </c>
      <c r="BS281" s="523">
        <f t="shared" si="906"/>
        <v>0</v>
      </c>
      <c r="BT281" s="523">
        <f t="shared" si="907"/>
        <v>0</v>
      </c>
      <c r="BU281" s="523">
        <f t="shared" si="908"/>
        <v>0</v>
      </c>
      <c r="BV281" s="523">
        <f t="shared" si="909"/>
        <v>0</v>
      </c>
      <c r="BW281" s="523">
        <f t="shared" si="910"/>
        <v>0</v>
      </c>
      <c r="BX281" s="523">
        <f t="shared" si="911"/>
        <v>0</v>
      </c>
      <c r="BY281" s="523">
        <f t="shared" si="912"/>
        <v>0</v>
      </c>
      <c r="BZ281" s="523">
        <f t="shared" si="913"/>
        <v>0</v>
      </c>
      <c r="CA281" s="354"/>
      <c r="CB281" s="354" t="b">
        <f t="shared" si="940"/>
        <v>0</v>
      </c>
      <c r="CC281" s="509" t="str">
        <f>CC275</f>
        <v>ĐL5.</v>
      </c>
      <c r="CD281" s="509" t="str">
        <f t="shared" si="941"/>
        <v>ĐL5.11,2</v>
      </c>
      <c r="CE281" s="351" t="str">
        <f t="shared" si="861"/>
        <v>Lò</v>
      </c>
      <c r="CF281" s="509" t="str">
        <f t="shared" si="942"/>
        <v>ĐL5.Lò</v>
      </c>
      <c r="CG281" s="509"/>
      <c r="CH281" s="509"/>
    </row>
    <row r="282" spans="1:86" ht="24" customHeight="1" x14ac:dyDescent="0.25">
      <c r="A282" s="354" t="e">
        <f>A272</f>
        <v>#REF!</v>
      </c>
      <c r="B282" s="518"/>
      <c r="C282" s="519" t="s">
        <v>556</v>
      </c>
      <c r="D282" s="447" t="s">
        <v>14</v>
      </c>
      <c r="E282" s="447"/>
      <c r="F282" s="447"/>
      <c r="G282" s="520">
        <v>13.1</v>
      </c>
      <c r="H282" s="521">
        <v>0.7</v>
      </c>
      <c r="I282" s="522">
        <f t="shared" si="923"/>
        <v>0</v>
      </c>
      <c r="J282" s="522">
        <f t="shared" si="924"/>
        <v>0</v>
      </c>
      <c r="K282" s="522">
        <f t="shared" si="925"/>
        <v>0</v>
      </c>
      <c r="L282" s="57">
        <f t="shared" si="926"/>
        <v>0</v>
      </c>
      <c r="M282" s="60"/>
      <c r="N282" s="60"/>
      <c r="O282" s="60">
        <f t="shared" si="927"/>
        <v>0</v>
      </c>
      <c r="P282" s="60"/>
      <c r="Q282" s="60"/>
      <c r="R282" s="60">
        <f t="shared" si="928"/>
        <v>0</v>
      </c>
      <c r="S282" s="824"/>
      <c r="T282" s="60"/>
      <c r="U282" s="60">
        <f t="shared" si="929"/>
        <v>0</v>
      </c>
      <c r="V282" s="60"/>
      <c r="W282" s="60"/>
      <c r="X282" s="60"/>
      <c r="Y282" s="60"/>
      <c r="Z282" s="60"/>
      <c r="AA282" s="60">
        <f t="shared" si="930"/>
        <v>0</v>
      </c>
      <c r="AB282" s="60"/>
      <c r="AC282" s="60"/>
      <c r="AD282" s="60">
        <f t="shared" si="931"/>
        <v>0</v>
      </c>
      <c r="AE282" s="60"/>
      <c r="AF282" s="60"/>
      <c r="AG282" s="60">
        <f t="shared" si="932"/>
        <v>0</v>
      </c>
      <c r="AH282" s="60"/>
      <c r="AI282" s="60"/>
      <c r="AJ282" s="60">
        <f t="shared" si="946"/>
        <v>0</v>
      </c>
      <c r="AK282" s="60"/>
      <c r="AL282" s="60"/>
      <c r="AM282" s="60">
        <f t="shared" si="934"/>
        <v>0</v>
      </c>
      <c r="AN282" s="60"/>
      <c r="AO282" s="60"/>
      <c r="AP282" s="60">
        <f t="shared" si="935"/>
        <v>0</v>
      </c>
      <c r="AQ282" s="60"/>
      <c r="AR282" s="60"/>
      <c r="AS282" s="60">
        <f t="shared" si="936"/>
        <v>0</v>
      </c>
      <c r="AT282" s="60">
        <f t="shared" si="919"/>
        <v>0</v>
      </c>
      <c r="AU282" s="60">
        <f t="shared" si="920"/>
        <v>0</v>
      </c>
      <c r="AV282" s="60">
        <f t="shared" si="921"/>
        <v>0</v>
      </c>
      <c r="AW282" s="60"/>
      <c r="AX282" s="60"/>
      <c r="AY282" s="60">
        <f t="shared" si="937"/>
        <v>0</v>
      </c>
      <c r="AZ282" s="60"/>
      <c r="BA282" s="60"/>
      <c r="BB282" s="60">
        <f t="shared" si="938"/>
        <v>0</v>
      </c>
      <c r="BC282" s="60"/>
      <c r="BD282" s="60"/>
      <c r="BE282" s="60">
        <f t="shared" si="939"/>
        <v>0</v>
      </c>
      <c r="BF282" s="60">
        <f t="shared" si="943"/>
        <v>0</v>
      </c>
      <c r="BG282" s="60">
        <f t="shared" si="944"/>
        <v>0</v>
      </c>
      <c r="BH282" s="60">
        <f t="shared" si="945"/>
        <v>0</v>
      </c>
      <c r="BI282" s="508"/>
      <c r="BJ282" s="488" t="str">
        <f t="shared" si="859"/>
        <v>Lò</v>
      </c>
      <c r="BK282" s="523">
        <f t="shared" si="898"/>
        <v>0</v>
      </c>
      <c r="BL282" s="523">
        <f t="shared" si="899"/>
        <v>0</v>
      </c>
      <c r="BM282" s="523">
        <f t="shared" si="900"/>
        <v>0</v>
      </c>
      <c r="BN282" s="523">
        <f t="shared" si="901"/>
        <v>0</v>
      </c>
      <c r="BO282" s="523">
        <f t="shared" si="902"/>
        <v>0</v>
      </c>
      <c r="BP282" s="523">
        <f t="shared" si="903"/>
        <v>0</v>
      </c>
      <c r="BQ282" s="523">
        <f t="shared" si="904"/>
        <v>0</v>
      </c>
      <c r="BR282" s="523">
        <f t="shared" si="905"/>
        <v>0</v>
      </c>
      <c r="BS282" s="523">
        <f t="shared" si="906"/>
        <v>0</v>
      </c>
      <c r="BT282" s="523">
        <f t="shared" si="907"/>
        <v>0</v>
      </c>
      <c r="BU282" s="523">
        <f t="shared" si="908"/>
        <v>0</v>
      </c>
      <c r="BV282" s="523">
        <f t="shared" si="909"/>
        <v>0</v>
      </c>
      <c r="BW282" s="523">
        <f t="shared" si="910"/>
        <v>0</v>
      </c>
      <c r="BX282" s="523">
        <f t="shared" si="911"/>
        <v>0</v>
      </c>
      <c r="BY282" s="523">
        <f t="shared" si="912"/>
        <v>0</v>
      </c>
      <c r="BZ282" s="523">
        <f t="shared" si="913"/>
        <v>0</v>
      </c>
      <c r="CA282" s="354"/>
      <c r="CB282" s="354" t="b">
        <f t="shared" si="940"/>
        <v>0</v>
      </c>
      <c r="CC282" s="509" t="str">
        <f>CC272</f>
        <v>ĐL5.</v>
      </c>
      <c r="CD282" s="509" t="str">
        <f t="shared" si="941"/>
        <v>ĐL5.13,1</v>
      </c>
      <c r="CE282" s="351" t="str">
        <f t="shared" si="861"/>
        <v>Lò</v>
      </c>
      <c r="CF282" s="509" t="str">
        <f t="shared" si="942"/>
        <v>ĐL5.Lò</v>
      </c>
      <c r="CG282" s="509"/>
      <c r="CH282" s="509"/>
    </row>
    <row r="283" spans="1:86" ht="24" customHeight="1" x14ac:dyDescent="0.25">
      <c r="A283" s="354" t="e">
        <f>A273</f>
        <v>#REF!</v>
      </c>
      <c r="B283" s="518"/>
      <c r="C283" s="519" t="s">
        <v>576</v>
      </c>
      <c r="D283" s="447" t="s">
        <v>14</v>
      </c>
      <c r="E283" s="447"/>
      <c r="F283" s="447"/>
      <c r="G283" s="520">
        <v>11.2</v>
      </c>
      <c r="H283" s="521">
        <v>0.7</v>
      </c>
      <c r="I283" s="522">
        <f t="shared" ref="I283:K284" si="947">V283+AH283+AT283+BF283</f>
        <v>0</v>
      </c>
      <c r="J283" s="522">
        <f t="shared" si="947"/>
        <v>0</v>
      </c>
      <c r="K283" s="522">
        <f t="shared" si="947"/>
        <v>0</v>
      </c>
      <c r="L283" s="57">
        <f>BN283+BR283+BV283+BZ283</f>
        <v>0</v>
      </c>
      <c r="M283" s="60"/>
      <c r="N283" s="60"/>
      <c r="O283" s="60">
        <f>M283-N283</f>
        <v>0</v>
      </c>
      <c r="P283" s="60"/>
      <c r="Q283" s="60"/>
      <c r="R283" s="60">
        <f>P283-Q283</f>
        <v>0</v>
      </c>
      <c r="S283" s="824"/>
      <c r="T283" s="60"/>
      <c r="U283" s="60">
        <f>S283-T283</f>
        <v>0</v>
      </c>
      <c r="V283" s="60"/>
      <c r="W283" s="60"/>
      <c r="X283" s="60"/>
      <c r="Y283" s="60"/>
      <c r="Z283" s="60"/>
      <c r="AA283" s="60">
        <f>Y283-Z283</f>
        <v>0</v>
      </c>
      <c r="AB283" s="60"/>
      <c r="AC283" s="60"/>
      <c r="AD283" s="60">
        <f>AB283-AC283</f>
        <v>0</v>
      </c>
      <c r="AE283" s="60"/>
      <c r="AF283" s="60"/>
      <c r="AG283" s="60">
        <f>AE283-AF283</f>
        <v>0</v>
      </c>
      <c r="AH283" s="60"/>
      <c r="AI283" s="60"/>
      <c r="AJ283" s="60">
        <f t="shared" si="946"/>
        <v>0</v>
      </c>
      <c r="AK283" s="60"/>
      <c r="AL283" s="60"/>
      <c r="AM283" s="60">
        <f>AK283-AL283</f>
        <v>0</v>
      </c>
      <c r="AN283" s="60"/>
      <c r="AO283" s="60"/>
      <c r="AP283" s="60">
        <f>AN283-AO283</f>
        <v>0</v>
      </c>
      <c r="AQ283" s="60"/>
      <c r="AR283" s="60"/>
      <c r="AS283" s="60">
        <f>AQ283-AR283</f>
        <v>0</v>
      </c>
      <c r="AT283" s="60">
        <f t="shared" si="919"/>
        <v>0</v>
      </c>
      <c r="AU283" s="60">
        <f t="shared" si="920"/>
        <v>0</v>
      </c>
      <c r="AV283" s="60">
        <f t="shared" si="921"/>
        <v>0</v>
      </c>
      <c r="AW283" s="60"/>
      <c r="AX283" s="60"/>
      <c r="AY283" s="60">
        <f>AW283-AX283</f>
        <v>0</v>
      </c>
      <c r="AZ283" s="60"/>
      <c r="BA283" s="60"/>
      <c r="BB283" s="60">
        <f>AZ283-BA283</f>
        <v>0</v>
      </c>
      <c r="BC283" s="60"/>
      <c r="BD283" s="60"/>
      <c r="BE283" s="60">
        <f>BC283-BD283</f>
        <v>0</v>
      </c>
      <c r="BF283" s="60">
        <f t="shared" si="943"/>
        <v>0</v>
      </c>
      <c r="BG283" s="60">
        <f t="shared" si="944"/>
        <v>0</v>
      </c>
      <c r="BH283" s="60">
        <f t="shared" si="945"/>
        <v>0</v>
      </c>
      <c r="BI283" s="508"/>
      <c r="BJ283" s="488" t="str">
        <f t="shared" si="859"/>
        <v>Lò</v>
      </c>
      <c r="BK283" s="523">
        <f t="shared" si="898"/>
        <v>0</v>
      </c>
      <c r="BL283" s="523">
        <f t="shared" si="899"/>
        <v>0</v>
      </c>
      <c r="BM283" s="523">
        <f t="shared" si="900"/>
        <v>0</v>
      </c>
      <c r="BN283" s="523">
        <f t="shared" si="901"/>
        <v>0</v>
      </c>
      <c r="BO283" s="523">
        <f t="shared" si="902"/>
        <v>0</v>
      </c>
      <c r="BP283" s="523">
        <f t="shared" si="903"/>
        <v>0</v>
      </c>
      <c r="BQ283" s="523">
        <f t="shared" si="904"/>
        <v>0</v>
      </c>
      <c r="BR283" s="523">
        <f t="shared" si="905"/>
        <v>0</v>
      </c>
      <c r="BS283" s="523">
        <f t="shared" si="906"/>
        <v>0</v>
      </c>
      <c r="BT283" s="523">
        <f t="shared" si="907"/>
        <v>0</v>
      </c>
      <c r="BU283" s="523">
        <f t="shared" si="908"/>
        <v>0</v>
      </c>
      <c r="BV283" s="523">
        <f t="shared" si="909"/>
        <v>0</v>
      </c>
      <c r="BW283" s="523">
        <f t="shared" si="910"/>
        <v>0</v>
      </c>
      <c r="BX283" s="523">
        <f t="shared" si="911"/>
        <v>0</v>
      </c>
      <c r="BY283" s="523">
        <f t="shared" si="912"/>
        <v>0</v>
      </c>
      <c r="BZ283" s="523">
        <f t="shared" si="913"/>
        <v>0</v>
      </c>
      <c r="CA283" s="354"/>
      <c r="CB283" s="354" t="b">
        <f>IF(SUM(I283:L283)&lt;&gt;0,"X")</f>
        <v>0</v>
      </c>
      <c r="CC283" s="509" t="str">
        <f>CC273</f>
        <v>ĐL5.</v>
      </c>
      <c r="CD283" s="509" t="str">
        <f>CC283&amp;G283</f>
        <v>ĐL5.11,2</v>
      </c>
      <c r="CE283" s="351" t="str">
        <f t="shared" si="861"/>
        <v>Lò</v>
      </c>
      <c r="CF283" s="509" t="str">
        <f>CC283&amp;CE283</f>
        <v>ĐL5.Lò</v>
      </c>
      <c r="CG283" s="509"/>
      <c r="CH283" s="509"/>
    </row>
    <row r="284" spans="1:86" ht="24" customHeight="1" x14ac:dyDescent="0.25">
      <c r="A284" s="354" t="e">
        <f>A274</f>
        <v>#REF!</v>
      </c>
      <c r="B284" s="518"/>
      <c r="C284" s="519" t="s">
        <v>209</v>
      </c>
      <c r="D284" s="447" t="s">
        <v>14</v>
      </c>
      <c r="E284" s="447"/>
      <c r="F284" s="447"/>
      <c r="G284" s="520">
        <v>11.2</v>
      </c>
      <c r="H284" s="521">
        <v>0.7</v>
      </c>
      <c r="I284" s="522">
        <f t="shared" si="947"/>
        <v>0</v>
      </c>
      <c r="J284" s="522">
        <f t="shared" si="947"/>
        <v>0</v>
      </c>
      <c r="K284" s="522">
        <f t="shared" si="947"/>
        <v>0</v>
      </c>
      <c r="L284" s="57">
        <f>BN284+BR284+BV284+BZ284</f>
        <v>0</v>
      </c>
      <c r="M284" s="60"/>
      <c r="N284" s="60"/>
      <c r="O284" s="60">
        <f>M284-N284</f>
        <v>0</v>
      </c>
      <c r="P284" s="60"/>
      <c r="Q284" s="60"/>
      <c r="R284" s="60">
        <f>P284-Q284</f>
        <v>0</v>
      </c>
      <c r="S284" s="824"/>
      <c r="T284" s="60"/>
      <c r="U284" s="60">
        <f>S284-T284</f>
        <v>0</v>
      </c>
      <c r="V284" s="60"/>
      <c r="W284" s="60"/>
      <c r="X284" s="60"/>
      <c r="Y284" s="60"/>
      <c r="Z284" s="60"/>
      <c r="AA284" s="60">
        <f>Y284-Z284</f>
        <v>0</v>
      </c>
      <c r="AB284" s="60"/>
      <c r="AC284" s="60"/>
      <c r="AD284" s="60">
        <f>AB284-AC284</f>
        <v>0</v>
      </c>
      <c r="AE284" s="60"/>
      <c r="AF284" s="60"/>
      <c r="AG284" s="60">
        <f>AE284-AF284</f>
        <v>0</v>
      </c>
      <c r="AH284" s="60"/>
      <c r="AI284" s="60"/>
      <c r="AJ284" s="60">
        <f t="shared" si="946"/>
        <v>0</v>
      </c>
      <c r="AK284" s="60"/>
      <c r="AL284" s="60"/>
      <c r="AM284" s="60">
        <f>AK284-AL284</f>
        <v>0</v>
      </c>
      <c r="AN284" s="60"/>
      <c r="AO284" s="60"/>
      <c r="AP284" s="60">
        <f>AN284-AO284</f>
        <v>0</v>
      </c>
      <c r="AQ284" s="60"/>
      <c r="AR284" s="60"/>
      <c r="AS284" s="60">
        <f>AQ284-AR284</f>
        <v>0</v>
      </c>
      <c r="AT284" s="60">
        <f t="shared" si="919"/>
        <v>0</v>
      </c>
      <c r="AU284" s="60">
        <f t="shared" si="920"/>
        <v>0</v>
      </c>
      <c r="AV284" s="60">
        <f t="shared" si="921"/>
        <v>0</v>
      </c>
      <c r="AW284" s="60"/>
      <c r="AX284" s="60"/>
      <c r="AY284" s="60">
        <f>AW284-AX284</f>
        <v>0</v>
      </c>
      <c r="AZ284" s="60"/>
      <c r="BA284" s="60"/>
      <c r="BB284" s="60">
        <f>AZ284-BA284</f>
        <v>0</v>
      </c>
      <c r="BC284" s="60"/>
      <c r="BD284" s="60"/>
      <c r="BE284" s="60">
        <f>BC284-BD284</f>
        <v>0</v>
      </c>
      <c r="BF284" s="60">
        <f t="shared" si="943"/>
        <v>0</v>
      </c>
      <c r="BG284" s="60">
        <f t="shared" si="944"/>
        <v>0</v>
      </c>
      <c r="BH284" s="60">
        <f t="shared" si="945"/>
        <v>0</v>
      </c>
      <c r="BI284" s="508"/>
      <c r="BJ284" s="488" t="str">
        <f t="shared" si="859"/>
        <v>Lò</v>
      </c>
      <c r="BK284" s="523">
        <f t="shared" si="898"/>
        <v>0</v>
      </c>
      <c r="BL284" s="523">
        <f t="shared" si="899"/>
        <v>0</v>
      </c>
      <c r="BM284" s="523">
        <f t="shared" si="900"/>
        <v>0</v>
      </c>
      <c r="BN284" s="523">
        <f t="shared" si="901"/>
        <v>0</v>
      </c>
      <c r="BO284" s="523">
        <f t="shared" si="902"/>
        <v>0</v>
      </c>
      <c r="BP284" s="523">
        <f t="shared" si="903"/>
        <v>0</v>
      </c>
      <c r="BQ284" s="523">
        <f t="shared" si="904"/>
        <v>0</v>
      </c>
      <c r="BR284" s="523">
        <f t="shared" si="905"/>
        <v>0</v>
      </c>
      <c r="BS284" s="523">
        <f t="shared" si="906"/>
        <v>0</v>
      </c>
      <c r="BT284" s="523">
        <f t="shared" si="907"/>
        <v>0</v>
      </c>
      <c r="BU284" s="523">
        <f t="shared" si="908"/>
        <v>0</v>
      </c>
      <c r="BV284" s="523">
        <f t="shared" si="909"/>
        <v>0</v>
      </c>
      <c r="BW284" s="523">
        <f t="shared" si="910"/>
        <v>0</v>
      </c>
      <c r="BX284" s="523">
        <f t="shared" si="911"/>
        <v>0</v>
      </c>
      <c r="BY284" s="523">
        <f t="shared" si="912"/>
        <v>0</v>
      </c>
      <c r="BZ284" s="523">
        <f t="shared" si="913"/>
        <v>0</v>
      </c>
      <c r="CA284" s="354"/>
      <c r="CB284" s="354" t="b">
        <f>IF(SUM(I284:L284)&lt;&gt;0,"X")</f>
        <v>0</v>
      </c>
      <c r="CC284" s="509" t="str">
        <f>CC274</f>
        <v>ĐL5.</v>
      </c>
      <c r="CD284" s="509" t="str">
        <f>CC284&amp;G284</f>
        <v>ĐL5.11,2</v>
      </c>
      <c r="CE284" s="351" t="str">
        <f t="shared" si="861"/>
        <v>Lò</v>
      </c>
      <c r="CF284" s="509" t="str">
        <f>CC284&amp;CE284</f>
        <v>ĐL5.Lò</v>
      </c>
      <c r="CG284" s="509"/>
      <c r="CH284" s="509"/>
    </row>
    <row r="285" spans="1:86" ht="24" customHeight="1" x14ac:dyDescent="0.25">
      <c r="A285" s="354" t="e">
        <f>A275</f>
        <v>#REF!</v>
      </c>
      <c r="B285" s="518"/>
      <c r="C285" s="519" t="s">
        <v>209</v>
      </c>
      <c r="D285" s="447" t="s">
        <v>14</v>
      </c>
      <c r="E285" s="447"/>
      <c r="F285" s="447"/>
      <c r="G285" s="520">
        <v>11.2</v>
      </c>
      <c r="H285" s="521">
        <v>0.7</v>
      </c>
      <c r="I285" s="522">
        <f t="shared" si="923"/>
        <v>0</v>
      </c>
      <c r="J285" s="522">
        <f t="shared" si="924"/>
        <v>0</v>
      </c>
      <c r="K285" s="522">
        <f t="shared" si="925"/>
        <v>0</v>
      </c>
      <c r="L285" s="57">
        <f t="shared" si="926"/>
        <v>0</v>
      </c>
      <c r="M285" s="60"/>
      <c r="N285" s="60"/>
      <c r="O285" s="60">
        <f t="shared" si="927"/>
        <v>0</v>
      </c>
      <c r="P285" s="60"/>
      <c r="Q285" s="60"/>
      <c r="R285" s="60">
        <f t="shared" si="928"/>
        <v>0</v>
      </c>
      <c r="S285" s="824"/>
      <c r="T285" s="60"/>
      <c r="U285" s="60">
        <f t="shared" si="929"/>
        <v>0</v>
      </c>
      <c r="V285" s="60"/>
      <c r="W285" s="60"/>
      <c r="X285" s="60"/>
      <c r="Y285" s="60"/>
      <c r="Z285" s="60"/>
      <c r="AA285" s="60">
        <f t="shared" si="930"/>
        <v>0</v>
      </c>
      <c r="AB285" s="60"/>
      <c r="AC285" s="60"/>
      <c r="AD285" s="60">
        <f t="shared" si="931"/>
        <v>0</v>
      </c>
      <c r="AE285" s="60"/>
      <c r="AF285" s="60"/>
      <c r="AG285" s="60">
        <f t="shared" si="932"/>
        <v>0</v>
      </c>
      <c r="AH285" s="60"/>
      <c r="AI285" s="60"/>
      <c r="AJ285" s="60">
        <f t="shared" si="946"/>
        <v>0</v>
      </c>
      <c r="AK285" s="60"/>
      <c r="AL285" s="60"/>
      <c r="AM285" s="60">
        <f t="shared" si="934"/>
        <v>0</v>
      </c>
      <c r="AN285" s="60"/>
      <c r="AO285" s="60"/>
      <c r="AP285" s="60">
        <f t="shared" si="935"/>
        <v>0</v>
      </c>
      <c r="AQ285" s="60"/>
      <c r="AR285" s="60"/>
      <c r="AS285" s="60">
        <f t="shared" si="936"/>
        <v>0</v>
      </c>
      <c r="AT285" s="60">
        <f t="shared" si="919"/>
        <v>0</v>
      </c>
      <c r="AU285" s="60">
        <f t="shared" si="920"/>
        <v>0</v>
      </c>
      <c r="AV285" s="60">
        <f t="shared" si="921"/>
        <v>0</v>
      </c>
      <c r="AW285" s="60"/>
      <c r="AX285" s="60"/>
      <c r="AY285" s="60">
        <f t="shared" si="937"/>
        <v>0</v>
      </c>
      <c r="AZ285" s="60"/>
      <c r="BA285" s="60"/>
      <c r="BB285" s="60">
        <f t="shared" si="938"/>
        <v>0</v>
      </c>
      <c r="BC285" s="60"/>
      <c r="BD285" s="60"/>
      <c r="BE285" s="60">
        <f t="shared" si="939"/>
        <v>0</v>
      </c>
      <c r="BF285" s="60">
        <f t="shared" si="943"/>
        <v>0</v>
      </c>
      <c r="BG285" s="60">
        <f t="shared" si="944"/>
        <v>0</v>
      </c>
      <c r="BH285" s="60">
        <f t="shared" si="945"/>
        <v>0</v>
      </c>
      <c r="BI285" s="508"/>
      <c r="BJ285" s="488" t="str">
        <f t="shared" si="859"/>
        <v>Lò</v>
      </c>
      <c r="BK285" s="523">
        <f t="shared" si="898"/>
        <v>0</v>
      </c>
      <c r="BL285" s="523">
        <f t="shared" si="899"/>
        <v>0</v>
      </c>
      <c r="BM285" s="523">
        <f t="shared" si="900"/>
        <v>0</v>
      </c>
      <c r="BN285" s="523">
        <f t="shared" si="901"/>
        <v>0</v>
      </c>
      <c r="BO285" s="523">
        <f t="shared" si="902"/>
        <v>0</v>
      </c>
      <c r="BP285" s="523">
        <f t="shared" si="903"/>
        <v>0</v>
      </c>
      <c r="BQ285" s="523">
        <f t="shared" si="904"/>
        <v>0</v>
      </c>
      <c r="BR285" s="523">
        <f t="shared" si="905"/>
        <v>0</v>
      </c>
      <c r="BS285" s="523">
        <f t="shared" si="906"/>
        <v>0</v>
      </c>
      <c r="BT285" s="523">
        <f t="shared" si="907"/>
        <v>0</v>
      </c>
      <c r="BU285" s="523">
        <f t="shared" si="908"/>
        <v>0</v>
      </c>
      <c r="BV285" s="523">
        <f t="shared" si="909"/>
        <v>0</v>
      </c>
      <c r="BW285" s="523">
        <f t="shared" si="910"/>
        <v>0</v>
      </c>
      <c r="BX285" s="523">
        <f t="shared" si="911"/>
        <v>0</v>
      </c>
      <c r="BY285" s="523">
        <f t="shared" si="912"/>
        <v>0</v>
      </c>
      <c r="BZ285" s="523">
        <f t="shared" si="913"/>
        <v>0</v>
      </c>
      <c r="CA285" s="354"/>
      <c r="CB285" s="354" t="b">
        <f t="shared" si="940"/>
        <v>0</v>
      </c>
      <c r="CC285" s="509" t="str">
        <f>CC275</f>
        <v>ĐL5.</v>
      </c>
      <c r="CD285" s="509" t="str">
        <f t="shared" si="941"/>
        <v>ĐL5.11,2</v>
      </c>
      <c r="CE285" s="351" t="str">
        <f t="shared" si="861"/>
        <v>Lò</v>
      </c>
      <c r="CF285" s="509" t="str">
        <f t="shared" si="942"/>
        <v>ĐL5.Lò</v>
      </c>
      <c r="CG285" s="509"/>
      <c r="CH285" s="509"/>
    </row>
    <row r="286" spans="1:86" ht="24" customHeight="1" x14ac:dyDescent="0.25">
      <c r="A286" s="354" t="e">
        <f>A276</f>
        <v>#REF!</v>
      </c>
      <c r="B286" s="518"/>
      <c r="C286" s="519" t="s">
        <v>209</v>
      </c>
      <c r="D286" s="447" t="s">
        <v>14</v>
      </c>
      <c r="E286" s="447"/>
      <c r="F286" s="447"/>
      <c r="G286" s="520">
        <v>11.2</v>
      </c>
      <c r="H286" s="521">
        <v>0.7</v>
      </c>
      <c r="I286" s="522">
        <f t="shared" si="876"/>
        <v>0</v>
      </c>
      <c r="J286" s="522">
        <f t="shared" si="877"/>
        <v>0</v>
      </c>
      <c r="K286" s="522">
        <f t="shared" si="878"/>
        <v>0</v>
      </c>
      <c r="L286" s="57">
        <f t="shared" si="879"/>
        <v>0</v>
      </c>
      <c r="M286" s="60"/>
      <c r="N286" s="60"/>
      <c r="O286" s="60">
        <f>M286-N286</f>
        <v>0</v>
      </c>
      <c r="P286" s="60"/>
      <c r="Q286" s="60"/>
      <c r="R286" s="60">
        <f>P286-Q286</f>
        <v>0</v>
      </c>
      <c r="S286" s="824"/>
      <c r="T286" s="60"/>
      <c r="U286" s="60">
        <f>S286-T286</f>
        <v>0</v>
      </c>
      <c r="V286" s="60"/>
      <c r="W286" s="60"/>
      <c r="X286" s="60"/>
      <c r="Y286" s="60"/>
      <c r="Z286" s="60"/>
      <c r="AA286" s="60">
        <f>Y286-Z286</f>
        <v>0</v>
      </c>
      <c r="AB286" s="60"/>
      <c r="AC286" s="60"/>
      <c r="AD286" s="60">
        <f>AB286-AC286</f>
        <v>0</v>
      </c>
      <c r="AE286" s="60"/>
      <c r="AF286" s="60"/>
      <c r="AG286" s="60">
        <f>AE286-AF286</f>
        <v>0</v>
      </c>
      <c r="AH286" s="60"/>
      <c r="AI286" s="60"/>
      <c r="AJ286" s="60">
        <f t="shared" si="946"/>
        <v>0</v>
      </c>
      <c r="AK286" s="60"/>
      <c r="AL286" s="60"/>
      <c r="AM286" s="60">
        <f>AK286-AL286</f>
        <v>0</v>
      </c>
      <c r="AN286" s="60"/>
      <c r="AO286" s="60"/>
      <c r="AP286" s="60">
        <f>AN286-AO286</f>
        <v>0</v>
      </c>
      <c r="AQ286" s="60"/>
      <c r="AR286" s="60"/>
      <c r="AS286" s="60">
        <f>AQ286-AR286</f>
        <v>0</v>
      </c>
      <c r="AT286" s="60">
        <f t="shared" si="919"/>
        <v>0</v>
      </c>
      <c r="AU286" s="60">
        <f t="shared" si="920"/>
        <v>0</v>
      </c>
      <c r="AV286" s="60">
        <f t="shared" si="921"/>
        <v>0</v>
      </c>
      <c r="AW286" s="60"/>
      <c r="AX286" s="60"/>
      <c r="AY286" s="60">
        <f>AW286-AX286</f>
        <v>0</v>
      </c>
      <c r="AZ286" s="60"/>
      <c r="BA286" s="60"/>
      <c r="BB286" s="60">
        <f>AZ286-BA286</f>
        <v>0</v>
      </c>
      <c r="BC286" s="60"/>
      <c r="BD286" s="60"/>
      <c r="BE286" s="60">
        <f>BC286-BD286</f>
        <v>0</v>
      </c>
      <c r="BF286" s="60">
        <f t="shared" si="943"/>
        <v>0</v>
      </c>
      <c r="BG286" s="60">
        <f t="shared" si="944"/>
        <v>0</v>
      </c>
      <c r="BH286" s="60">
        <f t="shared" si="945"/>
        <v>0</v>
      </c>
      <c r="BI286" s="508"/>
      <c r="BJ286" s="488" t="str">
        <f t="shared" si="859"/>
        <v>Lò</v>
      </c>
      <c r="BK286" s="523">
        <f t="shared" si="898"/>
        <v>0</v>
      </c>
      <c r="BL286" s="523">
        <f t="shared" si="899"/>
        <v>0</v>
      </c>
      <c r="BM286" s="523">
        <f t="shared" si="900"/>
        <v>0</v>
      </c>
      <c r="BN286" s="523">
        <f t="shared" si="901"/>
        <v>0</v>
      </c>
      <c r="BO286" s="523">
        <f t="shared" si="902"/>
        <v>0</v>
      </c>
      <c r="BP286" s="523">
        <f t="shared" si="903"/>
        <v>0</v>
      </c>
      <c r="BQ286" s="523">
        <f t="shared" si="904"/>
        <v>0</v>
      </c>
      <c r="BR286" s="523">
        <f t="shared" si="905"/>
        <v>0</v>
      </c>
      <c r="BS286" s="523">
        <f t="shared" si="906"/>
        <v>0</v>
      </c>
      <c r="BT286" s="523">
        <f t="shared" si="907"/>
        <v>0</v>
      </c>
      <c r="BU286" s="523">
        <f t="shared" si="908"/>
        <v>0</v>
      </c>
      <c r="BV286" s="523">
        <f t="shared" si="909"/>
        <v>0</v>
      </c>
      <c r="BW286" s="523">
        <f t="shared" si="910"/>
        <v>0</v>
      </c>
      <c r="BX286" s="523">
        <f t="shared" si="911"/>
        <v>0</v>
      </c>
      <c r="BY286" s="523">
        <f t="shared" si="912"/>
        <v>0</v>
      </c>
      <c r="BZ286" s="523">
        <f t="shared" si="913"/>
        <v>0</v>
      </c>
      <c r="CA286" s="354"/>
      <c r="CB286" s="354" t="b">
        <f t="shared" si="671"/>
        <v>0</v>
      </c>
      <c r="CC286" s="509" t="str">
        <f>CC276</f>
        <v>ĐL5.</v>
      </c>
      <c r="CD286" s="509" t="str">
        <f t="shared" si="673"/>
        <v>ĐL5.11,2</v>
      </c>
      <c r="CE286" s="351" t="str">
        <f t="shared" si="861"/>
        <v>Lò</v>
      </c>
      <c r="CF286" s="509" t="str">
        <f t="shared" si="674"/>
        <v>ĐL5.Lò</v>
      </c>
      <c r="CG286" s="509"/>
      <c r="CH286" s="509"/>
    </row>
    <row r="287" spans="1:86" s="359" customFormat="1" ht="21.75" customHeight="1" x14ac:dyDescent="0.3">
      <c r="A287" s="354" t="e">
        <f>A286</f>
        <v>#REF!</v>
      </c>
      <c r="B287" s="525" t="s">
        <v>37</v>
      </c>
      <c r="C287" s="526" t="s">
        <v>178</v>
      </c>
      <c r="D287" s="527"/>
      <c r="E287" s="527"/>
      <c r="F287" s="527"/>
      <c r="G287" s="528"/>
      <c r="H287" s="529"/>
      <c r="I287" s="70">
        <f t="shared" ref="I287:AN287" si="948">SUM(I288:I291)</f>
        <v>385</v>
      </c>
      <c r="J287" s="70">
        <f t="shared" si="948"/>
        <v>385</v>
      </c>
      <c r="K287" s="70">
        <f t="shared" si="948"/>
        <v>0</v>
      </c>
      <c r="L287" s="70">
        <f t="shared" si="948"/>
        <v>0</v>
      </c>
      <c r="M287" s="210">
        <f t="shared" si="948"/>
        <v>0</v>
      </c>
      <c r="N287" s="210">
        <f t="shared" si="948"/>
        <v>0</v>
      </c>
      <c r="O287" s="210">
        <f t="shared" si="948"/>
        <v>0</v>
      </c>
      <c r="P287" s="210">
        <f t="shared" si="948"/>
        <v>0</v>
      </c>
      <c r="Q287" s="210">
        <f t="shared" si="948"/>
        <v>0</v>
      </c>
      <c r="R287" s="210">
        <f t="shared" si="948"/>
        <v>0</v>
      </c>
      <c r="S287" s="829">
        <f t="shared" si="948"/>
        <v>0</v>
      </c>
      <c r="T287" s="210">
        <f t="shared" si="948"/>
        <v>0</v>
      </c>
      <c r="U287" s="210">
        <f t="shared" si="948"/>
        <v>0</v>
      </c>
      <c r="V287" s="224">
        <f t="shared" si="948"/>
        <v>0</v>
      </c>
      <c r="W287" s="224">
        <f t="shared" si="948"/>
        <v>0</v>
      </c>
      <c r="X287" s="224">
        <f t="shared" si="948"/>
        <v>0</v>
      </c>
      <c r="Y287" s="210">
        <f t="shared" si="948"/>
        <v>0</v>
      </c>
      <c r="Z287" s="210">
        <f t="shared" si="948"/>
        <v>0</v>
      </c>
      <c r="AA287" s="210">
        <f t="shared" si="948"/>
        <v>0</v>
      </c>
      <c r="AB287" s="210">
        <f t="shared" si="948"/>
        <v>0</v>
      </c>
      <c r="AC287" s="210">
        <f t="shared" si="948"/>
        <v>0</v>
      </c>
      <c r="AD287" s="210">
        <f t="shared" si="948"/>
        <v>0</v>
      </c>
      <c r="AE287" s="210">
        <f t="shared" si="948"/>
        <v>0</v>
      </c>
      <c r="AF287" s="210">
        <f t="shared" si="948"/>
        <v>0</v>
      </c>
      <c r="AG287" s="210">
        <f t="shared" si="948"/>
        <v>0</v>
      </c>
      <c r="AH287" s="224">
        <f t="shared" si="948"/>
        <v>0</v>
      </c>
      <c r="AI287" s="224">
        <f t="shared" si="948"/>
        <v>0</v>
      </c>
      <c r="AJ287" s="224">
        <f t="shared" si="948"/>
        <v>0</v>
      </c>
      <c r="AK287" s="210">
        <f t="shared" si="948"/>
        <v>60</v>
      </c>
      <c r="AL287" s="210">
        <f t="shared" si="948"/>
        <v>60</v>
      </c>
      <c r="AM287" s="210">
        <f t="shared" si="948"/>
        <v>0</v>
      </c>
      <c r="AN287" s="210">
        <f t="shared" si="948"/>
        <v>30</v>
      </c>
      <c r="AO287" s="210">
        <f t="shared" ref="AO287:BH287" si="949">SUM(AO288:AO291)</f>
        <v>30</v>
      </c>
      <c r="AP287" s="210">
        <f t="shared" si="949"/>
        <v>0</v>
      </c>
      <c r="AQ287" s="210">
        <f t="shared" si="949"/>
        <v>60</v>
      </c>
      <c r="AR287" s="210">
        <f t="shared" si="949"/>
        <v>60</v>
      </c>
      <c r="AS287" s="210">
        <f t="shared" si="949"/>
        <v>0</v>
      </c>
      <c r="AT287" s="224">
        <f t="shared" si="949"/>
        <v>150</v>
      </c>
      <c r="AU287" s="224">
        <f t="shared" si="949"/>
        <v>150</v>
      </c>
      <c r="AV287" s="224">
        <f t="shared" si="949"/>
        <v>0</v>
      </c>
      <c r="AW287" s="210">
        <f t="shared" si="949"/>
        <v>75</v>
      </c>
      <c r="AX287" s="210">
        <f t="shared" si="949"/>
        <v>75</v>
      </c>
      <c r="AY287" s="210">
        <f t="shared" si="949"/>
        <v>0</v>
      </c>
      <c r="AZ287" s="210">
        <f t="shared" si="949"/>
        <v>75</v>
      </c>
      <c r="BA287" s="210">
        <f t="shared" si="949"/>
        <v>75</v>
      </c>
      <c r="BB287" s="210">
        <f t="shared" si="949"/>
        <v>0</v>
      </c>
      <c r="BC287" s="210">
        <f t="shared" si="949"/>
        <v>85</v>
      </c>
      <c r="BD287" s="210">
        <f t="shared" si="949"/>
        <v>85</v>
      </c>
      <c r="BE287" s="210">
        <f t="shared" si="949"/>
        <v>0</v>
      </c>
      <c r="BF287" s="224">
        <f t="shared" si="949"/>
        <v>235</v>
      </c>
      <c r="BG287" s="224">
        <f t="shared" si="949"/>
        <v>235</v>
      </c>
      <c r="BH287" s="224">
        <f t="shared" si="949"/>
        <v>0</v>
      </c>
      <c r="BI287" s="530"/>
      <c r="BJ287" s="488" t="str">
        <f t="shared" si="859"/>
        <v>XL</v>
      </c>
      <c r="BK287" s="225">
        <f>SUM(BK288:BK291)</f>
        <v>0</v>
      </c>
      <c r="BL287" s="225">
        <f t="shared" ref="BL287:BZ287" si="950">SUM(BL288:BL291)</f>
        <v>0</v>
      </c>
      <c r="BM287" s="225">
        <f t="shared" si="950"/>
        <v>0</v>
      </c>
      <c r="BN287" s="225">
        <f t="shared" si="950"/>
        <v>0</v>
      </c>
      <c r="BO287" s="225">
        <f t="shared" si="950"/>
        <v>0</v>
      </c>
      <c r="BP287" s="225">
        <f t="shared" si="950"/>
        <v>0</v>
      </c>
      <c r="BQ287" s="225">
        <f t="shared" si="950"/>
        <v>0</v>
      </c>
      <c r="BR287" s="225">
        <f t="shared" si="950"/>
        <v>0</v>
      </c>
      <c r="BS287" s="225">
        <f t="shared" si="950"/>
        <v>0</v>
      </c>
      <c r="BT287" s="225">
        <f t="shared" si="950"/>
        <v>0</v>
      </c>
      <c r="BU287" s="225">
        <f t="shared" si="950"/>
        <v>0</v>
      </c>
      <c r="BV287" s="225">
        <f t="shared" si="950"/>
        <v>0</v>
      </c>
      <c r="BW287" s="225">
        <f t="shared" si="950"/>
        <v>0</v>
      </c>
      <c r="BX287" s="225">
        <f t="shared" si="950"/>
        <v>0</v>
      </c>
      <c r="BY287" s="225">
        <f t="shared" si="950"/>
        <v>0</v>
      </c>
      <c r="BZ287" s="225">
        <f t="shared" si="950"/>
        <v>0</v>
      </c>
      <c r="CA287" s="510"/>
      <c r="CB287" s="510" t="str">
        <f t="shared" si="671"/>
        <v>X</v>
      </c>
      <c r="CC287" s="509" t="str">
        <f>CC286</f>
        <v>ĐL5.</v>
      </c>
      <c r="CD287" s="509" t="str">
        <f t="shared" si="673"/>
        <v>ĐL5.</v>
      </c>
      <c r="CE287" s="351" t="str">
        <f t="shared" si="861"/>
        <v>XL</v>
      </c>
      <c r="CF287" s="509" t="str">
        <f t="shared" si="674"/>
        <v>ĐL5.XL</v>
      </c>
      <c r="CG287" s="509"/>
      <c r="CH287" s="509"/>
    </row>
    <row r="288" spans="1:86" ht="24.75" customHeight="1" x14ac:dyDescent="0.25">
      <c r="A288" s="354" t="e">
        <f>A287</f>
        <v>#REF!</v>
      </c>
      <c r="B288" s="484"/>
      <c r="C288" s="531" t="s">
        <v>810</v>
      </c>
      <c r="D288" s="447" t="s">
        <v>14</v>
      </c>
      <c r="E288" s="447"/>
      <c r="F288" s="447"/>
      <c r="G288" s="520">
        <v>17.899999999999999</v>
      </c>
      <c r="H288" s="521">
        <v>0.7</v>
      </c>
      <c r="I288" s="522">
        <f t="shared" ref="I288:K291" si="951">V288+AH288+AT288+BF288</f>
        <v>90</v>
      </c>
      <c r="J288" s="522">
        <f t="shared" si="951"/>
        <v>90</v>
      </c>
      <c r="K288" s="522">
        <f t="shared" si="951"/>
        <v>0</v>
      </c>
      <c r="L288" s="57">
        <f>BN288+BR288+BV288+BZ288</f>
        <v>0</v>
      </c>
      <c r="M288" s="60"/>
      <c r="N288" s="60"/>
      <c r="O288" s="60">
        <f>M288-N288</f>
        <v>0</v>
      </c>
      <c r="P288" s="60"/>
      <c r="Q288" s="60"/>
      <c r="R288" s="60">
        <f>P288-Q288</f>
        <v>0</v>
      </c>
      <c r="S288" s="824"/>
      <c r="T288" s="60"/>
      <c r="U288" s="60">
        <f>S288-T288</f>
        <v>0</v>
      </c>
      <c r="V288" s="60">
        <f t="shared" ref="V288:X291" si="952">M288+P288+S288</f>
        <v>0</v>
      </c>
      <c r="W288" s="60">
        <f t="shared" si="952"/>
        <v>0</v>
      </c>
      <c r="X288" s="60">
        <f t="shared" si="952"/>
        <v>0</v>
      </c>
      <c r="Y288" s="60"/>
      <c r="Z288" s="60"/>
      <c r="AA288" s="60">
        <f>Y288-Z288</f>
        <v>0</v>
      </c>
      <c r="AB288" s="60"/>
      <c r="AC288" s="60"/>
      <c r="AD288" s="60">
        <f>AB288-AC288</f>
        <v>0</v>
      </c>
      <c r="AE288" s="60"/>
      <c r="AF288" s="60"/>
      <c r="AG288" s="60">
        <f>AE288-AF288</f>
        <v>0</v>
      </c>
      <c r="AH288" s="60">
        <f t="shared" ref="AH288:AJ291" si="953">Y288+AB288+AE288</f>
        <v>0</v>
      </c>
      <c r="AI288" s="60">
        <f t="shared" si="953"/>
        <v>0</v>
      </c>
      <c r="AJ288" s="60">
        <f t="shared" si="953"/>
        <v>0</v>
      </c>
      <c r="AK288" s="60">
        <v>30</v>
      </c>
      <c r="AL288" s="60">
        <v>30</v>
      </c>
      <c r="AM288" s="60">
        <f>AK288-AL288</f>
        <v>0</v>
      </c>
      <c r="AN288" s="60">
        <v>30</v>
      </c>
      <c r="AO288" s="60">
        <v>30</v>
      </c>
      <c r="AP288" s="60">
        <f>AN288-AO288</f>
        <v>0</v>
      </c>
      <c r="AQ288" s="60">
        <v>30</v>
      </c>
      <c r="AR288" s="60">
        <v>30</v>
      </c>
      <c r="AS288" s="60">
        <f>AQ288-AR288</f>
        <v>0</v>
      </c>
      <c r="AT288" s="60">
        <f t="shared" ref="AT288:AV291" si="954">AK288+AN288+AQ288</f>
        <v>90</v>
      </c>
      <c r="AU288" s="60">
        <f t="shared" si="954"/>
        <v>90</v>
      </c>
      <c r="AV288" s="60">
        <f t="shared" si="954"/>
        <v>0</v>
      </c>
      <c r="AW288" s="60"/>
      <c r="AX288" s="60"/>
      <c r="AY288" s="60">
        <f>AW288-AX288</f>
        <v>0</v>
      </c>
      <c r="AZ288" s="60"/>
      <c r="BA288" s="60"/>
      <c r="BB288" s="60">
        <f>AZ288-BA288</f>
        <v>0</v>
      </c>
      <c r="BC288" s="60"/>
      <c r="BD288" s="60"/>
      <c r="BE288" s="60">
        <f>BC288-BD288</f>
        <v>0</v>
      </c>
      <c r="BF288" s="60">
        <f>AW288+AZ288+BC288</f>
        <v>0</v>
      </c>
      <c r="BG288" s="60">
        <f>AX288+BA288+BD288</f>
        <v>0</v>
      </c>
      <c r="BH288" s="60">
        <f>AY288+BB288+BE288</f>
        <v>0</v>
      </c>
      <c r="BI288" s="508"/>
      <c r="BJ288" s="488" t="str">
        <f t="shared" si="859"/>
        <v>Xé</v>
      </c>
      <c r="BK288" s="523">
        <f>ROUND(O288*G288*$B$6,-2)</f>
        <v>0</v>
      </c>
      <c r="BL288" s="523">
        <f>ROUND(R288*G288*$B$6,-2)</f>
        <v>0</v>
      </c>
      <c r="BM288" s="523">
        <f>ROUND(U288*G288*$B$6,-2)</f>
        <v>0</v>
      </c>
      <c r="BN288" s="523">
        <f>ROUND(X288*G288*$B$6,-2)</f>
        <v>0</v>
      </c>
      <c r="BO288" s="523">
        <f>ROUND(AA288*G288*$B$6,-2)</f>
        <v>0</v>
      </c>
      <c r="BP288" s="523">
        <f>ROUND(AD288*G288*$B$6,-2)</f>
        <v>0</v>
      </c>
      <c r="BQ288" s="523">
        <f>ROUND(AG288*G288*$B$6,-2)</f>
        <v>0</v>
      </c>
      <c r="BR288" s="523">
        <f>ROUND(AJ288*G288*$B$6,-2)</f>
        <v>0</v>
      </c>
      <c r="BS288" s="523">
        <f>ROUND(AM288*G288*$B$6,-2)</f>
        <v>0</v>
      </c>
      <c r="BT288" s="523">
        <f>ROUND(AP288*G288*$B$6,-2)</f>
        <v>0</v>
      </c>
      <c r="BU288" s="523">
        <f>ROUND(AS288*G288*$B$6,-2)</f>
        <v>0</v>
      </c>
      <c r="BV288" s="523">
        <f>ROUND(AV288*G288*$B$6,-2)</f>
        <v>0</v>
      </c>
      <c r="BW288" s="523">
        <f>ROUND(AY288*G288*$B$6,-2)</f>
        <v>0</v>
      </c>
      <c r="BX288" s="523">
        <f>ROUND(BB288*G288*$B$6,-2)</f>
        <v>0</v>
      </c>
      <c r="BY288" s="523">
        <f>ROUND(BE288*G288*$B$6,-2)</f>
        <v>0</v>
      </c>
      <c r="BZ288" s="523">
        <f>ROUND(BH288*G288*$B$6,-2)</f>
        <v>0</v>
      </c>
      <c r="CA288" s="354"/>
      <c r="CB288" s="354" t="str">
        <f t="shared" si="671"/>
        <v>X</v>
      </c>
      <c r="CC288" s="509" t="str">
        <f>CC287</f>
        <v>ĐL5.</v>
      </c>
      <c r="CD288" s="509" t="str">
        <f t="shared" si="673"/>
        <v>ĐL5.17,9</v>
      </c>
      <c r="CE288" s="351" t="str">
        <f t="shared" si="861"/>
        <v>Xé</v>
      </c>
      <c r="CF288" s="509" t="str">
        <f t="shared" si="674"/>
        <v>ĐL5.Xé</v>
      </c>
      <c r="CG288" s="509"/>
      <c r="CH288" s="509"/>
    </row>
    <row r="289" spans="1:86" ht="24.75" customHeight="1" x14ac:dyDescent="0.25">
      <c r="A289" s="354" t="e">
        <f>A286</f>
        <v>#REF!</v>
      </c>
      <c r="B289" s="484"/>
      <c r="C289" s="531" t="s">
        <v>811</v>
      </c>
      <c r="D289" s="447" t="s">
        <v>14</v>
      </c>
      <c r="E289" s="447"/>
      <c r="F289" s="447"/>
      <c r="G289" s="520">
        <v>17.899999999999999</v>
      </c>
      <c r="H289" s="521">
        <v>0.7</v>
      </c>
      <c r="I289" s="522">
        <f t="shared" si="951"/>
        <v>160</v>
      </c>
      <c r="J289" s="522">
        <f t="shared" si="951"/>
        <v>160</v>
      </c>
      <c r="K289" s="522">
        <f t="shared" si="951"/>
        <v>0</v>
      </c>
      <c r="L289" s="57">
        <f>BN289+BR289+BV289+BZ289</f>
        <v>0</v>
      </c>
      <c r="M289" s="60"/>
      <c r="N289" s="60"/>
      <c r="O289" s="60">
        <f>M289-N289</f>
        <v>0</v>
      </c>
      <c r="P289" s="60"/>
      <c r="Q289" s="60"/>
      <c r="R289" s="60">
        <f>P289-Q289</f>
        <v>0</v>
      </c>
      <c r="S289" s="824"/>
      <c r="T289" s="60"/>
      <c r="U289" s="60">
        <f>S289-T289</f>
        <v>0</v>
      </c>
      <c r="V289" s="60">
        <f t="shared" si="952"/>
        <v>0</v>
      </c>
      <c r="W289" s="60">
        <f t="shared" si="952"/>
        <v>0</v>
      </c>
      <c r="X289" s="60">
        <f t="shared" si="952"/>
        <v>0</v>
      </c>
      <c r="Y289" s="60"/>
      <c r="Z289" s="60"/>
      <c r="AA289" s="60">
        <f>Y289-Z289</f>
        <v>0</v>
      </c>
      <c r="AB289" s="60"/>
      <c r="AC289" s="60"/>
      <c r="AD289" s="60">
        <f>AB289-AC289</f>
        <v>0</v>
      </c>
      <c r="AE289" s="60"/>
      <c r="AF289" s="60"/>
      <c r="AG289" s="60">
        <f>AE289-AF289</f>
        <v>0</v>
      </c>
      <c r="AH289" s="60">
        <f t="shared" si="953"/>
        <v>0</v>
      </c>
      <c r="AI289" s="60">
        <f t="shared" si="953"/>
        <v>0</v>
      </c>
      <c r="AJ289" s="60">
        <f t="shared" si="953"/>
        <v>0</v>
      </c>
      <c r="AK289" s="60">
        <v>30</v>
      </c>
      <c r="AL289" s="60">
        <v>30</v>
      </c>
      <c r="AM289" s="60">
        <f>AK289-AL289</f>
        <v>0</v>
      </c>
      <c r="AN289" s="60"/>
      <c r="AO289" s="60"/>
      <c r="AP289" s="60">
        <f>AN289-AO289</f>
        <v>0</v>
      </c>
      <c r="AQ289" s="60">
        <v>30</v>
      </c>
      <c r="AR289" s="60">
        <v>30</v>
      </c>
      <c r="AS289" s="60">
        <f>AQ289-AR289</f>
        <v>0</v>
      </c>
      <c r="AT289" s="60">
        <f t="shared" si="954"/>
        <v>60</v>
      </c>
      <c r="AU289" s="60">
        <f t="shared" si="954"/>
        <v>60</v>
      </c>
      <c r="AV289" s="60">
        <f t="shared" si="954"/>
        <v>0</v>
      </c>
      <c r="AW289" s="60">
        <v>30</v>
      </c>
      <c r="AX289" s="60">
        <v>30</v>
      </c>
      <c r="AY289" s="60">
        <f>AW289-AX289</f>
        <v>0</v>
      </c>
      <c r="AZ289" s="60">
        <v>30</v>
      </c>
      <c r="BA289" s="60">
        <v>30</v>
      </c>
      <c r="BB289" s="60">
        <f>AZ289-BA289</f>
        <v>0</v>
      </c>
      <c r="BC289" s="60">
        <v>40</v>
      </c>
      <c r="BD289" s="60">
        <v>40</v>
      </c>
      <c r="BE289" s="60">
        <f>BC289-BD289</f>
        <v>0</v>
      </c>
      <c r="BF289" s="60">
        <f t="shared" ref="BF289:BH291" si="955">AW289+AZ289+BC289</f>
        <v>100</v>
      </c>
      <c r="BG289" s="60">
        <f t="shared" si="955"/>
        <v>100</v>
      </c>
      <c r="BH289" s="60">
        <f t="shared" si="955"/>
        <v>0</v>
      </c>
      <c r="BI289" s="508"/>
      <c r="BJ289" s="488" t="str">
        <f t="shared" si="859"/>
        <v>Xé</v>
      </c>
      <c r="BK289" s="523">
        <f>ROUND(O289*G289*$B$6,-2)</f>
        <v>0</v>
      </c>
      <c r="BL289" s="523">
        <f>ROUND(R289*G289*$B$6,-2)</f>
        <v>0</v>
      </c>
      <c r="BM289" s="523">
        <f>ROUND(U289*G289*$B$6,-2)</f>
        <v>0</v>
      </c>
      <c r="BN289" s="523">
        <f>ROUND(X289*G289*$B$6,-2)</f>
        <v>0</v>
      </c>
      <c r="BO289" s="523">
        <f>ROUND(AA289*G289*$B$6,-2)</f>
        <v>0</v>
      </c>
      <c r="BP289" s="523">
        <f>ROUND(AD289*G289*$B$6,-2)</f>
        <v>0</v>
      </c>
      <c r="BQ289" s="523">
        <f>ROUND(AG289*G289*$B$6,-2)</f>
        <v>0</v>
      </c>
      <c r="BR289" s="523">
        <f>ROUND(AJ289*G289*$B$6,-2)</f>
        <v>0</v>
      </c>
      <c r="BS289" s="523">
        <f>ROUND(AM289*G289*$B$6,-2)</f>
        <v>0</v>
      </c>
      <c r="BT289" s="523">
        <f>ROUND(AP289*G289*$B$6,-2)</f>
        <v>0</v>
      </c>
      <c r="BU289" s="523">
        <f>ROUND(AS289*G289*$B$6,-2)</f>
        <v>0</v>
      </c>
      <c r="BV289" s="523">
        <f>ROUND(AV289*G289*$B$6,-2)</f>
        <v>0</v>
      </c>
      <c r="BW289" s="523">
        <f>ROUND(AY289*G289*$B$6,-2)</f>
        <v>0</v>
      </c>
      <c r="BX289" s="523">
        <f>ROUND(BB289*G289*$B$6,-2)</f>
        <v>0</v>
      </c>
      <c r="BY289" s="523">
        <f>ROUND(BE289*G289*$B$6,-2)</f>
        <v>0</v>
      </c>
      <c r="BZ289" s="523">
        <f>ROUND(BH289*G289*$B$6,-2)</f>
        <v>0</v>
      </c>
      <c r="CA289" s="354"/>
      <c r="CB289" s="354" t="str">
        <f t="shared" si="671"/>
        <v>X</v>
      </c>
      <c r="CC289" s="509" t="str">
        <f>CC288</f>
        <v>ĐL5.</v>
      </c>
      <c r="CD289" s="509" t="str">
        <f t="shared" si="673"/>
        <v>ĐL5.17,9</v>
      </c>
      <c r="CE289" s="351" t="str">
        <f t="shared" si="861"/>
        <v>Xé</v>
      </c>
      <c r="CF289" s="509" t="str">
        <f t="shared" si="674"/>
        <v>ĐL5.Xé</v>
      </c>
      <c r="CG289" s="509"/>
      <c r="CH289" s="509"/>
    </row>
    <row r="290" spans="1:86" ht="24.75" customHeight="1" x14ac:dyDescent="0.25">
      <c r="A290" s="354" t="e">
        <f>A287</f>
        <v>#REF!</v>
      </c>
      <c r="B290" s="484"/>
      <c r="C290" s="531" t="s">
        <v>812</v>
      </c>
      <c r="D290" s="447" t="s">
        <v>14</v>
      </c>
      <c r="E290" s="447"/>
      <c r="F290" s="447"/>
      <c r="G290" s="520">
        <v>17.899999999999999</v>
      </c>
      <c r="H290" s="521">
        <v>0.7</v>
      </c>
      <c r="I290" s="522">
        <f t="shared" si="951"/>
        <v>135</v>
      </c>
      <c r="J290" s="522">
        <f t="shared" si="951"/>
        <v>135</v>
      </c>
      <c r="K290" s="522">
        <f t="shared" si="951"/>
        <v>0</v>
      </c>
      <c r="L290" s="57">
        <f>BN290+BR290+BV290+BZ290</f>
        <v>0</v>
      </c>
      <c r="M290" s="60"/>
      <c r="N290" s="60"/>
      <c r="O290" s="60">
        <f>M290-N290</f>
        <v>0</v>
      </c>
      <c r="P290" s="60"/>
      <c r="Q290" s="60"/>
      <c r="R290" s="60">
        <f>P290-Q290</f>
        <v>0</v>
      </c>
      <c r="S290" s="824"/>
      <c r="T290" s="60"/>
      <c r="U290" s="60">
        <f>S290-T290</f>
        <v>0</v>
      </c>
      <c r="V290" s="60">
        <f t="shared" si="952"/>
        <v>0</v>
      </c>
      <c r="W290" s="60">
        <f t="shared" si="952"/>
        <v>0</v>
      </c>
      <c r="X290" s="60">
        <f t="shared" si="952"/>
        <v>0</v>
      </c>
      <c r="Y290" s="60"/>
      <c r="Z290" s="60"/>
      <c r="AA290" s="60">
        <f>Y290-Z290</f>
        <v>0</v>
      </c>
      <c r="AB290" s="60"/>
      <c r="AC290" s="60"/>
      <c r="AD290" s="60">
        <f>AB290-AC290</f>
        <v>0</v>
      </c>
      <c r="AE290" s="60"/>
      <c r="AF290" s="60"/>
      <c r="AG290" s="60">
        <f>AE290-AF290</f>
        <v>0</v>
      </c>
      <c r="AH290" s="60">
        <f t="shared" si="953"/>
        <v>0</v>
      </c>
      <c r="AI290" s="60">
        <f t="shared" si="953"/>
        <v>0</v>
      </c>
      <c r="AJ290" s="60">
        <f t="shared" si="953"/>
        <v>0</v>
      </c>
      <c r="AK290" s="60"/>
      <c r="AL290" s="60"/>
      <c r="AM290" s="60">
        <f>AK290-AL290</f>
        <v>0</v>
      </c>
      <c r="AN290" s="60"/>
      <c r="AO290" s="60"/>
      <c r="AP290" s="60">
        <f>AN290-AO290</f>
        <v>0</v>
      </c>
      <c r="AQ290" s="60"/>
      <c r="AR290" s="60"/>
      <c r="AS290" s="60">
        <f>AQ290-AR290</f>
        <v>0</v>
      </c>
      <c r="AT290" s="60">
        <f t="shared" si="954"/>
        <v>0</v>
      </c>
      <c r="AU290" s="60">
        <f t="shared" si="954"/>
        <v>0</v>
      </c>
      <c r="AV290" s="60">
        <f t="shared" si="954"/>
        <v>0</v>
      </c>
      <c r="AW290" s="60">
        <v>45</v>
      </c>
      <c r="AX290" s="60">
        <v>45</v>
      </c>
      <c r="AY290" s="60">
        <f>AW290-AX290</f>
        <v>0</v>
      </c>
      <c r="AZ290" s="60">
        <v>45</v>
      </c>
      <c r="BA290" s="60">
        <v>45</v>
      </c>
      <c r="BB290" s="60">
        <f>AZ290-BA290</f>
        <v>0</v>
      </c>
      <c r="BC290" s="60">
        <v>45</v>
      </c>
      <c r="BD290" s="60">
        <v>45</v>
      </c>
      <c r="BE290" s="60">
        <f>BC290-BD290</f>
        <v>0</v>
      </c>
      <c r="BF290" s="60">
        <f t="shared" si="955"/>
        <v>135</v>
      </c>
      <c r="BG290" s="60">
        <f t="shared" si="955"/>
        <v>135</v>
      </c>
      <c r="BH290" s="60">
        <f t="shared" si="955"/>
        <v>0</v>
      </c>
      <c r="BI290" s="508"/>
      <c r="BJ290" s="488" t="str">
        <f t="shared" si="859"/>
        <v>Xé</v>
      </c>
      <c r="BK290" s="523">
        <f>ROUND(O290*G290*$B$6,-2)</f>
        <v>0</v>
      </c>
      <c r="BL290" s="523">
        <f>ROUND(R290*G290*$B$6,-2)</f>
        <v>0</v>
      </c>
      <c r="BM290" s="523">
        <f>ROUND(U290*G290*$B$6,-2)</f>
        <v>0</v>
      </c>
      <c r="BN290" s="523">
        <f>ROUND(X290*G290*$B$6,-2)</f>
        <v>0</v>
      </c>
      <c r="BO290" s="523">
        <f>ROUND(AA290*G290*$B$6,-2)</f>
        <v>0</v>
      </c>
      <c r="BP290" s="523">
        <f>ROUND(AD290*G290*$B$6,-2)</f>
        <v>0</v>
      </c>
      <c r="BQ290" s="523">
        <f>ROUND(AG290*G290*$B$6,-2)</f>
        <v>0</v>
      </c>
      <c r="BR290" s="523">
        <f>ROUND(AJ290*G290*$B$6,-2)</f>
        <v>0</v>
      </c>
      <c r="BS290" s="523">
        <f>ROUND(AM290*G290*$B$6,-2)</f>
        <v>0</v>
      </c>
      <c r="BT290" s="523">
        <f>ROUND(AP290*G290*$B$6,-2)</f>
        <v>0</v>
      </c>
      <c r="BU290" s="523">
        <f>ROUND(AS290*G290*$B$6,-2)</f>
        <v>0</v>
      </c>
      <c r="BV290" s="523">
        <f>ROUND(AV290*G290*$B$6,-2)</f>
        <v>0</v>
      </c>
      <c r="BW290" s="523">
        <f>ROUND(AY290*G290*$B$6,-2)</f>
        <v>0</v>
      </c>
      <c r="BX290" s="523">
        <f>ROUND(BB290*G290*$B$6,-2)</f>
        <v>0</v>
      </c>
      <c r="BY290" s="523">
        <f>ROUND(BE290*G290*$B$6,-2)</f>
        <v>0</v>
      </c>
      <c r="BZ290" s="523">
        <f>ROUND(BH290*G290*$B$6,-2)</f>
        <v>0</v>
      </c>
      <c r="CA290" s="354"/>
      <c r="CB290" s="354" t="str">
        <f t="shared" si="671"/>
        <v>X</v>
      </c>
      <c r="CC290" s="509" t="str">
        <f>CC289</f>
        <v>ĐL5.</v>
      </c>
      <c r="CD290" s="509" t="str">
        <f t="shared" si="673"/>
        <v>ĐL5.17,9</v>
      </c>
      <c r="CE290" s="351" t="str">
        <f t="shared" si="861"/>
        <v>Xé</v>
      </c>
      <c r="CF290" s="509" t="str">
        <f t="shared" si="674"/>
        <v>ĐL5.Xé</v>
      </c>
      <c r="CG290" s="509"/>
      <c r="CH290" s="509"/>
    </row>
    <row r="291" spans="1:86" ht="24.75" customHeight="1" x14ac:dyDescent="0.25">
      <c r="A291" s="354" t="e">
        <f>A288</f>
        <v>#REF!</v>
      </c>
      <c r="B291" s="484"/>
      <c r="C291" s="531" t="s">
        <v>20</v>
      </c>
      <c r="D291" s="447" t="s">
        <v>14</v>
      </c>
      <c r="E291" s="447"/>
      <c r="F291" s="447"/>
      <c r="G291" s="520">
        <v>13.1</v>
      </c>
      <c r="H291" s="521">
        <v>0.7</v>
      </c>
      <c r="I291" s="522">
        <f t="shared" si="951"/>
        <v>0</v>
      </c>
      <c r="J291" s="522">
        <f t="shared" si="951"/>
        <v>0</v>
      </c>
      <c r="K291" s="522">
        <f t="shared" si="951"/>
        <v>0</v>
      </c>
      <c r="L291" s="57">
        <f>BN291+BR291+BV291+BZ291</f>
        <v>0</v>
      </c>
      <c r="M291" s="60"/>
      <c r="N291" s="60"/>
      <c r="O291" s="60">
        <f>M291-N291</f>
        <v>0</v>
      </c>
      <c r="P291" s="60"/>
      <c r="Q291" s="60"/>
      <c r="R291" s="60">
        <f>P291-Q291</f>
        <v>0</v>
      </c>
      <c r="S291" s="824"/>
      <c r="T291" s="60"/>
      <c r="U291" s="60">
        <f>S291-T291</f>
        <v>0</v>
      </c>
      <c r="V291" s="60">
        <f t="shared" si="952"/>
        <v>0</v>
      </c>
      <c r="W291" s="60">
        <f t="shared" si="952"/>
        <v>0</v>
      </c>
      <c r="X291" s="60">
        <f t="shared" si="952"/>
        <v>0</v>
      </c>
      <c r="Y291" s="60"/>
      <c r="Z291" s="60"/>
      <c r="AA291" s="60">
        <f>Y291-Z291</f>
        <v>0</v>
      </c>
      <c r="AB291" s="60"/>
      <c r="AC291" s="60"/>
      <c r="AD291" s="60">
        <f>AB291-AC291</f>
        <v>0</v>
      </c>
      <c r="AE291" s="60"/>
      <c r="AF291" s="60"/>
      <c r="AG291" s="60">
        <f>AE291-AF291</f>
        <v>0</v>
      </c>
      <c r="AH291" s="60">
        <f t="shared" si="953"/>
        <v>0</v>
      </c>
      <c r="AI291" s="60">
        <f t="shared" si="953"/>
        <v>0</v>
      </c>
      <c r="AJ291" s="60">
        <f t="shared" si="953"/>
        <v>0</v>
      </c>
      <c r="AK291" s="60"/>
      <c r="AL291" s="60"/>
      <c r="AM291" s="60">
        <f>AK291-AL291</f>
        <v>0</v>
      </c>
      <c r="AN291" s="60"/>
      <c r="AO291" s="60"/>
      <c r="AP291" s="60">
        <f>AN291-AO291</f>
        <v>0</v>
      </c>
      <c r="AQ291" s="60"/>
      <c r="AR291" s="60"/>
      <c r="AS291" s="60">
        <f>AQ291-AR291</f>
        <v>0</v>
      </c>
      <c r="AT291" s="60">
        <f t="shared" si="954"/>
        <v>0</v>
      </c>
      <c r="AU291" s="60">
        <f t="shared" si="954"/>
        <v>0</v>
      </c>
      <c r="AV291" s="60">
        <f t="shared" si="954"/>
        <v>0</v>
      </c>
      <c r="AW291" s="60"/>
      <c r="AX291" s="60"/>
      <c r="AY291" s="60">
        <f>AW291-AX291</f>
        <v>0</v>
      </c>
      <c r="AZ291" s="60"/>
      <c r="BA291" s="60"/>
      <c r="BB291" s="60">
        <f>AZ291-BA291</f>
        <v>0</v>
      </c>
      <c r="BC291" s="60"/>
      <c r="BD291" s="60"/>
      <c r="BE291" s="60">
        <f>BC291-BD291</f>
        <v>0</v>
      </c>
      <c r="BF291" s="60">
        <f t="shared" si="955"/>
        <v>0</v>
      </c>
      <c r="BG291" s="60">
        <f t="shared" si="955"/>
        <v>0</v>
      </c>
      <c r="BH291" s="60">
        <f t="shared" si="955"/>
        <v>0</v>
      </c>
      <c r="BI291" s="508"/>
      <c r="BJ291" s="488" t="str">
        <f t="shared" si="859"/>
        <v>Xé</v>
      </c>
      <c r="BK291" s="523">
        <f>ROUND(O291*G291*$B$6,-2)</f>
        <v>0</v>
      </c>
      <c r="BL291" s="523">
        <f>ROUND(R291*G291*$B$6,-2)</f>
        <v>0</v>
      </c>
      <c r="BM291" s="523">
        <f>ROUND(U291*G291*$B$6,-2)</f>
        <v>0</v>
      </c>
      <c r="BN291" s="523">
        <f>ROUND(X291*G291*$B$6,-2)</f>
        <v>0</v>
      </c>
      <c r="BO291" s="523">
        <f>ROUND(AA291*G291*$B$6,-2)</f>
        <v>0</v>
      </c>
      <c r="BP291" s="523">
        <f>ROUND(AD291*G291*$B$6,-2)</f>
        <v>0</v>
      </c>
      <c r="BQ291" s="523">
        <f>ROUND(AG291*G291*$B$6,-2)</f>
        <v>0</v>
      </c>
      <c r="BR291" s="523">
        <f>ROUND(AJ291*G291*$B$6,-2)</f>
        <v>0</v>
      </c>
      <c r="BS291" s="523">
        <f>ROUND(AM291*G291*$B$6,-2)</f>
        <v>0</v>
      </c>
      <c r="BT291" s="523">
        <f>ROUND(AP291*G291*$B$6,-2)</f>
        <v>0</v>
      </c>
      <c r="BU291" s="523">
        <f>ROUND(AS291*G291*$B$6,-2)</f>
        <v>0</v>
      </c>
      <c r="BV291" s="523">
        <f>ROUND(AV291*G291*$B$6,-2)</f>
        <v>0</v>
      </c>
      <c r="BW291" s="523">
        <f>ROUND(AY291*G291*$B$6,-2)</f>
        <v>0</v>
      </c>
      <c r="BX291" s="523">
        <f>ROUND(BB291*G291*$B$6,-2)</f>
        <v>0</v>
      </c>
      <c r="BY291" s="523">
        <f>ROUND(BE291*G291*$B$6,-2)</f>
        <v>0</v>
      </c>
      <c r="BZ291" s="523">
        <f>ROUND(BH291*G291*$B$6,-2)</f>
        <v>0</v>
      </c>
      <c r="CA291" s="354"/>
      <c r="CB291" s="354" t="b">
        <f>IF(SUM(I291:L291)&lt;&gt;0,"X")</f>
        <v>0</v>
      </c>
      <c r="CC291" s="509" t="str">
        <f t="shared" ref="CC291:CC413" si="956">CC290</f>
        <v>ĐL5.</v>
      </c>
      <c r="CD291" s="509" t="str">
        <f>CC291&amp;G291</f>
        <v>ĐL5.13,1</v>
      </c>
      <c r="CE291" s="351" t="str">
        <f t="shared" si="861"/>
        <v>Xé</v>
      </c>
      <c r="CF291" s="509" t="str">
        <f t="shared" ref="CF291:CF413" si="957">CC291&amp;CE291</f>
        <v>ĐL5.Xé</v>
      </c>
      <c r="CG291" s="509"/>
      <c r="CH291" s="509"/>
    </row>
    <row r="292" spans="1:86" ht="17.25" x14ac:dyDescent="0.3">
      <c r="A292" s="354" t="e">
        <f>#REF!</f>
        <v>#REF!</v>
      </c>
      <c r="B292" s="503">
        <v>17</v>
      </c>
      <c r="C292" s="507" t="s">
        <v>457</v>
      </c>
      <c r="D292" s="505"/>
      <c r="E292" s="505"/>
      <c r="F292" s="505"/>
      <c r="G292" s="505"/>
      <c r="H292" s="505"/>
      <c r="I292" s="63">
        <f t="shared" ref="I292:AN292" si="958">SUM(I293:I318)/2</f>
        <v>2722</v>
      </c>
      <c r="J292" s="63">
        <f t="shared" si="958"/>
        <v>600</v>
      </c>
      <c r="K292" s="63">
        <f t="shared" si="958"/>
        <v>2122</v>
      </c>
      <c r="L292" s="63">
        <f t="shared" si="958"/>
        <v>34600</v>
      </c>
      <c r="M292" s="209">
        <f t="shared" si="958"/>
        <v>225</v>
      </c>
      <c r="N292" s="209">
        <f t="shared" si="958"/>
        <v>60</v>
      </c>
      <c r="O292" s="209">
        <f t="shared" si="958"/>
        <v>165</v>
      </c>
      <c r="P292" s="209">
        <f t="shared" si="958"/>
        <v>190</v>
      </c>
      <c r="Q292" s="209">
        <f t="shared" si="958"/>
        <v>30</v>
      </c>
      <c r="R292" s="209">
        <f t="shared" si="958"/>
        <v>160</v>
      </c>
      <c r="S292" s="822">
        <f t="shared" si="958"/>
        <v>235</v>
      </c>
      <c r="T292" s="209">
        <f t="shared" si="958"/>
        <v>40</v>
      </c>
      <c r="U292" s="209">
        <f t="shared" si="958"/>
        <v>195</v>
      </c>
      <c r="V292" s="209">
        <f t="shared" si="958"/>
        <v>650</v>
      </c>
      <c r="W292" s="209">
        <f t="shared" si="958"/>
        <v>130</v>
      </c>
      <c r="X292" s="209">
        <f t="shared" si="958"/>
        <v>520</v>
      </c>
      <c r="Y292" s="209">
        <f t="shared" si="958"/>
        <v>240</v>
      </c>
      <c r="Z292" s="209">
        <f t="shared" si="958"/>
        <v>40</v>
      </c>
      <c r="AA292" s="209">
        <f t="shared" si="958"/>
        <v>200</v>
      </c>
      <c r="AB292" s="209">
        <f t="shared" si="958"/>
        <v>245</v>
      </c>
      <c r="AC292" s="209">
        <f t="shared" si="958"/>
        <v>45</v>
      </c>
      <c r="AD292" s="209">
        <f t="shared" si="958"/>
        <v>200</v>
      </c>
      <c r="AE292" s="209">
        <f t="shared" si="958"/>
        <v>232</v>
      </c>
      <c r="AF292" s="209">
        <f t="shared" si="958"/>
        <v>50</v>
      </c>
      <c r="AG292" s="209">
        <f t="shared" si="958"/>
        <v>182</v>
      </c>
      <c r="AH292" s="209">
        <f t="shared" si="958"/>
        <v>717</v>
      </c>
      <c r="AI292" s="209">
        <f t="shared" si="958"/>
        <v>135</v>
      </c>
      <c r="AJ292" s="209">
        <f t="shared" si="958"/>
        <v>582</v>
      </c>
      <c r="AK292" s="209">
        <f t="shared" si="958"/>
        <v>228</v>
      </c>
      <c r="AL292" s="209">
        <f t="shared" si="958"/>
        <v>70</v>
      </c>
      <c r="AM292" s="209">
        <f t="shared" si="958"/>
        <v>158</v>
      </c>
      <c r="AN292" s="209">
        <f t="shared" si="958"/>
        <v>225</v>
      </c>
      <c r="AO292" s="209">
        <f t="shared" ref="AO292:BH292" si="959">SUM(AO293:AO318)/2</f>
        <v>70</v>
      </c>
      <c r="AP292" s="209">
        <f t="shared" si="959"/>
        <v>155</v>
      </c>
      <c r="AQ292" s="209">
        <f t="shared" si="959"/>
        <v>215</v>
      </c>
      <c r="AR292" s="209">
        <f t="shared" si="959"/>
        <v>55</v>
      </c>
      <c r="AS292" s="209">
        <f t="shared" si="959"/>
        <v>160</v>
      </c>
      <c r="AT292" s="209">
        <f t="shared" si="959"/>
        <v>668</v>
      </c>
      <c r="AU292" s="209">
        <f t="shared" si="959"/>
        <v>195</v>
      </c>
      <c r="AV292" s="209">
        <f t="shared" si="959"/>
        <v>473</v>
      </c>
      <c r="AW292" s="209">
        <f t="shared" si="959"/>
        <v>235</v>
      </c>
      <c r="AX292" s="209">
        <f t="shared" si="959"/>
        <v>50</v>
      </c>
      <c r="AY292" s="209">
        <f t="shared" si="959"/>
        <v>185</v>
      </c>
      <c r="AZ292" s="209">
        <f t="shared" si="959"/>
        <v>235</v>
      </c>
      <c r="BA292" s="209">
        <f t="shared" si="959"/>
        <v>55</v>
      </c>
      <c r="BB292" s="209">
        <f t="shared" si="959"/>
        <v>180</v>
      </c>
      <c r="BC292" s="209">
        <f t="shared" si="959"/>
        <v>217</v>
      </c>
      <c r="BD292" s="209">
        <f t="shared" si="959"/>
        <v>35</v>
      </c>
      <c r="BE292" s="209">
        <f t="shared" si="959"/>
        <v>182</v>
      </c>
      <c r="BF292" s="209">
        <f t="shared" si="959"/>
        <v>687</v>
      </c>
      <c r="BG292" s="209">
        <f t="shared" si="959"/>
        <v>140</v>
      </c>
      <c r="BH292" s="209">
        <f t="shared" si="959"/>
        <v>547</v>
      </c>
      <c r="BI292" s="536"/>
      <c r="BJ292" s="488" t="str">
        <f t="shared" si="859"/>
        <v>PX</v>
      </c>
      <c r="BK292" s="209">
        <f t="shared" ref="BK292:BZ292" si="960">SUM(BK293:BK318)/2</f>
        <v>3100</v>
      </c>
      <c r="BL292" s="209">
        <f t="shared" si="960"/>
        <v>3000</v>
      </c>
      <c r="BM292" s="209">
        <f t="shared" si="960"/>
        <v>3700</v>
      </c>
      <c r="BN292" s="209">
        <f t="shared" si="960"/>
        <v>9600</v>
      </c>
      <c r="BO292" s="209">
        <f t="shared" si="960"/>
        <v>3700</v>
      </c>
      <c r="BP292" s="209">
        <f t="shared" si="960"/>
        <v>3600</v>
      </c>
      <c r="BQ292" s="209">
        <f t="shared" si="960"/>
        <v>2800</v>
      </c>
      <c r="BR292" s="209">
        <f t="shared" si="960"/>
        <v>10000</v>
      </c>
      <c r="BS292" s="209">
        <f t="shared" si="960"/>
        <v>2700</v>
      </c>
      <c r="BT292" s="209">
        <f t="shared" si="960"/>
        <v>2100</v>
      </c>
      <c r="BU292" s="209">
        <f t="shared" si="960"/>
        <v>2300</v>
      </c>
      <c r="BV292" s="209">
        <f t="shared" si="960"/>
        <v>7200</v>
      </c>
      <c r="BW292" s="209">
        <f t="shared" si="960"/>
        <v>2800</v>
      </c>
      <c r="BX292" s="209">
        <f t="shared" si="960"/>
        <v>2600</v>
      </c>
      <c r="BY292" s="209">
        <f t="shared" si="960"/>
        <v>2400</v>
      </c>
      <c r="BZ292" s="209">
        <f t="shared" si="960"/>
        <v>7800</v>
      </c>
      <c r="CA292" s="354"/>
      <c r="CB292" s="354" t="str">
        <f>IF(SUM(I292:L292)&lt;&gt;0,"X")</f>
        <v>X</v>
      </c>
      <c r="CC292" s="534" t="s">
        <v>299</v>
      </c>
      <c r="CD292" s="509" t="str">
        <f>CC292&amp;G292</f>
        <v>ĐL6.</v>
      </c>
      <c r="CE292" s="351" t="str">
        <f t="shared" si="861"/>
        <v>PX</v>
      </c>
      <c r="CF292" s="509" t="str">
        <f t="shared" si="957"/>
        <v>ĐL6.PX</v>
      </c>
      <c r="CG292" s="509"/>
      <c r="CH292" s="509"/>
    </row>
    <row r="293" spans="1:86" s="358" customFormat="1" ht="19.5" customHeight="1" x14ac:dyDescent="0.25">
      <c r="A293" s="354" t="e">
        <f>A292</f>
        <v>#REF!</v>
      </c>
      <c r="B293" s="511" t="s">
        <v>8</v>
      </c>
      <c r="C293" s="512" t="s">
        <v>177</v>
      </c>
      <c r="D293" s="513"/>
      <c r="E293" s="513"/>
      <c r="F293" s="513"/>
      <c r="G293" s="514"/>
      <c r="H293" s="515"/>
      <c r="I293" s="211">
        <f>SUM(I294:I312)</f>
        <v>2362</v>
      </c>
      <c r="J293" s="211">
        <f>SUM(J294:J312)</f>
        <v>360</v>
      </c>
      <c r="K293" s="211">
        <f>SUM(K294:K312)</f>
        <v>2002</v>
      </c>
      <c r="L293" s="211">
        <f>SUM(L294:L312)</f>
        <v>34200</v>
      </c>
      <c r="M293" s="211">
        <f t="shared" ref="M293:BH293" si="961">SUM(M294:M312)</f>
        <v>195</v>
      </c>
      <c r="N293" s="211">
        <f t="shared" si="961"/>
        <v>40</v>
      </c>
      <c r="O293" s="211">
        <f t="shared" si="961"/>
        <v>155</v>
      </c>
      <c r="P293" s="211">
        <f t="shared" si="961"/>
        <v>160</v>
      </c>
      <c r="Q293" s="211">
        <f t="shared" si="961"/>
        <v>10</v>
      </c>
      <c r="R293" s="211">
        <f t="shared" si="961"/>
        <v>150</v>
      </c>
      <c r="S293" s="823">
        <f t="shared" si="961"/>
        <v>205</v>
      </c>
      <c r="T293" s="211">
        <f t="shared" si="961"/>
        <v>20</v>
      </c>
      <c r="U293" s="211">
        <f t="shared" si="961"/>
        <v>185</v>
      </c>
      <c r="V293" s="211">
        <f t="shared" si="961"/>
        <v>560</v>
      </c>
      <c r="W293" s="211">
        <f t="shared" si="961"/>
        <v>70</v>
      </c>
      <c r="X293" s="211">
        <f t="shared" si="961"/>
        <v>490</v>
      </c>
      <c r="Y293" s="211">
        <f t="shared" si="961"/>
        <v>210</v>
      </c>
      <c r="Z293" s="211">
        <f t="shared" si="961"/>
        <v>20</v>
      </c>
      <c r="AA293" s="211">
        <f t="shared" si="961"/>
        <v>190</v>
      </c>
      <c r="AB293" s="211">
        <f t="shared" si="961"/>
        <v>215</v>
      </c>
      <c r="AC293" s="211">
        <f t="shared" si="961"/>
        <v>25</v>
      </c>
      <c r="AD293" s="211">
        <f t="shared" si="961"/>
        <v>190</v>
      </c>
      <c r="AE293" s="211">
        <f t="shared" si="961"/>
        <v>202</v>
      </c>
      <c r="AF293" s="211">
        <f t="shared" si="961"/>
        <v>30</v>
      </c>
      <c r="AG293" s="211">
        <f t="shared" si="961"/>
        <v>172</v>
      </c>
      <c r="AH293" s="211">
        <f t="shared" si="961"/>
        <v>627</v>
      </c>
      <c r="AI293" s="211">
        <f t="shared" si="961"/>
        <v>75</v>
      </c>
      <c r="AJ293" s="211">
        <f t="shared" si="961"/>
        <v>552</v>
      </c>
      <c r="AK293" s="211">
        <f t="shared" si="961"/>
        <v>198</v>
      </c>
      <c r="AL293" s="211">
        <f t="shared" si="961"/>
        <v>50</v>
      </c>
      <c r="AM293" s="211">
        <f t="shared" si="961"/>
        <v>148</v>
      </c>
      <c r="AN293" s="211">
        <f t="shared" si="961"/>
        <v>195</v>
      </c>
      <c r="AO293" s="211">
        <f t="shared" si="961"/>
        <v>50</v>
      </c>
      <c r="AP293" s="211">
        <f t="shared" si="961"/>
        <v>145</v>
      </c>
      <c r="AQ293" s="211">
        <f t="shared" si="961"/>
        <v>185</v>
      </c>
      <c r="AR293" s="211">
        <f t="shared" si="961"/>
        <v>35</v>
      </c>
      <c r="AS293" s="211">
        <f t="shared" si="961"/>
        <v>150</v>
      </c>
      <c r="AT293" s="211">
        <f t="shared" si="961"/>
        <v>578</v>
      </c>
      <c r="AU293" s="211">
        <f t="shared" si="961"/>
        <v>135</v>
      </c>
      <c r="AV293" s="211">
        <f t="shared" si="961"/>
        <v>443</v>
      </c>
      <c r="AW293" s="211">
        <f t="shared" si="961"/>
        <v>205</v>
      </c>
      <c r="AX293" s="211">
        <f t="shared" si="961"/>
        <v>30</v>
      </c>
      <c r="AY293" s="211">
        <f t="shared" si="961"/>
        <v>175</v>
      </c>
      <c r="AZ293" s="211">
        <f t="shared" si="961"/>
        <v>205</v>
      </c>
      <c r="BA293" s="211">
        <f t="shared" si="961"/>
        <v>35</v>
      </c>
      <c r="BB293" s="211">
        <f t="shared" si="961"/>
        <v>170</v>
      </c>
      <c r="BC293" s="211">
        <f t="shared" si="961"/>
        <v>187</v>
      </c>
      <c r="BD293" s="211">
        <f t="shared" si="961"/>
        <v>15</v>
      </c>
      <c r="BE293" s="211">
        <f t="shared" si="961"/>
        <v>172</v>
      </c>
      <c r="BF293" s="211">
        <f t="shared" si="961"/>
        <v>597</v>
      </c>
      <c r="BG293" s="211">
        <f t="shared" si="961"/>
        <v>80</v>
      </c>
      <c r="BH293" s="211">
        <f t="shared" si="961"/>
        <v>517</v>
      </c>
      <c r="BI293" s="516"/>
      <c r="BJ293" s="488" t="str">
        <f t="shared" si="859"/>
        <v>ĐL</v>
      </c>
      <c r="BK293" s="57">
        <f t="shared" ref="BK293:BZ293" si="962">SUM(BK294:BK312)</f>
        <v>3100</v>
      </c>
      <c r="BL293" s="57">
        <f t="shared" si="962"/>
        <v>3000</v>
      </c>
      <c r="BM293" s="57">
        <f t="shared" si="962"/>
        <v>3700</v>
      </c>
      <c r="BN293" s="57">
        <f t="shared" si="962"/>
        <v>9500</v>
      </c>
      <c r="BO293" s="57">
        <f t="shared" si="962"/>
        <v>3700</v>
      </c>
      <c r="BP293" s="57">
        <f t="shared" si="962"/>
        <v>3600</v>
      </c>
      <c r="BQ293" s="57">
        <f t="shared" si="962"/>
        <v>2800</v>
      </c>
      <c r="BR293" s="57">
        <f t="shared" si="962"/>
        <v>9900</v>
      </c>
      <c r="BS293" s="57">
        <f t="shared" si="962"/>
        <v>2700</v>
      </c>
      <c r="BT293" s="57">
        <f t="shared" si="962"/>
        <v>2100</v>
      </c>
      <c r="BU293" s="57">
        <f t="shared" si="962"/>
        <v>2300</v>
      </c>
      <c r="BV293" s="57">
        <f t="shared" si="962"/>
        <v>7100</v>
      </c>
      <c r="BW293" s="57">
        <f t="shared" si="962"/>
        <v>2800</v>
      </c>
      <c r="BX293" s="57">
        <f t="shared" si="962"/>
        <v>2600</v>
      </c>
      <c r="BY293" s="57">
        <f t="shared" si="962"/>
        <v>2400</v>
      </c>
      <c r="BZ293" s="57">
        <f t="shared" si="962"/>
        <v>7700</v>
      </c>
      <c r="CA293" s="517">
        <f>I293-V293-AH293-AT293-BF293</f>
        <v>0</v>
      </c>
      <c r="CB293" s="517">
        <f>J293-W293-AI293-AU293-BG293</f>
        <v>0</v>
      </c>
      <c r="CC293" s="517" t="str">
        <f>CC292</f>
        <v>ĐL6.</v>
      </c>
      <c r="CD293" s="517">
        <f>L293-Y293-AK293-AW293-BI293</f>
        <v>33587</v>
      </c>
      <c r="CE293" s="351" t="str">
        <f t="shared" si="861"/>
        <v>ĐL</v>
      </c>
      <c r="CF293" s="509" t="str">
        <f t="shared" si="957"/>
        <v>ĐL6.ĐL</v>
      </c>
      <c r="CG293" s="517">
        <f>J293-W293-AI293-AU293-BG293</f>
        <v>0</v>
      </c>
      <c r="CH293" s="509"/>
    </row>
    <row r="294" spans="1:86" ht="24" customHeight="1" x14ac:dyDescent="0.25">
      <c r="A294" s="354" t="e">
        <f>A293</f>
        <v>#REF!</v>
      </c>
      <c r="B294" s="518"/>
      <c r="C294" s="519" t="s">
        <v>213</v>
      </c>
      <c r="D294" s="447" t="s">
        <v>14</v>
      </c>
      <c r="E294" s="447"/>
      <c r="F294" s="447"/>
      <c r="G294" s="520">
        <v>17.899999999999999</v>
      </c>
      <c r="H294" s="521">
        <v>0.7</v>
      </c>
      <c r="I294" s="522">
        <f t="shared" ref="I294:K296" si="963">V294+AH294+AT294+BF294</f>
        <v>0</v>
      </c>
      <c r="J294" s="522">
        <f t="shared" si="963"/>
        <v>0</v>
      </c>
      <c r="K294" s="522">
        <f t="shared" si="963"/>
        <v>0</v>
      </c>
      <c r="L294" s="57">
        <f>BN294+BR294+BV294+BZ294</f>
        <v>0</v>
      </c>
      <c r="M294" s="60"/>
      <c r="N294" s="60"/>
      <c r="O294" s="60">
        <f t="shared" ref="O294:O301" si="964">M294-N294</f>
        <v>0</v>
      </c>
      <c r="P294" s="60"/>
      <c r="Q294" s="60"/>
      <c r="R294" s="60">
        <f t="shared" ref="R294:R301" si="965">P294-Q294</f>
        <v>0</v>
      </c>
      <c r="S294" s="824"/>
      <c r="T294" s="60"/>
      <c r="U294" s="60">
        <f t="shared" ref="U294:U301" si="966">S294-T294</f>
        <v>0</v>
      </c>
      <c r="V294" s="60">
        <f t="shared" ref="V294:X295" si="967">M294+P294+S294</f>
        <v>0</v>
      </c>
      <c r="W294" s="60">
        <f t="shared" si="967"/>
        <v>0</v>
      </c>
      <c r="X294" s="60">
        <f t="shared" si="967"/>
        <v>0</v>
      </c>
      <c r="Y294" s="60"/>
      <c r="Z294" s="60"/>
      <c r="AA294" s="60">
        <f t="shared" ref="AA294:AA301" si="968">Y294-Z294</f>
        <v>0</v>
      </c>
      <c r="AB294" s="60"/>
      <c r="AC294" s="60"/>
      <c r="AD294" s="60">
        <f t="shared" ref="AD294:AD301" si="969">AB294-AC294</f>
        <v>0</v>
      </c>
      <c r="AE294" s="60"/>
      <c r="AF294" s="60"/>
      <c r="AG294" s="60">
        <f t="shared" ref="AG294:AG301" si="970">AE294-AF294</f>
        <v>0</v>
      </c>
      <c r="AH294" s="60">
        <f t="shared" ref="AH294:AH303" si="971">Y294+AB294+AE294</f>
        <v>0</v>
      </c>
      <c r="AI294" s="60">
        <f t="shared" ref="AI294:AI303" si="972">Z294+AC294+AF294</f>
        <v>0</v>
      </c>
      <c r="AJ294" s="60">
        <f t="shared" ref="AJ294:AJ303" si="973">AA294+AD294+AG294</f>
        <v>0</v>
      </c>
      <c r="AK294" s="60"/>
      <c r="AL294" s="60"/>
      <c r="AM294" s="60">
        <f>AK294-AL294</f>
        <v>0</v>
      </c>
      <c r="AN294" s="60"/>
      <c r="AO294" s="60"/>
      <c r="AP294" s="60">
        <f t="shared" ref="AP294:AP301" si="974">AN294-AO294</f>
        <v>0</v>
      </c>
      <c r="AQ294" s="60"/>
      <c r="AR294" s="60"/>
      <c r="AS294" s="60">
        <f t="shared" ref="AS294:AS301" si="975">AQ294-AR294</f>
        <v>0</v>
      </c>
      <c r="AT294" s="60">
        <f t="shared" ref="AT294:AT312" si="976">AK294+AN294+AQ294</f>
        <v>0</v>
      </c>
      <c r="AU294" s="60">
        <f t="shared" ref="AU294:AU312" si="977">AL294+AO294+AR294</f>
        <v>0</v>
      </c>
      <c r="AV294" s="60">
        <f t="shared" ref="AV294:AV312" si="978">AM294+AP294+AS294</f>
        <v>0</v>
      </c>
      <c r="AW294" s="60"/>
      <c r="AX294" s="60"/>
      <c r="AY294" s="60">
        <f t="shared" ref="AY294:AY301" si="979">AW294-AX294</f>
        <v>0</v>
      </c>
      <c r="AZ294" s="60"/>
      <c r="BA294" s="60"/>
      <c r="BB294" s="60">
        <f t="shared" ref="BB294:BB301" si="980">AZ294-BA294</f>
        <v>0</v>
      </c>
      <c r="BC294" s="60"/>
      <c r="BD294" s="60"/>
      <c r="BE294" s="60">
        <f t="shared" ref="BE294:BE301" si="981">BC294-BD294</f>
        <v>0</v>
      </c>
      <c r="BF294" s="60">
        <f t="shared" ref="BF294:BH297" si="982">AW294+AZ294+BC294</f>
        <v>0</v>
      </c>
      <c r="BG294" s="60">
        <f t="shared" si="982"/>
        <v>0</v>
      </c>
      <c r="BH294" s="60">
        <f t="shared" si="982"/>
        <v>0</v>
      </c>
      <c r="BI294" s="508"/>
      <c r="BJ294" s="488" t="str">
        <f t="shared" si="859"/>
        <v>Lò</v>
      </c>
      <c r="BK294" s="523">
        <f>ROUND(O294*G294*$C$3*$B$5,-2)</f>
        <v>0</v>
      </c>
      <c r="BL294" s="523">
        <f>ROUND(R294*G294*$C$3*$B$5,-2)</f>
        <v>0</v>
      </c>
      <c r="BM294" s="523">
        <f>ROUND(U294*G294*$C$3*$B$5,-2)</f>
        <v>0</v>
      </c>
      <c r="BN294" s="523">
        <f>ROUND(X294*G294*$C$3*$B$5,-2)</f>
        <v>0</v>
      </c>
      <c r="BO294" s="523">
        <f>ROUND(AA294*G294*$C$3*$B$5,-2)</f>
        <v>0</v>
      </c>
      <c r="BP294" s="523">
        <f>ROUND(AD294*G294*$C$3*$B$5,-2)</f>
        <v>0</v>
      </c>
      <c r="BQ294" s="523">
        <f>ROUND(AG294*G294*$C$3*$B$5,-2)</f>
        <v>0</v>
      </c>
      <c r="BR294" s="523">
        <f>ROUND(AJ294*G294*$B$5*$C$3,-2)</f>
        <v>0</v>
      </c>
      <c r="BS294" s="523">
        <f>ROUND(AM294*G294*$C$3*$B$5,-2)</f>
        <v>0</v>
      </c>
      <c r="BT294" s="523">
        <f>ROUND(AP294*G294*$C$3*$B$5,-2)</f>
        <v>0</v>
      </c>
      <c r="BU294" s="523">
        <f>ROUND(AS294*G294*$C$3*$B$5,-2)</f>
        <v>0</v>
      </c>
      <c r="BV294" s="523">
        <f>ROUND(AV294*G294*$C$3*$B$5,-2)</f>
        <v>0</v>
      </c>
      <c r="BW294" s="523">
        <f>ROUND(AY294*G294*$C$3*$B$5,-2)</f>
        <v>0</v>
      </c>
      <c r="BX294" s="523">
        <f>ROUND(BB294*G294*$C$3*$B$5,-2)</f>
        <v>0</v>
      </c>
      <c r="BY294" s="523">
        <f>ROUND(BE294*G294*$C$3*$B$5,-2)</f>
        <v>0</v>
      </c>
      <c r="BZ294" s="523">
        <f>ROUND(BH294*G294*$C$3*$B$5,-2)</f>
        <v>0</v>
      </c>
      <c r="CA294" s="354"/>
      <c r="CB294" s="354" t="b">
        <f t="shared" ref="CB294:CB320" si="983">IF(SUM(I294:L294)&lt;&gt;0,"X")</f>
        <v>0</v>
      </c>
      <c r="CC294" s="509" t="str">
        <f t="shared" si="956"/>
        <v>ĐL6.</v>
      </c>
      <c r="CD294" s="509" t="str">
        <f t="shared" ref="CD294:CD320" si="984">CC294&amp;G294</f>
        <v>ĐL6.17,9</v>
      </c>
      <c r="CE294" s="351" t="str">
        <f t="shared" si="861"/>
        <v>Lò</v>
      </c>
      <c r="CF294" s="509" t="str">
        <f t="shared" si="957"/>
        <v>ĐL6.Lò</v>
      </c>
      <c r="CG294" s="509"/>
      <c r="CH294" s="509"/>
    </row>
    <row r="295" spans="1:86" ht="24" customHeight="1" x14ac:dyDescent="0.25">
      <c r="A295" s="354" t="e">
        <f>A291</f>
        <v>#REF!</v>
      </c>
      <c r="B295" s="518"/>
      <c r="C295" s="519"/>
      <c r="D295" s="447" t="s">
        <v>14</v>
      </c>
      <c r="E295" s="447"/>
      <c r="F295" s="447"/>
      <c r="G295" s="520">
        <v>11.2</v>
      </c>
      <c r="H295" s="521">
        <v>0.7</v>
      </c>
      <c r="I295" s="522">
        <f t="shared" si="963"/>
        <v>0</v>
      </c>
      <c r="J295" s="522">
        <f t="shared" si="963"/>
        <v>0</v>
      </c>
      <c r="K295" s="522">
        <f t="shared" si="963"/>
        <v>0</v>
      </c>
      <c r="L295" s="57">
        <f>BN295+BR295+BV295+BZ295</f>
        <v>0</v>
      </c>
      <c r="M295" s="60"/>
      <c r="N295" s="60"/>
      <c r="O295" s="60">
        <f t="shared" si="964"/>
        <v>0</v>
      </c>
      <c r="P295" s="60"/>
      <c r="Q295" s="60"/>
      <c r="R295" s="60">
        <f t="shared" si="965"/>
        <v>0</v>
      </c>
      <c r="S295" s="824"/>
      <c r="T295" s="60"/>
      <c r="U295" s="60">
        <f t="shared" si="966"/>
        <v>0</v>
      </c>
      <c r="V295" s="60">
        <f t="shared" si="967"/>
        <v>0</v>
      </c>
      <c r="W295" s="60">
        <f t="shared" si="967"/>
        <v>0</v>
      </c>
      <c r="X295" s="60">
        <f t="shared" si="967"/>
        <v>0</v>
      </c>
      <c r="Y295" s="60"/>
      <c r="Z295" s="60"/>
      <c r="AA295" s="60">
        <f t="shared" si="968"/>
        <v>0</v>
      </c>
      <c r="AB295" s="60"/>
      <c r="AC295" s="60"/>
      <c r="AD295" s="60">
        <f t="shared" si="969"/>
        <v>0</v>
      </c>
      <c r="AE295" s="60"/>
      <c r="AF295" s="60"/>
      <c r="AG295" s="60">
        <f t="shared" si="970"/>
        <v>0</v>
      </c>
      <c r="AH295" s="60">
        <f t="shared" si="971"/>
        <v>0</v>
      </c>
      <c r="AI295" s="60">
        <f t="shared" si="972"/>
        <v>0</v>
      </c>
      <c r="AJ295" s="60">
        <f t="shared" si="973"/>
        <v>0</v>
      </c>
      <c r="AK295" s="60"/>
      <c r="AL295" s="60"/>
      <c r="AM295" s="60"/>
      <c r="AN295" s="60"/>
      <c r="AO295" s="60"/>
      <c r="AP295" s="60">
        <f t="shared" si="974"/>
        <v>0</v>
      </c>
      <c r="AQ295" s="60"/>
      <c r="AR295" s="60"/>
      <c r="AS295" s="60">
        <f t="shared" si="975"/>
        <v>0</v>
      </c>
      <c r="AT295" s="60">
        <f t="shared" si="976"/>
        <v>0</v>
      </c>
      <c r="AU295" s="60">
        <f t="shared" si="977"/>
        <v>0</v>
      </c>
      <c r="AV295" s="60">
        <f t="shared" si="978"/>
        <v>0</v>
      </c>
      <c r="AW295" s="60"/>
      <c r="AX295" s="60"/>
      <c r="AY295" s="60">
        <f t="shared" si="979"/>
        <v>0</v>
      </c>
      <c r="AZ295" s="60"/>
      <c r="BA295" s="60"/>
      <c r="BB295" s="60">
        <f t="shared" si="980"/>
        <v>0</v>
      </c>
      <c r="BC295" s="60"/>
      <c r="BD295" s="60"/>
      <c r="BE295" s="60">
        <f t="shared" si="981"/>
        <v>0</v>
      </c>
      <c r="BF295" s="60">
        <f t="shared" si="982"/>
        <v>0</v>
      </c>
      <c r="BG295" s="60">
        <f t="shared" si="982"/>
        <v>0</v>
      </c>
      <c r="BH295" s="60">
        <f t="shared" si="982"/>
        <v>0</v>
      </c>
      <c r="BI295" s="508"/>
      <c r="BJ295" s="488" t="str">
        <f t="shared" si="859"/>
        <v/>
      </c>
      <c r="BK295" s="523">
        <f>ROUND(O295*G295*$C$3,-1)</f>
        <v>0</v>
      </c>
      <c r="BL295" s="523">
        <f>ROUND(R295*G295*$C$3,-1)</f>
        <v>0</v>
      </c>
      <c r="BM295" s="523">
        <f>ROUND(U295*G295*$C$3,-1)</f>
        <v>0</v>
      </c>
      <c r="BN295" s="523">
        <f>ROUND(X295*G295*$C$3,-1)</f>
        <v>0</v>
      </c>
      <c r="BO295" s="523">
        <f>ROUND(AA295*G295*$C$3,-1)</f>
        <v>0</v>
      </c>
      <c r="BP295" s="523">
        <f>ROUND(AD295*G295*$C$3,-1)</f>
        <v>0</v>
      </c>
      <c r="BQ295" s="523">
        <f>ROUND(AG295*G295*$C$3,-1)</f>
        <v>0</v>
      </c>
      <c r="BR295" s="523">
        <f>ROUND(AJ295*G295*$C$3,-1)</f>
        <v>0</v>
      </c>
      <c r="BS295" s="523">
        <f>ROUND(AM295*G295*$C$3,-1)</f>
        <v>0</v>
      </c>
      <c r="BT295" s="523">
        <f>ROUND(AP295*G295*$C$3,-1)</f>
        <v>0</v>
      </c>
      <c r="BU295" s="523">
        <f>ROUND(AS295*G295*$C$3,-1)</f>
        <v>0</v>
      </c>
      <c r="BV295" s="523">
        <f>ROUND(AV295*G295*$C$3,-1)</f>
        <v>0</v>
      </c>
      <c r="BW295" s="523">
        <f>ROUND(AY295*G295*$C$3,-1)</f>
        <v>0</v>
      </c>
      <c r="BX295" s="523">
        <f>ROUND(BB295*G295*$C$3,-1)</f>
        <v>0</v>
      </c>
      <c r="BY295" s="523">
        <f>ROUND(BE295*G295*$C$3,-1)</f>
        <v>0</v>
      </c>
      <c r="BZ295" s="523">
        <f>ROUND(BH295*G295*$C$3,-1)</f>
        <v>0</v>
      </c>
      <c r="CA295" s="354"/>
      <c r="CB295" s="354" t="b">
        <f t="shared" si="983"/>
        <v>0</v>
      </c>
      <c r="CC295" s="509" t="str">
        <f t="shared" si="956"/>
        <v>ĐL6.</v>
      </c>
      <c r="CD295" s="509" t="str">
        <f t="shared" si="984"/>
        <v>ĐL6.11,2</v>
      </c>
      <c r="CE295" s="351" t="str">
        <f t="shared" si="861"/>
        <v/>
      </c>
      <c r="CF295" s="509" t="str">
        <f t="shared" si="957"/>
        <v>ĐL6.</v>
      </c>
      <c r="CG295" s="509"/>
      <c r="CH295" s="509"/>
    </row>
    <row r="296" spans="1:86" ht="24" customHeight="1" x14ac:dyDescent="0.25">
      <c r="A296" s="354" t="e">
        <f>A295</f>
        <v>#REF!</v>
      </c>
      <c r="B296" s="932" t="s">
        <v>544</v>
      </c>
      <c r="C296" s="519" t="s">
        <v>716</v>
      </c>
      <c r="D296" s="447" t="s">
        <v>14</v>
      </c>
      <c r="E296" s="447"/>
      <c r="F296" s="447"/>
      <c r="G296" s="520">
        <v>16.100000000000001</v>
      </c>
      <c r="H296" s="521">
        <v>0.7</v>
      </c>
      <c r="I296" s="522">
        <f t="shared" si="963"/>
        <v>431</v>
      </c>
      <c r="J296" s="522">
        <f t="shared" si="963"/>
        <v>120</v>
      </c>
      <c r="K296" s="522">
        <f t="shared" si="963"/>
        <v>311</v>
      </c>
      <c r="L296" s="57">
        <f>BN296+BR296+BV296+BZ296</f>
        <v>6000</v>
      </c>
      <c r="M296" s="60">
        <v>60</v>
      </c>
      <c r="N296" s="60">
        <v>20</v>
      </c>
      <c r="O296" s="60">
        <f t="shared" si="964"/>
        <v>40</v>
      </c>
      <c r="P296" s="60">
        <v>50</v>
      </c>
      <c r="Q296" s="60">
        <v>10</v>
      </c>
      <c r="R296" s="60">
        <f t="shared" si="965"/>
        <v>40</v>
      </c>
      <c r="S296" s="824">
        <v>75</v>
      </c>
      <c r="T296" s="60">
        <v>20</v>
      </c>
      <c r="U296" s="60">
        <f t="shared" si="966"/>
        <v>55</v>
      </c>
      <c r="V296" s="60">
        <f>M296+P296+S296</f>
        <v>185</v>
      </c>
      <c r="W296" s="60">
        <f>N296+Q296+T296</f>
        <v>50</v>
      </c>
      <c r="X296" s="60">
        <f>O296+R296+U296</f>
        <v>135</v>
      </c>
      <c r="Y296" s="60">
        <v>70</v>
      </c>
      <c r="Z296" s="60">
        <v>20</v>
      </c>
      <c r="AA296" s="60">
        <f t="shared" si="968"/>
        <v>50</v>
      </c>
      <c r="AB296" s="60">
        <v>70</v>
      </c>
      <c r="AC296" s="60">
        <v>20</v>
      </c>
      <c r="AD296" s="60">
        <f t="shared" si="969"/>
        <v>50</v>
      </c>
      <c r="AE296" s="60">
        <v>70</v>
      </c>
      <c r="AF296" s="60">
        <v>20</v>
      </c>
      <c r="AG296" s="60">
        <f t="shared" si="970"/>
        <v>50</v>
      </c>
      <c r="AH296" s="60">
        <f t="shared" si="971"/>
        <v>210</v>
      </c>
      <c r="AI296" s="60">
        <f t="shared" si="972"/>
        <v>60</v>
      </c>
      <c r="AJ296" s="60">
        <f t="shared" si="973"/>
        <v>150</v>
      </c>
      <c r="AK296" s="60">
        <v>36</v>
      </c>
      <c r="AL296" s="60">
        <v>10</v>
      </c>
      <c r="AM296" s="60">
        <f t="shared" ref="AM296:AM301" si="985">AK296-AL296</f>
        <v>26</v>
      </c>
      <c r="AN296" s="60"/>
      <c r="AO296" s="60"/>
      <c r="AP296" s="60">
        <f t="shared" si="974"/>
        <v>0</v>
      </c>
      <c r="AQ296" s="60"/>
      <c r="AR296" s="60"/>
      <c r="AS296" s="60">
        <f t="shared" si="975"/>
        <v>0</v>
      </c>
      <c r="AT296" s="60">
        <f t="shared" si="976"/>
        <v>36</v>
      </c>
      <c r="AU296" s="60">
        <f t="shared" si="977"/>
        <v>10</v>
      </c>
      <c r="AV296" s="60">
        <f t="shared" si="978"/>
        <v>26</v>
      </c>
      <c r="AW296" s="60"/>
      <c r="AX296" s="60"/>
      <c r="AY296" s="60">
        <f t="shared" si="979"/>
        <v>0</v>
      </c>
      <c r="AZ296" s="60"/>
      <c r="BA296" s="60"/>
      <c r="BB296" s="60">
        <f t="shared" si="980"/>
        <v>0</v>
      </c>
      <c r="BC296" s="60"/>
      <c r="BD296" s="60"/>
      <c r="BE296" s="60">
        <f t="shared" si="981"/>
        <v>0</v>
      </c>
      <c r="BF296" s="60">
        <f t="shared" si="982"/>
        <v>0</v>
      </c>
      <c r="BG296" s="60">
        <f t="shared" si="982"/>
        <v>0</v>
      </c>
      <c r="BH296" s="60">
        <f t="shared" si="982"/>
        <v>0</v>
      </c>
      <c r="BI296" s="508"/>
      <c r="BJ296" s="488" t="str">
        <f t="shared" si="859"/>
        <v>Lò</v>
      </c>
      <c r="BK296" s="523">
        <f t="shared" ref="BK296:BK305" si="986">ROUND(O296*G296*$C$3*$B$5,-2)</f>
        <v>800</v>
      </c>
      <c r="BL296" s="523">
        <f t="shared" ref="BL296:BL305" si="987">ROUND(R296*G296*$C$3*$B$5,-2)</f>
        <v>800</v>
      </c>
      <c r="BM296" s="523">
        <f t="shared" ref="BM296:BM305" si="988">ROUND(U296*G296*$C$3*$B$5,-2)</f>
        <v>1100</v>
      </c>
      <c r="BN296" s="523">
        <f t="shared" ref="BN296:BN305" si="989">ROUND(X296*G296*$C$3*$B$5,-2)</f>
        <v>2600</v>
      </c>
      <c r="BO296" s="523">
        <f t="shared" ref="BO296:BO305" si="990">ROUND(AA296*G296*$C$3*$B$5,-2)</f>
        <v>1000</v>
      </c>
      <c r="BP296" s="523">
        <f t="shared" ref="BP296:BP305" si="991">ROUND(AD296*G296*$C$3*$B$5,-2)</f>
        <v>1000</v>
      </c>
      <c r="BQ296" s="523">
        <f t="shared" ref="BQ296:BQ305" si="992">ROUND(AG296*G296*$C$3*$B$5,-2)</f>
        <v>1000</v>
      </c>
      <c r="BR296" s="523">
        <f t="shared" ref="BR296:BR305" si="993">ROUND(AJ296*G296*$B$5*$C$3,-2)</f>
        <v>2900</v>
      </c>
      <c r="BS296" s="523">
        <f t="shared" ref="BS296:BS305" si="994">ROUND(AM296*G296*$C$3*$B$5,-2)</f>
        <v>500</v>
      </c>
      <c r="BT296" s="523">
        <f t="shared" ref="BT296:BT305" si="995">ROUND(AP296*G296*$C$3*$B$5,-2)</f>
        <v>0</v>
      </c>
      <c r="BU296" s="523">
        <f t="shared" ref="BU296:BU305" si="996">ROUND(AS296*G296*$C$3*$B$5,-2)</f>
        <v>0</v>
      </c>
      <c r="BV296" s="523">
        <f t="shared" ref="BV296:BV305" si="997">ROUND(AV296*G296*$C$3*$B$5,-2)</f>
        <v>500</v>
      </c>
      <c r="BW296" s="523">
        <f t="shared" ref="BW296:BW305" si="998">ROUND(AY296*G296*$C$3*$B$5,-2)</f>
        <v>0</v>
      </c>
      <c r="BX296" s="523">
        <f t="shared" ref="BX296:BX305" si="999">ROUND(BB296*G296*$C$3*$B$5,-2)</f>
        <v>0</v>
      </c>
      <c r="BY296" s="523">
        <f t="shared" ref="BY296:BY305" si="1000">ROUND(BE296*G296*$C$3*$B$5,-2)</f>
        <v>0</v>
      </c>
      <c r="BZ296" s="523">
        <f t="shared" ref="BZ296:BZ305" si="1001">ROUND(BH296*G296*$C$3*$B$5,-2)</f>
        <v>0</v>
      </c>
      <c r="CA296" s="354"/>
      <c r="CB296" s="354" t="str">
        <f t="shared" si="983"/>
        <v>X</v>
      </c>
      <c r="CC296" s="509" t="str">
        <f t="shared" si="956"/>
        <v>ĐL6.</v>
      </c>
      <c r="CD296" s="509" t="str">
        <f t="shared" si="984"/>
        <v>ĐL6.16,1</v>
      </c>
      <c r="CE296" s="351" t="str">
        <f t="shared" si="861"/>
        <v>Lò</v>
      </c>
      <c r="CF296" s="509" t="str">
        <f t="shared" si="957"/>
        <v>ĐL6.Lò</v>
      </c>
      <c r="CG296" s="509"/>
      <c r="CH296" s="509"/>
    </row>
    <row r="297" spans="1:86" ht="24" customHeight="1" x14ac:dyDescent="0.25">
      <c r="A297" s="354" t="e">
        <f>A286</f>
        <v>#REF!</v>
      </c>
      <c r="B297" s="933"/>
      <c r="C297" s="519" t="s">
        <v>717</v>
      </c>
      <c r="D297" s="447" t="s">
        <v>14</v>
      </c>
      <c r="E297" s="447"/>
      <c r="F297" s="447"/>
      <c r="G297" s="520">
        <v>8.5</v>
      </c>
      <c r="H297" s="521">
        <v>0.7</v>
      </c>
      <c r="I297" s="522">
        <f t="shared" ref="I297:K307" si="1002">V297+AH297+AT297+BF297</f>
        <v>25</v>
      </c>
      <c r="J297" s="522">
        <f t="shared" si="1002"/>
        <v>0</v>
      </c>
      <c r="K297" s="522">
        <f t="shared" si="1002"/>
        <v>25</v>
      </c>
      <c r="L297" s="57">
        <f t="shared" ref="L297:L307" si="1003">BN297+BR297+BV297+BZ297</f>
        <v>300</v>
      </c>
      <c r="M297" s="60"/>
      <c r="N297" s="60"/>
      <c r="O297" s="60">
        <f t="shared" si="964"/>
        <v>0</v>
      </c>
      <c r="P297" s="60"/>
      <c r="Q297" s="60"/>
      <c r="R297" s="60">
        <f t="shared" si="965"/>
        <v>0</v>
      </c>
      <c r="S297" s="824"/>
      <c r="T297" s="60"/>
      <c r="U297" s="60">
        <f t="shared" si="966"/>
        <v>0</v>
      </c>
      <c r="V297" s="60">
        <f t="shared" ref="V297:X298" si="1004">M297+P297+S297</f>
        <v>0</v>
      </c>
      <c r="W297" s="60">
        <f t="shared" si="1004"/>
        <v>0</v>
      </c>
      <c r="X297" s="60">
        <f t="shared" si="1004"/>
        <v>0</v>
      </c>
      <c r="Y297" s="60"/>
      <c r="Z297" s="60"/>
      <c r="AA297" s="60">
        <f t="shared" si="968"/>
        <v>0</v>
      </c>
      <c r="AB297" s="60"/>
      <c r="AC297" s="60"/>
      <c r="AD297" s="60">
        <f t="shared" si="969"/>
        <v>0</v>
      </c>
      <c r="AE297" s="60"/>
      <c r="AF297" s="60"/>
      <c r="AG297" s="60">
        <f t="shared" si="970"/>
        <v>0</v>
      </c>
      <c r="AH297" s="60">
        <f t="shared" si="971"/>
        <v>0</v>
      </c>
      <c r="AI297" s="60">
        <f t="shared" si="972"/>
        <v>0</v>
      </c>
      <c r="AJ297" s="60">
        <f t="shared" si="973"/>
        <v>0</v>
      </c>
      <c r="AK297" s="60">
        <v>25</v>
      </c>
      <c r="AL297" s="60"/>
      <c r="AM297" s="60">
        <f t="shared" si="985"/>
        <v>25</v>
      </c>
      <c r="AN297" s="60"/>
      <c r="AO297" s="60"/>
      <c r="AP297" s="60">
        <f t="shared" si="974"/>
        <v>0</v>
      </c>
      <c r="AQ297" s="60"/>
      <c r="AR297" s="60"/>
      <c r="AS297" s="60">
        <f t="shared" si="975"/>
        <v>0</v>
      </c>
      <c r="AT297" s="60">
        <f t="shared" si="976"/>
        <v>25</v>
      </c>
      <c r="AU297" s="60">
        <f t="shared" si="977"/>
        <v>0</v>
      </c>
      <c r="AV297" s="60">
        <f t="shared" si="978"/>
        <v>25</v>
      </c>
      <c r="AW297" s="60"/>
      <c r="AX297" s="60"/>
      <c r="AY297" s="60">
        <f t="shared" si="979"/>
        <v>0</v>
      </c>
      <c r="AZ297" s="60"/>
      <c r="BA297" s="60"/>
      <c r="BB297" s="60">
        <f t="shared" si="980"/>
        <v>0</v>
      </c>
      <c r="BC297" s="60"/>
      <c r="BD297" s="60"/>
      <c r="BE297" s="60">
        <f t="shared" si="981"/>
        <v>0</v>
      </c>
      <c r="BF297" s="60">
        <f t="shared" si="982"/>
        <v>0</v>
      </c>
      <c r="BG297" s="60">
        <f t="shared" si="982"/>
        <v>0</v>
      </c>
      <c r="BH297" s="60">
        <f t="shared" si="982"/>
        <v>0</v>
      </c>
      <c r="BI297" s="508"/>
      <c r="BJ297" s="488" t="str">
        <f t="shared" si="859"/>
        <v>Lò</v>
      </c>
      <c r="BK297" s="523">
        <f t="shared" si="986"/>
        <v>0</v>
      </c>
      <c r="BL297" s="523">
        <f t="shared" si="987"/>
        <v>0</v>
      </c>
      <c r="BM297" s="523">
        <f t="shared" si="988"/>
        <v>0</v>
      </c>
      <c r="BN297" s="523">
        <f t="shared" si="989"/>
        <v>0</v>
      </c>
      <c r="BO297" s="523">
        <f t="shared" si="990"/>
        <v>0</v>
      </c>
      <c r="BP297" s="523">
        <f t="shared" si="991"/>
        <v>0</v>
      </c>
      <c r="BQ297" s="523">
        <f t="shared" si="992"/>
        <v>0</v>
      </c>
      <c r="BR297" s="523">
        <f t="shared" si="993"/>
        <v>0</v>
      </c>
      <c r="BS297" s="523">
        <f t="shared" si="994"/>
        <v>300</v>
      </c>
      <c r="BT297" s="523">
        <f t="shared" si="995"/>
        <v>0</v>
      </c>
      <c r="BU297" s="523">
        <f t="shared" si="996"/>
        <v>0</v>
      </c>
      <c r="BV297" s="523">
        <f t="shared" si="997"/>
        <v>300</v>
      </c>
      <c r="BW297" s="523">
        <f t="shared" si="998"/>
        <v>0</v>
      </c>
      <c r="BX297" s="523">
        <f t="shared" si="999"/>
        <v>0</v>
      </c>
      <c r="BY297" s="523">
        <f t="shared" si="1000"/>
        <v>0</v>
      </c>
      <c r="BZ297" s="523">
        <f t="shared" si="1001"/>
        <v>0</v>
      </c>
      <c r="CA297" s="354"/>
      <c r="CB297" s="354" t="str">
        <f t="shared" si="983"/>
        <v>X</v>
      </c>
      <c r="CC297" s="509" t="str">
        <f t="shared" si="956"/>
        <v>ĐL6.</v>
      </c>
      <c r="CD297" s="509" t="str">
        <f t="shared" si="984"/>
        <v>ĐL6.8,5</v>
      </c>
      <c r="CE297" s="351" t="str">
        <f t="shared" si="861"/>
        <v>Lò</v>
      </c>
      <c r="CF297" s="509" t="str">
        <f t="shared" ref="CF297:CF307" si="1005">CC297&amp;CE297</f>
        <v>ĐL6.Lò</v>
      </c>
      <c r="CG297" s="509"/>
      <c r="CH297" s="509"/>
    </row>
    <row r="298" spans="1:86" ht="24" customHeight="1" x14ac:dyDescent="0.25">
      <c r="A298" s="354" t="e">
        <f>A297</f>
        <v>#REF!</v>
      </c>
      <c r="B298" s="933"/>
      <c r="C298" s="519" t="s">
        <v>718</v>
      </c>
      <c r="D298" s="447" t="s">
        <v>14</v>
      </c>
      <c r="E298" s="447"/>
      <c r="F298" s="447"/>
      <c r="G298" s="520">
        <v>8.5</v>
      </c>
      <c r="H298" s="521">
        <v>0.7</v>
      </c>
      <c r="I298" s="522">
        <f t="shared" si="1002"/>
        <v>80</v>
      </c>
      <c r="J298" s="522">
        <f t="shared" si="1002"/>
        <v>5</v>
      </c>
      <c r="K298" s="522">
        <f t="shared" si="1002"/>
        <v>75</v>
      </c>
      <c r="L298" s="57">
        <f t="shared" si="1003"/>
        <v>800</v>
      </c>
      <c r="M298" s="60"/>
      <c r="N298" s="60"/>
      <c r="O298" s="60">
        <f t="shared" si="964"/>
        <v>0</v>
      </c>
      <c r="P298" s="60"/>
      <c r="Q298" s="60"/>
      <c r="R298" s="60">
        <f t="shared" si="965"/>
        <v>0</v>
      </c>
      <c r="S298" s="824"/>
      <c r="T298" s="60"/>
      <c r="U298" s="60">
        <f t="shared" si="966"/>
        <v>0</v>
      </c>
      <c r="V298" s="60">
        <f t="shared" si="1004"/>
        <v>0</v>
      </c>
      <c r="W298" s="60">
        <f t="shared" si="1004"/>
        <v>0</v>
      </c>
      <c r="X298" s="60">
        <f t="shared" si="1004"/>
        <v>0</v>
      </c>
      <c r="Y298" s="60"/>
      <c r="Z298" s="60"/>
      <c r="AA298" s="60">
        <f t="shared" si="968"/>
        <v>0</v>
      </c>
      <c r="AB298" s="60"/>
      <c r="AC298" s="60"/>
      <c r="AD298" s="60">
        <f t="shared" si="969"/>
        <v>0</v>
      </c>
      <c r="AE298" s="60"/>
      <c r="AF298" s="60"/>
      <c r="AG298" s="60">
        <f t="shared" si="970"/>
        <v>0</v>
      </c>
      <c r="AH298" s="60">
        <f t="shared" si="971"/>
        <v>0</v>
      </c>
      <c r="AI298" s="60">
        <f t="shared" si="972"/>
        <v>0</v>
      </c>
      <c r="AJ298" s="60">
        <f t="shared" si="973"/>
        <v>0</v>
      </c>
      <c r="AK298" s="60"/>
      <c r="AL298" s="60"/>
      <c r="AM298" s="60">
        <f t="shared" si="985"/>
        <v>0</v>
      </c>
      <c r="AN298" s="60">
        <v>75</v>
      </c>
      <c r="AO298" s="60">
        <v>5</v>
      </c>
      <c r="AP298" s="60">
        <f t="shared" si="974"/>
        <v>70</v>
      </c>
      <c r="AQ298" s="60">
        <v>5</v>
      </c>
      <c r="AR298" s="60">
        <v>0</v>
      </c>
      <c r="AS298" s="60">
        <f t="shared" si="975"/>
        <v>5</v>
      </c>
      <c r="AT298" s="60">
        <f t="shared" si="976"/>
        <v>80</v>
      </c>
      <c r="AU298" s="60">
        <f t="shared" si="977"/>
        <v>5</v>
      </c>
      <c r="AV298" s="60">
        <f t="shared" si="978"/>
        <v>75</v>
      </c>
      <c r="AW298" s="60"/>
      <c r="AX298" s="60"/>
      <c r="AY298" s="60">
        <f t="shared" si="979"/>
        <v>0</v>
      </c>
      <c r="AZ298" s="60"/>
      <c r="BA298" s="60"/>
      <c r="BB298" s="60">
        <f t="shared" si="980"/>
        <v>0</v>
      </c>
      <c r="BC298" s="60"/>
      <c r="BD298" s="60"/>
      <c r="BE298" s="60">
        <f t="shared" si="981"/>
        <v>0</v>
      </c>
      <c r="BF298" s="60">
        <f t="shared" ref="BF298:BH301" si="1006">AW298+AZ298+BC298</f>
        <v>0</v>
      </c>
      <c r="BG298" s="60">
        <f t="shared" si="1006"/>
        <v>0</v>
      </c>
      <c r="BH298" s="60">
        <f t="shared" si="1006"/>
        <v>0</v>
      </c>
      <c r="BI298" s="508"/>
      <c r="BJ298" s="488" t="str">
        <f t="shared" si="859"/>
        <v>Lò</v>
      </c>
      <c r="BK298" s="523">
        <f t="shared" si="986"/>
        <v>0</v>
      </c>
      <c r="BL298" s="523">
        <f t="shared" si="987"/>
        <v>0</v>
      </c>
      <c r="BM298" s="523">
        <f t="shared" si="988"/>
        <v>0</v>
      </c>
      <c r="BN298" s="523">
        <f t="shared" si="989"/>
        <v>0</v>
      </c>
      <c r="BO298" s="523">
        <f t="shared" si="990"/>
        <v>0</v>
      </c>
      <c r="BP298" s="523">
        <f t="shared" si="991"/>
        <v>0</v>
      </c>
      <c r="BQ298" s="523">
        <f t="shared" si="992"/>
        <v>0</v>
      </c>
      <c r="BR298" s="523">
        <f t="shared" si="993"/>
        <v>0</v>
      </c>
      <c r="BS298" s="523">
        <f t="shared" si="994"/>
        <v>0</v>
      </c>
      <c r="BT298" s="523">
        <f t="shared" si="995"/>
        <v>700</v>
      </c>
      <c r="BU298" s="523">
        <f t="shared" si="996"/>
        <v>100</v>
      </c>
      <c r="BV298" s="523">
        <f t="shared" si="997"/>
        <v>800</v>
      </c>
      <c r="BW298" s="523">
        <f t="shared" si="998"/>
        <v>0</v>
      </c>
      <c r="BX298" s="523">
        <f t="shared" si="999"/>
        <v>0</v>
      </c>
      <c r="BY298" s="523">
        <f t="shared" si="1000"/>
        <v>0</v>
      </c>
      <c r="BZ298" s="523">
        <f t="shared" si="1001"/>
        <v>0</v>
      </c>
      <c r="CA298" s="354"/>
      <c r="CB298" s="354" t="str">
        <f t="shared" si="983"/>
        <v>X</v>
      </c>
      <c r="CC298" s="509" t="str">
        <f t="shared" si="956"/>
        <v>ĐL6.</v>
      </c>
      <c r="CD298" s="509" t="str">
        <f t="shared" si="984"/>
        <v>ĐL6.8,5</v>
      </c>
      <c r="CE298" s="351" t="str">
        <f t="shared" si="861"/>
        <v>Lò</v>
      </c>
      <c r="CF298" s="509" t="str">
        <f t="shared" si="1005"/>
        <v>ĐL6.Lò</v>
      </c>
      <c r="CG298" s="509"/>
      <c r="CH298" s="509"/>
    </row>
    <row r="299" spans="1:86" ht="24" customHeight="1" x14ac:dyDescent="0.25">
      <c r="A299" s="354" t="e">
        <f>A288</f>
        <v>#REF!</v>
      </c>
      <c r="B299" s="933"/>
      <c r="C299" s="519" t="s">
        <v>719</v>
      </c>
      <c r="D299" s="447" t="s">
        <v>14</v>
      </c>
      <c r="E299" s="447"/>
      <c r="F299" s="447"/>
      <c r="G299" s="520">
        <v>8.5</v>
      </c>
      <c r="H299" s="521">
        <v>0.7</v>
      </c>
      <c r="I299" s="522">
        <f t="shared" ref="I299:K301" si="1007">V299+AH299+AT299+BF299</f>
        <v>60</v>
      </c>
      <c r="J299" s="522">
        <f t="shared" si="1007"/>
        <v>10</v>
      </c>
      <c r="K299" s="522">
        <f t="shared" si="1007"/>
        <v>50</v>
      </c>
      <c r="L299" s="57">
        <f>BN299+BR299+BV299+BZ299</f>
        <v>500</v>
      </c>
      <c r="M299" s="60"/>
      <c r="N299" s="60"/>
      <c r="O299" s="60">
        <f t="shared" si="964"/>
        <v>0</v>
      </c>
      <c r="P299" s="60"/>
      <c r="Q299" s="60"/>
      <c r="R299" s="60">
        <f t="shared" si="965"/>
        <v>0</v>
      </c>
      <c r="S299" s="824"/>
      <c r="T299" s="60"/>
      <c r="U299" s="60">
        <f t="shared" si="966"/>
        <v>0</v>
      </c>
      <c r="V299" s="60">
        <f t="shared" ref="V299:X303" si="1008">M299+P299+S299</f>
        <v>0</v>
      </c>
      <c r="W299" s="60">
        <f t="shared" si="1008"/>
        <v>0</v>
      </c>
      <c r="X299" s="60">
        <f t="shared" si="1008"/>
        <v>0</v>
      </c>
      <c r="Y299" s="60"/>
      <c r="Z299" s="60"/>
      <c r="AA299" s="60">
        <f t="shared" si="968"/>
        <v>0</v>
      </c>
      <c r="AB299" s="60"/>
      <c r="AC299" s="60"/>
      <c r="AD299" s="60">
        <f t="shared" si="969"/>
        <v>0</v>
      </c>
      <c r="AE299" s="60"/>
      <c r="AF299" s="60"/>
      <c r="AG299" s="60">
        <f t="shared" si="970"/>
        <v>0</v>
      </c>
      <c r="AH299" s="60">
        <f t="shared" si="971"/>
        <v>0</v>
      </c>
      <c r="AI299" s="60">
        <f t="shared" si="972"/>
        <v>0</v>
      </c>
      <c r="AJ299" s="60">
        <f t="shared" si="973"/>
        <v>0</v>
      </c>
      <c r="AK299" s="60"/>
      <c r="AL299" s="60"/>
      <c r="AM299" s="60">
        <f t="shared" si="985"/>
        <v>0</v>
      </c>
      <c r="AN299" s="60"/>
      <c r="AO299" s="60"/>
      <c r="AP299" s="60">
        <f t="shared" si="974"/>
        <v>0</v>
      </c>
      <c r="AQ299" s="60">
        <v>60</v>
      </c>
      <c r="AR299" s="60">
        <v>10</v>
      </c>
      <c r="AS299" s="60">
        <f t="shared" si="975"/>
        <v>50</v>
      </c>
      <c r="AT299" s="60">
        <f t="shared" si="976"/>
        <v>60</v>
      </c>
      <c r="AU299" s="60">
        <f t="shared" si="977"/>
        <v>10</v>
      </c>
      <c r="AV299" s="60">
        <f t="shared" si="978"/>
        <v>50</v>
      </c>
      <c r="AW299" s="60"/>
      <c r="AX299" s="60"/>
      <c r="AY299" s="60">
        <f t="shared" si="979"/>
        <v>0</v>
      </c>
      <c r="AZ299" s="60"/>
      <c r="BA299" s="60"/>
      <c r="BB299" s="60">
        <f t="shared" si="980"/>
        <v>0</v>
      </c>
      <c r="BC299" s="60"/>
      <c r="BD299" s="60"/>
      <c r="BE299" s="60">
        <f t="shared" si="981"/>
        <v>0</v>
      </c>
      <c r="BF299" s="60">
        <f t="shared" si="1006"/>
        <v>0</v>
      </c>
      <c r="BG299" s="60">
        <f t="shared" si="1006"/>
        <v>0</v>
      </c>
      <c r="BH299" s="60">
        <f t="shared" si="1006"/>
        <v>0</v>
      </c>
      <c r="BI299" s="508"/>
      <c r="BJ299" s="488" t="str">
        <f t="shared" si="859"/>
        <v>Lò</v>
      </c>
      <c r="BK299" s="523">
        <f>ROUND(O299*G299*$C$3*$B$5,-2)</f>
        <v>0</v>
      </c>
      <c r="BL299" s="523">
        <f>ROUND(R299*G299*$C$3*$B$5,-2)</f>
        <v>0</v>
      </c>
      <c r="BM299" s="523">
        <f>ROUND(U299*G299*$C$3*$B$5,-2)</f>
        <v>0</v>
      </c>
      <c r="BN299" s="523">
        <f>ROUND(X299*G299*$C$3*$B$5,-2)</f>
        <v>0</v>
      </c>
      <c r="BO299" s="523">
        <f>ROUND(AA299*G299*$C$3*$B$5,-2)</f>
        <v>0</v>
      </c>
      <c r="BP299" s="523">
        <f>ROUND(AD299*G299*$C$3*$B$5,-2)</f>
        <v>0</v>
      </c>
      <c r="BQ299" s="523">
        <f>ROUND(AG299*G299*$C$3*$B$5,-2)</f>
        <v>0</v>
      </c>
      <c r="BR299" s="523">
        <f>ROUND(AJ299*G299*$B$5*$C$3,-2)</f>
        <v>0</v>
      </c>
      <c r="BS299" s="523">
        <f>ROUND(AM299*G299*$C$3*$B$5,-2)</f>
        <v>0</v>
      </c>
      <c r="BT299" s="523">
        <f>ROUND(AP299*G299*$C$3*$B$5,-2)</f>
        <v>0</v>
      </c>
      <c r="BU299" s="523">
        <f>ROUND(AS299*G299*$C$3*$B$5,-2)</f>
        <v>500</v>
      </c>
      <c r="BV299" s="523">
        <f>ROUND(AV299*G299*$C$3*$B$5,-2)</f>
        <v>500</v>
      </c>
      <c r="BW299" s="523">
        <f>ROUND(AY299*G299*$C$3*$B$5,-2)</f>
        <v>0</v>
      </c>
      <c r="BX299" s="523">
        <f>ROUND(BB299*G299*$C$3*$B$5,-2)</f>
        <v>0</v>
      </c>
      <c r="BY299" s="523">
        <f>ROUND(BE299*G299*$C$3*$B$5,-2)</f>
        <v>0</v>
      </c>
      <c r="BZ299" s="523">
        <f>ROUND(BH299*G299*$C$3*$B$5,-2)</f>
        <v>0</v>
      </c>
      <c r="CA299" s="354"/>
      <c r="CB299" s="354" t="str">
        <f>IF(SUM(I299:L299)&lt;&gt;0,"X")</f>
        <v>X</v>
      </c>
      <c r="CC299" s="509" t="str">
        <f t="shared" si="956"/>
        <v>ĐL6.</v>
      </c>
      <c r="CD299" s="509" t="str">
        <f>CC299&amp;G299</f>
        <v>ĐL6.8,5</v>
      </c>
      <c r="CE299" s="351" t="str">
        <f t="shared" si="861"/>
        <v>Lò</v>
      </c>
      <c r="CF299" s="509" t="str">
        <f>CC299&amp;CE299</f>
        <v>ĐL6.Lò</v>
      </c>
      <c r="CG299" s="509"/>
      <c r="CH299" s="509"/>
    </row>
    <row r="300" spans="1:86" ht="24" customHeight="1" x14ac:dyDescent="0.25">
      <c r="A300" s="354" t="e">
        <f>A289</f>
        <v>#REF!</v>
      </c>
      <c r="B300" s="933"/>
      <c r="C300" s="519" t="s">
        <v>720</v>
      </c>
      <c r="D300" s="447" t="s">
        <v>207</v>
      </c>
      <c r="E300" s="447" t="s">
        <v>207</v>
      </c>
      <c r="F300" s="447"/>
      <c r="G300" s="520">
        <v>11.2</v>
      </c>
      <c r="H300" s="521">
        <v>0.7</v>
      </c>
      <c r="I300" s="522">
        <f t="shared" si="1007"/>
        <v>210</v>
      </c>
      <c r="J300" s="522">
        <f t="shared" si="1007"/>
        <v>65</v>
      </c>
      <c r="K300" s="522">
        <f t="shared" si="1007"/>
        <v>145</v>
      </c>
      <c r="L300" s="57">
        <f>BN300+BR300+BV300+BZ300</f>
        <v>1900</v>
      </c>
      <c r="M300" s="60"/>
      <c r="N300" s="60"/>
      <c r="O300" s="60">
        <f t="shared" si="964"/>
        <v>0</v>
      </c>
      <c r="P300" s="60"/>
      <c r="Q300" s="60"/>
      <c r="R300" s="60">
        <f t="shared" si="965"/>
        <v>0</v>
      </c>
      <c r="S300" s="824"/>
      <c r="T300" s="60"/>
      <c r="U300" s="60">
        <f t="shared" si="966"/>
        <v>0</v>
      </c>
      <c r="V300" s="60">
        <f t="shared" si="1008"/>
        <v>0</v>
      </c>
      <c r="W300" s="60">
        <f t="shared" si="1008"/>
        <v>0</v>
      </c>
      <c r="X300" s="60">
        <f t="shared" si="1008"/>
        <v>0</v>
      </c>
      <c r="Y300" s="60"/>
      <c r="Z300" s="60"/>
      <c r="AA300" s="60">
        <f t="shared" si="968"/>
        <v>0</v>
      </c>
      <c r="AB300" s="60"/>
      <c r="AC300" s="60"/>
      <c r="AD300" s="60">
        <f t="shared" si="969"/>
        <v>0</v>
      </c>
      <c r="AE300" s="60"/>
      <c r="AF300" s="60"/>
      <c r="AG300" s="60">
        <f t="shared" si="970"/>
        <v>0</v>
      </c>
      <c r="AH300" s="60">
        <f t="shared" si="971"/>
        <v>0</v>
      </c>
      <c r="AI300" s="60">
        <f t="shared" si="972"/>
        <v>0</v>
      </c>
      <c r="AJ300" s="60">
        <f t="shared" si="973"/>
        <v>0</v>
      </c>
      <c r="AK300" s="60"/>
      <c r="AL300" s="60"/>
      <c r="AM300" s="60">
        <f t="shared" si="985"/>
        <v>0</v>
      </c>
      <c r="AN300" s="60"/>
      <c r="AO300" s="60"/>
      <c r="AP300" s="60">
        <f t="shared" si="974"/>
        <v>0</v>
      </c>
      <c r="AQ300" s="60"/>
      <c r="AR300" s="60"/>
      <c r="AS300" s="60">
        <f t="shared" si="975"/>
        <v>0</v>
      </c>
      <c r="AT300" s="60">
        <f t="shared" si="976"/>
        <v>0</v>
      </c>
      <c r="AU300" s="60">
        <f t="shared" si="977"/>
        <v>0</v>
      </c>
      <c r="AV300" s="60">
        <f t="shared" si="978"/>
        <v>0</v>
      </c>
      <c r="AW300" s="60">
        <v>75</v>
      </c>
      <c r="AX300" s="60">
        <v>30</v>
      </c>
      <c r="AY300" s="60">
        <f t="shared" si="979"/>
        <v>45</v>
      </c>
      <c r="AZ300" s="60">
        <v>75</v>
      </c>
      <c r="BA300" s="60">
        <v>20</v>
      </c>
      <c r="BB300" s="60">
        <f t="shared" si="980"/>
        <v>55</v>
      </c>
      <c r="BC300" s="60">
        <v>60</v>
      </c>
      <c r="BD300" s="60">
        <v>15</v>
      </c>
      <c r="BE300" s="60">
        <f t="shared" si="981"/>
        <v>45</v>
      </c>
      <c r="BF300" s="60">
        <f t="shared" si="1006"/>
        <v>210</v>
      </c>
      <c r="BG300" s="60">
        <f t="shared" si="1006"/>
        <v>65</v>
      </c>
      <c r="BH300" s="60">
        <f t="shared" si="1006"/>
        <v>145</v>
      </c>
      <c r="BI300" s="508"/>
      <c r="BJ300" s="488" t="str">
        <f t="shared" si="859"/>
        <v>Lò</v>
      </c>
      <c r="BK300" s="523">
        <f>ROUND(O300*G300*$C$3*$B$5,-2)</f>
        <v>0</v>
      </c>
      <c r="BL300" s="523">
        <f>ROUND(R300*G300*$C$3*$B$5,-2)</f>
        <v>0</v>
      </c>
      <c r="BM300" s="523">
        <f>ROUND(U300*G300*$C$3*$B$5,-2)</f>
        <v>0</v>
      </c>
      <c r="BN300" s="523">
        <f>ROUND(X300*G300*$C$3*$B$5,-2)</f>
        <v>0</v>
      </c>
      <c r="BO300" s="523">
        <f>ROUND(AA300*G300*$C$3*$B$5,-2)</f>
        <v>0</v>
      </c>
      <c r="BP300" s="523">
        <f>ROUND(AD300*G300*$C$3*$B$5,-2)</f>
        <v>0</v>
      </c>
      <c r="BQ300" s="523">
        <f>ROUND(AG300*G300*$C$3*$B$5,-2)</f>
        <v>0</v>
      </c>
      <c r="BR300" s="523">
        <f>ROUND(AJ300*G300*$B$5*$C$3,-2)</f>
        <v>0</v>
      </c>
      <c r="BS300" s="523">
        <f>ROUND(AM300*G300*$C$3*$B$5,-2)</f>
        <v>0</v>
      </c>
      <c r="BT300" s="523">
        <f>ROUND(AP300*G300*$C$3*$B$5,-2)</f>
        <v>0</v>
      </c>
      <c r="BU300" s="523">
        <f>ROUND(AS300*G300*$C$3*$B$5,-2)</f>
        <v>0</v>
      </c>
      <c r="BV300" s="523">
        <f>ROUND(AV300*G300*$C$3*$B$5,-2)</f>
        <v>0</v>
      </c>
      <c r="BW300" s="523">
        <f>ROUND(AY300*G300*$C$3*$B$5,-2)</f>
        <v>600</v>
      </c>
      <c r="BX300" s="523">
        <f>ROUND(BB300*G300*$C$3*$B$5,-2)</f>
        <v>700</v>
      </c>
      <c r="BY300" s="523">
        <f>ROUND(BE300*G300*$C$3*$B$5,-2)</f>
        <v>600</v>
      </c>
      <c r="BZ300" s="523">
        <f>ROUND(BH300*G300*$C$3*$B$5,-2)</f>
        <v>1900</v>
      </c>
      <c r="CA300" s="354"/>
      <c r="CB300" s="354" t="str">
        <f>IF(SUM(I300:L300)&lt;&gt;0,"X")</f>
        <v>X</v>
      </c>
      <c r="CC300" s="509" t="str">
        <f t="shared" si="956"/>
        <v>ĐL6.</v>
      </c>
      <c r="CD300" s="509" t="str">
        <f>CC300&amp;G300</f>
        <v>ĐL6.11,2</v>
      </c>
      <c r="CE300" s="351" t="str">
        <f t="shared" si="861"/>
        <v>Lò</v>
      </c>
      <c r="CF300" s="509" t="str">
        <f>CC300&amp;CE300</f>
        <v>ĐL6.Lò</v>
      </c>
      <c r="CG300" s="509"/>
      <c r="CH300" s="509"/>
    </row>
    <row r="301" spans="1:86" ht="24" customHeight="1" x14ac:dyDescent="0.25">
      <c r="A301" s="354" t="e">
        <f>A290</f>
        <v>#REF!</v>
      </c>
      <c r="B301" s="934"/>
      <c r="C301" s="519" t="s">
        <v>721</v>
      </c>
      <c r="D301" s="447" t="s">
        <v>207</v>
      </c>
      <c r="E301" s="447" t="s">
        <v>207</v>
      </c>
      <c r="F301" s="447"/>
      <c r="G301" s="520">
        <v>11.2</v>
      </c>
      <c r="H301" s="521">
        <v>0.7</v>
      </c>
      <c r="I301" s="522">
        <f t="shared" si="1007"/>
        <v>0</v>
      </c>
      <c r="J301" s="522">
        <f t="shared" si="1007"/>
        <v>0</v>
      </c>
      <c r="K301" s="522">
        <f t="shared" si="1007"/>
        <v>0</v>
      </c>
      <c r="L301" s="57">
        <f>BN301+BR301+BV301+BZ301</f>
        <v>0</v>
      </c>
      <c r="M301" s="60"/>
      <c r="N301" s="60"/>
      <c r="O301" s="60">
        <f t="shared" si="964"/>
        <v>0</v>
      </c>
      <c r="P301" s="60"/>
      <c r="Q301" s="60"/>
      <c r="R301" s="60">
        <f t="shared" si="965"/>
        <v>0</v>
      </c>
      <c r="S301" s="824"/>
      <c r="T301" s="60"/>
      <c r="U301" s="60">
        <f t="shared" si="966"/>
        <v>0</v>
      </c>
      <c r="V301" s="60">
        <f t="shared" si="1008"/>
        <v>0</v>
      </c>
      <c r="W301" s="60">
        <f t="shared" si="1008"/>
        <v>0</v>
      </c>
      <c r="X301" s="60">
        <f t="shared" si="1008"/>
        <v>0</v>
      </c>
      <c r="Y301" s="60"/>
      <c r="Z301" s="60"/>
      <c r="AA301" s="60">
        <f t="shared" si="968"/>
        <v>0</v>
      </c>
      <c r="AB301" s="60"/>
      <c r="AC301" s="60"/>
      <c r="AD301" s="60">
        <f t="shared" si="969"/>
        <v>0</v>
      </c>
      <c r="AE301" s="60"/>
      <c r="AF301" s="60"/>
      <c r="AG301" s="60">
        <f t="shared" si="970"/>
        <v>0</v>
      </c>
      <c r="AH301" s="60">
        <f t="shared" si="971"/>
        <v>0</v>
      </c>
      <c r="AI301" s="60">
        <f t="shared" si="972"/>
        <v>0</v>
      </c>
      <c r="AJ301" s="60">
        <f t="shared" si="973"/>
        <v>0</v>
      </c>
      <c r="AK301" s="60"/>
      <c r="AL301" s="60"/>
      <c r="AM301" s="60">
        <f t="shared" si="985"/>
        <v>0</v>
      </c>
      <c r="AN301" s="60"/>
      <c r="AO301" s="60"/>
      <c r="AP301" s="60">
        <f t="shared" si="974"/>
        <v>0</v>
      </c>
      <c r="AQ301" s="60"/>
      <c r="AR301" s="60"/>
      <c r="AS301" s="60">
        <f t="shared" si="975"/>
        <v>0</v>
      </c>
      <c r="AT301" s="60">
        <f t="shared" si="976"/>
        <v>0</v>
      </c>
      <c r="AU301" s="60">
        <f t="shared" si="977"/>
        <v>0</v>
      </c>
      <c r="AV301" s="60">
        <f t="shared" si="978"/>
        <v>0</v>
      </c>
      <c r="AW301" s="60"/>
      <c r="AX301" s="60"/>
      <c r="AY301" s="60">
        <f t="shared" si="979"/>
        <v>0</v>
      </c>
      <c r="AZ301" s="60"/>
      <c r="BA301" s="60"/>
      <c r="BB301" s="60">
        <f t="shared" si="980"/>
        <v>0</v>
      </c>
      <c r="BC301" s="60"/>
      <c r="BD301" s="60"/>
      <c r="BE301" s="60">
        <f t="shared" si="981"/>
        <v>0</v>
      </c>
      <c r="BF301" s="60">
        <f t="shared" si="1006"/>
        <v>0</v>
      </c>
      <c r="BG301" s="60">
        <f t="shared" si="1006"/>
        <v>0</v>
      </c>
      <c r="BH301" s="60">
        <f t="shared" si="1006"/>
        <v>0</v>
      </c>
      <c r="BI301" s="508"/>
      <c r="BJ301" s="488" t="str">
        <f t="shared" si="859"/>
        <v>Lò</v>
      </c>
      <c r="BK301" s="523">
        <f>ROUND(O301*G301*$C$3*$B$5,-2)</f>
        <v>0</v>
      </c>
      <c r="BL301" s="523">
        <f>ROUND(R301*G301*$C$3*$B$5,-2)</f>
        <v>0</v>
      </c>
      <c r="BM301" s="523">
        <f>ROUND(U301*G301*$C$3*$B$5,-2)</f>
        <v>0</v>
      </c>
      <c r="BN301" s="523">
        <f>ROUND(X301*G301*$C$3*$B$5,-2)</f>
        <v>0</v>
      </c>
      <c r="BO301" s="523">
        <f>ROUND(AA301*G301*$C$3*$B$5,-2)</f>
        <v>0</v>
      </c>
      <c r="BP301" s="523">
        <f>ROUND(AD301*G301*$C$3*$B$5,-2)</f>
        <v>0</v>
      </c>
      <c r="BQ301" s="523">
        <f>ROUND(AG301*G301*$C$3*$B$5,-2)</f>
        <v>0</v>
      </c>
      <c r="BR301" s="523">
        <f>ROUND(AJ301*G301*$B$5*$C$3,-2)</f>
        <v>0</v>
      </c>
      <c r="BS301" s="523">
        <f>ROUND(AM301*G301*$C$3*$B$5,-2)</f>
        <v>0</v>
      </c>
      <c r="BT301" s="523">
        <f>ROUND(AP301*G301*$C$3*$B$5,-2)</f>
        <v>0</v>
      </c>
      <c r="BU301" s="523">
        <f>ROUND(AS301*G301*$C$3*$B$5,-2)</f>
        <v>0</v>
      </c>
      <c r="BV301" s="523">
        <f>ROUND(AV301*G301*$C$3*$B$5,-2)</f>
        <v>0</v>
      </c>
      <c r="BW301" s="523">
        <f>ROUND(AY301*G301*$C$3*$B$5,-2)</f>
        <v>0</v>
      </c>
      <c r="BX301" s="523">
        <f>ROUND(BB301*G301*$C$3*$B$5,-2)</f>
        <v>0</v>
      </c>
      <c r="BY301" s="523">
        <f>ROUND(BE301*G301*$C$3*$B$5,-2)</f>
        <v>0</v>
      </c>
      <c r="BZ301" s="523">
        <f>ROUND(BH301*G301*$C$3*$B$5,-2)</f>
        <v>0</v>
      </c>
      <c r="CA301" s="354"/>
      <c r="CB301" s="354" t="b">
        <f>IF(SUM(I301:L301)&lt;&gt;0,"X")</f>
        <v>0</v>
      </c>
      <c r="CC301" s="509" t="str">
        <f t="shared" si="956"/>
        <v>ĐL6.</v>
      </c>
      <c r="CD301" s="509" t="str">
        <f>CC301&amp;G301</f>
        <v>ĐL6.11,2</v>
      </c>
      <c r="CE301" s="351" t="str">
        <f t="shared" si="861"/>
        <v>Lò</v>
      </c>
      <c r="CF301" s="509" t="str">
        <f>CC301&amp;CE301</f>
        <v>ĐL6.Lò</v>
      </c>
      <c r="CG301" s="509"/>
      <c r="CH301" s="509"/>
    </row>
    <row r="302" spans="1:86" ht="24" customHeight="1" x14ac:dyDescent="0.25">
      <c r="A302" s="354" t="e">
        <f>A291</f>
        <v>#REF!</v>
      </c>
      <c r="B302" s="932" t="s">
        <v>545</v>
      </c>
      <c r="C302" s="519" t="s">
        <v>722</v>
      </c>
      <c r="D302" s="447" t="s">
        <v>14</v>
      </c>
      <c r="E302" s="447"/>
      <c r="F302" s="447"/>
      <c r="G302" s="520">
        <v>16.100000000000001</v>
      </c>
      <c r="H302" s="521">
        <v>0.7</v>
      </c>
      <c r="I302" s="522">
        <f t="shared" si="1002"/>
        <v>325</v>
      </c>
      <c r="J302" s="522">
        <f t="shared" si="1002"/>
        <v>20</v>
      </c>
      <c r="K302" s="522">
        <f t="shared" si="1002"/>
        <v>305</v>
      </c>
      <c r="L302" s="57">
        <f t="shared" si="1003"/>
        <v>5900</v>
      </c>
      <c r="M302" s="60">
        <v>70</v>
      </c>
      <c r="N302" s="60">
        <v>20</v>
      </c>
      <c r="O302" s="60">
        <f t="shared" ref="O302:O308" si="1009">M302-N302</f>
        <v>50</v>
      </c>
      <c r="P302" s="60">
        <v>60</v>
      </c>
      <c r="Q302" s="60"/>
      <c r="R302" s="60">
        <f t="shared" ref="R302:R308" si="1010">P302-Q302</f>
        <v>60</v>
      </c>
      <c r="S302" s="824">
        <v>70</v>
      </c>
      <c r="T302" s="60"/>
      <c r="U302" s="60">
        <f t="shared" ref="U302:U308" si="1011">S302-T302</f>
        <v>70</v>
      </c>
      <c r="V302" s="60">
        <f t="shared" si="1008"/>
        <v>200</v>
      </c>
      <c r="W302" s="60">
        <f t="shared" si="1008"/>
        <v>20</v>
      </c>
      <c r="X302" s="60">
        <f t="shared" si="1008"/>
        <v>180</v>
      </c>
      <c r="Y302" s="60">
        <v>75</v>
      </c>
      <c r="Z302" s="60"/>
      <c r="AA302" s="60">
        <f t="shared" ref="AA302:AA308" si="1012">Y302-Z302</f>
        <v>75</v>
      </c>
      <c r="AB302" s="60">
        <v>50</v>
      </c>
      <c r="AC302" s="60"/>
      <c r="AD302" s="60">
        <f t="shared" ref="AD302:AD308" si="1013">AB302-AC302</f>
        <v>50</v>
      </c>
      <c r="AE302" s="60"/>
      <c r="AF302" s="60"/>
      <c r="AG302" s="60">
        <f t="shared" ref="AG302:AG308" si="1014">AE302-AF302</f>
        <v>0</v>
      </c>
      <c r="AH302" s="60">
        <f t="shared" si="971"/>
        <v>125</v>
      </c>
      <c r="AI302" s="60">
        <f t="shared" si="972"/>
        <v>0</v>
      </c>
      <c r="AJ302" s="60">
        <f t="shared" si="973"/>
        <v>125</v>
      </c>
      <c r="AK302" s="60"/>
      <c r="AL302" s="60"/>
      <c r="AM302" s="60">
        <f t="shared" ref="AM302:AM308" si="1015">AK302-AL302</f>
        <v>0</v>
      </c>
      <c r="AN302" s="60"/>
      <c r="AO302" s="60"/>
      <c r="AP302" s="60">
        <f t="shared" ref="AP302:AP308" si="1016">AN302-AO302</f>
        <v>0</v>
      </c>
      <c r="AQ302" s="60"/>
      <c r="AR302" s="60"/>
      <c r="AS302" s="60">
        <f t="shared" ref="AS302:AS308" si="1017">AQ302-AR302</f>
        <v>0</v>
      </c>
      <c r="AT302" s="60">
        <f t="shared" si="976"/>
        <v>0</v>
      </c>
      <c r="AU302" s="60">
        <f t="shared" si="977"/>
        <v>0</v>
      </c>
      <c r="AV302" s="60">
        <f t="shared" si="978"/>
        <v>0</v>
      </c>
      <c r="AW302" s="60"/>
      <c r="AX302" s="60"/>
      <c r="AY302" s="60">
        <f t="shared" ref="AY302:AY308" si="1018">AW302-AX302</f>
        <v>0</v>
      </c>
      <c r="AZ302" s="60"/>
      <c r="BA302" s="60"/>
      <c r="BB302" s="60">
        <f t="shared" ref="BB302:BB308" si="1019">AZ302-BA302</f>
        <v>0</v>
      </c>
      <c r="BC302" s="60"/>
      <c r="BD302" s="60"/>
      <c r="BE302" s="60">
        <f t="shared" ref="BE302:BE308" si="1020">BC302-BD302</f>
        <v>0</v>
      </c>
      <c r="BF302" s="60">
        <f t="shared" ref="BF302:BH304" si="1021">AW302+AZ302+BC302</f>
        <v>0</v>
      </c>
      <c r="BG302" s="60">
        <f t="shared" si="1021"/>
        <v>0</v>
      </c>
      <c r="BH302" s="60">
        <f t="shared" si="1021"/>
        <v>0</v>
      </c>
      <c r="BI302" s="508"/>
      <c r="BJ302" s="488" t="str">
        <f t="shared" si="859"/>
        <v>Lò</v>
      </c>
      <c r="BK302" s="523">
        <f t="shared" si="986"/>
        <v>1000</v>
      </c>
      <c r="BL302" s="523">
        <f t="shared" si="987"/>
        <v>1200</v>
      </c>
      <c r="BM302" s="523">
        <f t="shared" si="988"/>
        <v>1400</v>
      </c>
      <c r="BN302" s="523">
        <f t="shared" si="989"/>
        <v>3500</v>
      </c>
      <c r="BO302" s="523">
        <f t="shared" si="990"/>
        <v>1400</v>
      </c>
      <c r="BP302" s="523">
        <f t="shared" si="991"/>
        <v>1000</v>
      </c>
      <c r="BQ302" s="523">
        <f t="shared" si="992"/>
        <v>0</v>
      </c>
      <c r="BR302" s="523">
        <f t="shared" si="993"/>
        <v>2400</v>
      </c>
      <c r="BS302" s="523">
        <f t="shared" si="994"/>
        <v>0</v>
      </c>
      <c r="BT302" s="523">
        <f t="shared" si="995"/>
        <v>0</v>
      </c>
      <c r="BU302" s="523">
        <f t="shared" si="996"/>
        <v>0</v>
      </c>
      <c r="BV302" s="523">
        <f t="shared" si="997"/>
        <v>0</v>
      </c>
      <c r="BW302" s="523">
        <f t="shared" si="998"/>
        <v>0</v>
      </c>
      <c r="BX302" s="523">
        <f t="shared" si="999"/>
        <v>0</v>
      </c>
      <c r="BY302" s="523">
        <f t="shared" si="1000"/>
        <v>0</v>
      </c>
      <c r="BZ302" s="523">
        <f t="shared" si="1001"/>
        <v>0</v>
      </c>
      <c r="CA302" s="354"/>
      <c r="CB302" s="354" t="str">
        <f t="shared" si="983"/>
        <v>X</v>
      </c>
      <c r="CC302" s="509" t="str">
        <f>CC298</f>
        <v>ĐL6.</v>
      </c>
      <c r="CD302" s="509" t="str">
        <f t="shared" si="984"/>
        <v>ĐL6.16,1</v>
      </c>
      <c r="CE302" s="351" t="str">
        <f t="shared" si="861"/>
        <v>Lò</v>
      </c>
      <c r="CF302" s="509" t="str">
        <f t="shared" si="1005"/>
        <v>ĐL6.Lò</v>
      </c>
      <c r="CG302" s="509">
        <f>114+186</f>
        <v>300</v>
      </c>
      <c r="CH302" s="509"/>
    </row>
    <row r="303" spans="1:86" ht="24" customHeight="1" x14ac:dyDescent="0.25">
      <c r="A303" s="354" t="e">
        <f>A292</f>
        <v>#REF!</v>
      </c>
      <c r="B303" s="933"/>
      <c r="C303" s="519" t="s">
        <v>723</v>
      </c>
      <c r="D303" s="447" t="s">
        <v>14</v>
      </c>
      <c r="E303" s="447"/>
      <c r="F303" s="447"/>
      <c r="G303" s="520">
        <v>8.5</v>
      </c>
      <c r="H303" s="521">
        <v>0.7</v>
      </c>
      <c r="I303" s="522">
        <f t="shared" si="1002"/>
        <v>102</v>
      </c>
      <c r="J303" s="522">
        <f t="shared" si="1002"/>
        <v>15</v>
      </c>
      <c r="K303" s="522">
        <f t="shared" si="1002"/>
        <v>87</v>
      </c>
      <c r="L303" s="57">
        <f t="shared" si="1003"/>
        <v>900</v>
      </c>
      <c r="M303" s="60"/>
      <c r="N303" s="60"/>
      <c r="O303" s="60">
        <f t="shared" si="1009"/>
        <v>0</v>
      </c>
      <c r="P303" s="60"/>
      <c r="Q303" s="60"/>
      <c r="R303" s="60">
        <f t="shared" si="1010"/>
        <v>0</v>
      </c>
      <c r="S303" s="824"/>
      <c r="T303" s="60"/>
      <c r="U303" s="60">
        <f t="shared" si="1011"/>
        <v>0</v>
      </c>
      <c r="V303" s="60">
        <f t="shared" si="1008"/>
        <v>0</v>
      </c>
      <c r="W303" s="60">
        <f t="shared" si="1008"/>
        <v>0</v>
      </c>
      <c r="X303" s="60">
        <f t="shared" si="1008"/>
        <v>0</v>
      </c>
      <c r="Y303" s="60"/>
      <c r="Z303" s="60"/>
      <c r="AA303" s="60">
        <f t="shared" si="1012"/>
        <v>0</v>
      </c>
      <c r="AB303" s="60">
        <v>30</v>
      </c>
      <c r="AC303" s="60">
        <v>5</v>
      </c>
      <c r="AD303" s="60">
        <f t="shared" si="1013"/>
        <v>25</v>
      </c>
      <c r="AE303" s="60">
        <v>72</v>
      </c>
      <c r="AF303" s="60">
        <v>10</v>
      </c>
      <c r="AG303" s="60">
        <f t="shared" si="1014"/>
        <v>62</v>
      </c>
      <c r="AH303" s="60">
        <f t="shared" si="971"/>
        <v>102</v>
      </c>
      <c r="AI303" s="60">
        <f t="shared" si="972"/>
        <v>15</v>
      </c>
      <c r="AJ303" s="60">
        <f t="shared" si="973"/>
        <v>87</v>
      </c>
      <c r="AK303" s="60"/>
      <c r="AL303" s="60"/>
      <c r="AM303" s="60">
        <f t="shared" si="1015"/>
        <v>0</v>
      </c>
      <c r="AN303" s="60"/>
      <c r="AO303" s="60"/>
      <c r="AP303" s="60">
        <f t="shared" si="1016"/>
        <v>0</v>
      </c>
      <c r="AQ303" s="60"/>
      <c r="AR303" s="60"/>
      <c r="AS303" s="60">
        <f>AQ303-AR303</f>
        <v>0</v>
      </c>
      <c r="AT303" s="60">
        <f t="shared" si="976"/>
        <v>0</v>
      </c>
      <c r="AU303" s="60">
        <f t="shared" si="977"/>
        <v>0</v>
      </c>
      <c r="AV303" s="60">
        <f t="shared" si="978"/>
        <v>0</v>
      </c>
      <c r="AW303" s="60"/>
      <c r="AX303" s="60"/>
      <c r="AY303" s="60">
        <f t="shared" si="1018"/>
        <v>0</v>
      </c>
      <c r="AZ303" s="60"/>
      <c r="BA303" s="60"/>
      <c r="BB303" s="60">
        <f t="shared" si="1019"/>
        <v>0</v>
      </c>
      <c r="BC303" s="60"/>
      <c r="BD303" s="60"/>
      <c r="BE303" s="60">
        <f t="shared" si="1020"/>
        <v>0</v>
      </c>
      <c r="BF303" s="60">
        <f t="shared" si="1021"/>
        <v>0</v>
      </c>
      <c r="BG303" s="60">
        <f t="shared" si="1021"/>
        <v>0</v>
      </c>
      <c r="BH303" s="60">
        <f t="shared" si="1021"/>
        <v>0</v>
      </c>
      <c r="BI303" s="508"/>
      <c r="BJ303" s="488" t="str">
        <f t="shared" si="859"/>
        <v>Lò</v>
      </c>
      <c r="BK303" s="523">
        <f t="shared" si="986"/>
        <v>0</v>
      </c>
      <c r="BL303" s="523">
        <f t="shared" si="987"/>
        <v>0</v>
      </c>
      <c r="BM303" s="523">
        <f t="shared" si="988"/>
        <v>0</v>
      </c>
      <c r="BN303" s="523">
        <f t="shared" si="989"/>
        <v>0</v>
      </c>
      <c r="BO303" s="523">
        <f t="shared" si="990"/>
        <v>0</v>
      </c>
      <c r="BP303" s="523">
        <f t="shared" si="991"/>
        <v>300</v>
      </c>
      <c r="BQ303" s="523">
        <f t="shared" si="992"/>
        <v>600</v>
      </c>
      <c r="BR303" s="523">
        <f t="shared" si="993"/>
        <v>900</v>
      </c>
      <c r="BS303" s="523">
        <f t="shared" si="994"/>
        <v>0</v>
      </c>
      <c r="BT303" s="523">
        <f t="shared" si="995"/>
        <v>0</v>
      </c>
      <c r="BU303" s="523">
        <f t="shared" si="996"/>
        <v>0</v>
      </c>
      <c r="BV303" s="523">
        <f t="shared" si="997"/>
        <v>0</v>
      </c>
      <c r="BW303" s="523">
        <f t="shared" si="998"/>
        <v>0</v>
      </c>
      <c r="BX303" s="523">
        <f t="shared" si="999"/>
        <v>0</v>
      </c>
      <c r="BY303" s="523">
        <f t="shared" si="1000"/>
        <v>0</v>
      </c>
      <c r="BZ303" s="523">
        <f t="shared" si="1001"/>
        <v>0</v>
      </c>
      <c r="CA303" s="354"/>
      <c r="CB303" s="354" t="str">
        <f t="shared" si="983"/>
        <v>X</v>
      </c>
      <c r="CC303" s="509" t="str">
        <f t="shared" si="956"/>
        <v>ĐL6.</v>
      </c>
      <c r="CD303" s="509" t="str">
        <f t="shared" si="984"/>
        <v>ĐL6.8,5</v>
      </c>
      <c r="CE303" s="351" t="str">
        <f t="shared" si="861"/>
        <v>Lò</v>
      </c>
      <c r="CF303" s="509" t="str">
        <f t="shared" si="1005"/>
        <v>ĐL6.Lò</v>
      </c>
      <c r="CG303" s="509"/>
      <c r="CH303" s="509"/>
    </row>
    <row r="304" spans="1:86" ht="24" customHeight="1" x14ac:dyDescent="0.25">
      <c r="A304" s="354" t="e">
        <f>A290</f>
        <v>#REF!</v>
      </c>
      <c r="B304" s="934"/>
      <c r="C304" s="519" t="s">
        <v>724</v>
      </c>
      <c r="D304" s="447" t="s">
        <v>14</v>
      </c>
      <c r="E304" s="447"/>
      <c r="F304" s="447"/>
      <c r="G304" s="520">
        <v>16.100000000000001</v>
      </c>
      <c r="H304" s="521">
        <v>0.7</v>
      </c>
      <c r="I304" s="522">
        <f t="shared" si="1002"/>
        <v>0</v>
      </c>
      <c r="J304" s="522">
        <f t="shared" si="1002"/>
        <v>0</v>
      </c>
      <c r="K304" s="522">
        <f t="shared" si="1002"/>
        <v>0</v>
      </c>
      <c r="L304" s="57">
        <f t="shared" si="1003"/>
        <v>0</v>
      </c>
      <c r="M304" s="60"/>
      <c r="N304" s="60"/>
      <c r="O304" s="60">
        <f t="shared" si="1009"/>
        <v>0</v>
      </c>
      <c r="P304" s="60"/>
      <c r="Q304" s="60"/>
      <c r="R304" s="60">
        <f t="shared" si="1010"/>
        <v>0</v>
      </c>
      <c r="S304" s="824"/>
      <c r="T304" s="60"/>
      <c r="U304" s="60">
        <f t="shared" si="1011"/>
        <v>0</v>
      </c>
      <c r="V304" s="60">
        <f t="shared" ref="V304:X305" si="1022">M304+P304+S304</f>
        <v>0</v>
      </c>
      <c r="W304" s="60">
        <f t="shared" si="1022"/>
        <v>0</v>
      </c>
      <c r="X304" s="60">
        <f t="shared" si="1022"/>
        <v>0</v>
      </c>
      <c r="Y304" s="60"/>
      <c r="Z304" s="60"/>
      <c r="AA304" s="60">
        <f t="shared" si="1012"/>
        <v>0</v>
      </c>
      <c r="AB304" s="60"/>
      <c r="AC304" s="60"/>
      <c r="AD304" s="60">
        <f t="shared" si="1013"/>
        <v>0</v>
      </c>
      <c r="AE304" s="60"/>
      <c r="AF304" s="60"/>
      <c r="AG304" s="60">
        <f t="shared" si="1014"/>
        <v>0</v>
      </c>
      <c r="AH304" s="60">
        <f t="shared" ref="AH304:AJ307" si="1023">Y304+AB304+AE304</f>
        <v>0</v>
      </c>
      <c r="AI304" s="60">
        <f t="shared" si="1023"/>
        <v>0</v>
      </c>
      <c r="AJ304" s="60">
        <f t="shared" si="1023"/>
        <v>0</v>
      </c>
      <c r="AK304" s="60"/>
      <c r="AL304" s="60"/>
      <c r="AM304" s="60">
        <f t="shared" si="1015"/>
        <v>0</v>
      </c>
      <c r="AN304" s="60"/>
      <c r="AO304" s="60"/>
      <c r="AP304" s="60">
        <f t="shared" si="1016"/>
        <v>0</v>
      </c>
      <c r="AQ304" s="60"/>
      <c r="AR304" s="60"/>
      <c r="AS304" s="60">
        <f>AQ304-AR304</f>
        <v>0</v>
      </c>
      <c r="AT304" s="60">
        <f t="shared" si="976"/>
        <v>0</v>
      </c>
      <c r="AU304" s="60">
        <f t="shared" si="977"/>
        <v>0</v>
      </c>
      <c r="AV304" s="60">
        <f t="shared" si="978"/>
        <v>0</v>
      </c>
      <c r="AW304" s="60"/>
      <c r="AX304" s="60"/>
      <c r="AY304" s="60">
        <f t="shared" si="1018"/>
        <v>0</v>
      </c>
      <c r="AZ304" s="60"/>
      <c r="BA304" s="60"/>
      <c r="BB304" s="60">
        <f t="shared" si="1019"/>
        <v>0</v>
      </c>
      <c r="BC304" s="60"/>
      <c r="BD304" s="60"/>
      <c r="BE304" s="60">
        <f t="shared" si="1020"/>
        <v>0</v>
      </c>
      <c r="BF304" s="60">
        <f t="shared" si="1021"/>
        <v>0</v>
      </c>
      <c r="BG304" s="60">
        <f t="shared" si="1021"/>
        <v>0</v>
      </c>
      <c r="BH304" s="60">
        <f t="shared" si="1021"/>
        <v>0</v>
      </c>
      <c r="BI304" s="508"/>
      <c r="BJ304" s="488" t="str">
        <f t="shared" si="859"/>
        <v>Lò</v>
      </c>
      <c r="BK304" s="523">
        <f t="shared" si="986"/>
        <v>0</v>
      </c>
      <c r="BL304" s="523">
        <f t="shared" si="987"/>
        <v>0</v>
      </c>
      <c r="BM304" s="523">
        <f t="shared" si="988"/>
        <v>0</v>
      </c>
      <c r="BN304" s="523">
        <f t="shared" si="989"/>
        <v>0</v>
      </c>
      <c r="BO304" s="523">
        <f t="shared" si="990"/>
        <v>0</v>
      </c>
      <c r="BP304" s="523">
        <f t="shared" si="991"/>
        <v>0</v>
      </c>
      <c r="BQ304" s="523">
        <f t="shared" si="992"/>
        <v>0</v>
      </c>
      <c r="BR304" s="523">
        <f t="shared" si="993"/>
        <v>0</v>
      </c>
      <c r="BS304" s="523">
        <f t="shared" si="994"/>
        <v>0</v>
      </c>
      <c r="BT304" s="523">
        <f t="shared" si="995"/>
        <v>0</v>
      </c>
      <c r="BU304" s="523">
        <f t="shared" si="996"/>
        <v>0</v>
      </c>
      <c r="BV304" s="523">
        <f t="shared" si="997"/>
        <v>0</v>
      </c>
      <c r="BW304" s="523">
        <f t="shared" si="998"/>
        <v>0</v>
      </c>
      <c r="BX304" s="523">
        <f t="shared" si="999"/>
        <v>0</v>
      </c>
      <c r="BY304" s="523">
        <f t="shared" si="1000"/>
        <v>0</v>
      </c>
      <c r="BZ304" s="523">
        <f t="shared" si="1001"/>
        <v>0</v>
      </c>
      <c r="CA304" s="354"/>
      <c r="CB304" s="354" t="b">
        <f t="shared" si="983"/>
        <v>0</v>
      </c>
      <c r="CC304" s="509" t="str">
        <f t="shared" si="956"/>
        <v>ĐL6.</v>
      </c>
      <c r="CD304" s="509" t="str">
        <f t="shared" si="984"/>
        <v>ĐL6.16,1</v>
      </c>
      <c r="CE304" s="351" t="str">
        <f t="shared" si="861"/>
        <v>Lò</v>
      </c>
      <c r="CF304" s="509" t="str">
        <f t="shared" si="1005"/>
        <v>ĐL6.Lò</v>
      </c>
      <c r="CG304" s="509"/>
      <c r="CH304" s="509"/>
    </row>
    <row r="305" spans="1:86" ht="24" customHeight="1" x14ac:dyDescent="0.25">
      <c r="A305" s="354" t="e">
        <f>A290</f>
        <v>#REF!</v>
      </c>
      <c r="B305" s="518"/>
      <c r="C305" s="519" t="s">
        <v>725</v>
      </c>
      <c r="D305" s="447" t="s">
        <v>14</v>
      </c>
      <c r="E305" s="447"/>
      <c r="F305" s="447"/>
      <c r="G305" s="520">
        <v>16.100000000000001</v>
      </c>
      <c r="H305" s="521">
        <v>0.7</v>
      </c>
      <c r="I305" s="522">
        <f t="shared" si="1002"/>
        <v>279</v>
      </c>
      <c r="J305" s="522">
        <f t="shared" si="1002"/>
        <v>25</v>
      </c>
      <c r="K305" s="522">
        <f t="shared" si="1002"/>
        <v>254</v>
      </c>
      <c r="L305" s="57">
        <f t="shared" si="1003"/>
        <v>4900</v>
      </c>
      <c r="M305" s="60"/>
      <c r="N305" s="60"/>
      <c r="O305" s="60">
        <f>M305-N305</f>
        <v>0</v>
      </c>
      <c r="P305" s="60"/>
      <c r="Q305" s="60"/>
      <c r="R305" s="60">
        <f>P305-Q305</f>
        <v>0</v>
      </c>
      <c r="S305" s="824"/>
      <c r="T305" s="60"/>
      <c r="U305" s="60">
        <f>S305-T305</f>
        <v>0</v>
      </c>
      <c r="V305" s="60">
        <f t="shared" si="1022"/>
        <v>0</v>
      </c>
      <c r="W305" s="60">
        <f t="shared" si="1022"/>
        <v>0</v>
      </c>
      <c r="X305" s="60">
        <f t="shared" si="1022"/>
        <v>0</v>
      </c>
      <c r="Y305" s="60"/>
      <c r="Z305" s="60"/>
      <c r="AA305" s="60">
        <f>Y305-Z305</f>
        <v>0</v>
      </c>
      <c r="AB305" s="60"/>
      <c r="AC305" s="60"/>
      <c r="AD305" s="60">
        <f>AB305-AC305</f>
        <v>0</v>
      </c>
      <c r="AE305" s="60"/>
      <c r="AF305" s="60"/>
      <c r="AG305" s="60">
        <f>AE305-AF305</f>
        <v>0</v>
      </c>
      <c r="AH305" s="60">
        <f t="shared" si="1023"/>
        <v>0</v>
      </c>
      <c r="AI305" s="60">
        <f t="shared" si="1023"/>
        <v>0</v>
      </c>
      <c r="AJ305" s="60">
        <f t="shared" si="1023"/>
        <v>0</v>
      </c>
      <c r="AK305" s="60">
        <v>27</v>
      </c>
      <c r="AL305" s="60"/>
      <c r="AM305" s="60">
        <f>AK305-AL305</f>
        <v>27</v>
      </c>
      <c r="AN305" s="60"/>
      <c r="AO305" s="60"/>
      <c r="AP305" s="60">
        <f>AN305-AO305</f>
        <v>0</v>
      </c>
      <c r="AQ305" s="60">
        <v>70</v>
      </c>
      <c r="AR305" s="60">
        <v>10</v>
      </c>
      <c r="AS305" s="60">
        <f>AQ305-AR305</f>
        <v>60</v>
      </c>
      <c r="AT305" s="60">
        <f t="shared" ref="AT305:AV306" si="1024">AK305+AN305+AQ305</f>
        <v>97</v>
      </c>
      <c r="AU305" s="60">
        <f t="shared" si="1024"/>
        <v>10</v>
      </c>
      <c r="AV305" s="60">
        <f t="shared" si="1024"/>
        <v>87</v>
      </c>
      <c r="AW305" s="60">
        <v>70</v>
      </c>
      <c r="AX305" s="60"/>
      <c r="AY305" s="60">
        <f>AW305-AX305</f>
        <v>70</v>
      </c>
      <c r="AZ305" s="60">
        <v>70</v>
      </c>
      <c r="BA305" s="60">
        <v>15</v>
      </c>
      <c r="BB305" s="60">
        <f>AZ305-BA305</f>
        <v>55</v>
      </c>
      <c r="BC305" s="60">
        <v>42</v>
      </c>
      <c r="BD305" s="60"/>
      <c r="BE305" s="60">
        <f>BC305-BD305</f>
        <v>42</v>
      </c>
      <c r="BF305" s="60">
        <f t="shared" ref="BF305:BH309" si="1025">AW305+AZ305+BC305</f>
        <v>182</v>
      </c>
      <c r="BG305" s="60">
        <f t="shared" si="1025"/>
        <v>15</v>
      </c>
      <c r="BH305" s="60">
        <f t="shared" si="1025"/>
        <v>167</v>
      </c>
      <c r="BI305" s="508"/>
      <c r="BJ305" s="488" t="str">
        <f t="shared" si="859"/>
        <v>Lò</v>
      </c>
      <c r="BK305" s="523">
        <f t="shared" si="986"/>
        <v>0</v>
      </c>
      <c r="BL305" s="523">
        <f t="shared" si="987"/>
        <v>0</v>
      </c>
      <c r="BM305" s="523">
        <f t="shared" si="988"/>
        <v>0</v>
      </c>
      <c r="BN305" s="523">
        <f t="shared" si="989"/>
        <v>0</v>
      </c>
      <c r="BO305" s="523">
        <f t="shared" si="990"/>
        <v>0</v>
      </c>
      <c r="BP305" s="523">
        <f t="shared" si="991"/>
        <v>0</v>
      </c>
      <c r="BQ305" s="523">
        <f t="shared" si="992"/>
        <v>0</v>
      </c>
      <c r="BR305" s="523">
        <f t="shared" si="993"/>
        <v>0</v>
      </c>
      <c r="BS305" s="523">
        <f t="shared" si="994"/>
        <v>500</v>
      </c>
      <c r="BT305" s="523">
        <f t="shared" si="995"/>
        <v>0</v>
      </c>
      <c r="BU305" s="523">
        <f t="shared" si="996"/>
        <v>1200</v>
      </c>
      <c r="BV305" s="523">
        <f t="shared" si="997"/>
        <v>1700</v>
      </c>
      <c r="BW305" s="523">
        <f t="shared" si="998"/>
        <v>1400</v>
      </c>
      <c r="BX305" s="523">
        <f t="shared" si="999"/>
        <v>1100</v>
      </c>
      <c r="BY305" s="523">
        <f t="shared" si="1000"/>
        <v>800</v>
      </c>
      <c r="BZ305" s="523">
        <f t="shared" si="1001"/>
        <v>3200</v>
      </c>
      <c r="CA305" s="354"/>
      <c r="CB305" s="354" t="str">
        <f>IF(SUM(I305:L305)&lt;&gt;0,"X")</f>
        <v>X</v>
      </c>
      <c r="CC305" s="509" t="str">
        <f>CC294</f>
        <v>ĐL6.</v>
      </c>
      <c r="CD305" s="509" t="str">
        <f>CC305&amp;G305</f>
        <v>ĐL6.16,1</v>
      </c>
      <c r="CE305" s="351" t="str">
        <f t="shared" si="861"/>
        <v>Lò</v>
      </c>
      <c r="CF305" s="509" t="str">
        <f t="shared" si="1005"/>
        <v>ĐL6.Lò</v>
      </c>
      <c r="CG305" s="509"/>
      <c r="CH305" s="509"/>
    </row>
    <row r="306" spans="1:86" ht="24" customHeight="1" x14ac:dyDescent="0.25">
      <c r="A306" s="354" t="e">
        <f>A291</f>
        <v>#REF!</v>
      </c>
      <c r="B306" s="518"/>
      <c r="C306" s="519" t="s">
        <v>726</v>
      </c>
      <c r="D306" s="447" t="s">
        <v>14</v>
      </c>
      <c r="E306" s="447"/>
      <c r="F306" s="447"/>
      <c r="G306" s="520">
        <v>16.100000000000001</v>
      </c>
      <c r="H306" s="521">
        <v>0.7</v>
      </c>
      <c r="I306" s="522">
        <f>V306+AH306+AT306+BF306</f>
        <v>125</v>
      </c>
      <c r="J306" s="522">
        <f>W306+AI306+AU306+BG306</f>
        <v>0</v>
      </c>
      <c r="K306" s="522">
        <f>X306+AJ306+AV306+BH306</f>
        <v>125</v>
      </c>
      <c r="L306" s="57">
        <f>BN306+BR306+BV306+BZ306</f>
        <v>2400</v>
      </c>
      <c r="M306" s="60"/>
      <c r="N306" s="60"/>
      <c r="O306" s="60">
        <f>M306-N306</f>
        <v>0</v>
      </c>
      <c r="P306" s="60"/>
      <c r="Q306" s="60"/>
      <c r="R306" s="60">
        <f>P306-Q306</f>
        <v>0</v>
      </c>
      <c r="S306" s="824"/>
      <c r="T306" s="60"/>
      <c r="U306" s="60">
        <f>S306-T306</f>
        <v>0</v>
      </c>
      <c r="V306" s="60">
        <f t="shared" ref="V306:X307" si="1026">M306+P306+S306</f>
        <v>0</v>
      </c>
      <c r="W306" s="60">
        <f t="shared" si="1026"/>
        <v>0</v>
      </c>
      <c r="X306" s="60">
        <f t="shared" si="1026"/>
        <v>0</v>
      </c>
      <c r="Y306" s="60"/>
      <c r="Z306" s="60"/>
      <c r="AA306" s="60">
        <f>Y306-Z306</f>
        <v>0</v>
      </c>
      <c r="AB306" s="60"/>
      <c r="AC306" s="60"/>
      <c r="AD306" s="60"/>
      <c r="AE306" s="60"/>
      <c r="AF306" s="60"/>
      <c r="AG306" s="60">
        <f>AE306-AF306</f>
        <v>0</v>
      </c>
      <c r="AH306" s="60">
        <f t="shared" si="1023"/>
        <v>0</v>
      </c>
      <c r="AI306" s="60">
        <f t="shared" si="1023"/>
        <v>0</v>
      </c>
      <c r="AJ306" s="60">
        <f t="shared" si="1023"/>
        <v>0</v>
      </c>
      <c r="AK306" s="60">
        <v>50</v>
      </c>
      <c r="AL306" s="60"/>
      <c r="AM306" s="60">
        <f>AK306-AL306</f>
        <v>50</v>
      </c>
      <c r="AN306" s="60">
        <v>75</v>
      </c>
      <c r="AO306" s="60"/>
      <c r="AP306" s="60">
        <f>AN306-AO306</f>
        <v>75</v>
      </c>
      <c r="AQ306" s="60"/>
      <c r="AR306" s="60"/>
      <c r="AS306" s="60">
        <f>AQ306-AR306</f>
        <v>0</v>
      </c>
      <c r="AT306" s="60">
        <f t="shared" si="1024"/>
        <v>125</v>
      </c>
      <c r="AU306" s="60">
        <f t="shared" si="1024"/>
        <v>0</v>
      </c>
      <c r="AV306" s="60">
        <f t="shared" si="1024"/>
        <v>125</v>
      </c>
      <c r="AW306" s="60"/>
      <c r="AX306" s="60"/>
      <c r="AY306" s="60">
        <f>AW306-AX306</f>
        <v>0</v>
      </c>
      <c r="AZ306" s="60"/>
      <c r="BA306" s="60"/>
      <c r="BB306" s="60">
        <f>AZ306-BA306</f>
        <v>0</v>
      </c>
      <c r="BC306" s="60"/>
      <c r="BD306" s="60"/>
      <c r="BE306" s="60">
        <f>BC306-BD306</f>
        <v>0</v>
      </c>
      <c r="BF306" s="60">
        <f t="shared" si="1025"/>
        <v>0</v>
      </c>
      <c r="BG306" s="60">
        <f t="shared" si="1025"/>
        <v>0</v>
      </c>
      <c r="BH306" s="60">
        <f t="shared" si="1025"/>
        <v>0</v>
      </c>
      <c r="BI306" s="508"/>
      <c r="BJ306" s="488" t="str">
        <f t="shared" si="859"/>
        <v>Lò</v>
      </c>
      <c r="BK306" s="523">
        <f>ROUND(O306*G306*$C$3*$B$5,-2)</f>
        <v>0</v>
      </c>
      <c r="BL306" s="523">
        <f>ROUND(R306*G306*$C$3*$B$5,-2)</f>
        <v>0</v>
      </c>
      <c r="BM306" s="523">
        <f>ROUND(U306*G306*$C$3*$B$5,-2)</f>
        <v>0</v>
      </c>
      <c r="BN306" s="523">
        <f>ROUND(X306*G306*$C$3*$B$5,-2)</f>
        <v>0</v>
      </c>
      <c r="BO306" s="523">
        <f>ROUND(AA306*G306*$C$3*$B$5,-2)</f>
        <v>0</v>
      </c>
      <c r="BP306" s="523">
        <f>ROUND(AD306*G306*$C$3*$B$5,-2)</f>
        <v>0</v>
      </c>
      <c r="BQ306" s="523">
        <f>ROUND(AG306*G306*$C$3*$B$5,-2)</f>
        <v>0</v>
      </c>
      <c r="BR306" s="523">
        <f>ROUND(AJ306*G306*$B$5*$C$3,-2)</f>
        <v>0</v>
      </c>
      <c r="BS306" s="523">
        <f>ROUND(AM306*G306*$C$3*$B$5,-2)</f>
        <v>1000</v>
      </c>
      <c r="BT306" s="523">
        <f>ROUND(AP306*G306*$C$3*$B$5,-2)</f>
        <v>1400</v>
      </c>
      <c r="BU306" s="523">
        <f>ROUND(AS306*G306*$C$3*$B$5,-2)</f>
        <v>0</v>
      </c>
      <c r="BV306" s="523">
        <f>ROUND(AV306*G306*$C$3*$B$5,-2)</f>
        <v>2400</v>
      </c>
      <c r="BW306" s="523">
        <f>ROUND(AY306*G306*$C$3*$B$5,-2)</f>
        <v>0</v>
      </c>
      <c r="BX306" s="523">
        <f>ROUND(BB306*G306*$C$3*$B$5,-2)</f>
        <v>0</v>
      </c>
      <c r="BY306" s="523">
        <f>ROUND(BE306*G306*$C$3*$B$5,-2)</f>
        <v>0</v>
      </c>
      <c r="BZ306" s="523">
        <f>ROUND(BH306*G306*$C$3*$B$5,-2)</f>
        <v>0</v>
      </c>
      <c r="CA306" s="354"/>
      <c r="CB306" s="354" t="str">
        <f>IF(SUM(I306:L306)&lt;&gt;0,"X")</f>
        <v>X</v>
      </c>
      <c r="CC306" s="509" t="str">
        <f>CC295</f>
        <v>ĐL6.</v>
      </c>
      <c r="CD306" s="509" t="str">
        <f>CC306&amp;G306</f>
        <v>ĐL6.16,1</v>
      </c>
      <c r="CE306" s="351" t="str">
        <f t="shared" si="861"/>
        <v>Lò</v>
      </c>
      <c r="CF306" s="509" t="str">
        <f>CC306&amp;CE306</f>
        <v>ĐL6.Lò</v>
      </c>
      <c r="CG306" s="509"/>
      <c r="CH306" s="509"/>
    </row>
    <row r="307" spans="1:86" ht="24" customHeight="1" x14ac:dyDescent="0.25">
      <c r="A307" s="354" t="e">
        <f>A302</f>
        <v>#REF!</v>
      </c>
      <c r="B307" s="518"/>
      <c r="C307" s="519" t="s">
        <v>727</v>
      </c>
      <c r="D307" s="447" t="s">
        <v>14</v>
      </c>
      <c r="E307" s="447"/>
      <c r="F307" s="447"/>
      <c r="G307" s="520">
        <v>8.5</v>
      </c>
      <c r="H307" s="521">
        <v>0.7</v>
      </c>
      <c r="I307" s="522">
        <f t="shared" si="1002"/>
        <v>30</v>
      </c>
      <c r="J307" s="522">
        <f t="shared" si="1002"/>
        <v>0</v>
      </c>
      <c r="K307" s="522">
        <f t="shared" si="1002"/>
        <v>30</v>
      </c>
      <c r="L307" s="57">
        <f t="shared" si="1003"/>
        <v>300</v>
      </c>
      <c r="M307" s="60"/>
      <c r="N307" s="60"/>
      <c r="O307" s="60">
        <f t="shared" si="1009"/>
        <v>0</v>
      </c>
      <c r="P307" s="60"/>
      <c r="Q307" s="60"/>
      <c r="R307" s="60">
        <f t="shared" si="1010"/>
        <v>0</v>
      </c>
      <c r="S307" s="824"/>
      <c r="T307" s="60"/>
      <c r="U307" s="60">
        <f t="shared" si="1011"/>
        <v>0</v>
      </c>
      <c r="V307" s="60">
        <f t="shared" si="1026"/>
        <v>0</v>
      </c>
      <c r="W307" s="60">
        <f t="shared" si="1026"/>
        <v>0</v>
      </c>
      <c r="X307" s="60">
        <f t="shared" si="1026"/>
        <v>0</v>
      </c>
      <c r="Y307" s="60"/>
      <c r="Z307" s="60"/>
      <c r="AA307" s="60">
        <f t="shared" si="1012"/>
        <v>0</v>
      </c>
      <c r="AB307" s="60"/>
      <c r="AC307" s="60"/>
      <c r="AD307" s="60">
        <f t="shared" si="1013"/>
        <v>0</v>
      </c>
      <c r="AE307" s="60"/>
      <c r="AF307" s="60"/>
      <c r="AG307" s="60">
        <f t="shared" si="1014"/>
        <v>0</v>
      </c>
      <c r="AH307" s="60">
        <f t="shared" si="1023"/>
        <v>0</v>
      </c>
      <c r="AI307" s="60">
        <f t="shared" si="1023"/>
        <v>0</v>
      </c>
      <c r="AJ307" s="60">
        <f t="shared" si="1023"/>
        <v>0</v>
      </c>
      <c r="AK307" s="60"/>
      <c r="AL307" s="60"/>
      <c r="AM307" s="60">
        <f t="shared" si="1015"/>
        <v>0</v>
      </c>
      <c r="AN307" s="60"/>
      <c r="AO307" s="60"/>
      <c r="AP307" s="60">
        <f t="shared" si="1016"/>
        <v>0</v>
      </c>
      <c r="AQ307" s="60"/>
      <c r="AR307" s="60"/>
      <c r="AS307" s="60">
        <f t="shared" si="1017"/>
        <v>0</v>
      </c>
      <c r="AT307" s="60">
        <f t="shared" si="976"/>
        <v>0</v>
      </c>
      <c r="AU307" s="60">
        <f t="shared" si="977"/>
        <v>0</v>
      </c>
      <c r="AV307" s="60">
        <f t="shared" si="978"/>
        <v>0</v>
      </c>
      <c r="AW307" s="60"/>
      <c r="AX307" s="60"/>
      <c r="AY307" s="60">
        <f t="shared" si="1018"/>
        <v>0</v>
      </c>
      <c r="AZ307" s="60"/>
      <c r="BA307" s="60"/>
      <c r="BB307" s="60">
        <f t="shared" si="1019"/>
        <v>0</v>
      </c>
      <c r="BC307" s="60">
        <v>30</v>
      </c>
      <c r="BD307" s="60"/>
      <c r="BE307" s="60">
        <f>BC307-BD307</f>
        <v>30</v>
      </c>
      <c r="BF307" s="60">
        <f t="shared" si="1025"/>
        <v>30</v>
      </c>
      <c r="BG307" s="60">
        <f t="shared" si="1025"/>
        <v>0</v>
      </c>
      <c r="BH307" s="60">
        <f t="shared" si="1025"/>
        <v>30</v>
      </c>
      <c r="BI307" s="508"/>
      <c r="BJ307" s="488" t="str">
        <f t="shared" si="859"/>
        <v>Lò</v>
      </c>
      <c r="BK307" s="523">
        <f t="shared" ref="BK307:BK312" si="1027">ROUND(O307*G307*$C$3*$B$5,-2)</f>
        <v>0</v>
      </c>
      <c r="BL307" s="523">
        <f t="shared" ref="BL307:BL312" si="1028">ROUND(R307*G307*$C$3*$B$5,-2)</f>
        <v>0</v>
      </c>
      <c r="BM307" s="523">
        <f t="shared" ref="BM307:BM312" si="1029">ROUND(U307*G307*$C$3*$B$5,-2)</f>
        <v>0</v>
      </c>
      <c r="BN307" s="523">
        <f t="shared" ref="BN307:BN312" si="1030">ROUND(X307*G307*$C$3*$B$5,-2)</f>
        <v>0</v>
      </c>
      <c r="BO307" s="523">
        <f t="shared" ref="BO307:BO312" si="1031">ROUND(AA307*G307*$C$3*$B$5,-2)</f>
        <v>0</v>
      </c>
      <c r="BP307" s="523">
        <f t="shared" ref="BP307:BP312" si="1032">ROUND(AD307*G307*$C$3*$B$5,-2)</f>
        <v>0</v>
      </c>
      <c r="BQ307" s="523">
        <f t="shared" ref="BQ307:BQ312" si="1033">ROUND(AG307*G307*$C$3*$B$5,-2)</f>
        <v>0</v>
      </c>
      <c r="BR307" s="523">
        <f t="shared" ref="BR307:BR312" si="1034">ROUND(AJ307*G307*$B$5*$C$3,-2)</f>
        <v>0</v>
      </c>
      <c r="BS307" s="523">
        <f t="shared" ref="BS307:BS312" si="1035">ROUND(AM307*G307*$C$3*$B$5,-2)</f>
        <v>0</v>
      </c>
      <c r="BT307" s="523">
        <f t="shared" ref="BT307:BT312" si="1036">ROUND(AP307*G307*$C$3*$B$5,-2)</f>
        <v>0</v>
      </c>
      <c r="BU307" s="523">
        <f t="shared" ref="BU307:BU312" si="1037">ROUND(AS307*G307*$C$3*$B$5,-2)</f>
        <v>0</v>
      </c>
      <c r="BV307" s="523">
        <f t="shared" ref="BV307:BV312" si="1038">ROUND(AV307*G307*$C$3*$B$5,-2)</f>
        <v>0</v>
      </c>
      <c r="BW307" s="523">
        <f t="shared" ref="BW307:BW312" si="1039">ROUND(AY307*G307*$C$3*$B$5,-2)</f>
        <v>0</v>
      </c>
      <c r="BX307" s="523">
        <f t="shared" ref="BX307:BX312" si="1040">ROUND(BB307*G307*$C$3*$B$5,-2)</f>
        <v>0</v>
      </c>
      <c r="BY307" s="523">
        <f t="shared" ref="BY307:BY312" si="1041">ROUND(BE307*G307*$C$3*$B$5,-2)</f>
        <v>300</v>
      </c>
      <c r="BZ307" s="523">
        <f t="shared" ref="BZ307:BZ312" si="1042">ROUND(BH307*G307*$C$3*$B$5,-2)</f>
        <v>300</v>
      </c>
      <c r="CA307" s="354"/>
      <c r="CB307" s="354" t="str">
        <f t="shared" si="983"/>
        <v>X</v>
      </c>
      <c r="CC307" s="509" t="str">
        <f>CC302</f>
        <v>ĐL6.</v>
      </c>
      <c r="CD307" s="509" t="str">
        <f t="shared" si="984"/>
        <v>ĐL6.8,5</v>
      </c>
      <c r="CE307" s="351" t="str">
        <f t="shared" si="861"/>
        <v>Lò</v>
      </c>
      <c r="CF307" s="509" t="str">
        <f t="shared" si="1005"/>
        <v>ĐL6.Lò</v>
      </c>
      <c r="CG307" s="509"/>
      <c r="CH307" s="509"/>
    </row>
    <row r="308" spans="1:86" ht="24" customHeight="1" x14ac:dyDescent="0.25">
      <c r="A308" s="354" t="e">
        <f>A292</f>
        <v>#REF!</v>
      </c>
      <c r="B308" s="518"/>
      <c r="C308" s="519" t="s">
        <v>728</v>
      </c>
      <c r="D308" s="447" t="s">
        <v>14</v>
      </c>
      <c r="E308" s="447"/>
      <c r="F308" s="447"/>
      <c r="G308" s="520">
        <v>8.5</v>
      </c>
      <c r="H308" s="521">
        <v>0.7</v>
      </c>
      <c r="I308" s="522">
        <f t="shared" ref="I308:K312" si="1043">V308+AH308+AT308+BF308</f>
        <v>0</v>
      </c>
      <c r="J308" s="522">
        <f t="shared" si="1043"/>
        <v>0</v>
      </c>
      <c r="K308" s="522">
        <f t="shared" si="1043"/>
        <v>0</v>
      </c>
      <c r="L308" s="57">
        <f>BN308+BR308+BV308+BZ308</f>
        <v>0</v>
      </c>
      <c r="M308" s="60"/>
      <c r="N308" s="60"/>
      <c r="O308" s="60">
        <f t="shared" si="1009"/>
        <v>0</v>
      </c>
      <c r="P308" s="60"/>
      <c r="Q308" s="60"/>
      <c r="R308" s="60">
        <f t="shared" si="1010"/>
        <v>0</v>
      </c>
      <c r="S308" s="824"/>
      <c r="T308" s="60"/>
      <c r="U308" s="60">
        <f t="shared" si="1011"/>
        <v>0</v>
      </c>
      <c r="V308" s="60">
        <f t="shared" ref="V308:X312" si="1044">M308+P308+S308</f>
        <v>0</v>
      </c>
      <c r="W308" s="60">
        <f t="shared" si="1044"/>
        <v>0</v>
      </c>
      <c r="X308" s="60">
        <f t="shared" si="1044"/>
        <v>0</v>
      </c>
      <c r="Y308" s="60"/>
      <c r="Z308" s="60"/>
      <c r="AA308" s="60">
        <f t="shared" si="1012"/>
        <v>0</v>
      </c>
      <c r="AB308" s="60"/>
      <c r="AC308" s="60"/>
      <c r="AD308" s="60">
        <f t="shared" si="1013"/>
        <v>0</v>
      </c>
      <c r="AE308" s="60"/>
      <c r="AF308" s="60"/>
      <c r="AG308" s="60">
        <f t="shared" si="1014"/>
        <v>0</v>
      </c>
      <c r="AH308" s="60">
        <f t="shared" ref="AH308:AJ312" si="1045">Y308+AB308+AE308</f>
        <v>0</v>
      </c>
      <c r="AI308" s="60">
        <f t="shared" si="1045"/>
        <v>0</v>
      </c>
      <c r="AJ308" s="60">
        <f t="shared" si="1045"/>
        <v>0</v>
      </c>
      <c r="AK308" s="60"/>
      <c r="AL308" s="60"/>
      <c r="AM308" s="60">
        <f t="shared" si="1015"/>
        <v>0</v>
      </c>
      <c r="AN308" s="60"/>
      <c r="AO308" s="60"/>
      <c r="AP308" s="60">
        <f t="shared" si="1016"/>
        <v>0</v>
      </c>
      <c r="AQ308" s="60"/>
      <c r="AR308" s="60"/>
      <c r="AS308" s="60">
        <f t="shared" si="1017"/>
        <v>0</v>
      </c>
      <c r="AT308" s="60">
        <f t="shared" si="976"/>
        <v>0</v>
      </c>
      <c r="AU308" s="60">
        <f t="shared" si="977"/>
        <v>0</v>
      </c>
      <c r="AV308" s="60">
        <f t="shared" si="978"/>
        <v>0</v>
      </c>
      <c r="AW308" s="60"/>
      <c r="AX308" s="60"/>
      <c r="AY308" s="60">
        <f t="shared" si="1018"/>
        <v>0</v>
      </c>
      <c r="AZ308" s="60"/>
      <c r="BA308" s="60"/>
      <c r="BB308" s="60">
        <f t="shared" si="1019"/>
        <v>0</v>
      </c>
      <c r="BC308" s="60"/>
      <c r="BD308" s="60"/>
      <c r="BE308" s="60">
        <f t="shared" si="1020"/>
        <v>0</v>
      </c>
      <c r="BF308" s="60">
        <f t="shared" si="1025"/>
        <v>0</v>
      </c>
      <c r="BG308" s="60">
        <f t="shared" si="1025"/>
        <v>0</v>
      </c>
      <c r="BH308" s="60">
        <f t="shared" si="1025"/>
        <v>0</v>
      </c>
      <c r="BI308" s="508"/>
      <c r="BJ308" s="488" t="str">
        <f t="shared" si="859"/>
        <v>Lò</v>
      </c>
      <c r="BK308" s="523">
        <f t="shared" si="1027"/>
        <v>0</v>
      </c>
      <c r="BL308" s="523">
        <f t="shared" si="1028"/>
        <v>0</v>
      </c>
      <c r="BM308" s="523">
        <f t="shared" si="1029"/>
        <v>0</v>
      </c>
      <c r="BN308" s="523">
        <f t="shared" si="1030"/>
        <v>0</v>
      </c>
      <c r="BO308" s="523">
        <f t="shared" si="1031"/>
        <v>0</v>
      </c>
      <c r="BP308" s="523">
        <f t="shared" si="1032"/>
        <v>0</v>
      </c>
      <c r="BQ308" s="523">
        <f t="shared" si="1033"/>
        <v>0</v>
      </c>
      <c r="BR308" s="523">
        <f t="shared" si="1034"/>
        <v>0</v>
      </c>
      <c r="BS308" s="523">
        <f t="shared" si="1035"/>
        <v>0</v>
      </c>
      <c r="BT308" s="523">
        <f t="shared" si="1036"/>
        <v>0</v>
      </c>
      <c r="BU308" s="523">
        <f t="shared" si="1037"/>
        <v>0</v>
      </c>
      <c r="BV308" s="523">
        <f t="shared" si="1038"/>
        <v>0</v>
      </c>
      <c r="BW308" s="523">
        <f t="shared" si="1039"/>
        <v>0</v>
      </c>
      <c r="BX308" s="523">
        <f t="shared" si="1040"/>
        <v>0</v>
      </c>
      <c r="BY308" s="523">
        <f t="shared" si="1041"/>
        <v>0</v>
      </c>
      <c r="BZ308" s="523">
        <f t="shared" si="1042"/>
        <v>0</v>
      </c>
      <c r="CA308" s="354"/>
      <c r="CB308" s="354" t="b">
        <f t="shared" si="983"/>
        <v>0</v>
      </c>
      <c r="CC308" s="509" t="str">
        <f>CC296</f>
        <v>ĐL6.</v>
      </c>
      <c r="CD308" s="509" t="str">
        <f t="shared" si="984"/>
        <v>ĐL6.8,5</v>
      </c>
      <c r="CE308" s="351" t="str">
        <f t="shared" si="861"/>
        <v>Lò</v>
      </c>
      <c r="CF308" s="509" t="str">
        <f t="shared" si="957"/>
        <v>ĐL6.Lò</v>
      </c>
      <c r="CG308" s="509"/>
      <c r="CH308" s="509"/>
    </row>
    <row r="309" spans="1:86" ht="24" customHeight="1" x14ac:dyDescent="0.25">
      <c r="A309" s="354" t="e">
        <f>A308</f>
        <v>#REF!</v>
      </c>
      <c r="B309" s="932" t="s">
        <v>546</v>
      </c>
      <c r="C309" s="519" t="s">
        <v>724</v>
      </c>
      <c r="D309" s="447" t="s">
        <v>14</v>
      </c>
      <c r="E309" s="447"/>
      <c r="F309" s="447"/>
      <c r="G309" s="544">
        <v>16.100000000000001</v>
      </c>
      <c r="H309" s="521">
        <v>0.7</v>
      </c>
      <c r="I309" s="522">
        <f t="shared" si="1043"/>
        <v>385</v>
      </c>
      <c r="J309" s="522">
        <f t="shared" si="1043"/>
        <v>0</v>
      </c>
      <c r="K309" s="522">
        <f t="shared" si="1043"/>
        <v>385</v>
      </c>
      <c r="L309" s="57">
        <f>BN309+BR309+BV309+BZ309</f>
        <v>7500</v>
      </c>
      <c r="M309" s="60">
        <v>65</v>
      </c>
      <c r="N309" s="60"/>
      <c r="O309" s="60">
        <f>M309-N309</f>
        <v>65</v>
      </c>
      <c r="P309" s="60">
        <v>50</v>
      </c>
      <c r="Q309" s="60"/>
      <c r="R309" s="60">
        <f>P309-Q309</f>
        <v>50</v>
      </c>
      <c r="S309" s="824">
        <v>60</v>
      </c>
      <c r="T309" s="60"/>
      <c r="U309" s="60">
        <f>S309-T309</f>
        <v>60</v>
      </c>
      <c r="V309" s="60">
        <f t="shared" si="1044"/>
        <v>175</v>
      </c>
      <c r="W309" s="60">
        <f t="shared" si="1044"/>
        <v>0</v>
      </c>
      <c r="X309" s="60">
        <f t="shared" si="1044"/>
        <v>175</v>
      </c>
      <c r="Y309" s="60">
        <v>65</v>
      </c>
      <c r="Z309" s="60"/>
      <c r="AA309" s="60">
        <f>Y309-Z309</f>
        <v>65</v>
      </c>
      <c r="AB309" s="60">
        <v>65</v>
      </c>
      <c r="AC309" s="60"/>
      <c r="AD309" s="60">
        <f>AB309-AC309</f>
        <v>65</v>
      </c>
      <c r="AE309" s="60">
        <v>60</v>
      </c>
      <c r="AF309" s="60"/>
      <c r="AG309" s="60">
        <f>AE309-AF309</f>
        <v>60</v>
      </c>
      <c r="AH309" s="60">
        <f t="shared" si="1045"/>
        <v>190</v>
      </c>
      <c r="AI309" s="60">
        <f t="shared" si="1045"/>
        <v>0</v>
      </c>
      <c r="AJ309" s="60">
        <f t="shared" si="1045"/>
        <v>190</v>
      </c>
      <c r="AK309" s="60">
        <v>20</v>
      </c>
      <c r="AL309" s="60"/>
      <c r="AM309" s="60">
        <f>AK309-AL309</f>
        <v>20</v>
      </c>
      <c r="AN309" s="60"/>
      <c r="AO309" s="60"/>
      <c r="AP309" s="60">
        <f>AN309-AO309</f>
        <v>0</v>
      </c>
      <c r="AQ309" s="60"/>
      <c r="AR309" s="60"/>
      <c r="AS309" s="60">
        <f>AQ309-AR309</f>
        <v>0</v>
      </c>
      <c r="AT309" s="60">
        <f t="shared" si="976"/>
        <v>20</v>
      </c>
      <c r="AU309" s="60">
        <f t="shared" si="977"/>
        <v>0</v>
      </c>
      <c r="AV309" s="60">
        <f t="shared" si="978"/>
        <v>20</v>
      </c>
      <c r="AW309" s="60"/>
      <c r="AX309" s="60"/>
      <c r="AY309" s="60">
        <f>AW309-AX309</f>
        <v>0</v>
      </c>
      <c r="AZ309" s="60"/>
      <c r="BA309" s="60"/>
      <c r="BB309" s="60">
        <f>AZ309-BA309</f>
        <v>0</v>
      </c>
      <c r="BC309" s="60"/>
      <c r="BD309" s="60"/>
      <c r="BE309" s="60">
        <f>BC309-BD309</f>
        <v>0</v>
      </c>
      <c r="BF309" s="60">
        <f t="shared" si="1025"/>
        <v>0</v>
      </c>
      <c r="BG309" s="60">
        <f t="shared" si="1025"/>
        <v>0</v>
      </c>
      <c r="BH309" s="60">
        <f t="shared" si="1025"/>
        <v>0</v>
      </c>
      <c r="BI309" s="508"/>
      <c r="BJ309" s="488" t="str">
        <f t="shared" si="859"/>
        <v>Lò</v>
      </c>
      <c r="BK309" s="523">
        <f t="shared" si="1027"/>
        <v>1300</v>
      </c>
      <c r="BL309" s="523">
        <f t="shared" si="1028"/>
        <v>1000</v>
      </c>
      <c r="BM309" s="523">
        <f t="shared" si="1029"/>
        <v>1200</v>
      </c>
      <c r="BN309" s="523">
        <f t="shared" si="1030"/>
        <v>3400</v>
      </c>
      <c r="BO309" s="523">
        <f t="shared" si="1031"/>
        <v>1300</v>
      </c>
      <c r="BP309" s="523">
        <f t="shared" si="1032"/>
        <v>1300</v>
      </c>
      <c r="BQ309" s="523">
        <f t="shared" si="1033"/>
        <v>1200</v>
      </c>
      <c r="BR309" s="523">
        <f t="shared" si="1034"/>
        <v>3700</v>
      </c>
      <c r="BS309" s="523">
        <f t="shared" si="1035"/>
        <v>400</v>
      </c>
      <c r="BT309" s="523">
        <f t="shared" si="1036"/>
        <v>0</v>
      </c>
      <c r="BU309" s="523">
        <f t="shared" si="1037"/>
        <v>0</v>
      </c>
      <c r="BV309" s="523">
        <f t="shared" si="1038"/>
        <v>400</v>
      </c>
      <c r="BW309" s="523">
        <f t="shared" si="1039"/>
        <v>0</v>
      </c>
      <c r="BX309" s="523">
        <f t="shared" si="1040"/>
        <v>0</v>
      </c>
      <c r="BY309" s="523">
        <f t="shared" si="1041"/>
        <v>0</v>
      </c>
      <c r="BZ309" s="523">
        <f t="shared" si="1042"/>
        <v>0</v>
      </c>
      <c r="CA309" s="354"/>
      <c r="CB309" s="354" t="str">
        <f t="shared" si="983"/>
        <v>X</v>
      </c>
      <c r="CC309" s="509" t="str">
        <f t="shared" si="956"/>
        <v>ĐL6.</v>
      </c>
      <c r="CD309" s="509" t="str">
        <f t="shared" si="984"/>
        <v>ĐL6.16,1</v>
      </c>
      <c r="CE309" s="351" t="str">
        <f t="shared" si="861"/>
        <v>Lò</v>
      </c>
      <c r="CF309" s="509" t="str">
        <f t="shared" si="957"/>
        <v>ĐL6.Lò</v>
      </c>
      <c r="CG309" s="509"/>
      <c r="CH309" s="509"/>
    </row>
    <row r="310" spans="1:86" ht="24" customHeight="1" x14ac:dyDescent="0.25">
      <c r="A310" s="354" t="e">
        <f>A294</f>
        <v>#REF!</v>
      </c>
      <c r="B310" s="933"/>
      <c r="C310" s="519" t="s">
        <v>729</v>
      </c>
      <c r="D310" s="447" t="s">
        <v>14</v>
      </c>
      <c r="E310" s="447"/>
      <c r="F310" s="447"/>
      <c r="G310" s="520">
        <v>11.2</v>
      </c>
      <c r="H310" s="521">
        <v>0.7</v>
      </c>
      <c r="I310" s="522">
        <f t="shared" si="1043"/>
        <v>100</v>
      </c>
      <c r="J310" s="522">
        <f t="shared" si="1043"/>
        <v>100</v>
      </c>
      <c r="K310" s="522">
        <f t="shared" si="1043"/>
        <v>0</v>
      </c>
      <c r="L310" s="57">
        <f>BN310+BR310+BV310+BZ310</f>
        <v>0</v>
      </c>
      <c r="M310" s="60"/>
      <c r="N310" s="60"/>
      <c r="O310" s="60">
        <f>M310-N310</f>
        <v>0</v>
      </c>
      <c r="P310" s="60"/>
      <c r="Q310" s="60"/>
      <c r="R310" s="60">
        <f>P310-Q310</f>
        <v>0</v>
      </c>
      <c r="S310" s="824"/>
      <c r="T310" s="60"/>
      <c r="U310" s="60">
        <f>S310-T310</f>
        <v>0</v>
      </c>
      <c r="V310" s="60">
        <f t="shared" si="1044"/>
        <v>0</v>
      </c>
      <c r="W310" s="60">
        <f t="shared" si="1044"/>
        <v>0</v>
      </c>
      <c r="X310" s="60">
        <f t="shared" si="1044"/>
        <v>0</v>
      </c>
      <c r="Y310" s="60"/>
      <c r="Z310" s="60"/>
      <c r="AA310" s="60">
        <f>Y310-Z310</f>
        <v>0</v>
      </c>
      <c r="AB310" s="60"/>
      <c r="AC310" s="60"/>
      <c r="AD310" s="60">
        <f>AB310-AC310</f>
        <v>0</v>
      </c>
      <c r="AE310" s="60"/>
      <c r="AF310" s="60"/>
      <c r="AG310" s="60">
        <f>AE310-AF310</f>
        <v>0</v>
      </c>
      <c r="AH310" s="60">
        <f t="shared" si="1045"/>
        <v>0</v>
      </c>
      <c r="AI310" s="60">
        <f t="shared" si="1045"/>
        <v>0</v>
      </c>
      <c r="AJ310" s="60">
        <f t="shared" si="1045"/>
        <v>0</v>
      </c>
      <c r="AK310" s="60">
        <v>40</v>
      </c>
      <c r="AL310" s="60">
        <v>40</v>
      </c>
      <c r="AM310" s="60">
        <f>AK310-AL310</f>
        <v>0</v>
      </c>
      <c r="AN310" s="60">
        <v>45</v>
      </c>
      <c r="AO310" s="60">
        <v>45</v>
      </c>
      <c r="AP310" s="60">
        <f>AN310-AO310</f>
        <v>0</v>
      </c>
      <c r="AQ310" s="60">
        <v>15</v>
      </c>
      <c r="AR310" s="60">
        <v>15</v>
      </c>
      <c r="AS310" s="60">
        <f>AQ310-AR310</f>
        <v>0</v>
      </c>
      <c r="AT310" s="60">
        <f t="shared" si="976"/>
        <v>100</v>
      </c>
      <c r="AU310" s="60">
        <f t="shared" si="977"/>
        <v>100</v>
      </c>
      <c r="AV310" s="60">
        <f t="shared" si="978"/>
        <v>0</v>
      </c>
      <c r="AW310" s="60"/>
      <c r="AX310" s="60"/>
      <c r="AY310" s="60">
        <f>AW310-AX310</f>
        <v>0</v>
      </c>
      <c r="AZ310" s="60"/>
      <c r="BA310" s="60"/>
      <c r="BB310" s="60">
        <f>AZ310-BA310</f>
        <v>0</v>
      </c>
      <c r="BC310" s="60"/>
      <c r="BD310" s="60"/>
      <c r="BE310" s="60">
        <f>BC310-BD310</f>
        <v>0</v>
      </c>
      <c r="BF310" s="60">
        <f t="shared" ref="BF310:BH312" si="1046">AW310+AZ310+BC310</f>
        <v>0</v>
      </c>
      <c r="BG310" s="60">
        <f t="shared" si="1046"/>
        <v>0</v>
      </c>
      <c r="BH310" s="60">
        <f t="shared" si="1046"/>
        <v>0</v>
      </c>
      <c r="BI310" s="508"/>
      <c r="BJ310" s="488" t="str">
        <f t="shared" si="859"/>
        <v>Lò</v>
      </c>
      <c r="BK310" s="523">
        <f t="shared" si="1027"/>
        <v>0</v>
      </c>
      <c r="BL310" s="523">
        <f t="shared" si="1028"/>
        <v>0</v>
      </c>
      <c r="BM310" s="523">
        <f t="shared" si="1029"/>
        <v>0</v>
      </c>
      <c r="BN310" s="523">
        <f t="shared" si="1030"/>
        <v>0</v>
      </c>
      <c r="BO310" s="523">
        <f t="shared" si="1031"/>
        <v>0</v>
      </c>
      <c r="BP310" s="523">
        <f t="shared" si="1032"/>
        <v>0</v>
      </c>
      <c r="BQ310" s="523">
        <f t="shared" si="1033"/>
        <v>0</v>
      </c>
      <c r="BR310" s="523">
        <f t="shared" si="1034"/>
        <v>0</v>
      </c>
      <c r="BS310" s="523">
        <f t="shared" si="1035"/>
        <v>0</v>
      </c>
      <c r="BT310" s="523">
        <f t="shared" si="1036"/>
        <v>0</v>
      </c>
      <c r="BU310" s="523">
        <f t="shared" si="1037"/>
        <v>0</v>
      </c>
      <c r="BV310" s="523">
        <f t="shared" si="1038"/>
        <v>0</v>
      </c>
      <c r="BW310" s="523">
        <f t="shared" si="1039"/>
        <v>0</v>
      </c>
      <c r="BX310" s="523">
        <f t="shared" si="1040"/>
        <v>0</v>
      </c>
      <c r="BY310" s="523">
        <f t="shared" si="1041"/>
        <v>0</v>
      </c>
      <c r="BZ310" s="523">
        <f t="shared" si="1042"/>
        <v>0</v>
      </c>
      <c r="CA310" s="354"/>
      <c r="CB310" s="354" t="str">
        <f t="shared" si="983"/>
        <v>X</v>
      </c>
      <c r="CC310" s="509" t="str">
        <f t="shared" si="956"/>
        <v>ĐL6.</v>
      </c>
      <c r="CD310" s="509" t="str">
        <f t="shared" si="984"/>
        <v>ĐL6.11,2</v>
      </c>
      <c r="CE310" s="351" t="str">
        <f t="shared" si="861"/>
        <v>Lò</v>
      </c>
      <c r="CF310" s="509" t="str">
        <f t="shared" si="957"/>
        <v>ĐL6.Lò</v>
      </c>
      <c r="CG310" s="509"/>
      <c r="CH310" s="509"/>
    </row>
    <row r="311" spans="1:86" ht="24" customHeight="1" x14ac:dyDescent="0.25">
      <c r="A311" s="354" t="e">
        <f>A310</f>
        <v>#REF!</v>
      </c>
      <c r="B311" s="933"/>
      <c r="C311" s="519" t="s">
        <v>730</v>
      </c>
      <c r="D311" s="447" t="s">
        <v>14</v>
      </c>
      <c r="E311" s="447"/>
      <c r="F311" s="447"/>
      <c r="G311" s="520">
        <v>11.2</v>
      </c>
      <c r="H311" s="521">
        <v>0.7</v>
      </c>
      <c r="I311" s="522">
        <f t="shared" si="1043"/>
        <v>180</v>
      </c>
      <c r="J311" s="522">
        <f t="shared" si="1043"/>
        <v>0</v>
      </c>
      <c r="K311" s="522">
        <f t="shared" si="1043"/>
        <v>180</v>
      </c>
      <c r="L311" s="57">
        <f>BN311+BR311+BV311+BZ311</f>
        <v>2400</v>
      </c>
      <c r="M311" s="60"/>
      <c r="N311" s="60"/>
      <c r="O311" s="60">
        <f>M311-N311</f>
        <v>0</v>
      </c>
      <c r="P311" s="60"/>
      <c r="Q311" s="60"/>
      <c r="R311" s="60">
        <f>P311-Q311</f>
        <v>0</v>
      </c>
      <c r="S311" s="824"/>
      <c r="T311" s="60"/>
      <c r="U311" s="60">
        <f>S311-T311</f>
        <v>0</v>
      </c>
      <c r="V311" s="60">
        <f t="shared" si="1044"/>
        <v>0</v>
      </c>
      <c r="W311" s="60">
        <f t="shared" si="1044"/>
        <v>0</v>
      </c>
      <c r="X311" s="60">
        <f t="shared" si="1044"/>
        <v>0</v>
      </c>
      <c r="Y311" s="60"/>
      <c r="Z311" s="60"/>
      <c r="AA311" s="60">
        <f>Y311-Z311</f>
        <v>0</v>
      </c>
      <c r="AB311" s="60"/>
      <c r="AC311" s="60"/>
      <c r="AD311" s="60">
        <f>AB311-AC311</f>
        <v>0</v>
      </c>
      <c r="AE311" s="60"/>
      <c r="AF311" s="60"/>
      <c r="AG311" s="60">
        <f>AE311-AF311</f>
        <v>0</v>
      </c>
      <c r="AH311" s="60">
        <f t="shared" si="1045"/>
        <v>0</v>
      </c>
      <c r="AI311" s="60">
        <f t="shared" si="1045"/>
        <v>0</v>
      </c>
      <c r="AJ311" s="60">
        <f t="shared" si="1045"/>
        <v>0</v>
      </c>
      <c r="AK311" s="60"/>
      <c r="AL311" s="60"/>
      <c r="AM311" s="60">
        <f>AK311-AL311</f>
        <v>0</v>
      </c>
      <c r="AN311" s="60"/>
      <c r="AO311" s="60"/>
      <c r="AP311" s="60">
        <f>AN311-AO311</f>
        <v>0</v>
      </c>
      <c r="AQ311" s="60">
        <v>35</v>
      </c>
      <c r="AR311" s="60"/>
      <c r="AS311" s="60">
        <f>AQ311-AR311</f>
        <v>35</v>
      </c>
      <c r="AT311" s="60">
        <f t="shared" si="976"/>
        <v>35</v>
      </c>
      <c r="AU311" s="60">
        <f t="shared" si="977"/>
        <v>0</v>
      </c>
      <c r="AV311" s="60">
        <f t="shared" si="978"/>
        <v>35</v>
      </c>
      <c r="AW311" s="60">
        <v>60</v>
      </c>
      <c r="AX311" s="60"/>
      <c r="AY311" s="60">
        <f>AW311-AX311</f>
        <v>60</v>
      </c>
      <c r="AZ311" s="60">
        <v>60</v>
      </c>
      <c r="BA311" s="60"/>
      <c r="BB311" s="60">
        <f>AZ311-BA311</f>
        <v>60</v>
      </c>
      <c r="BC311" s="60">
        <v>25</v>
      </c>
      <c r="BD311" s="60"/>
      <c r="BE311" s="60">
        <f>BC311-BD311</f>
        <v>25</v>
      </c>
      <c r="BF311" s="60">
        <f t="shared" si="1046"/>
        <v>145</v>
      </c>
      <c r="BG311" s="60">
        <f t="shared" si="1046"/>
        <v>0</v>
      </c>
      <c r="BH311" s="60">
        <f t="shared" si="1046"/>
        <v>145</v>
      </c>
      <c r="BI311" s="508"/>
      <c r="BJ311" s="488" t="str">
        <f t="shared" si="859"/>
        <v>Lò</v>
      </c>
      <c r="BK311" s="523">
        <f t="shared" si="1027"/>
        <v>0</v>
      </c>
      <c r="BL311" s="523">
        <f t="shared" si="1028"/>
        <v>0</v>
      </c>
      <c r="BM311" s="523">
        <f t="shared" si="1029"/>
        <v>0</v>
      </c>
      <c r="BN311" s="523">
        <f t="shared" si="1030"/>
        <v>0</v>
      </c>
      <c r="BO311" s="523">
        <f t="shared" si="1031"/>
        <v>0</v>
      </c>
      <c r="BP311" s="523">
        <f t="shared" si="1032"/>
        <v>0</v>
      </c>
      <c r="BQ311" s="523">
        <f t="shared" si="1033"/>
        <v>0</v>
      </c>
      <c r="BR311" s="523">
        <f t="shared" si="1034"/>
        <v>0</v>
      </c>
      <c r="BS311" s="523">
        <f t="shared" si="1035"/>
        <v>0</v>
      </c>
      <c r="BT311" s="523">
        <f t="shared" si="1036"/>
        <v>0</v>
      </c>
      <c r="BU311" s="523">
        <f t="shared" si="1037"/>
        <v>500</v>
      </c>
      <c r="BV311" s="523">
        <f t="shared" si="1038"/>
        <v>500</v>
      </c>
      <c r="BW311" s="523">
        <f t="shared" si="1039"/>
        <v>800</v>
      </c>
      <c r="BX311" s="523">
        <f t="shared" si="1040"/>
        <v>800</v>
      </c>
      <c r="BY311" s="523">
        <f t="shared" si="1041"/>
        <v>300</v>
      </c>
      <c r="BZ311" s="523">
        <f t="shared" si="1042"/>
        <v>1900</v>
      </c>
      <c r="CA311" s="354"/>
      <c r="CB311" s="354" t="str">
        <f t="shared" si="983"/>
        <v>X</v>
      </c>
      <c r="CC311" s="509" t="str">
        <f t="shared" si="956"/>
        <v>ĐL6.</v>
      </c>
      <c r="CD311" s="509" t="str">
        <f t="shared" si="984"/>
        <v>ĐL6.11,2</v>
      </c>
      <c r="CE311" s="351" t="str">
        <f t="shared" si="861"/>
        <v>Lò</v>
      </c>
      <c r="CF311" s="509" t="str">
        <f t="shared" si="957"/>
        <v>ĐL6.Lò</v>
      </c>
      <c r="CG311" s="509"/>
      <c r="CH311" s="509"/>
    </row>
    <row r="312" spans="1:86" ht="24" customHeight="1" x14ac:dyDescent="0.25">
      <c r="A312" s="354" t="e">
        <f>A311</f>
        <v>#REF!</v>
      </c>
      <c r="B312" s="934"/>
      <c r="C312" s="519" t="s">
        <v>731</v>
      </c>
      <c r="D312" s="447" t="s">
        <v>14</v>
      </c>
      <c r="E312" s="447"/>
      <c r="F312" s="447"/>
      <c r="G312" s="520">
        <v>11.2</v>
      </c>
      <c r="H312" s="521">
        <v>0.7</v>
      </c>
      <c r="I312" s="522">
        <f t="shared" si="1043"/>
        <v>30</v>
      </c>
      <c r="J312" s="522">
        <f t="shared" si="1043"/>
        <v>0</v>
      </c>
      <c r="K312" s="522">
        <f t="shared" si="1043"/>
        <v>30</v>
      </c>
      <c r="L312" s="57">
        <f>BN312+BR312+BV312+BZ312</f>
        <v>400</v>
      </c>
      <c r="M312" s="60"/>
      <c r="N312" s="60"/>
      <c r="O312" s="60">
        <f>M312-N312</f>
        <v>0</v>
      </c>
      <c r="P312" s="60"/>
      <c r="Q312" s="60"/>
      <c r="R312" s="60">
        <f>P312-Q312</f>
        <v>0</v>
      </c>
      <c r="S312" s="824"/>
      <c r="T312" s="60"/>
      <c r="U312" s="60">
        <f>S312-T312</f>
        <v>0</v>
      </c>
      <c r="V312" s="60">
        <f t="shared" si="1044"/>
        <v>0</v>
      </c>
      <c r="W312" s="60">
        <f t="shared" si="1044"/>
        <v>0</v>
      </c>
      <c r="X312" s="60">
        <f t="shared" si="1044"/>
        <v>0</v>
      </c>
      <c r="Y312" s="60"/>
      <c r="Z312" s="60"/>
      <c r="AA312" s="60">
        <f>Y312-Z312</f>
        <v>0</v>
      </c>
      <c r="AB312" s="60"/>
      <c r="AC312" s="60"/>
      <c r="AD312" s="60">
        <f>AB312-AC312</f>
        <v>0</v>
      </c>
      <c r="AE312" s="60"/>
      <c r="AF312" s="60"/>
      <c r="AG312" s="60">
        <f>AE312-AF312</f>
        <v>0</v>
      </c>
      <c r="AH312" s="60">
        <f t="shared" si="1045"/>
        <v>0</v>
      </c>
      <c r="AI312" s="60">
        <f t="shared" si="1045"/>
        <v>0</v>
      </c>
      <c r="AJ312" s="60">
        <f t="shared" si="1045"/>
        <v>0</v>
      </c>
      <c r="AK312" s="60"/>
      <c r="AL312" s="60"/>
      <c r="AM312" s="60">
        <f>AK312-AL312</f>
        <v>0</v>
      </c>
      <c r="AN312" s="60"/>
      <c r="AO312" s="60"/>
      <c r="AP312" s="60">
        <f>AN312-AO312</f>
        <v>0</v>
      </c>
      <c r="AQ312" s="60"/>
      <c r="AR312" s="60"/>
      <c r="AS312" s="60">
        <f>AQ312-AR312</f>
        <v>0</v>
      </c>
      <c r="AT312" s="60">
        <f t="shared" si="976"/>
        <v>0</v>
      </c>
      <c r="AU312" s="60">
        <f t="shared" si="977"/>
        <v>0</v>
      </c>
      <c r="AV312" s="60">
        <f t="shared" si="978"/>
        <v>0</v>
      </c>
      <c r="AW312" s="60"/>
      <c r="AX312" s="60"/>
      <c r="AY312" s="60">
        <f>AW312-AX312</f>
        <v>0</v>
      </c>
      <c r="AZ312" s="60"/>
      <c r="BA312" s="60"/>
      <c r="BB312" s="60">
        <f>AZ312-BA312</f>
        <v>0</v>
      </c>
      <c r="BC312" s="60">
        <v>30</v>
      </c>
      <c r="BD312" s="60"/>
      <c r="BE312" s="60">
        <f>BC312-BD312</f>
        <v>30</v>
      </c>
      <c r="BF312" s="60">
        <f t="shared" si="1046"/>
        <v>30</v>
      </c>
      <c r="BG312" s="60">
        <f t="shared" si="1046"/>
        <v>0</v>
      </c>
      <c r="BH312" s="60">
        <f t="shared" si="1046"/>
        <v>30</v>
      </c>
      <c r="BI312" s="508"/>
      <c r="BJ312" s="488" t="str">
        <f t="shared" si="859"/>
        <v>Lò</v>
      </c>
      <c r="BK312" s="523">
        <f t="shared" si="1027"/>
        <v>0</v>
      </c>
      <c r="BL312" s="523">
        <f t="shared" si="1028"/>
        <v>0</v>
      </c>
      <c r="BM312" s="523">
        <f t="shared" si="1029"/>
        <v>0</v>
      </c>
      <c r="BN312" s="523">
        <f t="shared" si="1030"/>
        <v>0</v>
      </c>
      <c r="BO312" s="523">
        <f t="shared" si="1031"/>
        <v>0</v>
      </c>
      <c r="BP312" s="523">
        <f t="shared" si="1032"/>
        <v>0</v>
      </c>
      <c r="BQ312" s="523">
        <f t="shared" si="1033"/>
        <v>0</v>
      </c>
      <c r="BR312" s="523">
        <f t="shared" si="1034"/>
        <v>0</v>
      </c>
      <c r="BS312" s="523">
        <f t="shared" si="1035"/>
        <v>0</v>
      </c>
      <c r="BT312" s="523">
        <f t="shared" si="1036"/>
        <v>0</v>
      </c>
      <c r="BU312" s="523">
        <f t="shared" si="1037"/>
        <v>0</v>
      </c>
      <c r="BV312" s="523">
        <f t="shared" si="1038"/>
        <v>0</v>
      </c>
      <c r="BW312" s="523">
        <f t="shared" si="1039"/>
        <v>0</v>
      </c>
      <c r="BX312" s="523">
        <f t="shared" si="1040"/>
        <v>0</v>
      </c>
      <c r="BY312" s="523">
        <f t="shared" si="1041"/>
        <v>400</v>
      </c>
      <c r="BZ312" s="523">
        <f t="shared" si="1042"/>
        <v>400</v>
      </c>
      <c r="CA312" s="354"/>
      <c r="CB312" s="354" t="str">
        <f t="shared" si="983"/>
        <v>X</v>
      </c>
      <c r="CC312" s="509" t="str">
        <f t="shared" si="956"/>
        <v>ĐL6.</v>
      </c>
      <c r="CD312" s="509" t="str">
        <f t="shared" si="984"/>
        <v>ĐL6.11,2</v>
      </c>
      <c r="CE312" s="351" t="str">
        <f t="shared" si="861"/>
        <v>Lò</v>
      </c>
      <c r="CF312" s="509" t="str">
        <f t="shared" si="957"/>
        <v>ĐL6.Lò</v>
      </c>
      <c r="CG312" s="509"/>
      <c r="CH312" s="509"/>
    </row>
    <row r="313" spans="1:86" s="359" customFormat="1" ht="21.75" customHeight="1" x14ac:dyDescent="0.3">
      <c r="A313" s="354" t="e">
        <f>A312</f>
        <v>#REF!</v>
      </c>
      <c r="B313" s="525" t="s">
        <v>37</v>
      </c>
      <c r="C313" s="526" t="s">
        <v>178</v>
      </c>
      <c r="D313" s="527"/>
      <c r="E313" s="527"/>
      <c r="F313" s="527"/>
      <c r="G313" s="528"/>
      <c r="H313" s="529"/>
      <c r="I313" s="70">
        <f t="shared" ref="I313:AN313" si="1047">SUM(I314:I318)</f>
        <v>360</v>
      </c>
      <c r="J313" s="70">
        <f t="shared" si="1047"/>
        <v>240</v>
      </c>
      <c r="K313" s="70">
        <f t="shared" si="1047"/>
        <v>120</v>
      </c>
      <c r="L313" s="70">
        <f t="shared" si="1047"/>
        <v>400</v>
      </c>
      <c r="M313" s="210">
        <f t="shared" si="1047"/>
        <v>30</v>
      </c>
      <c r="N313" s="210">
        <f t="shared" si="1047"/>
        <v>20</v>
      </c>
      <c r="O313" s="210">
        <f t="shared" si="1047"/>
        <v>10</v>
      </c>
      <c r="P313" s="210">
        <f t="shared" si="1047"/>
        <v>30</v>
      </c>
      <c r="Q313" s="210">
        <f t="shared" si="1047"/>
        <v>20</v>
      </c>
      <c r="R313" s="210">
        <f t="shared" si="1047"/>
        <v>10</v>
      </c>
      <c r="S313" s="829">
        <f t="shared" si="1047"/>
        <v>30</v>
      </c>
      <c r="T313" s="210">
        <f t="shared" si="1047"/>
        <v>20</v>
      </c>
      <c r="U313" s="210">
        <f t="shared" si="1047"/>
        <v>10</v>
      </c>
      <c r="V313" s="224">
        <f t="shared" si="1047"/>
        <v>90</v>
      </c>
      <c r="W313" s="224">
        <f t="shared" si="1047"/>
        <v>60</v>
      </c>
      <c r="X313" s="224">
        <f t="shared" si="1047"/>
        <v>30</v>
      </c>
      <c r="Y313" s="210">
        <f t="shared" si="1047"/>
        <v>30</v>
      </c>
      <c r="Z313" s="210">
        <f t="shared" si="1047"/>
        <v>20</v>
      </c>
      <c r="AA313" s="210">
        <f t="shared" si="1047"/>
        <v>10</v>
      </c>
      <c r="AB313" s="210">
        <f t="shared" si="1047"/>
        <v>30</v>
      </c>
      <c r="AC313" s="210">
        <f t="shared" si="1047"/>
        <v>20</v>
      </c>
      <c r="AD313" s="210">
        <f t="shared" si="1047"/>
        <v>10</v>
      </c>
      <c r="AE313" s="210">
        <f t="shared" si="1047"/>
        <v>30</v>
      </c>
      <c r="AF313" s="210">
        <f t="shared" si="1047"/>
        <v>20</v>
      </c>
      <c r="AG313" s="210">
        <f t="shared" si="1047"/>
        <v>10</v>
      </c>
      <c r="AH313" s="224">
        <f t="shared" si="1047"/>
        <v>90</v>
      </c>
      <c r="AI313" s="224">
        <f t="shared" si="1047"/>
        <v>60</v>
      </c>
      <c r="AJ313" s="224">
        <f t="shared" si="1047"/>
        <v>30</v>
      </c>
      <c r="AK313" s="210">
        <f t="shared" si="1047"/>
        <v>30</v>
      </c>
      <c r="AL313" s="210">
        <f t="shared" si="1047"/>
        <v>20</v>
      </c>
      <c r="AM313" s="210">
        <f t="shared" si="1047"/>
        <v>10</v>
      </c>
      <c r="AN313" s="210">
        <f t="shared" si="1047"/>
        <v>30</v>
      </c>
      <c r="AO313" s="210">
        <f t="shared" ref="AO313:BH313" si="1048">SUM(AO314:AO318)</f>
        <v>20</v>
      </c>
      <c r="AP313" s="210">
        <f t="shared" si="1048"/>
        <v>10</v>
      </c>
      <c r="AQ313" s="210">
        <f t="shared" si="1048"/>
        <v>30</v>
      </c>
      <c r="AR313" s="210">
        <f t="shared" si="1048"/>
        <v>20</v>
      </c>
      <c r="AS313" s="210">
        <f t="shared" si="1048"/>
        <v>10</v>
      </c>
      <c r="AT313" s="224">
        <f t="shared" si="1048"/>
        <v>90</v>
      </c>
      <c r="AU313" s="224">
        <f t="shared" si="1048"/>
        <v>60</v>
      </c>
      <c r="AV313" s="224">
        <f t="shared" si="1048"/>
        <v>30</v>
      </c>
      <c r="AW313" s="210">
        <f t="shared" si="1048"/>
        <v>30</v>
      </c>
      <c r="AX313" s="210">
        <f t="shared" si="1048"/>
        <v>20</v>
      </c>
      <c r="AY313" s="210">
        <f t="shared" si="1048"/>
        <v>10</v>
      </c>
      <c r="AZ313" s="210">
        <f t="shared" si="1048"/>
        <v>30</v>
      </c>
      <c r="BA313" s="210">
        <f t="shared" si="1048"/>
        <v>20</v>
      </c>
      <c r="BB313" s="210">
        <f t="shared" si="1048"/>
        <v>10</v>
      </c>
      <c r="BC313" s="210">
        <f t="shared" si="1048"/>
        <v>30</v>
      </c>
      <c r="BD313" s="210">
        <f t="shared" si="1048"/>
        <v>20</v>
      </c>
      <c r="BE313" s="210">
        <f t="shared" si="1048"/>
        <v>10</v>
      </c>
      <c r="BF313" s="224">
        <f t="shared" si="1048"/>
        <v>90</v>
      </c>
      <c r="BG313" s="224">
        <f t="shared" si="1048"/>
        <v>60</v>
      </c>
      <c r="BH313" s="224">
        <f t="shared" si="1048"/>
        <v>30</v>
      </c>
      <c r="BI313" s="530"/>
      <c r="BJ313" s="488" t="str">
        <f t="shared" si="859"/>
        <v>XL</v>
      </c>
      <c r="BK313" s="225">
        <f>SUM(BK314:BK318)</f>
        <v>0</v>
      </c>
      <c r="BL313" s="225">
        <f t="shared" ref="BL313:BZ313" si="1049">SUM(BL314:BL318)</f>
        <v>0</v>
      </c>
      <c r="BM313" s="225">
        <f t="shared" si="1049"/>
        <v>0</v>
      </c>
      <c r="BN313" s="225">
        <f t="shared" si="1049"/>
        <v>100</v>
      </c>
      <c r="BO313" s="225">
        <f t="shared" si="1049"/>
        <v>0</v>
      </c>
      <c r="BP313" s="225">
        <f t="shared" si="1049"/>
        <v>0</v>
      </c>
      <c r="BQ313" s="225">
        <f t="shared" si="1049"/>
        <v>0</v>
      </c>
      <c r="BR313" s="225">
        <f t="shared" si="1049"/>
        <v>100</v>
      </c>
      <c r="BS313" s="225">
        <f t="shared" si="1049"/>
        <v>0</v>
      </c>
      <c r="BT313" s="225">
        <f t="shared" si="1049"/>
        <v>0</v>
      </c>
      <c r="BU313" s="225">
        <f t="shared" si="1049"/>
        <v>0</v>
      </c>
      <c r="BV313" s="225">
        <f t="shared" si="1049"/>
        <v>100</v>
      </c>
      <c r="BW313" s="225">
        <f t="shared" si="1049"/>
        <v>0</v>
      </c>
      <c r="BX313" s="225">
        <f t="shared" si="1049"/>
        <v>0</v>
      </c>
      <c r="BY313" s="225">
        <f t="shared" si="1049"/>
        <v>0</v>
      </c>
      <c r="BZ313" s="225">
        <f t="shared" si="1049"/>
        <v>100</v>
      </c>
      <c r="CA313" s="517">
        <f>I313-V313-AH313-AT313-BF313</f>
        <v>0</v>
      </c>
      <c r="CB313" s="545" t="str">
        <f t="shared" si="983"/>
        <v>X</v>
      </c>
      <c r="CC313" s="509" t="str">
        <f t="shared" si="956"/>
        <v>ĐL6.</v>
      </c>
      <c r="CD313" s="509" t="str">
        <f t="shared" si="984"/>
        <v>ĐL6.</v>
      </c>
      <c r="CE313" s="351" t="str">
        <f t="shared" si="861"/>
        <v>XL</v>
      </c>
      <c r="CF313" s="509" t="str">
        <f t="shared" si="957"/>
        <v>ĐL6.XL</v>
      </c>
      <c r="CG313" s="534"/>
      <c r="CH313" s="534"/>
    </row>
    <row r="314" spans="1:86" ht="24.75" customHeight="1" x14ac:dyDescent="0.25">
      <c r="A314" s="354" t="e">
        <f>A313</f>
        <v>#REF!</v>
      </c>
      <c r="B314" s="935" t="s">
        <v>552</v>
      </c>
      <c r="C314" s="531" t="s">
        <v>547</v>
      </c>
      <c r="D314" s="447" t="s">
        <v>14</v>
      </c>
      <c r="E314" s="447"/>
      <c r="F314" s="447"/>
      <c r="G314" s="520">
        <v>20.5</v>
      </c>
      <c r="H314" s="521">
        <v>0.5</v>
      </c>
      <c r="I314" s="522">
        <f t="shared" ref="I314:K318" si="1050">V314+AH314+AT314+BF314</f>
        <v>0</v>
      </c>
      <c r="J314" s="522">
        <f t="shared" si="1050"/>
        <v>0</v>
      </c>
      <c r="K314" s="522">
        <f t="shared" si="1050"/>
        <v>0</v>
      </c>
      <c r="L314" s="57">
        <f>BN314+BR314+BV314+BZ314</f>
        <v>0</v>
      </c>
      <c r="M314" s="60"/>
      <c r="N314" s="60"/>
      <c r="O314" s="60">
        <f>M314-N314</f>
        <v>0</v>
      </c>
      <c r="P314" s="60"/>
      <c r="Q314" s="60"/>
      <c r="R314" s="60">
        <f>P314-Q314</f>
        <v>0</v>
      </c>
      <c r="S314" s="824"/>
      <c r="T314" s="60"/>
      <c r="U314" s="60">
        <f>S314-T314</f>
        <v>0</v>
      </c>
      <c r="V314" s="60">
        <f>M314+P314+S314</f>
        <v>0</v>
      </c>
      <c r="W314" s="60">
        <f>N314+Q314+T314</f>
        <v>0</v>
      </c>
      <c r="X314" s="60">
        <f>O314+R314+U314</f>
        <v>0</v>
      </c>
      <c r="Y314" s="60"/>
      <c r="Z314" s="60"/>
      <c r="AA314" s="60">
        <f>Y314-Z314</f>
        <v>0</v>
      </c>
      <c r="AB314" s="60"/>
      <c r="AC314" s="60"/>
      <c r="AD314" s="60">
        <f>AB314-AC314</f>
        <v>0</v>
      </c>
      <c r="AE314" s="60"/>
      <c r="AF314" s="60"/>
      <c r="AG314" s="60">
        <f>AE314-AF314</f>
        <v>0</v>
      </c>
      <c r="AH314" s="60">
        <f t="shared" ref="AH314:AJ315" si="1051">Y314+AB314+AE314</f>
        <v>0</v>
      </c>
      <c r="AI314" s="60">
        <f t="shared" si="1051"/>
        <v>0</v>
      </c>
      <c r="AJ314" s="60">
        <f t="shared" si="1051"/>
        <v>0</v>
      </c>
      <c r="AK314" s="60"/>
      <c r="AL314" s="60"/>
      <c r="AM314" s="60">
        <f>AK314-AL314</f>
        <v>0</v>
      </c>
      <c r="AN314" s="60"/>
      <c r="AO314" s="60"/>
      <c r="AP314" s="60">
        <f>AN314-AO314</f>
        <v>0</v>
      </c>
      <c r="AQ314" s="60"/>
      <c r="AR314" s="60"/>
      <c r="AS314" s="60">
        <f>AQ314-AR314</f>
        <v>0</v>
      </c>
      <c r="AT314" s="60">
        <f t="shared" ref="AT314:AV318" si="1052">AK314+AN314+AQ314</f>
        <v>0</v>
      </c>
      <c r="AU314" s="60">
        <f t="shared" si="1052"/>
        <v>0</v>
      </c>
      <c r="AV314" s="60">
        <f t="shared" si="1052"/>
        <v>0</v>
      </c>
      <c r="AW314" s="60"/>
      <c r="AX314" s="60"/>
      <c r="AY314" s="60">
        <f>AW314-AX314</f>
        <v>0</v>
      </c>
      <c r="AZ314" s="60"/>
      <c r="BA314" s="60"/>
      <c r="BB314" s="60">
        <f>AZ314-BA314</f>
        <v>0</v>
      </c>
      <c r="BC314" s="60"/>
      <c r="BD314" s="60"/>
      <c r="BE314" s="60">
        <f>BC314-BD314</f>
        <v>0</v>
      </c>
      <c r="BF314" s="60">
        <f t="shared" ref="BF314:BH315" si="1053">AW314+AZ314+BC314</f>
        <v>0</v>
      </c>
      <c r="BG314" s="60">
        <f t="shared" si="1053"/>
        <v>0</v>
      </c>
      <c r="BH314" s="60">
        <f t="shared" si="1053"/>
        <v>0</v>
      </c>
      <c r="BI314" s="508"/>
      <c r="BJ314" s="488" t="str">
        <f t="shared" si="859"/>
        <v>Xé</v>
      </c>
      <c r="BK314" s="523">
        <f>ROUND(O314*G314*$B$6,-2)</f>
        <v>0</v>
      </c>
      <c r="BL314" s="523">
        <f>ROUND(R314*G314*$B$6,-2)</f>
        <v>0</v>
      </c>
      <c r="BM314" s="523">
        <f>ROUND(U314*G314*$B$6,-2)</f>
        <v>0</v>
      </c>
      <c r="BN314" s="523">
        <f>ROUND(X314*G314*$B$6,-2)</f>
        <v>0</v>
      </c>
      <c r="BO314" s="523">
        <f>ROUND(AA314*G314*$B$6,-2)</f>
        <v>0</v>
      </c>
      <c r="BP314" s="523">
        <f>ROUND(AD314*G314*$B$6,-2)</f>
        <v>0</v>
      </c>
      <c r="BQ314" s="523">
        <f>ROUND(AG314*G314*$B$6,-2)</f>
        <v>0</v>
      </c>
      <c r="BR314" s="523">
        <f>ROUND(AJ314*G314*$B$6,-2)</f>
        <v>0</v>
      </c>
      <c r="BS314" s="523">
        <f>ROUND(AM314*G314*$B$6,-2)</f>
        <v>0</v>
      </c>
      <c r="BT314" s="523">
        <f>ROUND(AP314*G314*$B$6,-2)</f>
        <v>0</v>
      </c>
      <c r="BU314" s="523">
        <f>ROUND(AS314*G314*$B$6,-2)</f>
        <v>0</v>
      </c>
      <c r="BV314" s="523">
        <f>ROUND(AV314*G314*$B$6,-2)</f>
        <v>0</v>
      </c>
      <c r="BW314" s="523">
        <f>ROUND(AY314*G314*$B$6,-2)</f>
        <v>0</v>
      </c>
      <c r="BX314" s="523">
        <f>ROUND(BB314*G314*$B$6,-2)</f>
        <v>0</v>
      </c>
      <c r="BY314" s="523">
        <f>ROUND(BE314*G314*$B$6,-2)</f>
        <v>0</v>
      </c>
      <c r="BZ314" s="523">
        <f>ROUND(BH314*G314*$B$6,-2)</f>
        <v>0</v>
      </c>
      <c r="CA314" s="517">
        <f>I314-V314-AH314-AT314-BF314</f>
        <v>0</v>
      </c>
      <c r="CB314" s="354" t="b">
        <f t="shared" si="983"/>
        <v>0</v>
      </c>
      <c r="CC314" s="509" t="str">
        <f t="shared" si="956"/>
        <v>ĐL6.</v>
      </c>
      <c r="CD314" s="509" t="str">
        <f t="shared" si="984"/>
        <v>ĐL6.20,5</v>
      </c>
      <c r="CE314" s="351" t="str">
        <f t="shared" si="861"/>
        <v>Xé</v>
      </c>
      <c r="CF314" s="509" t="str">
        <f t="shared" si="957"/>
        <v>ĐL6.Xé</v>
      </c>
      <c r="CG314" s="509"/>
      <c r="CH314" s="509"/>
    </row>
    <row r="315" spans="1:86" ht="24.75" customHeight="1" x14ac:dyDescent="0.25">
      <c r="A315" s="354" t="e">
        <f>A312</f>
        <v>#REF!</v>
      </c>
      <c r="B315" s="936"/>
      <c r="C315" s="531" t="s">
        <v>214</v>
      </c>
      <c r="D315" s="447" t="s">
        <v>14</v>
      </c>
      <c r="E315" s="447"/>
      <c r="F315" s="447"/>
      <c r="G315" s="520">
        <v>17.899999999999999</v>
      </c>
      <c r="H315" s="521">
        <v>0.5</v>
      </c>
      <c r="I315" s="522">
        <f t="shared" si="1050"/>
        <v>0</v>
      </c>
      <c r="J315" s="522">
        <f t="shared" si="1050"/>
        <v>0</v>
      </c>
      <c r="K315" s="522">
        <f t="shared" si="1050"/>
        <v>0</v>
      </c>
      <c r="L315" s="57">
        <f>BN315+BR315+BV315+BZ315</f>
        <v>0</v>
      </c>
      <c r="M315" s="60"/>
      <c r="N315" s="60"/>
      <c r="O315" s="60">
        <f>M315-N315</f>
        <v>0</v>
      </c>
      <c r="P315" s="60"/>
      <c r="Q315" s="60"/>
      <c r="R315" s="60">
        <f>P315-Q315</f>
        <v>0</v>
      </c>
      <c r="S315" s="824"/>
      <c r="T315" s="60"/>
      <c r="U315" s="60">
        <f>S315-T315</f>
        <v>0</v>
      </c>
      <c r="V315" s="60">
        <f t="shared" ref="V315:X318" si="1054">M315+P315+S315</f>
        <v>0</v>
      </c>
      <c r="W315" s="60">
        <f t="shared" si="1054"/>
        <v>0</v>
      </c>
      <c r="X315" s="60">
        <f t="shared" si="1054"/>
        <v>0</v>
      </c>
      <c r="Y315" s="60"/>
      <c r="Z315" s="60"/>
      <c r="AA315" s="60">
        <f>Y315-Z315</f>
        <v>0</v>
      </c>
      <c r="AB315" s="60"/>
      <c r="AC315" s="60"/>
      <c r="AD315" s="60"/>
      <c r="AE315" s="60"/>
      <c r="AF315" s="60"/>
      <c r="AG315" s="60">
        <f>AE315-AF315</f>
        <v>0</v>
      </c>
      <c r="AH315" s="60">
        <f t="shared" si="1051"/>
        <v>0</v>
      </c>
      <c r="AI315" s="60">
        <f t="shared" si="1051"/>
        <v>0</v>
      </c>
      <c r="AJ315" s="60">
        <f t="shared" si="1051"/>
        <v>0</v>
      </c>
      <c r="AK315" s="60"/>
      <c r="AL315" s="60"/>
      <c r="AM315" s="60">
        <f>AK315-AL315</f>
        <v>0</v>
      </c>
      <c r="AN315" s="60"/>
      <c r="AO315" s="60"/>
      <c r="AP315" s="60">
        <f>AN315-AO315</f>
        <v>0</v>
      </c>
      <c r="AQ315" s="60"/>
      <c r="AR315" s="60"/>
      <c r="AS315" s="60">
        <f>AQ315-AR315</f>
        <v>0</v>
      </c>
      <c r="AT315" s="60">
        <f t="shared" si="1052"/>
        <v>0</v>
      </c>
      <c r="AU315" s="60">
        <f t="shared" si="1052"/>
        <v>0</v>
      </c>
      <c r="AV315" s="60">
        <f t="shared" si="1052"/>
        <v>0</v>
      </c>
      <c r="AW315" s="60"/>
      <c r="AX315" s="60"/>
      <c r="AY315" s="60">
        <f>AW315-AX315</f>
        <v>0</v>
      </c>
      <c r="AZ315" s="60"/>
      <c r="BA315" s="60"/>
      <c r="BB315" s="60">
        <f>AZ315-BA315</f>
        <v>0</v>
      </c>
      <c r="BC315" s="60"/>
      <c r="BD315" s="60"/>
      <c r="BE315" s="60">
        <f>BC315-BD315</f>
        <v>0</v>
      </c>
      <c r="BF315" s="60">
        <f t="shared" si="1053"/>
        <v>0</v>
      </c>
      <c r="BG315" s="60">
        <f t="shared" si="1053"/>
        <v>0</v>
      </c>
      <c r="BH315" s="60">
        <f t="shared" si="1053"/>
        <v>0</v>
      </c>
      <c r="BI315" s="508"/>
      <c r="BJ315" s="488" t="str">
        <f t="shared" si="859"/>
        <v>Xé</v>
      </c>
      <c r="BK315" s="523">
        <f>ROUND(O315*G315*$B$6,-2)</f>
        <v>0</v>
      </c>
      <c r="BL315" s="523">
        <f>ROUND(R315*G315*$B$6,-2)</f>
        <v>0</v>
      </c>
      <c r="BM315" s="523">
        <f>ROUND(U315*G315*$B$6,-2)</f>
        <v>0</v>
      </c>
      <c r="BN315" s="523">
        <f>ROUND(X315*G315*$B$6,-2)</f>
        <v>0</v>
      </c>
      <c r="BO315" s="523">
        <f>ROUND(AA315*G315*$B$6,-2)</f>
        <v>0</v>
      </c>
      <c r="BP315" s="523">
        <f>ROUND(AD315*G315*$B$6,-2)</f>
        <v>0</v>
      </c>
      <c r="BQ315" s="523">
        <f>ROUND(AG315*G315*$B$6,-2)</f>
        <v>0</v>
      </c>
      <c r="BR315" s="523">
        <f>ROUND(AJ315*G315*$B$6,-2)</f>
        <v>0</v>
      </c>
      <c r="BS315" s="523">
        <f>ROUND(AM315*G315*$B$6,-2)</f>
        <v>0</v>
      </c>
      <c r="BT315" s="523">
        <f>ROUND(AP315*G315*$B$6,-2)</f>
        <v>0</v>
      </c>
      <c r="BU315" s="523">
        <f>ROUND(AS315*G315*$B$6,-2)</f>
        <v>0</v>
      </c>
      <c r="BV315" s="523">
        <f>ROUND(AV315*G315*$B$6,-2)</f>
        <v>0</v>
      </c>
      <c r="BW315" s="523">
        <f>ROUND(AY315*G315*$B$6,-2)</f>
        <v>0</v>
      </c>
      <c r="BX315" s="523">
        <f>ROUND(BB315*G315*$B$6,-2)</f>
        <v>0</v>
      </c>
      <c r="BY315" s="523">
        <f>ROUND(BE315*G315*$B$6,-2)</f>
        <v>0</v>
      </c>
      <c r="BZ315" s="523">
        <f>ROUND(BH315*G315*$B$6,-2)</f>
        <v>0</v>
      </c>
      <c r="CA315" s="354"/>
      <c r="CB315" s="354" t="b">
        <f t="shared" si="983"/>
        <v>0</v>
      </c>
      <c r="CC315" s="509" t="str">
        <f t="shared" si="956"/>
        <v>ĐL6.</v>
      </c>
      <c r="CD315" s="509" t="str">
        <f t="shared" si="984"/>
        <v>ĐL6.17,9</v>
      </c>
      <c r="CE315" s="351" t="str">
        <f t="shared" si="861"/>
        <v>Xé</v>
      </c>
      <c r="CF315" s="509" t="str">
        <f t="shared" si="957"/>
        <v>ĐL6.Xé</v>
      </c>
      <c r="CG315" s="509"/>
      <c r="CH315" s="509"/>
    </row>
    <row r="316" spans="1:86" ht="24.75" customHeight="1" x14ac:dyDescent="0.25">
      <c r="A316" s="354" t="e">
        <f>A312</f>
        <v>#REF!</v>
      </c>
      <c r="B316" s="936"/>
      <c r="C316" s="531" t="s">
        <v>732</v>
      </c>
      <c r="D316" s="447" t="s">
        <v>14</v>
      </c>
      <c r="E316" s="447"/>
      <c r="F316" s="447"/>
      <c r="G316" s="520">
        <v>11.2</v>
      </c>
      <c r="H316" s="521">
        <v>0.7</v>
      </c>
      <c r="I316" s="522">
        <f>V316+AH316+AT316+BF316</f>
        <v>180</v>
      </c>
      <c r="J316" s="522">
        <f>W316+AI316+AU316+BG316</f>
        <v>120</v>
      </c>
      <c r="K316" s="522">
        <f>X316+AJ316+AV316+BH316</f>
        <v>60</v>
      </c>
      <c r="L316" s="57">
        <f>BN316+BR316+BV316+BZ316</f>
        <v>200</v>
      </c>
      <c r="M316" s="60">
        <v>30</v>
      </c>
      <c r="N316" s="60">
        <v>20</v>
      </c>
      <c r="O316" s="60">
        <f>M316-N316</f>
        <v>10</v>
      </c>
      <c r="P316" s="60">
        <v>30</v>
      </c>
      <c r="Q316" s="60">
        <v>20</v>
      </c>
      <c r="R316" s="60">
        <f>P316-Q316</f>
        <v>10</v>
      </c>
      <c r="S316" s="824">
        <v>30</v>
      </c>
      <c r="T316" s="60">
        <v>20</v>
      </c>
      <c r="U316" s="60">
        <f>S316-T316</f>
        <v>10</v>
      </c>
      <c r="V316" s="60">
        <f>M316+P316+S316</f>
        <v>90</v>
      </c>
      <c r="W316" s="60">
        <f>N316+Q316+T316</f>
        <v>60</v>
      </c>
      <c r="X316" s="60">
        <f>O316+R316+U316</f>
        <v>30</v>
      </c>
      <c r="Y316" s="60">
        <v>30</v>
      </c>
      <c r="Z316" s="60">
        <v>20</v>
      </c>
      <c r="AA316" s="60">
        <f>Y316-Z316</f>
        <v>10</v>
      </c>
      <c r="AB316" s="60">
        <v>30</v>
      </c>
      <c r="AC316" s="60">
        <v>20</v>
      </c>
      <c r="AD316" s="60">
        <f>AB316-AC316</f>
        <v>10</v>
      </c>
      <c r="AE316" s="60">
        <v>30</v>
      </c>
      <c r="AF316" s="60">
        <v>20</v>
      </c>
      <c r="AG316" s="60">
        <f>AE316-AF316</f>
        <v>10</v>
      </c>
      <c r="AH316" s="60">
        <f>Y316+AB316+AE316</f>
        <v>90</v>
      </c>
      <c r="AI316" s="60">
        <f>Z316+AC316+AF316</f>
        <v>60</v>
      </c>
      <c r="AJ316" s="60">
        <f>AA316+AD316+AG316</f>
        <v>30</v>
      </c>
      <c r="AK316" s="60"/>
      <c r="AL316" s="60"/>
      <c r="AM316" s="60">
        <f>AK316-AL316</f>
        <v>0</v>
      </c>
      <c r="AN316" s="60"/>
      <c r="AO316" s="60"/>
      <c r="AP316" s="60">
        <f>AN316-AO316</f>
        <v>0</v>
      </c>
      <c r="AQ316" s="60"/>
      <c r="AR316" s="60"/>
      <c r="AS316" s="60">
        <f>AQ316-AR316</f>
        <v>0</v>
      </c>
      <c r="AT316" s="60">
        <f t="shared" si="1052"/>
        <v>0</v>
      </c>
      <c r="AU316" s="60">
        <f t="shared" si="1052"/>
        <v>0</v>
      </c>
      <c r="AV316" s="60">
        <f t="shared" si="1052"/>
        <v>0</v>
      </c>
      <c r="AW316" s="60"/>
      <c r="AX316" s="60"/>
      <c r="AY316" s="60">
        <f>AW316-AX316</f>
        <v>0</v>
      </c>
      <c r="AZ316" s="60"/>
      <c r="BA316" s="60"/>
      <c r="BB316" s="60">
        <f>AZ316-BA316</f>
        <v>0</v>
      </c>
      <c r="BC316" s="60"/>
      <c r="BD316" s="60"/>
      <c r="BE316" s="60">
        <f>BC316-BD316</f>
        <v>0</v>
      </c>
      <c r="BF316" s="60">
        <f t="shared" ref="BF316:BH318" si="1055">AW316+AZ316+BC316</f>
        <v>0</v>
      </c>
      <c r="BG316" s="60">
        <f t="shared" si="1055"/>
        <v>0</v>
      </c>
      <c r="BH316" s="60">
        <f t="shared" si="1055"/>
        <v>0</v>
      </c>
      <c r="BI316" s="508"/>
      <c r="BJ316" s="488" t="str">
        <f t="shared" si="859"/>
        <v>Xé</v>
      </c>
      <c r="BK316" s="523">
        <f>ROUND(O316*G316*$B$6,-2)</f>
        <v>0</v>
      </c>
      <c r="BL316" s="523">
        <f>ROUND(R316*G316*$B$6,-2)</f>
        <v>0</v>
      </c>
      <c r="BM316" s="523">
        <f>ROUND(U316*G316*$B$6,-2)</f>
        <v>0</v>
      </c>
      <c r="BN316" s="523">
        <f>ROUND(X316*G316*$B$6,-2)</f>
        <v>100</v>
      </c>
      <c r="BO316" s="523">
        <f>ROUND(AA316*G316*$B$6,-2)</f>
        <v>0</v>
      </c>
      <c r="BP316" s="523">
        <f>ROUND(AD316*G316*$B$6,-2)</f>
        <v>0</v>
      </c>
      <c r="BQ316" s="523">
        <f>ROUND(AG316*G316*$B$6,-2)</f>
        <v>0</v>
      </c>
      <c r="BR316" s="523">
        <f>ROUND(AJ316*G316*$B$6,-2)</f>
        <v>100</v>
      </c>
      <c r="BS316" s="523">
        <f>ROUND(AM316*G316*$B$6,-2)</f>
        <v>0</v>
      </c>
      <c r="BT316" s="523">
        <f>ROUND(AP316*G316*$B$6,-2)</f>
        <v>0</v>
      </c>
      <c r="BU316" s="523">
        <f>ROUND(AS316*G316*$B$6,-2)</f>
        <v>0</v>
      </c>
      <c r="BV316" s="523">
        <f>ROUND(AV316*G316*$B$6,-2)</f>
        <v>0</v>
      </c>
      <c r="BW316" s="523">
        <f>ROUND(AY316*G316*$B$6,-2)</f>
        <v>0</v>
      </c>
      <c r="BX316" s="523">
        <f>ROUND(BB316*G316*$B$6,-2)</f>
        <v>0</v>
      </c>
      <c r="BY316" s="523">
        <f>ROUND(BE316*G316*$B$6,-2)</f>
        <v>0</v>
      </c>
      <c r="BZ316" s="523">
        <f>ROUND(BH316*G316*$B$6,-2)</f>
        <v>0</v>
      </c>
      <c r="CA316" s="354"/>
      <c r="CB316" s="354" t="str">
        <f>IF(SUM(I316:L316)&lt;&gt;0,"X")</f>
        <v>X</v>
      </c>
      <c r="CC316" s="509" t="str">
        <f>CC314</f>
        <v>ĐL6.</v>
      </c>
      <c r="CD316" s="509" t="str">
        <f>CC316&amp;G316</f>
        <v>ĐL6.11,2</v>
      </c>
      <c r="CE316" s="351" t="str">
        <f t="shared" si="861"/>
        <v>Xé</v>
      </c>
      <c r="CF316" s="509" t="str">
        <f>CC316&amp;CE316</f>
        <v>ĐL6.Xé</v>
      </c>
      <c r="CG316" s="509"/>
      <c r="CH316" s="509"/>
    </row>
    <row r="317" spans="1:86" ht="24.75" customHeight="1" x14ac:dyDescent="0.25">
      <c r="A317" s="354" t="e">
        <f>A313</f>
        <v>#REF!</v>
      </c>
      <c r="B317" s="936"/>
      <c r="C317" s="531" t="s">
        <v>733</v>
      </c>
      <c r="D317" s="447" t="s">
        <v>14</v>
      </c>
      <c r="E317" s="447"/>
      <c r="F317" s="447"/>
      <c r="G317" s="520">
        <v>11.2</v>
      </c>
      <c r="H317" s="521">
        <v>0.7</v>
      </c>
      <c r="I317" s="522">
        <f t="shared" si="1050"/>
        <v>180</v>
      </c>
      <c r="J317" s="522">
        <f t="shared" si="1050"/>
        <v>120</v>
      </c>
      <c r="K317" s="522">
        <f t="shared" si="1050"/>
        <v>60</v>
      </c>
      <c r="L317" s="57">
        <f>BN317+BR317+BV317+BZ317</f>
        <v>200</v>
      </c>
      <c r="M317" s="60"/>
      <c r="N317" s="60"/>
      <c r="O317" s="60">
        <f>M317-N317</f>
        <v>0</v>
      </c>
      <c r="P317" s="60"/>
      <c r="Q317" s="60"/>
      <c r="R317" s="60">
        <f>P317-Q317</f>
        <v>0</v>
      </c>
      <c r="S317" s="824"/>
      <c r="T317" s="60"/>
      <c r="U317" s="60">
        <f>S317-T317</f>
        <v>0</v>
      </c>
      <c r="V317" s="60">
        <f t="shared" si="1054"/>
        <v>0</v>
      </c>
      <c r="W317" s="60">
        <f t="shared" si="1054"/>
        <v>0</v>
      </c>
      <c r="X317" s="60">
        <f t="shared" si="1054"/>
        <v>0</v>
      </c>
      <c r="Y317" s="60"/>
      <c r="Z317" s="60"/>
      <c r="AA317" s="60">
        <f>Y317-Z317</f>
        <v>0</v>
      </c>
      <c r="AB317" s="60"/>
      <c r="AC317" s="60"/>
      <c r="AD317" s="60">
        <f>AB317-AC317</f>
        <v>0</v>
      </c>
      <c r="AE317" s="60"/>
      <c r="AF317" s="60"/>
      <c r="AG317" s="60">
        <f>AE317-AF317</f>
        <v>0</v>
      </c>
      <c r="AH317" s="60">
        <f t="shared" ref="AH317:AJ318" si="1056">Y317+AB317+AE317</f>
        <v>0</v>
      </c>
      <c r="AI317" s="60">
        <f t="shared" si="1056"/>
        <v>0</v>
      </c>
      <c r="AJ317" s="60">
        <f t="shared" si="1056"/>
        <v>0</v>
      </c>
      <c r="AK317" s="60">
        <v>30</v>
      </c>
      <c r="AL317" s="60">
        <v>20</v>
      </c>
      <c r="AM317" s="60">
        <f>AK317-AL317</f>
        <v>10</v>
      </c>
      <c r="AN317" s="60">
        <v>30</v>
      </c>
      <c r="AO317" s="60">
        <v>20</v>
      </c>
      <c r="AP317" s="60">
        <f>AN317-AO317</f>
        <v>10</v>
      </c>
      <c r="AQ317" s="60">
        <v>30</v>
      </c>
      <c r="AR317" s="60">
        <v>20</v>
      </c>
      <c r="AS317" s="60">
        <f>AQ317-AR317</f>
        <v>10</v>
      </c>
      <c r="AT317" s="60">
        <f t="shared" si="1052"/>
        <v>90</v>
      </c>
      <c r="AU317" s="60">
        <f t="shared" si="1052"/>
        <v>60</v>
      </c>
      <c r="AV317" s="60">
        <f t="shared" si="1052"/>
        <v>30</v>
      </c>
      <c r="AW317" s="60">
        <v>30</v>
      </c>
      <c r="AX317" s="60">
        <v>20</v>
      </c>
      <c r="AY317" s="60">
        <f>AW317-AX317</f>
        <v>10</v>
      </c>
      <c r="AZ317" s="60">
        <v>30</v>
      </c>
      <c r="BA317" s="60">
        <v>20</v>
      </c>
      <c r="BB317" s="60">
        <f>AZ317-BA317</f>
        <v>10</v>
      </c>
      <c r="BC317" s="60">
        <v>30</v>
      </c>
      <c r="BD317" s="60">
        <v>20</v>
      </c>
      <c r="BE317" s="60">
        <f>BC317-BD317</f>
        <v>10</v>
      </c>
      <c r="BF317" s="60">
        <f t="shared" si="1055"/>
        <v>90</v>
      </c>
      <c r="BG317" s="60">
        <f t="shared" si="1055"/>
        <v>60</v>
      </c>
      <c r="BH317" s="60">
        <f t="shared" si="1055"/>
        <v>30</v>
      </c>
      <c r="BI317" s="508"/>
      <c r="BJ317" s="488" t="str">
        <f t="shared" si="859"/>
        <v>Xé</v>
      </c>
      <c r="BK317" s="523">
        <f>ROUND(O317*G317*$B$6,-2)</f>
        <v>0</v>
      </c>
      <c r="BL317" s="523">
        <f>ROUND(R317*G317*$B$6,-2)</f>
        <v>0</v>
      </c>
      <c r="BM317" s="523">
        <f>ROUND(U317*G317*$B$6,-2)</f>
        <v>0</v>
      </c>
      <c r="BN317" s="523">
        <f>ROUND(X317*G317*$B$6,-2)</f>
        <v>0</v>
      </c>
      <c r="BO317" s="523">
        <f>ROUND(AA317*G317*$B$6,-2)</f>
        <v>0</v>
      </c>
      <c r="BP317" s="523">
        <f>ROUND(AD317*G317*$B$6,-2)</f>
        <v>0</v>
      </c>
      <c r="BQ317" s="523">
        <f>ROUND(AG317*G317*$B$6,-2)</f>
        <v>0</v>
      </c>
      <c r="BR317" s="523">
        <f>ROUND(AJ317*G317*$B$6,-2)</f>
        <v>0</v>
      </c>
      <c r="BS317" s="523">
        <f>ROUND(AM317*G317*$B$6,-2)</f>
        <v>0</v>
      </c>
      <c r="BT317" s="523">
        <f>ROUND(AP317*G317*$B$6,-2)</f>
        <v>0</v>
      </c>
      <c r="BU317" s="523">
        <f>ROUND(AS317*G317*$B$6,-2)</f>
        <v>0</v>
      </c>
      <c r="BV317" s="523">
        <f>ROUND(AV317*G317*$B$6,-2)</f>
        <v>100</v>
      </c>
      <c r="BW317" s="523">
        <f>ROUND(AY317*G317*$B$6,-2)</f>
        <v>0</v>
      </c>
      <c r="BX317" s="523">
        <f>ROUND(BB317*G317*$B$6,-2)</f>
        <v>0</v>
      </c>
      <c r="BY317" s="523">
        <f>ROUND(BE317*G317*$B$6,-2)</f>
        <v>0</v>
      </c>
      <c r="BZ317" s="523">
        <f>ROUND(BH317*G317*$B$6,-2)</f>
        <v>100</v>
      </c>
      <c r="CA317" s="354"/>
      <c r="CB317" s="354" t="str">
        <f t="shared" si="983"/>
        <v>X</v>
      </c>
      <c r="CC317" s="509" t="str">
        <f>CC315</f>
        <v>ĐL6.</v>
      </c>
      <c r="CD317" s="509" t="str">
        <f t="shared" si="984"/>
        <v>ĐL6.11,2</v>
      </c>
      <c r="CE317" s="351" t="str">
        <f t="shared" si="861"/>
        <v>Xé</v>
      </c>
      <c r="CF317" s="509" t="str">
        <f>CC317&amp;CE317</f>
        <v>ĐL6.Xé</v>
      </c>
      <c r="CG317" s="509"/>
      <c r="CH317" s="509"/>
    </row>
    <row r="318" spans="1:86" ht="24.75" customHeight="1" x14ac:dyDescent="0.25">
      <c r="A318" s="354" t="e">
        <f>A314</f>
        <v>#REF!</v>
      </c>
      <c r="B318" s="937"/>
      <c r="C318" s="531" t="s">
        <v>20</v>
      </c>
      <c r="D318" s="447" t="s">
        <v>14</v>
      </c>
      <c r="E318" s="447"/>
      <c r="F318" s="447"/>
      <c r="G318" s="520">
        <v>13.1</v>
      </c>
      <c r="H318" s="521">
        <v>0.7</v>
      </c>
      <c r="I318" s="522">
        <f t="shared" si="1050"/>
        <v>0</v>
      </c>
      <c r="J318" s="522">
        <f t="shared" si="1050"/>
        <v>0</v>
      </c>
      <c r="K318" s="522">
        <f t="shared" si="1050"/>
        <v>0</v>
      </c>
      <c r="L318" s="57">
        <f>BN318+BR318+BV318+BZ318</f>
        <v>0</v>
      </c>
      <c r="M318" s="60"/>
      <c r="N318" s="60"/>
      <c r="O318" s="60">
        <f>M318-N318</f>
        <v>0</v>
      </c>
      <c r="P318" s="60"/>
      <c r="Q318" s="60"/>
      <c r="R318" s="60">
        <f>P318-Q318</f>
        <v>0</v>
      </c>
      <c r="S318" s="824"/>
      <c r="T318" s="60"/>
      <c r="U318" s="60">
        <f>S318-T318</f>
        <v>0</v>
      </c>
      <c r="V318" s="60">
        <f t="shared" si="1054"/>
        <v>0</v>
      </c>
      <c r="W318" s="60">
        <f t="shared" si="1054"/>
        <v>0</v>
      </c>
      <c r="X318" s="60">
        <f t="shared" si="1054"/>
        <v>0</v>
      </c>
      <c r="Y318" s="60"/>
      <c r="Z318" s="60"/>
      <c r="AA318" s="60">
        <f>Y318-Z318</f>
        <v>0</v>
      </c>
      <c r="AB318" s="60"/>
      <c r="AC318" s="60"/>
      <c r="AD318" s="60">
        <f>AB318-AC318</f>
        <v>0</v>
      </c>
      <c r="AE318" s="60"/>
      <c r="AF318" s="60"/>
      <c r="AG318" s="60">
        <f>AE318-AF318</f>
        <v>0</v>
      </c>
      <c r="AH318" s="60">
        <f t="shared" si="1056"/>
        <v>0</v>
      </c>
      <c r="AI318" s="60">
        <f t="shared" si="1056"/>
        <v>0</v>
      </c>
      <c r="AJ318" s="60">
        <f t="shared" si="1056"/>
        <v>0</v>
      </c>
      <c r="AK318" s="60"/>
      <c r="AL318" s="60"/>
      <c r="AM318" s="60">
        <f>AK318-AL318</f>
        <v>0</v>
      </c>
      <c r="AN318" s="60"/>
      <c r="AO318" s="60"/>
      <c r="AP318" s="60">
        <f>AN318-AO318</f>
        <v>0</v>
      </c>
      <c r="AQ318" s="60"/>
      <c r="AR318" s="60"/>
      <c r="AS318" s="60">
        <f>AQ318-AR318</f>
        <v>0</v>
      </c>
      <c r="AT318" s="60">
        <f t="shared" si="1052"/>
        <v>0</v>
      </c>
      <c r="AU318" s="60">
        <f t="shared" si="1052"/>
        <v>0</v>
      </c>
      <c r="AV318" s="60">
        <f t="shared" si="1052"/>
        <v>0</v>
      </c>
      <c r="AW318" s="60"/>
      <c r="AX318" s="60"/>
      <c r="AY318" s="60">
        <f>AW318-AX318</f>
        <v>0</v>
      </c>
      <c r="AZ318" s="60"/>
      <c r="BA318" s="60"/>
      <c r="BB318" s="60">
        <f>AZ318-BA318</f>
        <v>0</v>
      </c>
      <c r="BC318" s="60"/>
      <c r="BD318" s="60"/>
      <c r="BE318" s="60">
        <f>BC318-BD318</f>
        <v>0</v>
      </c>
      <c r="BF318" s="60">
        <f t="shared" si="1055"/>
        <v>0</v>
      </c>
      <c r="BG318" s="60">
        <f t="shared" si="1055"/>
        <v>0</v>
      </c>
      <c r="BH318" s="60">
        <f t="shared" si="1055"/>
        <v>0</v>
      </c>
      <c r="BI318" s="508"/>
      <c r="BJ318" s="488" t="str">
        <f t="shared" si="859"/>
        <v>Xé</v>
      </c>
      <c r="BK318" s="523">
        <f>ROUND(O318*G318*$B$6,-2)</f>
        <v>0</v>
      </c>
      <c r="BL318" s="523">
        <f>ROUND(R318*G318*$B$6,-2)</f>
        <v>0</v>
      </c>
      <c r="BM318" s="523">
        <f>ROUND(U318*G318*$B$6,-2)</f>
        <v>0</v>
      </c>
      <c r="BN318" s="523">
        <f>ROUND(X318*G318*$B$6,-2)</f>
        <v>0</v>
      </c>
      <c r="BO318" s="523">
        <f>ROUND(AA318*G318*$B$6,-2)</f>
        <v>0</v>
      </c>
      <c r="BP318" s="523">
        <f>ROUND(AD318*G318*$B$6,-2)</f>
        <v>0</v>
      </c>
      <c r="BQ318" s="523">
        <f>ROUND(AG318*G318*$B$6,-2)</f>
        <v>0</v>
      </c>
      <c r="BR318" s="523">
        <f>ROUND(AJ318*G318*$B$6,-2)</f>
        <v>0</v>
      </c>
      <c r="BS318" s="523">
        <f>ROUND(AM318*G318*$B$6,-2)</f>
        <v>0</v>
      </c>
      <c r="BT318" s="523">
        <f>ROUND(AP318*G318*$B$6,-2)</f>
        <v>0</v>
      </c>
      <c r="BU318" s="523">
        <f>ROUND(AS318*G318*$B$6,-2)</f>
        <v>0</v>
      </c>
      <c r="BV318" s="523">
        <f>ROUND(AV318*G318*$B$6,-2)</f>
        <v>0</v>
      </c>
      <c r="BW318" s="523">
        <f>ROUND(AY318*G318*$B$6,-2)</f>
        <v>0</v>
      </c>
      <c r="BX318" s="523">
        <f>ROUND(BB318*G318*$B$6,-2)</f>
        <v>0</v>
      </c>
      <c r="BY318" s="523">
        <f>ROUND(BE318*G318*$B$6,-2)</f>
        <v>0</v>
      </c>
      <c r="BZ318" s="523">
        <f>ROUND(BH318*G318*$B$6,-2)</f>
        <v>0</v>
      </c>
      <c r="CA318" s="354"/>
      <c r="CB318" s="354" t="b">
        <f t="shared" si="983"/>
        <v>0</v>
      </c>
      <c r="CC318" s="509" t="str">
        <f>CC316</f>
        <v>ĐL6.</v>
      </c>
      <c r="CD318" s="509" t="str">
        <f t="shared" si="984"/>
        <v>ĐL6.13,1</v>
      </c>
      <c r="CE318" s="351" t="str">
        <f t="shared" si="861"/>
        <v>Xé</v>
      </c>
      <c r="CF318" s="509" t="str">
        <f t="shared" si="957"/>
        <v>ĐL6.Xé</v>
      </c>
      <c r="CG318" s="509"/>
      <c r="CH318" s="509"/>
    </row>
    <row r="319" spans="1:86" ht="17.25" x14ac:dyDescent="0.3">
      <c r="A319" s="354" t="e">
        <f>#REF!</f>
        <v>#REF!</v>
      </c>
      <c r="B319" s="503" t="s">
        <v>41</v>
      </c>
      <c r="C319" s="504" t="s">
        <v>169</v>
      </c>
      <c r="D319" s="505"/>
      <c r="E319" s="505"/>
      <c r="F319" s="505"/>
      <c r="G319" s="505"/>
      <c r="H319" s="505"/>
      <c r="I319" s="63">
        <f t="shared" ref="I319:AN319" si="1057">SUM(I320:I378)/2</f>
        <v>3133</v>
      </c>
      <c r="J319" s="63">
        <f t="shared" si="1057"/>
        <v>3003</v>
      </c>
      <c r="K319" s="63">
        <f t="shared" si="1057"/>
        <v>130</v>
      </c>
      <c r="L319" s="63">
        <f t="shared" si="1057"/>
        <v>2400</v>
      </c>
      <c r="M319" s="209">
        <f t="shared" si="1057"/>
        <v>280</v>
      </c>
      <c r="N319" s="209">
        <f t="shared" si="1057"/>
        <v>275</v>
      </c>
      <c r="O319" s="209">
        <f t="shared" si="1057"/>
        <v>5</v>
      </c>
      <c r="P319" s="209">
        <f t="shared" si="1057"/>
        <v>194</v>
      </c>
      <c r="Q319" s="209">
        <f t="shared" si="1057"/>
        <v>194</v>
      </c>
      <c r="R319" s="209">
        <f t="shared" si="1057"/>
        <v>0</v>
      </c>
      <c r="S319" s="822">
        <f t="shared" si="1057"/>
        <v>293</v>
      </c>
      <c r="T319" s="209">
        <f t="shared" si="1057"/>
        <v>293</v>
      </c>
      <c r="U319" s="209">
        <f t="shared" si="1057"/>
        <v>0</v>
      </c>
      <c r="V319" s="209">
        <f t="shared" si="1057"/>
        <v>767</v>
      </c>
      <c r="W319" s="209">
        <f t="shared" si="1057"/>
        <v>762</v>
      </c>
      <c r="X319" s="209">
        <f t="shared" si="1057"/>
        <v>5</v>
      </c>
      <c r="Y319" s="209">
        <f t="shared" si="1057"/>
        <v>308</v>
      </c>
      <c r="Z319" s="209">
        <f t="shared" si="1057"/>
        <v>293</v>
      </c>
      <c r="AA319" s="209">
        <f t="shared" si="1057"/>
        <v>15</v>
      </c>
      <c r="AB319" s="209">
        <f t="shared" si="1057"/>
        <v>319</v>
      </c>
      <c r="AC319" s="209">
        <f t="shared" si="1057"/>
        <v>279</v>
      </c>
      <c r="AD319" s="209">
        <f t="shared" si="1057"/>
        <v>40</v>
      </c>
      <c r="AE319" s="209">
        <f t="shared" si="1057"/>
        <v>291</v>
      </c>
      <c r="AF319" s="209">
        <f t="shared" si="1057"/>
        <v>251</v>
      </c>
      <c r="AG319" s="209">
        <f t="shared" si="1057"/>
        <v>40</v>
      </c>
      <c r="AH319" s="209">
        <f t="shared" si="1057"/>
        <v>918</v>
      </c>
      <c r="AI319" s="209">
        <f t="shared" si="1057"/>
        <v>823</v>
      </c>
      <c r="AJ319" s="209">
        <f t="shared" si="1057"/>
        <v>95</v>
      </c>
      <c r="AK319" s="209">
        <f t="shared" si="1057"/>
        <v>251</v>
      </c>
      <c r="AL319" s="209">
        <f t="shared" si="1057"/>
        <v>241</v>
      </c>
      <c r="AM319" s="209">
        <f t="shared" si="1057"/>
        <v>10</v>
      </c>
      <c r="AN319" s="209">
        <f t="shared" si="1057"/>
        <v>271</v>
      </c>
      <c r="AO319" s="209">
        <f t="shared" ref="AO319:BH319" si="1058">SUM(AO320:AO378)/2</f>
        <v>271</v>
      </c>
      <c r="AP319" s="209">
        <f t="shared" si="1058"/>
        <v>0</v>
      </c>
      <c r="AQ319" s="209">
        <f t="shared" si="1058"/>
        <v>266</v>
      </c>
      <c r="AR319" s="209">
        <f t="shared" si="1058"/>
        <v>266</v>
      </c>
      <c r="AS319" s="209">
        <f t="shared" si="1058"/>
        <v>0</v>
      </c>
      <c r="AT319" s="209">
        <f t="shared" si="1058"/>
        <v>788</v>
      </c>
      <c r="AU319" s="209">
        <f t="shared" si="1058"/>
        <v>778</v>
      </c>
      <c r="AV319" s="209">
        <f t="shared" si="1058"/>
        <v>10</v>
      </c>
      <c r="AW319" s="209">
        <f t="shared" si="1058"/>
        <v>225</v>
      </c>
      <c r="AX319" s="209">
        <f t="shared" si="1058"/>
        <v>225</v>
      </c>
      <c r="AY319" s="209">
        <f t="shared" si="1058"/>
        <v>0</v>
      </c>
      <c r="AZ319" s="209">
        <f t="shared" si="1058"/>
        <v>230</v>
      </c>
      <c r="BA319" s="209">
        <f t="shared" si="1058"/>
        <v>230</v>
      </c>
      <c r="BB319" s="209">
        <f t="shared" si="1058"/>
        <v>0</v>
      </c>
      <c r="BC319" s="209">
        <f t="shared" si="1058"/>
        <v>205</v>
      </c>
      <c r="BD319" s="209">
        <f t="shared" si="1058"/>
        <v>185</v>
      </c>
      <c r="BE319" s="209">
        <f t="shared" si="1058"/>
        <v>20</v>
      </c>
      <c r="BF319" s="209">
        <f t="shared" si="1058"/>
        <v>660</v>
      </c>
      <c r="BG319" s="209">
        <f t="shared" si="1058"/>
        <v>640</v>
      </c>
      <c r="BH319" s="209">
        <f t="shared" si="1058"/>
        <v>20</v>
      </c>
      <c r="BI319" s="536"/>
      <c r="BJ319" s="488" t="str">
        <f t="shared" si="859"/>
        <v>PX</v>
      </c>
      <c r="BK319" s="227">
        <f t="shared" ref="BK319:BZ319" si="1059">SUM(BK320:BK378)/2</f>
        <v>0</v>
      </c>
      <c r="BL319" s="227">
        <f t="shared" si="1059"/>
        <v>0</v>
      </c>
      <c r="BM319" s="227">
        <f t="shared" si="1059"/>
        <v>0</v>
      </c>
      <c r="BN319" s="227">
        <f t="shared" si="1059"/>
        <v>0</v>
      </c>
      <c r="BO319" s="227">
        <f t="shared" si="1059"/>
        <v>300</v>
      </c>
      <c r="BP319" s="227">
        <f t="shared" si="1059"/>
        <v>800</v>
      </c>
      <c r="BQ319" s="227">
        <f t="shared" si="1059"/>
        <v>800</v>
      </c>
      <c r="BR319" s="227">
        <f t="shared" si="1059"/>
        <v>1800</v>
      </c>
      <c r="BS319" s="227">
        <f t="shared" si="1059"/>
        <v>200</v>
      </c>
      <c r="BT319" s="227">
        <f t="shared" si="1059"/>
        <v>0</v>
      </c>
      <c r="BU319" s="227">
        <f t="shared" si="1059"/>
        <v>0</v>
      </c>
      <c r="BV319" s="227">
        <f t="shared" si="1059"/>
        <v>200</v>
      </c>
      <c r="BW319" s="227">
        <f t="shared" si="1059"/>
        <v>0</v>
      </c>
      <c r="BX319" s="227">
        <f t="shared" si="1059"/>
        <v>0</v>
      </c>
      <c r="BY319" s="227">
        <f t="shared" si="1059"/>
        <v>400</v>
      </c>
      <c r="BZ319" s="227">
        <f t="shared" si="1059"/>
        <v>400</v>
      </c>
      <c r="CA319" s="546">
        <f>BZ319+BV319+BR319+BN319</f>
        <v>2400</v>
      </c>
      <c r="CB319" s="354" t="str">
        <f t="shared" si="983"/>
        <v>X</v>
      </c>
      <c r="CC319" s="534" t="s">
        <v>496</v>
      </c>
      <c r="CD319" s="509" t="str">
        <f t="shared" si="984"/>
        <v>XLM.</v>
      </c>
      <c r="CE319" s="351" t="str">
        <f t="shared" si="861"/>
        <v>PX</v>
      </c>
      <c r="CF319" s="509" t="str">
        <f t="shared" si="957"/>
        <v>XLM.PX</v>
      </c>
      <c r="CG319" s="509"/>
      <c r="CH319" s="509"/>
    </row>
    <row r="320" spans="1:86" s="358" customFormat="1" ht="19.5" customHeight="1" x14ac:dyDescent="0.25">
      <c r="A320" s="354" t="e">
        <f t="shared" ref="A320:A458" si="1060">A319</f>
        <v>#REF!</v>
      </c>
      <c r="B320" s="511" t="s">
        <v>8</v>
      </c>
      <c r="C320" s="512" t="s">
        <v>177</v>
      </c>
      <c r="D320" s="513"/>
      <c r="E320" s="513"/>
      <c r="F320" s="513"/>
      <c r="G320" s="514"/>
      <c r="H320" s="515"/>
      <c r="I320" s="211">
        <f t="shared" ref="I320:AN320" si="1061">SUM(I321:I368)</f>
        <v>3000</v>
      </c>
      <c r="J320" s="211">
        <f t="shared" si="1061"/>
        <v>2875</v>
      </c>
      <c r="K320" s="211">
        <f t="shared" si="1061"/>
        <v>125</v>
      </c>
      <c r="L320" s="211">
        <f t="shared" si="1061"/>
        <v>2400</v>
      </c>
      <c r="M320" s="230">
        <f t="shared" si="1061"/>
        <v>235</v>
      </c>
      <c r="N320" s="221">
        <f t="shared" si="1061"/>
        <v>235</v>
      </c>
      <c r="O320" s="221">
        <f t="shared" si="1061"/>
        <v>0</v>
      </c>
      <c r="P320" s="221">
        <f t="shared" si="1061"/>
        <v>164</v>
      </c>
      <c r="Q320" s="221">
        <f t="shared" si="1061"/>
        <v>164</v>
      </c>
      <c r="R320" s="221">
        <f t="shared" si="1061"/>
        <v>0</v>
      </c>
      <c r="S320" s="832">
        <f t="shared" si="1061"/>
        <v>248</v>
      </c>
      <c r="T320" s="221">
        <f t="shared" si="1061"/>
        <v>248</v>
      </c>
      <c r="U320" s="221">
        <f t="shared" si="1061"/>
        <v>0</v>
      </c>
      <c r="V320" s="221">
        <f t="shared" si="1061"/>
        <v>647</v>
      </c>
      <c r="W320" s="221">
        <f t="shared" si="1061"/>
        <v>647</v>
      </c>
      <c r="X320" s="221">
        <f t="shared" si="1061"/>
        <v>0</v>
      </c>
      <c r="Y320" s="221">
        <f t="shared" si="1061"/>
        <v>295</v>
      </c>
      <c r="Z320" s="221">
        <f t="shared" si="1061"/>
        <v>280</v>
      </c>
      <c r="AA320" s="221">
        <f t="shared" si="1061"/>
        <v>15</v>
      </c>
      <c r="AB320" s="221">
        <f t="shared" si="1061"/>
        <v>319</v>
      </c>
      <c r="AC320" s="221">
        <f t="shared" si="1061"/>
        <v>279</v>
      </c>
      <c r="AD320" s="221">
        <f t="shared" si="1061"/>
        <v>40</v>
      </c>
      <c r="AE320" s="221">
        <f t="shared" si="1061"/>
        <v>291</v>
      </c>
      <c r="AF320" s="221">
        <f t="shared" si="1061"/>
        <v>251</v>
      </c>
      <c r="AG320" s="221">
        <f t="shared" si="1061"/>
        <v>40</v>
      </c>
      <c r="AH320" s="221">
        <f t="shared" si="1061"/>
        <v>905</v>
      </c>
      <c r="AI320" s="221">
        <f t="shared" si="1061"/>
        <v>810</v>
      </c>
      <c r="AJ320" s="221">
        <f t="shared" si="1061"/>
        <v>95</v>
      </c>
      <c r="AK320" s="221">
        <f t="shared" si="1061"/>
        <v>251</v>
      </c>
      <c r="AL320" s="221">
        <f t="shared" si="1061"/>
        <v>241</v>
      </c>
      <c r="AM320" s="221">
        <f t="shared" si="1061"/>
        <v>10</v>
      </c>
      <c r="AN320" s="221">
        <f t="shared" si="1061"/>
        <v>271</v>
      </c>
      <c r="AO320" s="221">
        <f t="shared" ref="AO320:BH320" si="1062">SUM(AO321:AO368)</f>
        <v>271</v>
      </c>
      <c r="AP320" s="221">
        <f t="shared" si="1062"/>
        <v>0</v>
      </c>
      <c r="AQ320" s="221">
        <f t="shared" si="1062"/>
        <v>266</v>
      </c>
      <c r="AR320" s="221">
        <f t="shared" si="1062"/>
        <v>266</v>
      </c>
      <c r="AS320" s="221">
        <f t="shared" si="1062"/>
        <v>0</v>
      </c>
      <c r="AT320" s="221">
        <f t="shared" si="1062"/>
        <v>788</v>
      </c>
      <c r="AU320" s="221">
        <f t="shared" si="1062"/>
        <v>778</v>
      </c>
      <c r="AV320" s="221">
        <f t="shared" si="1062"/>
        <v>10</v>
      </c>
      <c r="AW320" s="221">
        <f t="shared" si="1062"/>
        <v>225</v>
      </c>
      <c r="AX320" s="221">
        <f t="shared" si="1062"/>
        <v>225</v>
      </c>
      <c r="AY320" s="221">
        <f t="shared" si="1062"/>
        <v>0</v>
      </c>
      <c r="AZ320" s="221">
        <f t="shared" si="1062"/>
        <v>230</v>
      </c>
      <c r="BA320" s="221">
        <f t="shared" si="1062"/>
        <v>230</v>
      </c>
      <c r="BB320" s="221">
        <f t="shared" si="1062"/>
        <v>0</v>
      </c>
      <c r="BC320" s="221">
        <f t="shared" si="1062"/>
        <v>205</v>
      </c>
      <c r="BD320" s="221">
        <f t="shared" si="1062"/>
        <v>185</v>
      </c>
      <c r="BE320" s="221">
        <f t="shared" si="1062"/>
        <v>20</v>
      </c>
      <c r="BF320" s="221">
        <f t="shared" si="1062"/>
        <v>660</v>
      </c>
      <c r="BG320" s="221">
        <f t="shared" si="1062"/>
        <v>640</v>
      </c>
      <c r="BH320" s="221">
        <f t="shared" si="1062"/>
        <v>20</v>
      </c>
      <c r="BI320" s="516"/>
      <c r="BJ320" s="488" t="str">
        <f t="shared" si="859"/>
        <v>ĐL</v>
      </c>
      <c r="BK320" s="221">
        <f t="shared" ref="BK320:BZ320" si="1063">SUM(BK321:BK368)</f>
        <v>0</v>
      </c>
      <c r="BL320" s="221">
        <f t="shared" si="1063"/>
        <v>0</v>
      </c>
      <c r="BM320" s="221">
        <f t="shared" si="1063"/>
        <v>0</v>
      </c>
      <c r="BN320" s="221">
        <f t="shared" si="1063"/>
        <v>0</v>
      </c>
      <c r="BO320" s="221">
        <f t="shared" si="1063"/>
        <v>300</v>
      </c>
      <c r="BP320" s="221">
        <f t="shared" si="1063"/>
        <v>800</v>
      </c>
      <c r="BQ320" s="221">
        <f t="shared" si="1063"/>
        <v>800</v>
      </c>
      <c r="BR320" s="221">
        <f t="shared" si="1063"/>
        <v>1800</v>
      </c>
      <c r="BS320" s="221">
        <f t="shared" si="1063"/>
        <v>200</v>
      </c>
      <c r="BT320" s="221">
        <f t="shared" si="1063"/>
        <v>0</v>
      </c>
      <c r="BU320" s="221">
        <f t="shared" si="1063"/>
        <v>0</v>
      </c>
      <c r="BV320" s="221">
        <f t="shared" si="1063"/>
        <v>200</v>
      </c>
      <c r="BW320" s="221">
        <f t="shared" si="1063"/>
        <v>0</v>
      </c>
      <c r="BX320" s="221">
        <f t="shared" si="1063"/>
        <v>0</v>
      </c>
      <c r="BY320" s="221">
        <f t="shared" si="1063"/>
        <v>400</v>
      </c>
      <c r="BZ320" s="221">
        <f t="shared" si="1063"/>
        <v>400</v>
      </c>
      <c r="CA320" s="517">
        <f>I320-V320-AH320-AT320-BF320</f>
        <v>0</v>
      </c>
      <c r="CB320" s="510" t="str">
        <f t="shared" si="983"/>
        <v>X</v>
      </c>
      <c r="CC320" s="509" t="str">
        <f t="shared" si="956"/>
        <v>XLM.</v>
      </c>
      <c r="CD320" s="509" t="str">
        <f t="shared" si="984"/>
        <v>XLM.</v>
      </c>
      <c r="CE320" s="351" t="str">
        <f t="shared" si="861"/>
        <v>ĐL</v>
      </c>
      <c r="CF320" s="509" t="str">
        <f t="shared" si="957"/>
        <v>XLM.ĐL</v>
      </c>
      <c r="CG320" s="509"/>
      <c r="CH320" s="509"/>
    </row>
    <row r="321" spans="1:86" ht="24" customHeight="1" x14ac:dyDescent="0.25">
      <c r="A321" s="354" t="e">
        <f>#REF!</f>
        <v>#REF!</v>
      </c>
      <c r="B321" s="518"/>
      <c r="C321" s="519" t="s">
        <v>745</v>
      </c>
      <c r="D321" s="447" t="s">
        <v>14</v>
      </c>
      <c r="E321" s="447"/>
      <c r="F321" s="447"/>
      <c r="G321" s="520">
        <v>13.1</v>
      </c>
      <c r="H321" s="521">
        <v>0.5</v>
      </c>
      <c r="I321" s="522">
        <f t="shared" ref="I321:I368" si="1064">V321+AH321+AT321+BF321</f>
        <v>93</v>
      </c>
      <c r="J321" s="522">
        <f t="shared" ref="J321:J368" si="1065">W321+AI321+AU321+BG321</f>
        <v>93</v>
      </c>
      <c r="K321" s="522">
        <f t="shared" ref="K321:K368" si="1066">X321+AJ321+AV321+BH321</f>
        <v>0</v>
      </c>
      <c r="L321" s="57">
        <f t="shared" ref="L321:L368" si="1067">BN321+BR321+BV321+BZ321</f>
        <v>0</v>
      </c>
      <c r="M321" s="60">
        <v>40</v>
      </c>
      <c r="N321" s="60">
        <v>40</v>
      </c>
      <c r="O321" s="60">
        <f t="shared" ref="O321:O328" si="1068">M321-N321</f>
        <v>0</v>
      </c>
      <c r="P321" s="60">
        <v>35</v>
      </c>
      <c r="Q321" s="60">
        <v>35</v>
      </c>
      <c r="R321" s="60">
        <f t="shared" ref="R321:R328" si="1069">P321-Q321</f>
        <v>0</v>
      </c>
      <c r="S321" s="824">
        <v>18</v>
      </c>
      <c r="T321" s="60">
        <v>18</v>
      </c>
      <c r="U321" s="60">
        <f t="shared" ref="U321:U328" si="1070">S321-T321</f>
        <v>0</v>
      </c>
      <c r="V321" s="60">
        <f t="shared" ref="V321:V359" si="1071">M321+P321+S321</f>
        <v>93</v>
      </c>
      <c r="W321" s="60">
        <f t="shared" ref="W321:W359" si="1072">N321+Q321+T321</f>
        <v>93</v>
      </c>
      <c r="X321" s="60">
        <f t="shared" ref="X321:X359" si="1073">O321+R321+U321</f>
        <v>0</v>
      </c>
      <c r="Y321" s="60"/>
      <c r="Z321" s="60"/>
      <c r="AA321" s="60">
        <f t="shared" ref="AA321:AA328" si="1074">Y321-Z321</f>
        <v>0</v>
      </c>
      <c r="AB321" s="60"/>
      <c r="AC321" s="60"/>
      <c r="AD321" s="60">
        <f t="shared" ref="AD321:AD328" si="1075">AB321-AC321</f>
        <v>0</v>
      </c>
      <c r="AE321" s="60"/>
      <c r="AF321" s="60"/>
      <c r="AG321" s="60">
        <f t="shared" ref="AG321:AG328" si="1076">AE321-AF321</f>
        <v>0</v>
      </c>
      <c r="AH321" s="60">
        <f t="shared" ref="AH321:AH368" si="1077">Y321+AB321+AE321</f>
        <v>0</v>
      </c>
      <c r="AI321" s="60">
        <f t="shared" ref="AI321:AI368" si="1078">Z321+AC321+AF321</f>
        <v>0</v>
      </c>
      <c r="AJ321" s="60">
        <f t="shared" ref="AJ321:AJ368" si="1079">AA321+AD321+AG321</f>
        <v>0</v>
      </c>
      <c r="AK321" s="60"/>
      <c r="AL321" s="60"/>
      <c r="AM321" s="60">
        <f t="shared" ref="AM321:AM328" si="1080">AK321-AL321</f>
        <v>0</v>
      </c>
      <c r="AN321" s="60"/>
      <c r="AO321" s="60"/>
      <c r="AP321" s="60">
        <f t="shared" ref="AP321:AP328" si="1081">AN321-AO321</f>
        <v>0</v>
      </c>
      <c r="AQ321" s="60"/>
      <c r="AR321" s="60"/>
      <c r="AS321" s="60">
        <f t="shared" ref="AS321:AS328" si="1082">AQ321-AR321</f>
        <v>0</v>
      </c>
      <c r="AT321" s="60">
        <f t="shared" ref="AT321:AT368" si="1083">AK321+AN321+AQ321</f>
        <v>0</v>
      </c>
      <c r="AU321" s="60">
        <f t="shared" ref="AU321:AU368" si="1084">AL321+AO321+AR321</f>
        <v>0</v>
      </c>
      <c r="AV321" s="60">
        <f t="shared" ref="AV321:AV368" si="1085">AM321+AP321+AS321</f>
        <v>0</v>
      </c>
      <c r="AW321" s="60"/>
      <c r="AX321" s="60"/>
      <c r="AY321" s="60">
        <f t="shared" ref="AY321:AY328" si="1086">AW321-AX321</f>
        <v>0</v>
      </c>
      <c r="AZ321" s="60"/>
      <c r="BA321" s="60"/>
      <c r="BB321" s="60">
        <f t="shared" ref="BB321:BB328" si="1087">AZ321-BA321</f>
        <v>0</v>
      </c>
      <c r="BC321" s="60"/>
      <c r="BD321" s="60"/>
      <c r="BE321" s="60">
        <f t="shared" ref="BE321:BE328" si="1088">BC321-BD321</f>
        <v>0</v>
      </c>
      <c r="BF321" s="60">
        <f t="shared" ref="BF321:BF368" si="1089">AW321+AZ321+BC321</f>
        <v>0</v>
      </c>
      <c r="BG321" s="60">
        <f t="shared" ref="BG321:BG368" si="1090">AX321+BA321+BD321</f>
        <v>0</v>
      </c>
      <c r="BH321" s="60">
        <f t="shared" ref="BH321:BH368" si="1091">AY321+BB321+BE321</f>
        <v>0</v>
      </c>
      <c r="BI321" s="508"/>
      <c r="BJ321" s="488" t="str">
        <f t="shared" si="859"/>
        <v>Lò</v>
      </c>
      <c r="BK321" s="523">
        <f t="shared" ref="BK321:BK368" si="1092">ROUND(O321*G321*$C$3*$B$5,-2)</f>
        <v>0</v>
      </c>
      <c r="BL321" s="523">
        <f t="shared" ref="BL321:BL368" si="1093">ROUND(R321*G321*$C$3*$B$5,-2)</f>
        <v>0</v>
      </c>
      <c r="BM321" s="523">
        <f t="shared" ref="BM321:BM368" si="1094">ROUND(U321*G321*$C$3*$B$5,-2)</f>
        <v>0</v>
      </c>
      <c r="BN321" s="523">
        <f t="shared" ref="BN321:BN368" si="1095">ROUND(X321*G321*$C$3*$B$5,-2)</f>
        <v>0</v>
      </c>
      <c r="BO321" s="523">
        <f t="shared" ref="BO321:BO368" si="1096">ROUND(AA321*G321*$C$3*$B$5,-2)</f>
        <v>0</v>
      </c>
      <c r="BP321" s="523">
        <f t="shared" ref="BP321:BP368" si="1097">ROUND(AD321*G321*$C$3*$B$5,-2)</f>
        <v>0</v>
      </c>
      <c r="BQ321" s="523">
        <f t="shared" ref="BQ321:BQ368" si="1098">ROUND(AG321*G321*$C$3*$B$5,-2)</f>
        <v>0</v>
      </c>
      <c r="BR321" s="523">
        <f t="shared" ref="BR321:BR368" si="1099">ROUND(AJ321*G321*$B$5*$C$3,-2)</f>
        <v>0</v>
      </c>
      <c r="BS321" s="523">
        <f t="shared" ref="BS321:BS368" si="1100">ROUND(AM321*G321*$C$3*$B$5,-2)</f>
        <v>0</v>
      </c>
      <c r="BT321" s="523">
        <f t="shared" ref="BT321:BT368" si="1101">ROUND(AP321*G321*$C$3*$B$5,-2)</f>
        <v>0</v>
      </c>
      <c r="BU321" s="523">
        <f t="shared" ref="BU321:BU368" si="1102">ROUND(AS321*G321*$C$3*$B$5,-2)</f>
        <v>0</v>
      </c>
      <c r="BV321" s="523">
        <f t="shared" ref="BV321:BV368" si="1103">ROUND(AV321*G321*$C$3*$B$5,-2)</f>
        <v>0</v>
      </c>
      <c r="BW321" s="523">
        <f t="shared" ref="BW321:BW368" si="1104">ROUND(AY321*G321*$C$3*$B$5,-2)</f>
        <v>0</v>
      </c>
      <c r="BX321" s="523">
        <f t="shared" ref="BX321:BX368" si="1105">ROUND(BB321*G321*$C$3*$B$5,-2)</f>
        <v>0</v>
      </c>
      <c r="BY321" s="523">
        <f t="shared" ref="BY321:BY368" si="1106">ROUND(BE321*G321*$C$3*$B$5,-2)</f>
        <v>0</v>
      </c>
      <c r="BZ321" s="523">
        <f t="shared" ref="BZ321:BZ368" si="1107">ROUND(BH321*G321*$C$3*$B$5,-2)</f>
        <v>0</v>
      </c>
      <c r="CA321" s="354"/>
      <c r="CB321" s="510" t="str">
        <f t="shared" ref="CB321:CB378" si="1108">IF(SUM(I321:L321)&lt;&gt;0,"X")</f>
        <v>X</v>
      </c>
      <c r="CC321" s="509" t="str">
        <f t="shared" si="956"/>
        <v>XLM.</v>
      </c>
      <c r="CD321" s="509" t="str">
        <f t="shared" ref="CD321:CD378" si="1109">CC321&amp;G321</f>
        <v>XLM.13,1</v>
      </c>
      <c r="CE321" s="351" t="str">
        <f t="shared" si="861"/>
        <v>Lò</v>
      </c>
      <c r="CF321" s="509" t="str">
        <f t="shared" si="957"/>
        <v>XLM.Lò</v>
      </c>
      <c r="CG321" s="509" t="e">
        <f>#REF!</f>
        <v>#REF!</v>
      </c>
      <c r="CH321" s="509" t="e">
        <f>#REF!</f>
        <v>#REF!</v>
      </c>
    </row>
    <row r="322" spans="1:86" ht="38.25" customHeight="1" x14ac:dyDescent="0.25">
      <c r="A322" s="354" t="e">
        <f>A316</f>
        <v>#REF!</v>
      </c>
      <c r="B322" s="518"/>
      <c r="C322" s="542" t="s">
        <v>746</v>
      </c>
      <c r="D322" s="447" t="s">
        <v>14</v>
      </c>
      <c r="E322" s="447"/>
      <c r="F322" s="447" t="s">
        <v>875</v>
      </c>
      <c r="G322" s="520">
        <v>22</v>
      </c>
      <c r="H322" s="521">
        <v>0.5</v>
      </c>
      <c r="I322" s="522">
        <f t="shared" si="1064"/>
        <v>171</v>
      </c>
      <c r="J322" s="522">
        <f t="shared" si="1065"/>
        <v>171</v>
      </c>
      <c r="K322" s="522">
        <f t="shared" si="1066"/>
        <v>0</v>
      </c>
      <c r="L322" s="57">
        <f t="shared" si="1067"/>
        <v>0</v>
      </c>
      <c r="M322" s="60"/>
      <c r="N322" s="60"/>
      <c r="O322" s="60">
        <f t="shared" si="1068"/>
        <v>0</v>
      </c>
      <c r="P322" s="60"/>
      <c r="Q322" s="60"/>
      <c r="R322" s="60">
        <f t="shared" si="1069"/>
        <v>0</v>
      </c>
      <c r="S322" s="824">
        <v>30</v>
      </c>
      <c r="T322" s="60">
        <v>30</v>
      </c>
      <c r="U322" s="60">
        <f t="shared" si="1070"/>
        <v>0</v>
      </c>
      <c r="V322" s="60">
        <f t="shared" si="1071"/>
        <v>30</v>
      </c>
      <c r="W322" s="60">
        <f t="shared" si="1072"/>
        <v>30</v>
      </c>
      <c r="X322" s="60">
        <f t="shared" si="1073"/>
        <v>0</v>
      </c>
      <c r="Y322" s="60">
        <v>50</v>
      </c>
      <c r="Z322" s="60">
        <v>50</v>
      </c>
      <c r="AA322" s="60">
        <f t="shared" si="1074"/>
        <v>0</v>
      </c>
      <c r="AB322" s="60">
        <v>50</v>
      </c>
      <c r="AC322" s="60">
        <v>50</v>
      </c>
      <c r="AD322" s="60">
        <f t="shared" si="1075"/>
        <v>0</v>
      </c>
      <c r="AE322" s="60">
        <v>41</v>
      </c>
      <c r="AF322" s="60">
        <v>41</v>
      </c>
      <c r="AG322" s="60">
        <f t="shared" si="1076"/>
        <v>0</v>
      </c>
      <c r="AH322" s="60">
        <f t="shared" si="1077"/>
        <v>141</v>
      </c>
      <c r="AI322" s="60">
        <f t="shared" si="1078"/>
        <v>141</v>
      </c>
      <c r="AJ322" s="60">
        <f t="shared" si="1079"/>
        <v>0</v>
      </c>
      <c r="AK322" s="60"/>
      <c r="AL322" s="60"/>
      <c r="AM322" s="60">
        <f t="shared" si="1080"/>
        <v>0</v>
      </c>
      <c r="AN322" s="60"/>
      <c r="AO322" s="60"/>
      <c r="AP322" s="60">
        <f t="shared" si="1081"/>
        <v>0</v>
      </c>
      <c r="AQ322" s="60"/>
      <c r="AR322" s="60"/>
      <c r="AS322" s="60">
        <f t="shared" si="1082"/>
        <v>0</v>
      </c>
      <c r="AT322" s="60">
        <f t="shared" si="1083"/>
        <v>0</v>
      </c>
      <c r="AU322" s="60">
        <f t="shared" si="1084"/>
        <v>0</v>
      </c>
      <c r="AV322" s="60">
        <f t="shared" si="1085"/>
        <v>0</v>
      </c>
      <c r="AW322" s="60"/>
      <c r="AX322" s="60"/>
      <c r="AY322" s="60">
        <f t="shared" si="1086"/>
        <v>0</v>
      </c>
      <c r="AZ322" s="60"/>
      <c r="BA322" s="60"/>
      <c r="BB322" s="60">
        <f t="shared" si="1087"/>
        <v>0</v>
      </c>
      <c r="BC322" s="60"/>
      <c r="BD322" s="60"/>
      <c r="BE322" s="60">
        <f t="shared" si="1088"/>
        <v>0</v>
      </c>
      <c r="BF322" s="60">
        <f t="shared" si="1089"/>
        <v>0</v>
      </c>
      <c r="BG322" s="60">
        <f t="shared" si="1090"/>
        <v>0</v>
      </c>
      <c r="BH322" s="60">
        <f t="shared" si="1091"/>
        <v>0</v>
      </c>
      <c r="BI322" s="508"/>
      <c r="BJ322" s="488" t="str">
        <f t="shared" si="859"/>
        <v>Lò</v>
      </c>
      <c r="BK322" s="523">
        <f t="shared" si="1092"/>
        <v>0</v>
      </c>
      <c r="BL322" s="523">
        <f t="shared" si="1093"/>
        <v>0</v>
      </c>
      <c r="BM322" s="523">
        <f t="shared" si="1094"/>
        <v>0</v>
      </c>
      <c r="BN322" s="523">
        <f t="shared" si="1095"/>
        <v>0</v>
      </c>
      <c r="BO322" s="523">
        <f t="shared" si="1096"/>
        <v>0</v>
      </c>
      <c r="BP322" s="523">
        <f t="shared" si="1097"/>
        <v>0</v>
      </c>
      <c r="BQ322" s="523">
        <f t="shared" si="1098"/>
        <v>0</v>
      </c>
      <c r="BR322" s="523">
        <f t="shared" si="1099"/>
        <v>0</v>
      </c>
      <c r="BS322" s="523">
        <f t="shared" si="1100"/>
        <v>0</v>
      </c>
      <c r="BT322" s="523">
        <f t="shared" si="1101"/>
        <v>0</v>
      </c>
      <c r="BU322" s="523">
        <f t="shared" si="1102"/>
        <v>0</v>
      </c>
      <c r="BV322" s="523">
        <f t="shared" si="1103"/>
        <v>0</v>
      </c>
      <c r="BW322" s="523">
        <f t="shared" si="1104"/>
        <v>0</v>
      </c>
      <c r="BX322" s="523">
        <f t="shared" si="1105"/>
        <v>0</v>
      </c>
      <c r="BY322" s="523">
        <f t="shared" si="1106"/>
        <v>0</v>
      </c>
      <c r="BZ322" s="523">
        <f t="shared" si="1107"/>
        <v>0</v>
      </c>
      <c r="CA322" s="354"/>
      <c r="CB322" s="510" t="str">
        <f t="shared" si="1108"/>
        <v>X</v>
      </c>
      <c r="CC322" s="509" t="str">
        <f t="shared" si="956"/>
        <v>XLM.</v>
      </c>
      <c r="CD322" s="509" t="str">
        <f>CC322&amp;G322</f>
        <v>XLM.22</v>
      </c>
      <c r="CE322" s="351" t="str">
        <f t="shared" si="861"/>
        <v>Lò</v>
      </c>
      <c r="CF322" s="509" t="str">
        <f>CC322&amp;CE322</f>
        <v>XLM.Lò</v>
      </c>
      <c r="CG322" s="509" t="e">
        <f>#REF!</f>
        <v>#REF!</v>
      </c>
      <c r="CH322" s="509" t="e">
        <f>#REF!</f>
        <v>#REF!</v>
      </c>
    </row>
    <row r="323" spans="1:86" ht="24" customHeight="1" x14ac:dyDescent="0.25">
      <c r="A323" s="354" t="e">
        <f t="shared" si="1060"/>
        <v>#REF!</v>
      </c>
      <c r="B323" s="518"/>
      <c r="C323" s="519" t="s">
        <v>749</v>
      </c>
      <c r="D323" s="447" t="s">
        <v>14</v>
      </c>
      <c r="E323" s="447"/>
      <c r="F323" s="447" t="s">
        <v>875</v>
      </c>
      <c r="G323" s="520">
        <v>28.3</v>
      </c>
      <c r="H323" s="521">
        <v>0.5</v>
      </c>
      <c r="I323" s="522">
        <f t="shared" si="1064"/>
        <v>16</v>
      </c>
      <c r="J323" s="522">
        <f t="shared" si="1065"/>
        <v>16</v>
      </c>
      <c r="K323" s="522">
        <f t="shared" si="1066"/>
        <v>0</v>
      </c>
      <c r="L323" s="57">
        <f t="shared" si="1067"/>
        <v>0</v>
      </c>
      <c r="M323" s="60"/>
      <c r="N323" s="60"/>
      <c r="O323" s="60">
        <f t="shared" si="1068"/>
        <v>0</v>
      </c>
      <c r="P323" s="60"/>
      <c r="Q323" s="60"/>
      <c r="R323" s="60">
        <f t="shared" si="1069"/>
        <v>0</v>
      </c>
      <c r="S323" s="824"/>
      <c r="T323" s="60"/>
      <c r="U323" s="60">
        <f t="shared" si="1070"/>
        <v>0</v>
      </c>
      <c r="V323" s="60">
        <f t="shared" si="1071"/>
        <v>0</v>
      </c>
      <c r="W323" s="60">
        <f t="shared" si="1072"/>
        <v>0</v>
      </c>
      <c r="X323" s="60">
        <f t="shared" si="1073"/>
        <v>0</v>
      </c>
      <c r="Y323" s="60"/>
      <c r="Z323" s="60"/>
      <c r="AA323" s="60">
        <f t="shared" si="1074"/>
        <v>0</v>
      </c>
      <c r="AB323" s="60"/>
      <c r="AC323" s="60"/>
      <c r="AD323" s="60">
        <f t="shared" si="1075"/>
        <v>0</v>
      </c>
      <c r="AE323" s="60"/>
      <c r="AF323" s="60"/>
      <c r="AG323" s="60">
        <f t="shared" si="1076"/>
        <v>0</v>
      </c>
      <c r="AH323" s="60">
        <f t="shared" si="1077"/>
        <v>0</v>
      </c>
      <c r="AI323" s="60">
        <f t="shared" si="1078"/>
        <v>0</v>
      </c>
      <c r="AJ323" s="60">
        <f t="shared" si="1079"/>
        <v>0</v>
      </c>
      <c r="AK323" s="60">
        <v>16</v>
      </c>
      <c r="AL323" s="60">
        <v>16</v>
      </c>
      <c r="AM323" s="60">
        <f t="shared" si="1080"/>
        <v>0</v>
      </c>
      <c r="AN323" s="60"/>
      <c r="AO323" s="60"/>
      <c r="AP323" s="60">
        <f t="shared" si="1081"/>
        <v>0</v>
      </c>
      <c r="AQ323" s="60"/>
      <c r="AR323" s="60"/>
      <c r="AS323" s="60">
        <f t="shared" si="1082"/>
        <v>0</v>
      </c>
      <c r="AT323" s="60">
        <f>AK323+AN323+AQ323</f>
        <v>16</v>
      </c>
      <c r="AU323" s="60">
        <f>AL323+AO323+AR323</f>
        <v>16</v>
      </c>
      <c r="AV323" s="60">
        <f>AM323+AP323+AS323</f>
        <v>0</v>
      </c>
      <c r="AW323" s="60"/>
      <c r="AX323" s="60"/>
      <c r="AY323" s="60">
        <f t="shared" si="1086"/>
        <v>0</v>
      </c>
      <c r="AZ323" s="60"/>
      <c r="BA323" s="60"/>
      <c r="BB323" s="60">
        <f t="shared" si="1087"/>
        <v>0</v>
      </c>
      <c r="BC323" s="60"/>
      <c r="BD323" s="60"/>
      <c r="BE323" s="60">
        <f t="shared" si="1088"/>
        <v>0</v>
      </c>
      <c r="BF323" s="60">
        <f t="shared" si="1089"/>
        <v>0</v>
      </c>
      <c r="BG323" s="60">
        <f t="shared" si="1090"/>
        <v>0</v>
      </c>
      <c r="BH323" s="60">
        <f t="shared" si="1091"/>
        <v>0</v>
      </c>
      <c r="BI323" s="508"/>
      <c r="BJ323" s="488" t="str">
        <f t="shared" si="859"/>
        <v>Lò</v>
      </c>
      <c r="BK323" s="523">
        <f t="shared" si="1092"/>
        <v>0</v>
      </c>
      <c r="BL323" s="523">
        <f t="shared" si="1093"/>
        <v>0</v>
      </c>
      <c r="BM323" s="523">
        <f t="shared" si="1094"/>
        <v>0</v>
      </c>
      <c r="BN323" s="523">
        <f t="shared" si="1095"/>
        <v>0</v>
      </c>
      <c r="BO323" s="523">
        <f t="shared" si="1096"/>
        <v>0</v>
      </c>
      <c r="BP323" s="523">
        <f t="shared" si="1097"/>
        <v>0</v>
      </c>
      <c r="BQ323" s="523">
        <f t="shared" si="1098"/>
        <v>0</v>
      </c>
      <c r="BR323" s="523">
        <f t="shared" si="1099"/>
        <v>0</v>
      </c>
      <c r="BS323" s="523">
        <f t="shared" si="1100"/>
        <v>0</v>
      </c>
      <c r="BT323" s="523">
        <f t="shared" si="1101"/>
        <v>0</v>
      </c>
      <c r="BU323" s="523">
        <f t="shared" si="1102"/>
        <v>0</v>
      </c>
      <c r="BV323" s="523">
        <f t="shared" si="1103"/>
        <v>0</v>
      </c>
      <c r="BW323" s="523">
        <f t="shared" si="1104"/>
        <v>0</v>
      </c>
      <c r="BX323" s="523">
        <f t="shared" si="1105"/>
        <v>0</v>
      </c>
      <c r="BY323" s="523">
        <f t="shared" si="1106"/>
        <v>0</v>
      </c>
      <c r="BZ323" s="523">
        <f t="shared" si="1107"/>
        <v>0</v>
      </c>
      <c r="CA323" s="354"/>
      <c r="CB323" s="510" t="str">
        <f t="shared" si="1108"/>
        <v>X</v>
      </c>
      <c r="CC323" s="509" t="str">
        <f t="shared" si="956"/>
        <v>XLM.</v>
      </c>
      <c r="CD323" s="509" t="str">
        <f t="shared" si="1109"/>
        <v>XLM.28,3</v>
      </c>
      <c r="CE323" s="351" t="str">
        <f t="shared" si="861"/>
        <v>Lò</v>
      </c>
      <c r="CF323" s="509" t="str">
        <f t="shared" si="957"/>
        <v>XLM.Lò</v>
      </c>
      <c r="CG323" s="509" t="e">
        <f>#REF!</f>
        <v>#REF!</v>
      </c>
      <c r="CH323" s="509" t="e">
        <f>#REF!</f>
        <v>#REF!</v>
      </c>
    </row>
    <row r="324" spans="1:86" ht="24" customHeight="1" x14ac:dyDescent="0.25">
      <c r="A324" s="354" t="e">
        <f>A319</f>
        <v>#REF!</v>
      </c>
      <c r="B324" s="518"/>
      <c r="C324" s="519" t="s">
        <v>557</v>
      </c>
      <c r="D324" s="447" t="s">
        <v>14</v>
      </c>
      <c r="E324" s="447"/>
      <c r="F324" s="447" t="s">
        <v>875</v>
      </c>
      <c r="G324" s="544">
        <v>17.899999999999999</v>
      </c>
      <c r="H324" s="521">
        <v>0.7</v>
      </c>
      <c r="I324" s="522">
        <f t="shared" si="1064"/>
        <v>0</v>
      </c>
      <c r="J324" s="522">
        <f t="shared" si="1065"/>
        <v>0</v>
      </c>
      <c r="K324" s="522">
        <f t="shared" si="1066"/>
        <v>0</v>
      </c>
      <c r="L324" s="57">
        <f t="shared" si="1067"/>
        <v>0</v>
      </c>
      <c r="M324" s="60"/>
      <c r="N324" s="60"/>
      <c r="O324" s="60">
        <f t="shared" si="1068"/>
        <v>0</v>
      </c>
      <c r="P324" s="60"/>
      <c r="Q324" s="60"/>
      <c r="R324" s="60">
        <f t="shared" si="1069"/>
        <v>0</v>
      </c>
      <c r="S324" s="824"/>
      <c r="T324" s="60"/>
      <c r="U324" s="60">
        <f t="shared" si="1070"/>
        <v>0</v>
      </c>
      <c r="V324" s="60">
        <f t="shared" si="1071"/>
        <v>0</v>
      </c>
      <c r="W324" s="60">
        <f t="shared" si="1072"/>
        <v>0</v>
      </c>
      <c r="X324" s="60">
        <f t="shared" si="1073"/>
        <v>0</v>
      </c>
      <c r="Y324" s="60"/>
      <c r="Z324" s="60"/>
      <c r="AA324" s="60">
        <f t="shared" si="1074"/>
        <v>0</v>
      </c>
      <c r="AB324" s="60"/>
      <c r="AC324" s="60"/>
      <c r="AD324" s="60">
        <f t="shared" si="1075"/>
        <v>0</v>
      </c>
      <c r="AE324" s="60"/>
      <c r="AF324" s="60"/>
      <c r="AG324" s="60">
        <f t="shared" si="1076"/>
        <v>0</v>
      </c>
      <c r="AH324" s="60">
        <f t="shared" si="1077"/>
        <v>0</v>
      </c>
      <c r="AI324" s="60">
        <f t="shared" si="1078"/>
        <v>0</v>
      </c>
      <c r="AJ324" s="60">
        <f t="shared" si="1079"/>
        <v>0</v>
      </c>
      <c r="AK324" s="60"/>
      <c r="AL324" s="60"/>
      <c r="AM324" s="60">
        <f t="shared" si="1080"/>
        <v>0</v>
      </c>
      <c r="AN324" s="60"/>
      <c r="AO324" s="60"/>
      <c r="AP324" s="60">
        <f t="shared" si="1081"/>
        <v>0</v>
      </c>
      <c r="AQ324" s="60"/>
      <c r="AR324" s="60"/>
      <c r="AS324" s="60">
        <f t="shared" si="1082"/>
        <v>0</v>
      </c>
      <c r="AT324" s="60">
        <f t="shared" si="1083"/>
        <v>0</v>
      </c>
      <c r="AU324" s="60">
        <f t="shared" si="1084"/>
        <v>0</v>
      </c>
      <c r="AV324" s="60">
        <f t="shared" si="1085"/>
        <v>0</v>
      </c>
      <c r="AW324" s="60"/>
      <c r="AX324" s="60"/>
      <c r="AY324" s="60">
        <f t="shared" si="1086"/>
        <v>0</v>
      </c>
      <c r="AZ324" s="60"/>
      <c r="BA324" s="60"/>
      <c r="BB324" s="60">
        <f t="shared" si="1087"/>
        <v>0</v>
      </c>
      <c r="BC324" s="60"/>
      <c r="BD324" s="60"/>
      <c r="BE324" s="60">
        <f t="shared" si="1088"/>
        <v>0</v>
      </c>
      <c r="BF324" s="60">
        <f t="shared" si="1089"/>
        <v>0</v>
      </c>
      <c r="BG324" s="60">
        <f t="shared" si="1090"/>
        <v>0</v>
      </c>
      <c r="BH324" s="60">
        <f t="shared" si="1091"/>
        <v>0</v>
      </c>
      <c r="BI324" s="508"/>
      <c r="BJ324" s="488" t="str">
        <f t="shared" si="859"/>
        <v>Lò</v>
      </c>
      <c r="BK324" s="523">
        <f t="shared" si="1092"/>
        <v>0</v>
      </c>
      <c r="BL324" s="523">
        <f t="shared" si="1093"/>
        <v>0</v>
      </c>
      <c r="BM324" s="523">
        <f t="shared" si="1094"/>
        <v>0</v>
      </c>
      <c r="BN324" s="523">
        <f t="shared" si="1095"/>
        <v>0</v>
      </c>
      <c r="BO324" s="523">
        <f t="shared" si="1096"/>
        <v>0</v>
      </c>
      <c r="BP324" s="523">
        <f t="shared" si="1097"/>
        <v>0</v>
      </c>
      <c r="BQ324" s="523">
        <f t="shared" si="1098"/>
        <v>0</v>
      </c>
      <c r="BR324" s="523">
        <f t="shared" si="1099"/>
        <v>0</v>
      </c>
      <c r="BS324" s="523">
        <f t="shared" si="1100"/>
        <v>0</v>
      </c>
      <c r="BT324" s="523">
        <f t="shared" si="1101"/>
        <v>0</v>
      </c>
      <c r="BU324" s="523">
        <f t="shared" si="1102"/>
        <v>0</v>
      </c>
      <c r="BV324" s="523">
        <f t="shared" si="1103"/>
        <v>0</v>
      </c>
      <c r="BW324" s="523">
        <f t="shared" si="1104"/>
        <v>0</v>
      </c>
      <c r="BX324" s="523">
        <f t="shared" si="1105"/>
        <v>0</v>
      </c>
      <c r="BY324" s="523">
        <f t="shared" si="1106"/>
        <v>0</v>
      </c>
      <c r="BZ324" s="523">
        <f t="shared" si="1107"/>
        <v>0</v>
      </c>
      <c r="CA324" s="354"/>
      <c r="CB324" s="510" t="b">
        <f t="shared" si="1108"/>
        <v>0</v>
      </c>
      <c r="CC324" s="509" t="str">
        <f t="shared" si="956"/>
        <v>XLM.</v>
      </c>
      <c r="CD324" s="509" t="str">
        <f t="shared" si="1109"/>
        <v>XLM.17,9</v>
      </c>
      <c r="CE324" s="351" t="str">
        <f t="shared" si="861"/>
        <v>Lò</v>
      </c>
      <c r="CF324" s="509" t="str">
        <f t="shared" si="957"/>
        <v>XLM.Lò</v>
      </c>
      <c r="CG324" s="509" t="e">
        <f>#REF!</f>
        <v>#REF!</v>
      </c>
      <c r="CH324" s="509" t="e">
        <f>#REF!</f>
        <v>#REF!</v>
      </c>
    </row>
    <row r="325" spans="1:86" ht="39" customHeight="1" x14ac:dyDescent="0.25">
      <c r="A325" s="354" t="e">
        <f t="shared" si="1060"/>
        <v>#REF!</v>
      </c>
      <c r="B325" s="518"/>
      <c r="C325" s="542" t="s">
        <v>752</v>
      </c>
      <c r="D325" s="447" t="s">
        <v>14</v>
      </c>
      <c r="E325" s="447"/>
      <c r="F325" s="447" t="s">
        <v>875</v>
      </c>
      <c r="G325" s="520">
        <v>17.8</v>
      </c>
      <c r="H325" s="521">
        <v>0.5</v>
      </c>
      <c r="I325" s="522">
        <f t="shared" si="1064"/>
        <v>0</v>
      </c>
      <c r="J325" s="522">
        <f t="shared" si="1065"/>
        <v>0</v>
      </c>
      <c r="K325" s="522">
        <f t="shared" si="1066"/>
        <v>0</v>
      </c>
      <c r="L325" s="57">
        <f t="shared" si="1067"/>
        <v>0</v>
      </c>
      <c r="M325" s="60"/>
      <c r="N325" s="60"/>
      <c r="O325" s="60">
        <f t="shared" si="1068"/>
        <v>0</v>
      </c>
      <c r="P325" s="60"/>
      <c r="Q325" s="60"/>
      <c r="R325" s="60">
        <f t="shared" si="1069"/>
        <v>0</v>
      </c>
      <c r="S325" s="824"/>
      <c r="T325" s="60"/>
      <c r="U325" s="60">
        <f t="shared" si="1070"/>
        <v>0</v>
      </c>
      <c r="V325" s="60">
        <f t="shared" si="1071"/>
        <v>0</v>
      </c>
      <c r="W325" s="60">
        <f t="shared" si="1072"/>
        <v>0</v>
      </c>
      <c r="X325" s="60">
        <f t="shared" si="1073"/>
        <v>0</v>
      </c>
      <c r="Y325" s="60"/>
      <c r="Z325" s="60"/>
      <c r="AA325" s="60">
        <f t="shared" si="1074"/>
        <v>0</v>
      </c>
      <c r="AB325" s="60"/>
      <c r="AC325" s="60"/>
      <c r="AD325" s="60">
        <f t="shared" si="1075"/>
        <v>0</v>
      </c>
      <c r="AE325" s="60"/>
      <c r="AF325" s="60"/>
      <c r="AG325" s="60">
        <f t="shared" si="1076"/>
        <v>0</v>
      </c>
      <c r="AH325" s="60">
        <f t="shared" si="1077"/>
        <v>0</v>
      </c>
      <c r="AI325" s="60">
        <f t="shared" si="1078"/>
        <v>0</v>
      </c>
      <c r="AJ325" s="60">
        <f t="shared" si="1079"/>
        <v>0</v>
      </c>
      <c r="AK325" s="60"/>
      <c r="AL325" s="60"/>
      <c r="AM325" s="60">
        <f t="shared" si="1080"/>
        <v>0</v>
      </c>
      <c r="AN325" s="60"/>
      <c r="AO325" s="60"/>
      <c r="AP325" s="60">
        <f t="shared" si="1081"/>
        <v>0</v>
      </c>
      <c r="AQ325" s="60"/>
      <c r="AR325" s="60"/>
      <c r="AS325" s="60">
        <f t="shared" si="1082"/>
        <v>0</v>
      </c>
      <c r="AT325" s="60">
        <f t="shared" si="1083"/>
        <v>0</v>
      </c>
      <c r="AU325" s="60">
        <f t="shared" si="1084"/>
        <v>0</v>
      </c>
      <c r="AV325" s="60">
        <f t="shared" si="1085"/>
        <v>0</v>
      </c>
      <c r="AW325" s="60"/>
      <c r="AX325" s="60"/>
      <c r="AY325" s="60">
        <f t="shared" si="1086"/>
        <v>0</v>
      </c>
      <c r="AZ325" s="60"/>
      <c r="BA325" s="60"/>
      <c r="BB325" s="60">
        <f t="shared" si="1087"/>
        <v>0</v>
      </c>
      <c r="BC325" s="60"/>
      <c r="BD325" s="60"/>
      <c r="BE325" s="60">
        <f t="shared" si="1088"/>
        <v>0</v>
      </c>
      <c r="BF325" s="60">
        <f t="shared" si="1089"/>
        <v>0</v>
      </c>
      <c r="BG325" s="60">
        <f t="shared" si="1090"/>
        <v>0</v>
      </c>
      <c r="BH325" s="60">
        <f t="shared" si="1091"/>
        <v>0</v>
      </c>
      <c r="BI325" s="508"/>
      <c r="BJ325" s="488" t="str">
        <f t="shared" ref="BJ325:BJ388" si="1110">LEFT(C325,2)</f>
        <v>Lò</v>
      </c>
      <c r="BK325" s="523">
        <f t="shared" si="1092"/>
        <v>0</v>
      </c>
      <c r="BL325" s="523">
        <f t="shared" si="1093"/>
        <v>0</v>
      </c>
      <c r="BM325" s="523">
        <f t="shared" si="1094"/>
        <v>0</v>
      </c>
      <c r="BN325" s="523">
        <f t="shared" si="1095"/>
        <v>0</v>
      </c>
      <c r="BO325" s="523">
        <f t="shared" si="1096"/>
        <v>0</v>
      </c>
      <c r="BP325" s="523">
        <f t="shared" si="1097"/>
        <v>0</v>
      </c>
      <c r="BQ325" s="523">
        <f t="shared" si="1098"/>
        <v>0</v>
      </c>
      <c r="BR325" s="523">
        <f t="shared" si="1099"/>
        <v>0</v>
      </c>
      <c r="BS325" s="523">
        <f t="shared" si="1100"/>
        <v>0</v>
      </c>
      <c r="BT325" s="523">
        <f t="shared" si="1101"/>
        <v>0</v>
      </c>
      <c r="BU325" s="523">
        <f t="shared" si="1102"/>
        <v>0</v>
      </c>
      <c r="BV325" s="523">
        <f t="shared" si="1103"/>
        <v>0</v>
      </c>
      <c r="BW325" s="523">
        <f t="shared" si="1104"/>
        <v>0</v>
      </c>
      <c r="BX325" s="523">
        <f t="shared" si="1105"/>
        <v>0</v>
      </c>
      <c r="BY325" s="523">
        <f t="shared" si="1106"/>
        <v>0</v>
      </c>
      <c r="BZ325" s="523">
        <f t="shared" si="1107"/>
        <v>0</v>
      </c>
      <c r="CA325" s="354"/>
      <c r="CB325" s="510" t="b">
        <f t="shared" si="1108"/>
        <v>0</v>
      </c>
      <c r="CC325" s="509" t="str">
        <f t="shared" si="956"/>
        <v>XLM.</v>
      </c>
      <c r="CD325" s="509" t="str">
        <f t="shared" si="1109"/>
        <v>XLM.17,8</v>
      </c>
      <c r="CE325" s="351" t="str">
        <f t="shared" ref="CE325:CE388" si="1111">LEFT(C325,2)</f>
        <v>Lò</v>
      </c>
      <c r="CF325" s="509" t="str">
        <f t="shared" si="957"/>
        <v>XLM.Lò</v>
      </c>
      <c r="CG325" s="509" t="e">
        <f>#REF!</f>
        <v>#REF!</v>
      </c>
      <c r="CH325" s="509" t="e">
        <f>#REF!</f>
        <v>#REF!</v>
      </c>
    </row>
    <row r="326" spans="1:86" ht="24" customHeight="1" x14ac:dyDescent="0.25">
      <c r="A326" s="354" t="e">
        <f>A320</f>
        <v>#REF!</v>
      </c>
      <c r="B326" s="518"/>
      <c r="C326" s="519" t="s">
        <v>753</v>
      </c>
      <c r="D326" s="447" t="s">
        <v>14</v>
      </c>
      <c r="E326" s="447"/>
      <c r="F326" s="447" t="s">
        <v>875</v>
      </c>
      <c r="G326" s="520">
        <v>17.8</v>
      </c>
      <c r="H326" s="521">
        <v>0.5</v>
      </c>
      <c r="I326" s="522">
        <f t="shared" si="1064"/>
        <v>0</v>
      </c>
      <c r="J326" s="522">
        <f t="shared" si="1065"/>
        <v>0</v>
      </c>
      <c r="K326" s="522">
        <f t="shared" si="1066"/>
        <v>0</v>
      </c>
      <c r="L326" s="57">
        <f t="shared" si="1067"/>
        <v>0</v>
      </c>
      <c r="M326" s="60"/>
      <c r="N326" s="60"/>
      <c r="O326" s="60">
        <f t="shared" si="1068"/>
        <v>0</v>
      </c>
      <c r="P326" s="60"/>
      <c r="Q326" s="60"/>
      <c r="R326" s="60">
        <f t="shared" si="1069"/>
        <v>0</v>
      </c>
      <c r="S326" s="824"/>
      <c r="T326" s="60"/>
      <c r="U326" s="60">
        <f t="shared" si="1070"/>
        <v>0</v>
      </c>
      <c r="V326" s="60">
        <f t="shared" si="1071"/>
        <v>0</v>
      </c>
      <c r="W326" s="60">
        <f t="shared" si="1072"/>
        <v>0</v>
      </c>
      <c r="X326" s="60">
        <f t="shared" si="1073"/>
        <v>0</v>
      </c>
      <c r="Y326" s="60"/>
      <c r="Z326" s="60"/>
      <c r="AA326" s="60">
        <f t="shared" si="1074"/>
        <v>0</v>
      </c>
      <c r="AB326" s="60"/>
      <c r="AC326" s="60"/>
      <c r="AD326" s="60">
        <f t="shared" si="1075"/>
        <v>0</v>
      </c>
      <c r="AE326" s="60"/>
      <c r="AF326" s="60"/>
      <c r="AG326" s="60">
        <f t="shared" si="1076"/>
        <v>0</v>
      </c>
      <c r="AH326" s="60">
        <f t="shared" si="1077"/>
        <v>0</v>
      </c>
      <c r="AI326" s="60">
        <f t="shared" si="1078"/>
        <v>0</v>
      </c>
      <c r="AJ326" s="60">
        <f t="shared" si="1079"/>
        <v>0</v>
      </c>
      <c r="AK326" s="60"/>
      <c r="AL326" s="60"/>
      <c r="AM326" s="60">
        <f t="shared" si="1080"/>
        <v>0</v>
      </c>
      <c r="AN326" s="60"/>
      <c r="AO326" s="60"/>
      <c r="AP326" s="60">
        <f t="shared" si="1081"/>
        <v>0</v>
      </c>
      <c r="AQ326" s="60"/>
      <c r="AR326" s="60"/>
      <c r="AS326" s="60">
        <f t="shared" si="1082"/>
        <v>0</v>
      </c>
      <c r="AT326" s="60">
        <f t="shared" si="1083"/>
        <v>0</v>
      </c>
      <c r="AU326" s="60">
        <f t="shared" si="1084"/>
        <v>0</v>
      </c>
      <c r="AV326" s="60">
        <f t="shared" si="1085"/>
        <v>0</v>
      </c>
      <c r="AW326" s="60"/>
      <c r="AX326" s="60"/>
      <c r="AY326" s="60">
        <f t="shared" si="1086"/>
        <v>0</v>
      </c>
      <c r="AZ326" s="60"/>
      <c r="BA326" s="60"/>
      <c r="BB326" s="60">
        <f t="shared" si="1087"/>
        <v>0</v>
      </c>
      <c r="BC326" s="60"/>
      <c r="BD326" s="60"/>
      <c r="BE326" s="60">
        <f t="shared" si="1088"/>
        <v>0</v>
      </c>
      <c r="BF326" s="60">
        <f t="shared" si="1089"/>
        <v>0</v>
      </c>
      <c r="BG326" s="60">
        <f t="shared" si="1090"/>
        <v>0</v>
      </c>
      <c r="BH326" s="60">
        <f t="shared" si="1091"/>
        <v>0</v>
      </c>
      <c r="BI326" s="508"/>
      <c r="BJ326" s="488" t="str">
        <f t="shared" si="1110"/>
        <v>Lò</v>
      </c>
      <c r="BK326" s="523">
        <f t="shared" si="1092"/>
        <v>0</v>
      </c>
      <c r="BL326" s="523">
        <f t="shared" si="1093"/>
        <v>0</v>
      </c>
      <c r="BM326" s="523">
        <f t="shared" si="1094"/>
        <v>0</v>
      </c>
      <c r="BN326" s="523">
        <f t="shared" si="1095"/>
        <v>0</v>
      </c>
      <c r="BO326" s="523">
        <f t="shared" si="1096"/>
        <v>0</v>
      </c>
      <c r="BP326" s="523">
        <f t="shared" si="1097"/>
        <v>0</v>
      </c>
      <c r="BQ326" s="523">
        <f t="shared" si="1098"/>
        <v>0</v>
      </c>
      <c r="BR326" s="523">
        <f t="shared" si="1099"/>
        <v>0</v>
      </c>
      <c r="BS326" s="523">
        <f t="shared" si="1100"/>
        <v>0</v>
      </c>
      <c r="BT326" s="523">
        <f t="shared" si="1101"/>
        <v>0</v>
      </c>
      <c r="BU326" s="523">
        <f t="shared" si="1102"/>
        <v>0</v>
      </c>
      <c r="BV326" s="523">
        <f t="shared" si="1103"/>
        <v>0</v>
      </c>
      <c r="BW326" s="523">
        <f t="shared" si="1104"/>
        <v>0</v>
      </c>
      <c r="BX326" s="523">
        <f t="shared" si="1105"/>
        <v>0</v>
      </c>
      <c r="BY326" s="523">
        <f t="shared" si="1106"/>
        <v>0</v>
      </c>
      <c r="BZ326" s="523">
        <f t="shared" si="1107"/>
        <v>0</v>
      </c>
      <c r="CA326" s="354"/>
      <c r="CB326" s="510" t="b">
        <f t="shared" si="1108"/>
        <v>0</v>
      </c>
      <c r="CC326" s="509" t="str">
        <f t="shared" si="956"/>
        <v>XLM.</v>
      </c>
      <c r="CD326" s="509" t="str">
        <f t="shared" si="1109"/>
        <v>XLM.17,8</v>
      </c>
      <c r="CE326" s="351" t="str">
        <f t="shared" si="1111"/>
        <v>Lò</v>
      </c>
      <c r="CF326" s="509" t="str">
        <f t="shared" si="957"/>
        <v>XLM.Lò</v>
      </c>
      <c r="CG326" s="509" t="e">
        <f>#REF!</f>
        <v>#REF!</v>
      </c>
      <c r="CH326" s="509" t="e">
        <f>#REF!</f>
        <v>#REF!</v>
      </c>
    </row>
    <row r="327" spans="1:86" ht="24" customHeight="1" x14ac:dyDescent="0.25">
      <c r="A327" s="354" t="e">
        <f t="shared" si="1060"/>
        <v>#REF!</v>
      </c>
      <c r="B327" s="518"/>
      <c r="C327" s="519" t="s">
        <v>501</v>
      </c>
      <c r="D327" s="447" t="s">
        <v>14</v>
      </c>
      <c r="E327" s="447"/>
      <c r="F327" s="447" t="s">
        <v>875</v>
      </c>
      <c r="G327" s="520">
        <v>21.4</v>
      </c>
      <c r="H327" s="521">
        <v>0.5</v>
      </c>
      <c r="I327" s="522">
        <f t="shared" si="1064"/>
        <v>171</v>
      </c>
      <c r="J327" s="522">
        <f t="shared" si="1065"/>
        <v>171</v>
      </c>
      <c r="K327" s="522">
        <f t="shared" si="1066"/>
        <v>0</v>
      </c>
      <c r="L327" s="57">
        <f t="shared" si="1067"/>
        <v>0</v>
      </c>
      <c r="M327" s="60">
        <v>45</v>
      </c>
      <c r="N327" s="60">
        <v>45</v>
      </c>
      <c r="O327" s="60">
        <f t="shared" si="1068"/>
        <v>0</v>
      </c>
      <c r="P327" s="60">
        <v>37</v>
      </c>
      <c r="Q327" s="60">
        <v>37</v>
      </c>
      <c r="R327" s="60">
        <f t="shared" si="1069"/>
        <v>0</v>
      </c>
      <c r="S327" s="824">
        <v>45</v>
      </c>
      <c r="T327" s="60">
        <v>45</v>
      </c>
      <c r="U327" s="60">
        <f t="shared" si="1070"/>
        <v>0</v>
      </c>
      <c r="V327" s="60">
        <f t="shared" si="1071"/>
        <v>127</v>
      </c>
      <c r="W327" s="60">
        <f t="shared" si="1072"/>
        <v>127</v>
      </c>
      <c r="X327" s="60">
        <f t="shared" si="1073"/>
        <v>0</v>
      </c>
      <c r="Y327" s="60">
        <v>44</v>
      </c>
      <c r="Z327" s="60">
        <v>44</v>
      </c>
      <c r="AA327" s="60">
        <f t="shared" si="1074"/>
        <v>0</v>
      </c>
      <c r="AB327" s="60"/>
      <c r="AC327" s="60"/>
      <c r="AD327" s="60">
        <f t="shared" si="1075"/>
        <v>0</v>
      </c>
      <c r="AE327" s="60"/>
      <c r="AF327" s="60"/>
      <c r="AG327" s="60">
        <f t="shared" si="1076"/>
        <v>0</v>
      </c>
      <c r="AH327" s="60">
        <f t="shared" si="1077"/>
        <v>44</v>
      </c>
      <c r="AI327" s="60">
        <f t="shared" si="1078"/>
        <v>44</v>
      </c>
      <c r="AJ327" s="60">
        <f t="shared" si="1079"/>
        <v>0</v>
      </c>
      <c r="AK327" s="60"/>
      <c r="AL327" s="60"/>
      <c r="AM327" s="60">
        <f t="shared" si="1080"/>
        <v>0</v>
      </c>
      <c r="AN327" s="60"/>
      <c r="AO327" s="60"/>
      <c r="AP327" s="60">
        <f t="shared" si="1081"/>
        <v>0</v>
      </c>
      <c r="AQ327" s="60"/>
      <c r="AR327" s="60"/>
      <c r="AS327" s="60">
        <f t="shared" si="1082"/>
        <v>0</v>
      </c>
      <c r="AT327" s="60">
        <f t="shared" si="1083"/>
        <v>0</v>
      </c>
      <c r="AU327" s="60">
        <f t="shared" si="1084"/>
        <v>0</v>
      </c>
      <c r="AV327" s="60">
        <f t="shared" si="1085"/>
        <v>0</v>
      </c>
      <c r="AW327" s="60"/>
      <c r="AX327" s="60"/>
      <c r="AY327" s="60">
        <f t="shared" si="1086"/>
        <v>0</v>
      </c>
      <c r="AZ327" s="60"/>
      <c r="BA327" s="60"/>
      <c r="BB327" s="60">
        <f t="shared" si="1087"/>
        <v>0</v>
      </c>
      <c r="BC327" s="60"/>
      <c r="BD327" s="60"/>
      <c r="BE327" s="60">
        <f t="shared" si="1088"/>
        <v>0</v>
      </c>
      <c r="BF327" s="60">
        <f t="shared" si="1089"/>
        <v>0</v>
      </c>
      <c r="BG327" s="60">
        <f t="shared" si="1090"/>
        <v>0</v>
      </c>
      <c r="BH327" s="60">
        <f t="shared" si="1091"/>
        <v>0</v>
      </c>
      <c r="BI327" s="508"/>
      <c r="BJ327" s="488" t="str">
        <f t="shared" si="1110"/>
        <v>Lò</v>
      </c>
      <c r="BK327" s="523">
        <f t="shared" si="1092"/>
        <v>0</v>
      </c>
      <c r="BL327" s="523">
        <f t="shared" si="1093"/>
        <v>0</v>
      </c>
      <c r="BM327" s="523">
        <f t="shared" si="1094"/>
        <v>0</v>
      </c>
      <c r="BN327" s="523">
        <f t="shared" si="1095"/>
        <v>0</v>
      </c>
      <c r="BO327" s="523">
        <f t="shared" si="1096"/>
        <v>0</v>
      </c>
      <c r="BP327" s="523">
        <f t="shared" si="1097"/>
        <v>0</v>
      </c>
      <c r="BQ327" s="523">
        <f t="shared" si="1098"/>
        <v>0</v>
      </c>
      <c r="BR327" s="523">
        <f t="shared" si="1099"/>
        <v>0</v>
      </c>
      <c r="BS327" s="523">
        <f t="shared" si="1100"/>
        <v>0</v>
      </c>
      <c r="BT327" s="523">
        <f t="shared" si="1101"/>
        <v>0</v>
      </c>
      <c r="BU327" s="523">
        <f t="shared" si="1102"/>
        <v>0</v>
      </c>
      <c r="BV327" s="523">
        <f t="shared" si="1103"/>
        <v>0</v>
      </c>
      <c r="BW327" s="523">
        <f t="shared" si="1104"/>
        <v>0</v>
      </c>
      <c r="BX327" s="523">
        <f t="shared" si="1105"/>
        <v>0</v>
      </c>
      <c r="BY327" s="523">
        <f t="shared" si="1106"/>
        <v>0</v>
      </c>
      <c r="BZ327" s="523">
        <f t="shared" si="1107"/>
        <v>0</v>
      </c>
      <c r="CA327" s="354"/>
      <c r="CB327" s="510" t="str">
        <f t="shared" si="1108"/>
        <v>X</v>
      </c>
      <c r="CC327" s="509" t="str">
        <f t="shared" si="956"/>
        <v>XLM.</v>
      </c>
      <c r="CD327" s="509" t="str">
        <f t="shared" si="1109"/>
        <v>XLM.21,4</v>
      </c>
      <c r="CE327" s="351" t="str">
        <f t="shared" si="1111"/>
        <v>Lò</v>
      </c>
      <c r="CF327" s="509" t="str">
        <f t="shared" si="957"/>
        <v>XLM.Lò</v>
      </c>
      <c r="CG327" s="509" t="e">
        <f>#REF!</f>
        <v>#REF!</v>
      </c>
      <c r="CH327" s="509" t="e">
        <f>#REF!</f>
        <v>#REF!</v>
      </c>
    </row>
    <row r="328" spans="1:86" ht="24" customHeight="1" x14ac:dyDescent="0.25">
      <c r="A328" s="354" t="e">
        <f>A321</f>
        <v>#REF!</v>
      </c>
      <c r="B328" s="518"/>
      <c r="C328" s="519" t="s">
        <v>754</v>
      </c>
      <c r="D328" s="447" t="s">
        <v>14</v>
      </c>
      <c r="E328" s="447"/>
      <c r="F328" s="447"/>
      <c r="G328" s="544">
        <v>22</v>
      </c>
      <c r="H328" s="521">
        <v>0.5</v>
      </c>
      <c r="I328" s="522">
        <f t="shared" si="1064"/>
        <v>30</v>
      </c>
      <c r="J328" s="522">
        <f t="shared" si="1065"/>
        <v>30</v>
      </c>
      <c r="K328" s="522">
        <f t="shared" si="1066"/>
        <v>0</v>
      </c>
      <c r="L328" s="57">
        <f t="shared" si="1067"/>
        <v>0</v>
      </c>
      <c r="M328" s="60"/>
      <c r="N328" s="60"/>
      <c r="O328" s="60">
        <f t="shared" si="1068"/>
        <v>0</v>
      </c>
      <c r="P328" s="60"/>
      <c r="Q328" s="60"/>
      <c r="R328" s="60">
        <f t="shared" si="1069"/>
        <v>0</v>
      </c>
      <c r="S328" s="824"/>
      <c r="T328" s="60"/>
      <c r="U328" s="60">
        <f t="shared" si="1070"/>
        <v>0</v>
      </c>
      <c r="V328" s="60">
        <f t="shared" si="1071"/>
        <v>0</v>
      </c>
      <c r="W328" s="60">
        <f t="shared" si="1072"/>
        <v>0</v>
      </c>
      <c r="X328" s="60">
        <f t="shared" si="1073"/>
        <v>0</v>
      </c>
      <c r="Y328" s="60"/>
      <c r="Z328" s="60"/>
      <c r="AA328" s="60">
        <f t="shared" si="1074"/>
        <v>0</v>
      </c>
      <c r="AB328" s="60">
        <v>10</v>
      </c>
      <c r="AC328" s="60">
        <v>10</v>
      </c>
      <c r="AD328" s="60">
        <f t="shared" si="1075"/>
        <v>0</v>
      </c>
      <c r="AE328" s="60">
        <v>10</v>
      </c>
      <c r="AF328" s="60">
        <v>10</v>
      </c>
      <c r="AG328" s="60">
        <f t="shared" si="1076"/>
        <v>0</v>
      </c>
      <c r="AH328" s="60">
        <f t="shared" si="1077"/>
        <v>20</v>
      </c>
      <c r="AI328" s="60">
        <f t="shared" si="1078"/>
        <v>20</v>
      </c>
      <c r="AJ328" s="60">
        <f t="shared" si="1079"/>
        <v>0</v>
      </c>
      <c r="AK328" s="60">
        <v>10</v>
      </c>
      <c r="AL328" s="60">
        <v>10</v>
      </c>
      <c r="AM328" s="60">
        <f t="shared" si="1080"/>
        <v>0</v>
      </c>
      <c r="AN328" s="60"/>
      <c r="AO328" s="60"/>
      <c r="AP328" s="60">
        <f t="shared" si="1081"/>
        <v>0</v>
      </c>
      <c r="AQ328" s="60"/>
      <c r="AR328" s="60"/>
      <c r="AS328" s="60">
        <f t="shared" si="1082"/>
        <v>0</v>
      </c>
      <c r="AT328" s="60">
        <f t="shared" si="1083"/>
        <v>10</v>
      </c>
      <c r="AU328" s="60">
        <f t="shared" si="1084"/>
        <v>10</v>
      </c>
      <c r="AV328" s="60">
        <f t="shared" si="1085"/>
        <v>0</v>
      </c>
      <c r="AW328" s="60"/>
      <c r="AX328" s="60"/>
      <c r="AY328" s="60">
        <f t="shared" si="1086"/>
        <v>0</v>
      </c>
      <c r="AZ328" s="60"/>
      <c r="BA328" s="60"/>
      <c r="BB328" s="60">
        <f t="shared" si="1087"/>
        <v>0</v>
      </c>
      <c r="BC328" s="60"/>
      <c r="BD328" s="60"/>
      <c r="BE328" s="60">
        <f t="shared" si="1088"/>
        <v>0</v>
      </c>
      <c r="BF328" s="60">
        <f t="shared" si="1089"/>
        <v>0</v>
      </c>
      <c r="BG328" s="60">
        <f t="shared" si="1090"/>
        <v>0</v>
      </c>
      <c r="BH328" s="60">
        <f t="shared" si="1091"/>
        <v>0</v>
      </c>
      <c r="BI328" s="508"/>
      <c r="BJ328" s="488" t="str">
        <f t="shared" si="1110"/>
        <v>Lò</v>
      </c>
      <c r="BK328" s="523">
        <f t="shared" si="1092"/>
        <v>0</v>
      </c>
      <c r="BL328" s="523">
        <f t="shared" si="1093"/>
        <v>0</v>
      </c>
      <c r="BM328" s="523">
        <f t="shared" si="1094"/>
        <v>0</v>
      </c>
      <c r="BN328" s="523">
        <f t="shared" si="1095"/>
        <v>0</v>
      </c>
      <c r="BO328" s="523">
        <f t="shared" si="1096"/>
        <v>0</v>
      </c>
      <c r="BP328" s="523">
        <f t="shared" si="1097"/>
        <v>0</v>
      </c>
      <c r="BQ328" s="523">
        <f t="shared" si="1098"/>
        <v>0</v>
      </c>
      <c r="BR328" s="523">
        <f t="shared" si="1099"/>
        <v>0</v>
      </c>
      <c r="BS328" s="523">
        <f t="shared" si="1100"/>
        <v>0</v>
      </c>
      <c r="BT328" s="523">
        <f t="shared" si="1101"/>
        <v>0</v>
      </c>
      <c r="BU328" s="523">
        <f t="shared" si="1102"/>
        <v>0</v>
      </c>
      <c r="BV328" s="523">
        <f t="shared" si="1103"/>
        <v>0</v>
      </c>
      <c r="BW328" s="523">
        <f t="shared" si="1104"/>
        <v>0</v>
      </c>
      <c r="BX328" s="523">
        <f t="shared" si="1105"/>
        <v>0</v>
      </c>
      <c r="BY328" s="523">
        <f t="shared" si="1106"/>
        <v>0</v>
      </c>
      <c r="BZ328" s="523">
        <f t="shared" si="1107"/>
        <v>0</v>
      </c>
      <c r="CA328" s="354"/>
      <c r="CB328" s="510" t="str">
        <f t="shared" si="1108"/>
        <v>X</v>
      </c>
      <c r="CC328" s="509" t="str">
        <f t="shared" si="956"/>
        <v>XLM.</v>
      </c>
      <c r="CD328" s="509" t="str">
        <f t="shared" si="1109"/>
        <v>XLM.22</v>
      </c>
      <c r="CE328" s="351" t="str">
        <f t="shared" si="1111"/>
        <v>Lò</v>
      </c>
      <c r="CF328" s="509" t="str">
        <f t="shared" si="957"/>
        <v>XLM.Lò</v>
      </c>
      <c r="CG328" s="509" t="e">
        <f>#REF!</f>
        <v>#REF!</v>
      </c>
      <c r="CH328" s="509" t="e">
        <f>#REF!</f>
        <v>#REF!</v>
      </c>
    </row>
    <row r="329" spans="1:86" ht="24" customHeight="1" x14ac:dyDescent="0.25">
      <c r="A329" s="354" t="e">
        <f>A314</f>
        <v>#REF!</v>
      </c>
      <c r="B329" s="518"/>
      <c r="C329" s="519" t="s">
        <v>755</v>
      </c>
      <c r="D329" s="447" t="s">
        <v>14</v>
      </c>
      <c r="E329" s="447"/>
      <c r="F329" s="447"/>
      <c r="G329" s="520">
        <v>16.100000000000001</v>
      </c>
      <c r="H329" s="521">
        <v>0.5</v>
      </c>
      <c r="I329" s="522">
        <f t="shared" si="1064"/>
        <v>45</v>
      </c>
      <c r="J329" s="522">
        <f t="shared" si="1065"/>
        <v>45</v>
      </c>
      <c r="K329" s="522">
        <f t="shared" si="1066"/>
        <v>0</v>
      </c>
      <c r="L329" s="57">
        <f t="shared" si="1067"/>
        <v>0</v>
      </c>
      <c r="M329" s="60"/>
      <c r="N329" s="60"/>
      <c r="O329" s="60">
        <f t="shared" ref="O329:O359" si="1112">M329-N329</f>
        <v>0</v>
      </c>
      <c r="P329" s="60"/>
      <c r="Q329" s="60"/>
      <c r="R329" s="60">
        <f t="shared" ref="R329:R359" si="1113">P329-Q329</f>
        <v>0</v>
      </c>
      <c r="S329" s="824"/>
      <c r="T329" s="60"/>
      <c r="U329" s="60">
        <f t="shared" ref="U329:U359" si="1114">S329-T329</f>
        <v>0</v>
      </c>
      <c r="V329" s="60">
        <f t="shared" si="1071"/>
        <v>0</v>
      </c>
      <c r="W329" s="60">
        <f t="shared" si="1072"/>
        <v>0</v>
      </c>
      <c r="X329" s="60">
        <f t="shared" si="1073"/>
        <v>0</v>
      </c>
      <c r="Y329" s="60"/>
      <c r="Z329" s="60"/>
      <c r="AA329" s="60">
        <f t="shared" ref="AA329:AA359" si="1115">Y329-Z329</f>
        <v>0</v>
      </c>
      <c r="AB329" s="60"/>
      <c r="AC329" s="60"/>
      <c r="AD329" s="60">
        <f t="shared" ref="AD329:AD359" si="1116">AB329-AC329</f>
        <v>0</v>
      </c>
      <c r="AE329" s="60"/>
      <c r="AF329" s="60"/>
      <c r="AG329" s="60">
        <f t="shared" ref="AG329:AG359" si="1117">AE329-AF329</f>
        <v>0</v>
      </c>
      <c r="AH329" s="60">
        <f t="shared" si="1077"/>
        <v>0</v>
      </c>
      <c r="AI329" s="60">
        <f t="shared" si="1078"/>
        <v>0</v>
      </c>
      <c r="AJ329" s="60">
        <f t="shared" si="1079"/>
        <v>0</v>
      </c>
      <c r="AK329" s="60"/>
      <c r="AL329" s="60"/>
      <c r="AM329" s="60">
        <f t="shared" ref="AM329:AM359" si="1118">AK329-AL329</f>
        <v>0</v>
      </c>
      <c r="AN329" s="60">
        <v>25</v>
      </c>
      <c r="AO329" s="60">
        <v>25</v>
      </c>
      <c r="AP329" s="60">
        <f t="shared" ref="AP329:AP359" si="1119">AN329-AO329</f>
        <v>0</v>
      </c>
      <c r="AQ329" s="60">
        <v>20</v>
      </c>
      <c r="AR329" s="60">
        <v>20</v>
      </c>
      <c r="AS329" s="60">
        <f t="shared" ref="AS329:AS359" si="1120">AQ329-AR329</f>
        <v>0</v>
      </c>
      <c r="AT329" s="60">
        <f t="shared" si="1083"/>
        <v>45</v>
      </c>
      <c r="AU329" s="60">
        <f t="shared" si="1084"/>
        <v>45</v>
      </c>
      <c r="AV329" s="60">
        <f t="shared" si="1085"/>
        <v>0</v>
      </c>
      <c r="AW329" s="60"/>
      <c r="AX329" s="60"/>
      <c r="AY329" s="60">
        <f t="shared" ref="AY329:AY359" si="1121">AW329-AX329</f>
        <v>0</v>
      </c>
      <c r="AZ329" s="60"/>
      <c r="BA329" s="60"/>
      <c r="BB329" s="60">
        <f t="shared" ref="BB329:BB359" si="1122">AZ329-BA329</f>
        <v>0</v>
      </c>
      <c r="BC329" s="60"/>
      <c r="BD329" s="60"/>
      <c r="BE329" s="60">
        <f t="shared" ref="BE329:BE359" si="1123">BC329-BD329</f>
        <v>0</v>
      </c>
      <c r="BF329" s="60">
        <f t="shared" si="1089"/>
        <v>0</v>
      </c>
      <c r="BG329" s="60">
        <f t="shared" si="1090"/>
        <v>0</v>
      </c>
      <c r="BH329" s="60">
        <f t="shared" si="1091"/>
        <v>0</v>
      </c>
      <c r="BI329" s="508"/>
      <c r="BJ329" s="488" t="str">
        <f t="shared" si="1110"/>
        <v>Lò</v>
      </c>
      <c r="BK329" s="523">
        <f t="shared" si="1092"/>
        <v>0</v>
      </c>
      <c r="BL329" s="523">
        <f t="shared" si="1093"/>
        <v>0</v>
      </c>
      <c r="BM329" s="523">
        <f t="shared" si="1094"/>
        <v>0</v>
      </c>
      <c r="BN329" s="523">
        <f t="shared" si="1095"/>
        <v>0</v>
      </c>
      <c r="BO329" s="523">
        <f t="shared" si="1096"/>
        <v>0</v>
      </c>
      <c r="BP329" s="523">
        <f t="shared" si="1097"/>
        <v>0</v>
      </c>
      <c r="BQ329" s="523">
        <f t="shared" si="1098"/>
        <v>0</v>
      </c>
      <c r="BR329" s="523">
        <f t="shared" si="1099"/>
        <v>0</v>
      </c>
      <c r="BS329" s="523">
        <f t="shared" si="1100"/>
        <v>0</v>
      </c>
      <c r="BT329" s="523">
        <f t="shared" si="1101"/>
        <v>0</v>
      </c>
      <c r="BU329" s="523">
        <f t="shared" si="1102"/>
        <v>0</v>
      </c>
      <c r="BV329" s="523">
        <f t="shared" si="1103"/>
        <v>0</v>
      </c>
      <c r="BW329" s="523">
        <f t="shared" si="1104"/>
        <v>0</v>
      </c>
      <c r="BX329" s="523">
        <f t="shared" si="1105"/>
        <v>0</v>
      </c>
      <c r="BY329" s="523">
        <f t="shared" si="1106"/>
        <v>0</v>
      </c>
      <c r="BZ329" s="523">
        <f t="shared" si="1107"/>
        <v>0</v>
      </c>
      <c r="CA329" s="354"/>
      <c r="CB329" s="510" t="str">
        <f t="shared" si="1108"/>
        <v>X</v>
      </c>
      <c r="CC329" s="509" t="str">
        <f t="shared" si="956"/>
        <v>XLM.</v>
      </c>
      <c r="CD329" s="509" t="str">
        <f t="shared" si="1109"/>
        <v>XLM.16,1</v>
      </c>
      <c r="CE329" s="351" t="str">
        <f t="shared" si="1111"/>
        <v>Lò</v>
      </c>
      <c r="CF329" s="509" t="str">
        <f t="shared" si="957"/>
        <v>XLM.Lò</v>
      </c>
      <c r="CG329" s="509" t="e">
        <f>#REF!</f>
        <v>#REF!</v>
      </c>
      <c r="CH329" s="509" t="e">
        <f>#REF!</f>
        <v>#REF!</v>
      </c>
    </row>
    <row r="330" spans="1:86" ht="24" customHeight="1" x14ac:dyDescent="0.25">
      <c r="A330" s="354" t="e">
        <f t="shared" si="1060"/>
        <v>#REF!</v>
      </c>
      <c r="B330" s="518"/>
      <c r="C330" s="519" t="s">
        <v>775</v>
      </c>
      <c r="D330" s="447" t="s">
        <v>14</v>
      </c>
      <c r="E330" s="447"/>
      <c r="F330" s="447"/>
      <c r="G330" s="520">
        <v>17.8</v>
      </c>
      <c r="H330" s="521">
        <v>0.5</v>
      </c>
      <c r="I330" s="522">
        <f t="shared" si="1064"/>
        <v>0</v>
      </c>
      <c r="J330" s="522">
        <f t="shared" si="1065"/>
        <v>0</v>
      </c>
      <c r="K330" s="522">
        <f t="shared" si="1066"/>
        <v>0</v>
      </c>
      <c r="L330" s="57">
        <f t="shared" si="1067"/>
        <v>0</v>
      </c>
      <c r="M330" s="60"/>
      <c r="N330" s="60"/>
      <c r="O330" s="60">
        <f t="shared" si="1112"/>
        <v>0</v>
      </c>
      <c r="P330" s="60"/>
      <c r="Q330" s="60"/>
      <c r="R330" s="60">
        <f t="shared" si="1113"/>
        <v>0</v>
      </c>
      <c r="S330" s="824"/>
      <c r="T330" s="60"/>
      <c r="U330" s="60">
        <f t="shared" si="1114"/>
        <v>0</v>
      </c>
      <c r="V330" s="60">
        <f t="shared" si="1071"/>
        <v>0</v>
      </c>
      <c r="W330" s="60">
        <f t="shared" si="1072"/>
        <v>0</v>
      </c>
      <c r="X330" s="60">
        <f t="shared" si="1073"/>
        <v>0</v>
      </c>
      <c r="Y330" s="60"/>
      <c r="Z330" s="60"/>
      <c r="AA330" s="60">
        <f t="shared" si="1115"/>
        <v>0</v>
      </c>
      <c r="AB330" s="60"/>
      <c r="AC330" s="60"/>
      <c r="AD330" s="60">
        <f t="shared" si="1116"/>
        <v>0</v>
      </c>
      <c r="AE330" s="60"/>
      <c r="AF330" s="60"/>
      <c r="AG330" s="60">
        <f t="shared" si="1117"/>
        <v>0</v>
      </c>
      <c r="AH330" s="60">
        <f t="shared" si="1077"/>
        <v>0</v>
      </c>
      <c r="AI330" s="60">
        <f t="shared" si="1078"/>
        <v>0</v>
      </c>
      <c r="AJ330" s="60">
        <f t="shared" si="1079"/>
        <v>0</v>
      </c>
      <c r="AK330" s="60"/>
      <c r="AL330" s="60"/>
      <c r="AM330" s="60">
        <f t="shared" si="1118"/>
        <v>0</v>
      </c>
      <c r="AN330" s="60"/>
      <c r="AO330" s="60"/>
      <c r="AP330" s="60">
        <f t="shared" si="1119"/>
        <v>0</v>
      </c>
      <c r="AQ330" s="60"/>
      <c r="AR330" s="60"/>
      <c r="AS330" s="60">
        <f t="shared" si="1120"/>
        <v>0</v>
      </c>
      <c r="AT330" s="60">
        <f t="shared" si="1083"/>
        <v>0</v>
      </c>
      <c r="AU330" s="60">
        <f t="shared" si="1084"/>
        <v>0</v>
      </c>
      <c r="AV330" s="60">
        <f t="shared" si="1085"/>
        <v>0</v>
      </c>
      <c r="AW330" s="60"/>
      <c r="AX330" s="60"/>
      <c r="AY330" s="60">
        <f t="shared" si="1121"/>
        <v>0</v>
      </c>
      <c r="AZ330" s="60"/>
      <c r="BA330" s="60"/>
      <c r="BB330" s="60">
        <f t="shared" si="1122"/>
        <v>0</v>
      </c>
      <c r="BC330" s="60"/>
      <c r="BD330" s="60"/>
      <c r="BE330" s="60">
        <f t="shared" si="1123"/>
        <v>0</v>
      </c>
      <c r="BF330" s="60">
        <f t="shared" si="1089"/>
        <v>0</v>
      </c>
      <c r="BG330" s="60">
        <f t="shared" si="1090"/>
        <v>0</v>
      </c>
      <c r="BH330" s="60">
        <f t="shared" si="1091"/>
        <v>0</v>
      </c>
      <c r="BI330" s="508"/>
      <c r="BJ330" s="488" t="str">
        <f t="shared" si="1110"/>
        <v>Đổ</v>
      </c>
      <c r="BK330" s="523">
        <f t="shared" si="1092"/>
        <v>0</v>
      </c>
      <c r="BL330" s="523">
        <f t="shared" si="1093"/>
        <v>0</v>
      </c>
      <c r="BM330" s="523">
        <f t="shared" si="1094"/>
        <v>0</v>
      </c>
      <c r="BN330" s="523">
        <f t="shared" si="1095"/>
        <v>0</v>
      </c>
      <c r="BO330" s="523">
        <f t="shared" si="1096"/>
        <v>0</v>
      </c>
      <c r="BP330" s="523">
        <f t="shared" si="1097"/>
        <v>0</v>
      </c>
      <c r="BQ330" s="523">
        <f t="shared" si="1098"/>
        <v>0</v>
      </c>
      <c r="BR330" s="523">
        <f t="shared" si="1099"/>
        <v>0</v>
      </c>
      <c r="BS330" s="523">
        <f t="shared" si="1100"/>
        <v>0</v>
      </c>
      <c r="BT330" s="523">
        <f t="shared" si="1101"/>
        <v>0</v>
      </c>
      <c r="BU330" s="523">
        <f t="shared" si="1102"/>
        <v>0</v>
      </c>
      <c r="BV330" s="523">
        <f t="shared" si="1103"/>
        <v>0</v>
      </c>
      <c r="BW330" s="523">
        <f t="shared" si="1104"/>
        <v>0</v>
      </c>
      <c r="BX330" s="523">
        <f t="shared" si="1105"/>
        <v>0</v>
      </c>
      <c r="BY330" s="523">
        <f t="shared" si="1106"/>
        <v>0</v>
      </c>
      <c r="BZ330" s="523">
        <f t="shared" si="1107"/>
        <v>0</v>
      </c>
      <c r="CA330" s="354"/>
      <c r="CB330" s="510" t="b">
        <f t="shared" si="1108"/>
        <v>0</v>
      </c>
      <c r="CC330" s="509" t="str">
        <f t="shared" si="956"/>
        <v>XLM.</v>
      </c>
      <c r="CD330" s="509" t="str">
        <f t="shared" si="1109"/>
        <v>XLM.17,8</v>
      </c>
      <c r="CE330" s="351" t="str">
        <f t="shared" si="1111"/>
        <v>Đổ</v>
      </c>
      <c r="CF330" s="509" t="str">
        <f t="shared" si="957"/>
        <v>XLM.Đổ</v>
      </c>
      <c r="CG330" s="509" t="e">
        <f>#REF!</f>
        <v>#REF!</v>
      </c>
      <c r="CH330" s="509" t="e">
        <f>#REF!</f>
        <v>#REF!</v>
      </c>
    </row>
    <row r="331" spans="1:86" ht="24" customHeight="1" x14ac:dyDescent="0.25">
      <c r="A331" s="354" t="e">
        <f>A316</f>
        <v>#REF!</v>
      </c>
      <c r="B331" s="518"/>
      <c r="C331" s="519" t="s">
        <v>756</v>
      </c>
      <c r="D331" s="447" t="s">
        <v>14</v>
      </c>
      <c r="E331" s="447"/>
      <c r="F331" s="447"/>
      <c r="G331" s="520">
        <v>22</v>
      </c>
      <c r="H331" s="521">
        <v>0.5</v>
      </c>
      <c r="I331" s="522">
        <f t="shared" si="1064"/>
        <v>30</v>
      </c>
      <c r="J331" s="522">
        <f t="shared" si="1065"/>
        <v>30</v>
      </c>
      <c r="K331" s="522">
        <f t="shared" si="1066"/>
        <v>0</v>
      </c>
      <c r="L331" s="57">
        <f t="shared" si="1067"/>
        <v>0</v>
      </c>
      <c r="M331" s="60">
        <v>10</v>
      </c>
      <c r="N331" s="60">
        <v>10</v>
      </c>
      <c r="O331" s="60">
        <f t="shared" si="1112"/>
        <v>0</v>
      </c>
      <c r="P331" s="60">
        <v>10</v>
      </c>
      <c r="Q331" s="60">
        <v>10</v>
      </c>
      <c r="R331" s="60">
        <f t="shared" si="1113"/>
        <v>0</v>
      </c>
      <c r="S331" s="824">
        <v>10</v>
      </c>
      <c r="T331" s="60">
        <v>10</v>
      </c>
      <c r="U331" s="60">
        <f t="shared" si="1114"/>
        <v>0</v>
      </c>
      <c r="V331" s="60">
        <f t="shared" si="1071"/>
        <v>30</v>
      </c>
      <c r="W331" s="60">
        <f t="shared" si="1072"/>
        <v>30</v>
      </c>
      <c r="X331" s="60">
        <f t="shared" si="1073"/>
        <v>0</v>
      </c>
      <c r="Y331" s="60"/>
      <c r="Z331" s="60"/>
      <c r="AA331" s="60">
        <f t="shared" si="1115"/>
        <v>0</v>
      </c>
      <c r="AB331" s="60"/>
      <c r="AC331" s="60"/>
      <c r="AD331" s="60">
        <f t="shared" si="1116"/>
        <v>0</v>
      </c>
      <c r="AE331" s="60"/>
      <c r="AF331" s="60"/>
      <c r="AG331" s="60">
        <f t="shared" si="1117"/>
        <v>0</v>
      </c>
      <c r="AH331" s="60">
        <f t="shared" si="1077"/>
        <v>0</v>
      </c>
      <c r="AI331" s="60">
        <f t="shared" si="1078"/>
        <v>0</v>
      </c>
      <c r="AJ331" s="60">
        <f t="shared" si="1079"/>
        <v>0</v>
      </c>
      <c r="AK331" s="60"/>
      <c r="AL331" s="60"/>
      <c r="AM331" s="60">
        <f t="shared" si="1118"/>
        <v>0</v>
      </c>
      <c r="AN331" s="60"/>
      <c r="AO331" s="60"/>
      <c r="AP331" s="60">
        <f t="shared" si="1119"/>
        <v>0</v>
      </c>
      <c r="AQ331" s="60"/>
      <c r="AR331" s="60"/>
      <c r="AS331" s="60">
        <f t="shared" si="1120"/>
        <v>0</v>
      </c>
      <c r="AT331" s="60">
        <f t="shared" si="1083"/>
        <v>0</v>
      </c>
      <c r="AU331" s="60">
        <f t="shared" si="1084"/>
        <v>0</v>
      </c>
      <c r="AV331" s="60">
        <f t="shared" si="1085"/>
        <v>0</v>
      </c>
      <c r="AW331" s="60"/>
      <c r="AX331" s="60"/>
      <c r="AY331" s="60">
        <f t="shared" si="1121"/>
        <v>0</v>
      </c>
      <c r="AZ331" s="60"/>
      <c r="BA331" s="60"/>
      <c r="BB331" s="60">
        <f t="shared" si="1122"/>
        <v>0</v>
      </c>
      <c r="BC331" s="60"/>
      <c r="BD331" s="60"/>
      <c r="BE331" s="60">
        <f t="shared" si="1123"/>
        <v>0</v>
      </c>
      <c r="BF331" s="60">
        <f t="shared" si="1089"/>
        <v>0</v>
      </c>
      <c r="BG331" s="60">
        <f t="shared" si="1090"/>
        <v>0</v>
      </c>
      <c r="BH331" s="60">
        <f t="shared" si="1091"/>
        <v>0</v>
      </c>
      <c r="BI331" s="508"/>
      <c r="BJ331" s="488" t="str">
        <f t="shared" si="1110"/>
        <v>Lò</v>
      </c>
      <c r="BK331" s="523">
        <f t="shared" si="1092"/>
        <v>0</v>
      </c>
      <c r="BL331" s="523">
        <f t="shared" si="1093"/>
        <v>0</v>
      </c>
      <c r="BM331" s="523">
        <f t="shared" si="1094"/>
        <v>0</v>
      </c>
      <c r="BN331" s="523">
        <f t="shared" si="1095"/>
        <v>0</v>
      </c>
      <c r="BO331" s="523">
        <f t="shared" si="1096"/>
        <v>0</v>
      </c>
      <c r="BP331" s="523">
        <f t="shared" si="1097"/>
        <v>0</v>
      </c>
      <c r="BQ331" s="523">
        <f t="shared" si="1098"/>
        <v>0</v>
      </c>
      <c r="BR331" s="523">
        <f t="shared" si="1099"/>
        <v>0</v>
      </c>
      <c r="BS331" s="523">
        <f t="shared" si="1100"/>
        <v>0</v>
      </c>
      <c r="BT331" s="523">
        <f t="shared" si="1101"/>
        <v>0</v>
      </c>
      <c r="BU331" s="523">
        <f t="shared" si="1102"/>
        <v>0</v>
      </c>
      <c r="BV331" s="523">
        <f t="shared" si="1103"/>
        <v>0</v>
      </c>
      <c r="BW331" s="523">
        <f t="shared" si="1104"/>
        <v>0</v>
      </c>
      <c r="BX331" s="523">
        <f t="shared" si="1105"/>
        <v>0</v>
      </c>
      <c r="BY331" s="523">
        <f t="shared" si="1106"/>
        <v>0</v>
      </c>
      <c r="BZ331" s="523">
        <f t="shared" si="1107"/>
        <v>0</v>
      </c>
      <c r="CA331" s="354"/>
      <c r="CB331" s="510" t="str">
        <f t="shared" si="1108"/>
        <v>X</v>
      </c>
      <c r="CC331" s="509" t="str">
        <f t="shared" si="956"/>
        <v>XLM.</v>
      </c>
      <c r="CD331" s="509" t="str">
        <f t="shared" si="1109"/>
        <v>XLM.22</v>
      </c>
      <c r="CE331" s="351" t="str">
        <f t="shared" si="1111"/>
        <v>Lò</v>
      </c>
      <c r="CF331" s="509" t="str">
        <f t="shared" si="957"/>
        <v>XLM.Lò</v>
      </c>
      <c r="CG331" s="509" t="e">
        <f>#REF!</f>
        <v>#REF!</v>
      </c>
      <c r="CH331" s="509" t="e">
        <f>#REF!</f>
        <v>#REF!</v>
      </c>
    </row>
    <row r="332" spans="1:86" ht="24" customHeight="1" x14ac:dyDescent="0.25">
      <c r="A332" s="354" t="e">
        <f t="shared" si="1060"/>
        <v>#REF!</v>
      </c>
      <c r="B332" s="518"/>
      <c r="C332" s="519" t="s">
        <v>757</v>
      </c>
      <c r="D332" s="447" t="s">
        <v>14</v>
      </c>
      <c r="E332" s="447"/>
      <c r="F332" s="447"/>
      <c r="G332" s="520">
        <v>16.100000000000001</v>
      </c>
      <c r="H332" s="521">
        <v>0.5</v>
      </c>
      <c r="I332" s="522">
        <f t="shared" si="1064"/>
        <v>15</v>
      </c>
      <c r="J332" s="522">
        <f t="shared" si="1065"/>
        <v>15</v>
      </c>
      <c r="K332" s="522">
        <f t="shared" si="1066"/>
        <v>0</v>
      </c>
      <c r="L332" s="57">
        <f t="shared" si="1067"/>
        <v>0</v>
      </c>
      <c r="M332" s="60"/>
      <c r="N332" s="60"/>
      <c r="O332" s="60">
        <f t="shared" si="1112"/>
        <v>0</v>
      </c>
      <c r="P332" s="60"/>
      <c r="Q332" s="60"/>
      <c r="R332" s="60">
        <f t="shared" si="1113"/>
        <v>0</v>
      </c>
      <c r="S332" s="824"/>
      <c r="T332" s="60"/>
      <c r="U332" s="60">
        <f t="shared" si="1114"/>
        <v>0</v>
      </c>
      <c r="V332" s="60">
        <f t="shared" si="1071"/>
        <v>0</v>
      </c>
      <c r="W332" s="60">
        <f t="shared" si="1072"/>
        <v>0</v>
      </c>
      <c r="X332" s="60">
        <f t="shared" si="1073"/>
        <v>0</v>
      </c>
      <c r="Y332" s="60">
        <v>15</v>
      </c>
      <c r="Z332" s="60">
        <v>15</v>
      </c>
      <c r="AA332" s="60">
        <f t="shared" si="1115"/>
        <v>0</v>
      </c>
      <c r="AB332" s="60"/>
      <c r="AC332" s="60"/>
      <c r="AD332" s="60">
        <f t="shared" si="1116"/>
        <v>0</v>
      </c>
      <c r="AE332" s="60"/>
      <c r="AF332" s="60"/>
      <c r="AG332" s="60">
        <f t="shared" si="1117"/>
        <v>0</v>
      </c>
      <c r="AH332" s="60">
        <f t="shared" si="1077"/>
        <v>15</v>
      </c>
      <c r="AI332" s="60">
        <f t="shared" si="1078"/>
        <v>15</v>
      </c>
      <c r="AJ332" s="60">
        <f t="shared" si="1079"/>
        <v>0</v>
      </c>
      <c r="AK332" s="60"/>
      <c r="AL332" s="60"/>
      <c r="AM332" s="60">
        <f t="shared" si="1118"/>
        <v>0</v>
      </c>
      <c r="AN332" s="60"/>
      <c r="AO332" s="60"/>
      <c r="AP332" s="60">
        <f t="shared" si="1119"/>
        <v>0</v>
      </c>
      <c r="AQ332" s="60"/>
      <c r="AR332" s="60"/>
      <c r="AS332" s="60">
        <f t="shared" si="1120"/>
        <v>0</v>
      </c>
      <c r="AT332" s="60">
        <f t="shared" si="1083"/>
        <v>0</v>
      </c>
      <c r="AU332" s="60">
        <f t="shared" si="1084"/>
        <v>0</v>
      </c>
      <c r="AV332" s="60">
        <f t="shared" si="1085"/>
        <v>0</v>
      </c>
      <c r="AW332" s="60"/>
      <c r="AX332" s="60"/>
      <c r="AY332" s="60">
        <f t="shared" si="1121"/>
        <v>0</v>
      </c>
      <c r="AZ332" s="60"/>
      <c r="BA332" s="60"/>
      <c r="BB332" s="60">
        <f t="shared" si="1122"/>
        <v>0</v>
      </c>
      <c r="BC332" s="60"/>
      <c r="BD332" s="60"/>
      <c r="BE332" s="60">
        <f t="shared" si="1123"/>
        <v>0</v>
      </c>
      <c r="BF332" s="60">
        <f t="shared" si="1089"/>
        <v>0</v>
      </c>
      <c r="BG332" s="60">
        <f t="shared" si="1090"/>
        <v>0</v>
      </c>
      <c r="BH332" s="60">
        <f t="shared" si="1091"/>
        <v>0</v>
      </c>
      <c r="BI332" s="508"/>
      <c r="BJ332" s="488" t="str">
        <f t="shared" si="1110"/>
        <v>Lò</v>
      </c>
      <c r="BK332" s="523">
        <f t="shared" si="1092"/>
        <v>0</v>
      </c>
      <c r="BL332" s="523">
        <f t="shared" si="1093"/>
        <v>0</v>
      </c>
      <c r="BM332" s="523">
        <f t="shared" si="1094"/>
        <v>0</v>
      </c>
      <c r="BN332" s="523">
        <f t="shared" si="1095"/>
        <v>0</v>
      </c>
      <c r="BO332" s="523">
        <f t="shared" si="1096"/>
        <v>0</v>
      </c>
      <c r="BP332" s="523">
        <f t="shared" si="1097"/>
        <v>0</v>
      </c>
      <c r="BQ332" s="523">
        <f t="shared" si="1098"/>
        <v>0</v>
      </c>
      <c r="BR332" s="523">
        <f t="shared" si="1099"/>
        <v>0</v>
      </c>
      <c r="BS332" s="523">
        <f t="shared" si="1100"/>
        <v>0</v>
      </c>
      <c r="BT332" s="523">
        <f t="shared" si="1101"/>
        <v>0</v>
      </c>
      <c r="BU332" s="523">
        <f t="shared" si="1102"/>
        <v>0</v>
      </c>
      <c r="BV332" s="523">
        <f t="shared" si="1103"/>
        <v>0</v>
      </c>
      <c r="BW332" s="523">
        <f t="shared" si="1104"/>
        <v>0</v>
      </c>
      <c r="BX332" s="523">
        <f t="shared" si="1105"/>
        <v>0</v>
      </c>
      <c r="BY332" s="523">
        <f t="shared" si="1106"/>
        <v>0</v>
      </c>
      <c r="BZ332" s="523">
        <f t="shared" si="1107"/>
        <v>0</v>
      </c>
      <c r="CA332" s="354"/>
      <c r="CB332" s="510" t="str">
        <f t="shared" si="1108"/>
        <v>X</v>
      </c>
      <c r="CC332" s="509" t="str">
        <f t="shared" si="956"/>
        <v>XLM.</v>
      </c>
      <c r="CD332" s="509" t="str">
        <f t="shared" si="1109"/>
        <v>XLM.16,1</v>
      </c>
      <c r="CE332" s="351" t="str">
        <f t="shared" si="1111"/>
        <v>Lò</v>
      </c>
      <c r="CF332" s="509" t="str">
        <f t="shared" si="957"/>
        <v>XLM.Lò</v>
      </c>
      <c r="CG332" s="509" t="e">
        <f>#REF!</f>
        <v>#REF!</v>
      </c>
      <c r="CH332" s="509" t="e">
        <f>#REF!</f>
        <v>#REF!</v>
      </c>
    </row>
    <row r="333" spans="1:86" ht="24" customHeight="1" x14ac:dyDescent="0.25">
      <c r="A333" s="354" t="e">
        <f>A319</f>
        <v>#REF!</v>
      </c>
      <c r="B333" s="518"/>
      <c r="C333" s="519" t="s">
        <v>758</v>
      </c>
      <c r="D333" s="447" t="s">
        <v>14</v>
      </c>
      <c r="E333" s="447"/>
      <c r="F333" s="447" t="s">
        <v>875</v>
      </c>
      <c r="G333" s="520">
        <v>21.4</v>
      </c>
      <c r="H333" s="521">
        <v>0.5</v>
      </c>
      <c r="I333" s="522">
        <f t="shared" si="1064"/>
        <v>39</v>
      </c>
      <c r="J333" s="522">
        <f t="shared" si="1065"/>
        <v>39</v>
      </c>
      <c r="K333" s="522">
        <f t="shared" si="1066"/>
        <v>0</v>
      </c>
      <c r="L333" s="57">
        <f t="shared" si="1067"/>
        <v>0</v>
      </c>
      <c r="M333" s="60"/>
      <c r="N333" s="60"/>
      <c r="O333" s="60">
        <f t="shared" si="1112"/>
        <v>0</v>
      </c>
      <c r="P333" s="60"/>
      <c r="Q333" s="60"/>
      <c r="R333" s="60">
        <f t="shared" si="1113"/>
        <v>0</v>
      </c>
      <c r="S333" s="824"/>
      <c r="T333" s="60"/>
      <c r="U333" s="60">
        <f t="shared" si="1114"/>
        <v>0</v>
      </c>
      <c r="V333" s="60">
        <f t="shared" si="1071"/>
        <v>0</v>
      </c>
      <c r="W333" s="60">
        <f t="shared" si="1072"/>
        <v>0</v>
      </c>
      <c r="X333" s="60">
        <f t="shared" si="1073"/>
        <v>0</v>
      </c>
      <c r="Y333" s="60"/>
      <c r="Z333" s="60"/>
      <c r="AA333" s="60">
        <f t="shared" si="1115"/>
        <v>0</v>
      </c>
      <c r="AB333" s="60">
        <v>39</v>
      </c>
      <c r="AC333" s="60">
        <v>39</v>
      </c>
      <c r="AD333" s="60">
        <f t="shared" si="1116"/>
        <v>0</v>
      </c>
      <c r="AE333" s="60"/>
      <c r="AF333" s="60"/>
      <c r="AG333" s="60">
        <f t="shared" si="1117"/>
        <v>0</v>
      </c>
      <c r="AH333" s="60">
        <f t="shared" si="1077"/>
        <v>39</v>
      </c>
      <c r="AI333" s="60">
        <f t="shared" si="1078"/>
        <v>39</v>
      </c>
      <c r="AJ333" s="60">
        <f t="shared" si="1079"/>
        <v>0</v>
      </c>
      <c r="AK333" s="60"/>
      <c r="AL333" s="60"/>
      <c r="AM333" s="60">
        <f t="shared" si="1118"/>
        <v>0</v>
      </c>
      <c r="AN333" s="60"/>
      <c r="AO333" s="60"/>
      <c r="AP333" s="60">
        <f t="shared" si="1119"/>
        <v>0</v>
      </c>
      <c r="AQ333" s="60"/>
      <c r="AR333" s="60"/>
      <c r="AS333" s="60">
        <f t="shared" si="1120"/>
        <v>0</v>
      </c>
      <c r="AT333" s="60">
        <f t="shared" si="1083"/>
        <v>0</v>
      </c>
      <c r="AU333" s="60">
        <f t="shared" si="1084"/>
        <v>0</v>
      </c>
      <c r="AV333" s="60">
        <f t="shared" si="1085"/>
        <v>0</v>
      </c>
      <c r="AW333" s="60"/>
      <c r="AX333" s="60"/>
      <c r="AY333" s="60">
        <f t="shared" si="1121"/>
        <v>0</v>
      </c>
      <c r="AZ333" s="60"/>
      <c r="BA333" s="60"/>
      <c r="BB333" s="60">
        <f t="shared" si="1122"/>
        <v>0</v>
      </c>
      <c r="BC333" s="60"/>
      <c r="BD333" s="60"/>
      <c r="BE333" s="60">
        <f t="shared" si="1123"/>
        <v>0</v>
      </c>
      <c r="BF333" s="60">
        <f t="shared" si="1089"/>
        <v>0</v>
      </c>
      <c r="BG333" s="60">
        <f t="shared" si="1090"/>
        <v>0</v>
      </c>
      <c r="BH333" s="60">
        <f t="shared" si="1091"/>
        <v>0</v>
      </c>
      <c r="BI333" s="508"/>
      <c r="BJ333" s="488" t="str">
        <f t="shared" si="1110"/>
        <v>Lò</v>
      </c>
      <c r="BK333" s="523">
        <f t="shared" si="1092"/>
        <v>0</v>
      </c>
      <c r="BL333" s="523">
        <f t="shared" si="1093"/>
        <v>0</v>
      </c>
      <c r="BM333" s="523">
        <f t="shared" si="1094"/>
        <v>0</v>
      </c>
      <c r="BN333" s="523">
        <f t="shared" si="1095"/>
        <v>0</v>
      </c>
      <c r="BO333" s="523">
        <f t="shared" si="1096"/>
        <v>0</v>
      </c>
      <c r="BP333" s="523">
        <f t="shared" si="1097"/>
        <v>0</v>
      </c>
      <c r="BQ333" s="523">
        <f t="shared" si="1098"/>
        <v>0</v>
      </c>
      <c r="BR333" s="523">
        <f t="shared" si="1099"/>
        <v>0</v>
      </c>
      <c r="BS333" s="523">
        <f t="shared" si="1100"/>
        <v>0</v>
      </c>
      <c r="BT333" s="523">
        <f t="shared" si="1101"/>
        <v>0</v>
      </c>
      <c r="BU333" s="523">
        <f t="shared" si="1102"/>
        <v>0</v>
      </c>
      <c r="BV333" s="523">
        <f t="shared" si="1103"/>
        <v>0</v>
      </c>
      <c r="BW333" s="523">
        <f t="shared" si="1104"/>
        <v>0</v>
      </c>
      <c r="BX333" s="523">
        <f t="shared" si="1105"/>
        <v>0</v>
      </c>
      <c r="BY333" s="523">
        <f t="shared" si="1106"/>
        <v>0</v>
      </c>
      <c r="BZ333" s="523">
        <f t="shared" si="1107"/>
        <v>0</v>
      </c>
      <c r="CA333" s="354"/>
      <c r="CB333" s="510" t="str">
        <f t="shared" si="1108"/>
        <v>X</v>
      </c>
      <c r="CC333" s="509" t="str">
        <f t="shared" si="956"/>
        <v>XLM.</v>
      </c>
      <c r="CD333" s="509" t="str">
        <f t="shared" si="1109"/>
        <v>XLM.21,4</v>
      </c>
      <c r="CE333" s="351" t="str">
        <f t="shared" si="1111"/>
        <v>Lò</v>
      </c>
      <c r="CF333" s="509" t="str">
        <f t="shared" si="957"/>
        <v>XLM.Lò</v>
      </c>
      <c r="CG333" s="509" t="e">
        <f>#REF!</f>
        <v>#REF!</v>
      </c>
      <c r="CH333" s="509" t="e">
        <f>#REF!</f>
        <v>#REF!</v>
      </c>
    </row>
    <row r="334" spans="1:86" ht="24" customHeight="1" x14ac:dyDescent="0.25">
      <c r="A334" s="354" t="e">
        <f>#REF!</f>
        <v>#REF!</v>
      </c>
      <c r="B334" s="518"/>
      <c r="C334" s="519" t="s">
        <v>759</v>
      </c>
      <c r="D334" s="447" t="s">
        <v>14</v>
      </c>
      <c r="E334" s="447"/>
      <c r="F334" s="447"/>
      <c r="G334" s="520">
        <v>22</v>
      </c>
      <c r="H334" s="521">
        <v>0.5</v>
      </c>
      <c r="I334" s="522">
        <f t="shared" si="1064"/>
        <v>90</v>
      </c>
      <c r="J334" s="522">
        <f t="shared" si="1065"/>
        <v>90</v>
      </c>
      <c r="K334" s="522">
        <f t="shared" si="1066"/>
        <v>0</v>
      </c>
      <c r="L334" s="57">
        <f t="shared" si="1067"/>
        <v>0</v>
      </c>
      <c r="M334" s="60"/>
      <c r="N334" s="60"/>
      <c r="O334" s="60">
        <f t="shared" si="1112"/>
        <v>0</v>
      </c>
      <c r="P334" s="60"/>
      <c r="Q334" s="60"/>
      <c r="R334" s="60">
        <f t="shared" si="1113"/>
        <v>0</v>
      </c>
      <c r="S334" s="824"/>
      <c r="T334" s="60"/>
      <c r="U334" s="60">
        <f t="shared" si="1114"/>
        <v>0</v>
      </c>
      <c r="V334" s="60">
        <f t="shared" si="1071"/>
        <v>0</v>
      </c>
      <c r="W334" s="60">
        <f t="shared" si="1072"/>
        <v>0</v>
      </c>
      <c r="X334" s="60">
        <f t="shared" si="1073"/>
        <v>0</v>
      </c>
      <c r="Y334" s="60"/>
      <c r="Z334" s="60"/>
      <c r="AA334" s="60">
        <f t="shared" si="1115"/>
        <v>0</v>
      </c>
      <c r="AB334" s="60"/>
      <c r="AC334" s="60"/>
      <c r="AD334" s="60">
        <f t="shared" si="1116"/>
        <v>0</v>
      </c>
      <c r="AE334" s="60">
        <v>20</v>
      </c>
      <c r="AF334" s="60">
        <v>20</v>
      </c>
      <c r="AG334" s="60">
        <f t="shared" si="1117"/>
        <v>0</v>
      </c>
      <c r="AH334" s="60">
        <f t="shared" si="1077"/>
        <v>20</v>
      </c>
      <c r="AI334" s="60">
        <f t="shared" si="1078"/>
        <v>20</v>
      </c>
      <c r="AJ334" s="60">
        <f t="shared" si="1079"/>
        <v>0</v>
      </c>
      <c r="AK334" s="60">
        <v>20</v>
      </c>
      <c r="AL334" s="60">
        <v>20</v>
      </c>
      <c r="AM334" s="60">
        <f t="shared" si="1118"/>
        <v>0</v>
      </c>
      <c r="AN334" s="60">
        <v>20</v>
      </c>
      <c r="AO334" s="60">
        <v>20</v>
      </c>
      <c r="AP334" s="60">
        <f t="shared" si="1119"/>
        <v>0</v>
      </c>
      <c r="AQ334" s="60">
        <v>20</v>
      </c>
      <c r="AR334" s="60">
        <v>20</v>
      </c>
      <c r="AS334" s="60">
        <f t="shared" si="1120"/>
        <v>0</v>
      </c>
      <c r="AT334" s="60">
        <f t="shared" si="1083"/>
        <v>60</v>
      </c>
      <c r="AU334" s="60">
        <f t="shared" si="1084"/>
        <v>60</v>
      </c>
      <c r="AV334" s="60">
        <f t="shared" si="1085"/>
        <v>0</v>
      </c>
      <c r="AW334" s="60">
        <v>10</v>
      </c>
      <c r="AX334" s="60">
        <v>10</v>
      </c>
      <c r="AY334" s="60">
        <f t="shared" si="1121"/>
        <v>0</v>
      </c>
      <c r="AZ334" s="60"/>
      <c r="BA334" s="60"/>
      <c r="BB334" s="60">
        <f t="shared" si="1122"/>
        <v>0</v>
      </c>
      <c r="BC334" s="60"/>
      <c r="BD334" s="60"/>
      <c r="BE334" s="60">
        <f t="shared" si="1123"/>
        <v>0</v>
      </c>
      <c r="BF334" s="60">
        <f t="shared" si="1089"/>
        <v>10</v>
      </c>
      <c r="BG334" s="60">
        <f t="shared" si="1090"/>
        <v>10</v>
      </c>
      <c r="BH334" s="60">
        <f t="shared" si="1091"/>
        <v>0</v>
      </c>
      <c r="BI334" s="508"/>
      <c r="BJ334" s="488" t="str">
        <f t="shared" si="1110"/>
        <v>Lò</v>
      </c>
      <c r="BK334" s="523">
        <f t="shared" si="1092"/>
        <v>0</v>
      </c>
      <c r="BL334" s="523">
        <f t="shared" si="1093"/>
        <v>0</v>
      </c>
      <c r="BM334" s="523">
        <f t="shared" si="1094"/>
        <v>0</v>
      </c>
      <c r="BN334" s="523">
        <f t="shared" si="1095"/>
        <v>0</v>
      </c>
      <c r="BO334" s="523">
        <f t="shared" si="1096"/>
        <v>0</v>
      </c>
      <c r="BP334" s="523">
        <f t="shared" si="1097"/>
        <v>0</v>
      </c>
      <c r="BQ334" s="523">
        <f t="shared" si="1098"/>
        <v>0</v>
      </c>
      <c r="BR334" s="523">
        <f t="shared" si="1099"/>
        <v>0</v>
      </c>
      <c r="BS334" s="523">
        <f t="shared" si="1100"/>
        <v>0</v>
      </c>
      <c r="BT334" s="523">
        <f t="shared" si="1101"/>
        <v>0</v>
      </c>
      <c r="BU334" s="523">
        <f t="shared" si="1102"/>
        <v>0</v>
      </c>
      <c r="BV334" s="523">
        <f t="shared" si="1103"/>
        <v>0</v>
      </c>
      <c r="BW334" s="523">
        <f t="shared" si="1104"/>
        <v>0</v>
      </c>
      <c r="BX334" s="523">
        <f t="shared" si="1105"/>
        <v>0</v>
      </c>
      <c r="BY334" s="523">
        <f t="shared" si="1106"/>
        <v>0</v>
      </c>
      <c r="BZ334" s="523">
        <f t="shared" si="1107"/>
        <v>0</v>
      </c>
      <c r="CA334" s="354"/>
      <c r="CB334" s="510" t="str">
        <f t="shared" si="1108"/>
        <v>X</v>
      </c>
      <c r="CC334" s="509" t="str">
        <f t="shared" si="956"/>
        <v>XLM.</v>
      </c>
      <c r="CD334" s="509" t="str">
        <f t="shared" si="1109"/>
        <v>XLM.22</v>
      </c>
      <c r="CE334" s="351" t="str">
        <f t="shared" si="1111"/>
        <v>Lò</v>
      </c>
      <c r="CF334" s="509" t="str">
        <f t="shared" si="957"/>
        <v>XLM.Lò</v>
      </c>
      <c r="CG334" s="509" t="e">
        <f>#REF!</f>
        <v>#REF!</v>
      </c>
      <c r="CH334" s="509" t="e">
        <f>#REF!</f>
        <v>#REF!</v>
      </c>
    </row>
    <row r="335" spans="1:86" ht="24" customHeight="1" x14ac:dyDescent="0.25">
      <c r="A335" s="354" t="e">
        <f>#REF!</f>
        <v>#REF!</v>
      </c>
      <c r="B335" s="518"/>
      <c r="C335" s="519" t="s">
        <v>760</v>
      </c>
      <c r="D335" s="447" t="s">
        <v>14</v>
      </c>
      <c r="E335" s="447"/>
      <c r="F335" s="447"/>
      <c r="G335" s="520">
        <v>16.100000000000001</v>
      </c>
      <c r="H335" s="521">
        <v>0.5</v>
      </c>
      <c r="I335" s="522">
        <f t="shared" si="1064"/>
        <v>30</v>
      </c>
      <c r="J335" s="522">
        <f t="shared" si="1065"/>
        <v>30</v>
      </c>
      <c r="K335" s="522">
        <f t="shared" si="1066"/>
        <v>0</v>
      </c>
      <c r="L335" s="57">
        <f t="shared" si="1067"/>
        <v>0</v>
      </c>
      <c r="M335" s="60"/>
      <c r="N335" s="60"/>
      <c r="O335" s="60">
        <f t="shared" si="1112"/>
        <v>0</v>
      </c>
      <c r="P335" s="60"/>
      <c r="Q335" s="60"/>
      <c r="R335" s="60">
        <f t="shared" si="1113"/>
        <v>0</v>
      </c>
      <c r="S335" s="824"/>
      <c r="T335" s="60"/>
      <c r="U335" s="60">
        <f t="shared" si="1114"/>
        <v>0</v>
      </c>
      <c r="V335" s="60">
        <f t="shared" si="1071"/>
        <v>0</v>
      </c>
      <c r="W335" s="60">
        <f t="shared" si="1072"/>
        <v>0</v>
      </c>
      <c r="X335" s="60">
        <f t="shared" si="1073"/>
        <v>0</v>
      </c>
      <c r="Y335" s="60"/>
      <c r="Z335" s="60"/>
      <c r="AA335" s="60">
        <f t="shared" si="1115"/>
        <v>0</v>
      </c>
      <c r="AB335" s="60"/>
      <c r="AC335" s="60"/>
      <c r="AD335" s="60">
        <f t="shared" si="1116"/>
        <v>0</v>
      </c>
      <c r="AE335" s="60"/>
      <c r="AF335" s="60"/>
      <c r="AG335" s="60">
        <f t="shared" si="1117"/>
        <v>0</v>
      </c>
      <c r="AH335" s="60">
        <f t="shared" si="1077"/>
        <v>0</v>
      </c>
      <c r="AI335" s="60">
        <f t="shared" si="1078"/>
        <v>0</v>
      </c>
      <c r="AJ335" s="60">
        <f t="shared" si="1079"/>
        <v>0</v>
      </c>
      <c r="AK335" s="60"/>
      <c r="AL335" s="60"/>
      <c r="AM335" s="60">
        <f t="shared" si="1118"/>
        <v>0</v>
      </c>
      <c r="AN335" s="60"/>
      <c r="AO335" s="60"/>
      <c r="AP335" s="60">
        <f t="shared" si="1119"/>
        <v>0</v>
      </c>
      <c r="AQ335" s="60"/>
      <c r="AR335" s="60"/>
      <c r="AS335" s="60">
        <f t="shared" si="1120"/>
        <v>0</v>
      </c>
      <c r="AT335" s="60">
        <f t="shared" si="1083"/>
        <v>0</v>
      </c>
      <c r="AU335" s="60">
        <f t="shared" si="1084"/>
        <v>0</v>
      </c>
      <c r="AV335" s="60">
        <f t="shared" si="1085"/>
        <v>0</v>
      </c>
      <c r="AW335" s="60"/>
      <c r="AX335" s="60"/>
      <c r="AY335" s="60">
        <f t="shared" si="1121"/>
        <v>0</v>
      </c>
      <c r="AZ335" s="60">
        <v>15</v>
      </c>
      <c r="BA335" s="60">
        <v>15</v>
      </c>
      <c r="BB335" s="60">
        <f t="shared" si="1122"/>
        <v>0</v>
      </c>
      <c r="BC335" s="60">
        <v>15</v>
      </c>
      <c r="BD335" s="60">
        <v>15</v>
      </c>
      <c r="BE335" s="60">
        <f t="shared" si="1123"/>
        <v>0</v>
      </c>
      <c r="BF335" s="60">
        <f t="shared" si="1089"/>
        <v>30</v>
      </c>
      <c r="BG335" s="60">
        <f t="shared" si="1090"/>
        <v>30</v>
      </c>
      <c r="BH335" s="60">
        <f t="shared" si="1091"/>
        <v>0</v>
      </c>
      <c r="BI335" s="508"/>
      <c r="BJ335" s="488" t="str">
        <f t="shared" si="1110"/>
        <v>Lò</v>
      </c>
      <c r="BK335" s="523">
        <f t="shared" si="1092"/>
        <v>0</v>
      </c>
      <c r="BL335" s="523">
        <f t="shared" si="1093"/>
        <v>0</v>
      </c>
      <c r="BM335" s="523">
        <f t="shared" si="1094"/>
        <v>0</v>
      </c>
      <c r="BN335" s="523">
        <f t="shared" si="1095"/>
        <v>0</v>
      </c>
      <c r="BO335" s="523">
        <f t="shared" si="1096"/>
        <v>0</v>
      </c>
      <c r="BP335" s="523">
        <f t="shared" si="1097"/>
        <v>0</v>
      </c>
      <c r="BQ335" s="523">
        <f t="shared" si="1098"/>
        <v>0</v>
      </c>
      <c r="BR335" s="523">
        <f t="shared" si="1099"/>
        <v>0</v>
      </c>
      <c r="BS335" s="523">
        <f t="shared" si="1100"/>
        <v>0</v>
      </c>
      <c r="BT335" s="523">
        <f t="shared" si="1101"/>
        <v>0</v>
      </c>
      <c r="BU335" s="523">
        <f t="shared" si="1102"/>
        <v>0</v>
      </c>
      <c r="BV335" s="523">
        <f t="shared" si="1103"/>
        <v>0</v>
      </c>
      <c r="BW335" s="523">
        <f t="shared" si="1104"/>
        <v>0</v>
      </c>
      <c r="BX335" s="523">
        <f t="shared" si="1105"/>
        <v>0</v>
      </c>
      <c r="BY335" s="523">
        <f t="shared" si="1106"/>
        <v>0</v>
      </c>
      <c r="BZ335" s="523">
        <f t="shared" si="1107"/>
        <v>0</v>
      </c>
      <c r="CA335" s="354"/>
      <c r="CB335" s="510" t="str">
        <f t="shared" si="1108"/>
        <v>X</v>
      </c>
      <c r="CC335" s="509" t="str">
        <f t="shared" si="956"/>
        <v>XLM.</v>
      </c>
      <c r="CD335" s="509" t="str">
        <f t="shared" si="1109"/>
        <v>XLM.16,1</v>
      </c>
      <c r="CE335" s="351" t="str">
        <f t="shared" si="1111"/>
        <v>Lò</v>
      </c>
      <c r="CF335" s="509" t="str">
        <f t="shared" si="957"/>
        <v>XLM.Lò</v>
      </c>
      <c r="CG335" s="509" t="e">
        <f>#REF!</f>
        <v>#REF!</v>
      </c>
      <c r="CH335" s="509" t="e">
        <f>#REF!</f>
        <v>#REF!</v>
      </c>
    </row>
    <row r="336" spans="1:86" ht="39" customHeight="1" x14ac:dyDescent="0.25">
      <c r="A336" s="354" t="e">
        <f>A324</f>
        <v>#REF!</v>
      </c>
      <c r="B336" s="518"/>
      <c r="C336" s="542" t="s">
        <v>750</v>
      </c>
      <c r="D336" s="447" t="s">
        <v>14</v>
      </c>
      <c r="E336" s="447"/>
      <c r="F336" s="447" t="s">
        <v>875</v>
      </c>
      <c r="G336" s="520">
        <v>22.2</v>
      </c>
      <c r="H336" s="521">
        <v>0.5</v>
      </c>
      <c r="I336" s="522">
        <f t="shared" si="1064"/>
        <v>0</v>
      </c>
      <c r="J336" s="522">
        <f t="shared" si="1065"/>
        <v>0</v>
      </c>
      <c r="K336" s="522">
        <f t="shared" si="1066"/>
        <v>0</v>
      </c>
      <c r="L336" s="57">
        <f t="shared" si="1067"/>
        <v>0</v>
      </c>
      <c r="M336" s="60"/>
      <c r="N336" s="60"/>
      <c r="O336" s="60">
        <f t="shared" si="1112"/>
        <v>0</v>
      </c>
      <c r="P336" s="60"/>
      <c r="Q336" s="60"/>
      <c r="R336" s="60">
        <f t="shared" si="1113"/>
        <v>0</v>
      </c>
      <c r="S336" s="824"/>
      <c r="T336" s="60"/>
      <c r="U336" s="60">
        <f t="shared" si="1114"/>
        <v>0</v>
      </c>
      <c r="V336" s="60">
        <f t="shared" si="1071"/>
        <v>0</v>
      </c>
      <c r="W336" s="60">
        <f t="shared" si="1072"/>
        <v>0</v>
      </c>
      <c r="X336" s="60">
        <f t="shared" si="1073"/>
        <v>0</v>
      </c>
      <c r="Y336" s="60"/>
      <c r="Z336" s="60"/>
      <c r="AA336" s="60">
        <f t="shared" si="1115"/>
        <v>0</v>
      </c>
      <c r="AB336" s="60"/>
      <c r="AC336" s="60"/>
      <c r="AD336" s="60">
        <f t="shared" si="1116"/>
        <v>0</v>
      </c>
      <c r="AE336" s="60"/>
      <c r="AF336" s="60"/>
      <c r="AG336" s="60">
        <f t="shared" si="1117"/>
        <v>0</v>
      </c>
      <c r="AH336" s="60">
        <f t="shared" si="1077"/>
        <v>0</v>
      </c>
      <c r="AI336" s="60">
        <f t="shared" si="1078"/>
        <v>0</v>
      </c>
      <c r="AJ336" s="60">
        <f t="shared" si="1079"/>
        <v>0</v>
      </c>
      <c r="AK336" s="60"/>
      <c r="AL336" s="60"/>
      <c r="AM336" s="60">
        <f t="shared" si="1118"/>
        <v>0</v>
      </c>
      <c r="AN336" s="60"/>
      <c r="AO336" s="60"/>
      <c r="AP336" s="60">
        <f t="shared" si="1119"/>
        <v>0</v>
      </c>
      <c r="AQ336" s="60"/>
      <c r="AR336" s="60"/>
      <c r="AS336" s="60">
        <f t="shared" si="1120"/>
        <v>0</v>
      </c>
      <c r="AT336" s="60">
        <f t="shared" si="1083"/>
        <v>0</v>
      </c>
      <c r="AU336" s="60">
        <f t="shared" si="1084"/>
        <v>0</v>
      </c>
      <c r="AV336" s="60">
        <f t="shared" si="1085"/>
        <v>0</v>
      </c>
      <c r="AW336" s="60"/>
      <c r="AX336" s="60"/>
      <c r="AY336" s="60">
        <f t="shared" si="1121"/>
        <v>0</v>
      </c>
      <c r="AZ336" s="60"/>
      <c r="BA336" s="60"/>
      <c r="BB336" s="60">
        <f t="shared" si="1122"/>
        <v>0</v>
      </c>
      <c r="BC336" s="60"/>
      <c r="BD336" s="60"/>
      <c r="BE336" s="60">
        <f t="shared" si="1123"/>
        <v>0</v>
      </c>
      <c r="BF336" s="60">
        <f t="shared" si="1089"/>
        <v>0</v>
      </c>
      <c r="BG336" s="60">
        <f t="shared" si="1090"/>
        <v>0</v>
      </c>
      <c r="BH336" s="60">
        <f t="shared" si="1091"/>
        <v>0</v>
      </c>
      <c r="BI336" s="508"/>
      <c r="BJ336" s="488" t="str">
        <f t="shared" si="1110"/>
        <v>Lò</v>
      </c>
      <c r="BK336" s="523">
        <f t="shared" si="1092"/>
        <v>0</v>
      </c>
      <c r="BL336" s="523">
        <f t="shared" si="1093"/>
        <v>0</v>
      </c>
      <c r="BM336" s="523">
        <f t="shared" si="1094"/>
        <v>0</v>
      </c>
      <c r="BN336" s="523">
        <f t="shared" si="1095"/>
        <v>0</v>
      </c>
      <c r="BO336" s="523">
        <f t="shared" si="1096"/>
        <v>0</v>
      </c>
      <c r="BP336" s="523">
        <f t="shared" si="1097"/>
        <v>0</v>
      </c>
      <c r="BQ336" s="523">
        <f t="shared" si="1098"/>
        <v>0</v>
      </c>
      <c r="BR336" s="523">
        <f t="shared" si="1099"/>
        <v>0</v>
      </c>
      <c r="BS336" s="523">
        <f t="shared" si="1100"/>
        <v>0</v>
      </c>
      <c r="BT336" s="523">
        <f t="shared" si="1101"/>
        <v>0</v>
      </c>
      <c r="BU336" s="523">
        <f t="shared" si="1102"/>
        <v>0</v>
      </c>
      <c r="BV336" s="523">
        <f t="shared" si="1103"/>
        <v>0</v>
      </c>
      <c r="BW336" s="523">
        <f t="shared" si="1104"/>
        <v>0</v>
      </c>
      <c r="BX336" s="523">
        <f t="shared" si="1105"/>
        <v>0</v>
      </c>
      <c r="BY336" s="523">
        <f t="shared" si="1106"/>
        <v>0</v>
      </c>
      <c r="BZ336" s="523">
        <f t="shared" si="1107"/>
        <v>0</v>
      </c>
      <c r="CA336" s="354"/>
      <c r="CB336" s="510" t="b">
        <f t="shared" si="1108"/>
        <v>0</v>
      </c>
      <c r="CC336" s="509" t="str">
        <f t="shared" si="956"/>
        <v>XLM.</v>
      </c>
      <c r="CD336" s="509" t="str">
        <f t="shared" si="1109"/>
        <v>XLM.22,2</v>
      </c>
      <c r="CE336" s="351" t="str">
        <f t="shared" si="1111"/>
        <v>Lò</v>
      </c>
      <c r="CF336" s="509" t="str">
        <f t="shared" si="957"/>
        <v>XLM.Lò</v>
      </c>
      <c r="CG336" s="509" t="e">
        <f>#REF!</f>
        <v>#REF!</v>
      </c>
      <c r="CH336" s="509" t="e">
        <f>#REF!</f>
        <v>#REF!</v>
      </c>
    </row>
    <row r="337" spans="1:86" ht="39" customHeight="1" x14ac:dyDescent="0.25">
      <c r="A337" s="354" t="e">
        <f t="shared" si="1060"/>
        <v>#REF!</v>
      </c>
      <c r="B337" s="518"/>
      <c r="C337" s="542" t="s">
        <v>751</v>
      </c>
      <c r="D337" s="447" t="s">
        <v>14</v>
      </c>
      <c r="E337" s="447"/>
      <c r="F337" s="447" t="s">
        <v>875</v>
      </c>
      <c r="G337" s="520">
        <v>22</v>
      </c>
      <c r="H337" s="521">
        <v>0.5</v>
      </c>
      <c r="I337" s="522">
        <f t="shared" si="1064"/>
        <v>0</v>
      </c>
      <c r="J337" s="522">
        <f t="shared" si="1065"/>
        <v>0</v>
      </c>
      <c r="K337" s="522">
        <f t="shared" si="1066"/>
        <v>0</v>
      </c>
      <c r="L337" s="57">
        <f t="shared" si="1067"/>
        <v>0</v>
      </c>
      <c r="M337" s="60"/>
      <c r="N337" s="60"/>
      <c r="O337" s="60">
        <f t="shared" si="1112"/>
        <v>0</v>
      </c>
      <c r="P337" s="60"/>
      <c r="Q337" s="60"/>
      <c r="R337" s="60">
        <f t="shared" si="1113"/>
        <v>0</v>
      </c>
      <c r="S337" s="824"/>
      <c r="T337" s="60"/>
      <c r="U337" s="60">
        <f t="shared" si="1114"/>
        <v>0</v>
      </c>
      <c r="V337" s="60">
        <f t="shared" si="1071"/>
        <v>0</v>
      </c>
      <c r="W337" s="60">
        <f t="shared" si="1072"/>
        <v>0</v>
      </c>
      <c r="X337" s="60">
        <f t="shared" si="1073"/>
        <v>0</v>
      </c>
      <c r="Y337" s="60"/>
      <c r="Z337" s="60"/>
      <c r="AA337" s="60">
        <f t="shared" si="1115"/>
        <v>0</v>
      </c>
      <c r="AB337" s="60"/>
      <c r="AC337" s="60"/>
      <c r="AD337" s="60">
        <f t="shared" si="1116"/>
        <v>0</v>
      </c>
      <c r="AE337" s="60"/>
      <c r="AF337" s="60"/>
      <c r="AG337" s="60">
        <f t="shared" si="1117"/>
        <v>0</v>
      </c>
      <c r="AH337" s="60">
        <f t="shared" si="1077"/>
        <v>0</v>
      </c>
      <c r="AI337" s="60">
        <f t="shared" si="1078"/>
        <v>0</v>
      </c>
      <c r="AJ337" s="60">
        <f t="shared" si="1079"/>
        <v>0</v>
      </c>
      <c r="AK337" s="60"/>
      <c r="AL337" s="60"/>
      <c r="AM337" s="60">
        <f t="shared" si="1118"/>
        <v>0</v>
      </c>
      <c r="AN337" s="60"/>
      <c r="AO337" s="60"/>
      <c r="AP337" s="60">
        <f t="shared" si="1119"/>
        <v>0</v>
      </c>
      <c r="AQ337" s="60"/>
      <c r="AR337" s="60"/>
      <c r="AS337" s="60">
        <f t="shared" si="1120"/>
        <v>0</v>
      </c>
      <c r="AT337" s="60">
        <f t="shared" si="1083"/>
        <v>0</v>
      </c>
      <c r="AU337" s="60">
        <f t="shared" si="1084"/>
        <v>0</v>
      </c>
      <c r="AV337" s="60">
        <f t="shared" si="1085"/>
        <v>0</v>
      </c>
      <c r="AW337" s="60"/>
      <c r="AX337" s="60"/>
      <c r="AY337" s="60">
        <f t="shared" si="1121"/>
        <v>0</v>
      </c>
      <c r="AZ337" s="60"/>
      <c r="BA337" s="60"/>
      <c r="BB337" s="60">
        <f t="shared" si="1122"/>
        <v>0</v>
      </c>
      <c r="BC337" s="60"/>
      <c r="BD337" s="60"/>
      <c r="BE337" s="60">
        <f t="shared" si="1123"/>
        <v>0</v>
      </c>
      <c r="BF337" s="60">
        <f t="shared" si="1089"/>
        <v>0</v>
      </c>
      <c r="BG337" s="60">
        <f t="shared" si="1090"/>
        <v>0</v>
      </c>
      <c r="BH337" s="60">
        <f t="shared" si="1091"/>
        <v>0</v>
      </c>
      <c r="BI337" s="508"/>
      <c r="BJ337" s="488" t="str">
        <f t="shared" si="1110"/>
        <v>Lò</v>
      </c>
      <c r="BK337" s="523">
        <f t="shared" si="1092"/>
        <v>0</v>
      </c>
      <c r="BL337" s="523">
        <f t="shared" si="1093"/>
        <v>0</v>
      </c>
      <c r="BM337" s="523">
        <f t="shared" si="1094"/>
        <v>0</v>
      </c>
      <c r="BN337" s="523">
        <f t="shared" si="1095"/>
        <v>0</v>
      </c>
      <c r="BO337" s="523">
        <f t="shared" si="1096"/>
        <v>0</v>
      </c>
      <c r="BP337" s="523">
        <f t="shared" si="1097"/>
        <v>0</v>
      </c>
      <c r="BQ337" s="523">
        <f t="shared" si="1098"/>
        <v>0</v>
      </c>
      <c r="BR337" s="523">
        <f t="shared" si="1099"/>
        <v>0</v>
      </c>
      <c r="BS337" s="523">
        <f t="shared" si="1100"/>
        <v>0</v>
      </c>
      <c r="BT337" s="523">
        <f t="shared" si="1101"/>
        <v>0</v>
      </c>
      <c r="BU337" s="523">
        <f t="shared" si="1102"/>
        <v>0</v>
      </c>
      <c r="BV337" s="523">
        <f t="shared" si="1103"/>
        <v>0</v>
      </c>
      <c r="BW337" s="523">
        <f t="shared" si="1104"/>
        <v>0</v>
      </c>
      <c r="BX337" s="523">
        <f t="shared" si="1105"/>
        <v>0</v>
      </c>
      <c r="BY337" s="523">
        <f t="shared" si="1106"/>
        <v>0</v>
      </c>
      <c r="BZ337" s="523">
        <f t="shared" si="1107"/>
        <v>0</v>
      </c>
      <c r="CA337" s="354"/>
      <c r="CB337" s="510" t="b">
        <f t="shared" si="1108"/>
        <v>0</v>
      </c>
      <c r="CC337" s="509" t="str">
        <f t="shared" si="956"/>
        <v>XLM.</v>
      </c>
      <c r="CD337" s="509" t="str">
        <f t="shared" si="1109"/>
        <v>XLM.22</v>
      </c>
      <c r="CE337" s="351" t="str">
        <f t="shared" si="1111"/>
        <v>Lò</v>
      </c>
      <c r="CF337" s="509" t="str">
        <f t="shared" si="957"/>
        <v>XLM.Lò</v>
      </c>
      <c r="CG337" s="509" t="e">
        <f>#REF!</f>
        <v>#REF!</v>
      </c>
      <c r="CH337" s="509" t="e">
        <f>#REF!</f>
        <v>#REF!</v>
      </c>
    </row>
    <row r="338" spans="1:86" ht="24" customHeight="1" x14ac:dyDescent="0.25">
      <c r="A338" s="354" t="e">
        <f>A326</f>
        <v>#REF!</v>
      </c>
      <c r="B338" s="518"/>
      <c r="C338" s="519" t="s">
        <v>747</v>
      </c>
      <c r="D338" s="447" t="s">
        <v>14</v>
      </c>
      <c r="E338" s="447"/>
      <c r="F338" s="447"/>
      <c r="G338" s="520">
        <v>13.1</v>
      </c>
      <c r="H338" s="521">
        <v>0.5</v>
      </c>
      <c r="I338" s="522">
        <f t="shared" si="1064"/>
        <v>0</v>
      </c>
      <c r="J338" s="522">
        <f t="shared" si="1065"/>
        <v>0</v>
      </c>
      <c r="K338" s="522">
        <f t="shared" si="1066"/>
        <v>0</v>
      </c>
      <c r="L338" s="57">
        <f t="shared" si="1067"/>
        <v>0</v>
      </c>
      <c r="M338" s="60"/>
      <c r="N338" s="60"/>
      <c r="O338" s="60">
        <f t="shared" si="1112"/>
        <v>0</v>
      </c>
      <c r="P338" s="60"/>
      <c r="Q338" s="60"/>
      <c r="R338" s="60">
        <f t="shared" si="1113"/>
        <v>0</v>
      </c>
      <c r="S338" s="824"/>
      <c r="T338" s="60"/>
      <c r="U338" s="60">
        <f t="shared" si="1114"/>
        <v>0</v>
      </c>
      <c r="V338" s="60">
        <f t="shared" si="1071"/>
        <v>0</v>
      </c>
      <c r="W338" s="60">
        <f t="shared" si="1072"/>
        <v>0</v>
      </c>
      <c r="X338" s="60">
        <f t="shared" si="1073"/>
        <v>0</v>
      </c>
      <c r="Y338" s="60"/>
      <c r="Z338" s="60"/>
      <c r="AA338" s="60">
        <f t="shared" si="1115"/>
        <v>0</v>
      </c>
      <c r="AB338" s="60"/>
      <c r="AC338" s="60"/>
      <c r="AD338" s="60">
        <f t="shared" si="1116"/>
        <v>0</v>
      </c>
      <c r="AE338" s="60"/>
      <c r="AF338" s="60"/>
      <c r="AG338" s="60">
        <f t="shared" si="1117"/>
        <v>0</v>
      </c>
      <c r="AH338" s="60">
        <f t="shared" si="1077"/>
        <v>0</v>
      </c>
      <c r="AI338" s="60">
        <f t="shared" si="1078"/>
        <v>0</v>
      </c>
      <c r="AJ338" s="60">
        <f t="shared" si="1079"/>
        <v>0</v>
      </c>
      <c r="AK338" s="60"/>
      <c r="AL338" s="60"/>
      <c r="AM338" s="60">
        <f t="shared" si="1118"/>
        <v>0</v>
      </c>
      <c r="AN338" s="60"/>
      <c r="AO338" s="60"/>
      <c r="AP338" s="60">
        <f t="shared" si="1119"/>
        <v>0</v>
      </c>
      <c r="AQ338" s="60"/>
      <c r="AR338" s="60"/>
      <c r="AS338" s="60">
        <f t="shared" si="1120"/>
        <v>0</v>
      </c>
      <c r="AT338" s="60">
        <f t="shared" si="1083"/>
        <v>0</v>
      </c>
      <c r="AU338" s="60">
        <f t="shared" si="1084"/>
        <v>0</v>
      </c>
      <c r="AV338" s="60">
        <f t="shared" si="1085"/>
        <v>0</v>
      </c>
      <c r="AW338" s="60"/>
      <c r="AX338" s="60"/>
      <c r="AY338" s="60">
        <f t="shared" si="1121"/>
        <v>0</v>
      </c>
      <c r="AZ338" s="60"/>
      <c r="BA338" s="60"/>
      <c r="BB338" s="60">
        <f t="shared" si="1122"/>
        <v>0</v>
      </c>
      <c r="BC338" s="60"/>
      <c r="BD338" s="60"/>
      <c r="BE338" s="60">
        <f t="shared" si="1123"/>
        <v>0</v>
      </c>
      <c r="BF338" s="60">
        <f t="shared" si="1089"/>
        <v>0</v>
      </c>
      <c r="BG338" s="60">
        <f t="shared" si="1090"/>
        <v>0</v>
      </c>
      <c r="BH338" s="60">
        <f t="shared" si="1091"/>
        <v>0</v>
      </c>
      <c r="BI338" s="508"/>
      <c r="BJ338" s="488" t="str">
        <f t="shared" si="1110"/>
        <v>Lò</v>
      </c>
      <c r="BK338" s="523">
        <f t="shared" si="1092"/>
        <v>0</v>
      </c>
      <c r="BL338" s="523">
        <f t="shared" si="1093"/>
        <v>0</v>
      </c>
      <c r="BM338" s="523">
        <f t="shared" si="1094"/>
        <v>0</v>
      </c>
      <c r="BN338" s="523">
        <f t="shared" si="1095"/>
        <v>0</v>
      </c>
      <c r="BO338" s="523">
        <f t="shared" si="1096"/>
        <v>0</v>
      </c>
      <c r="BP338" s="523">
        <f t="shared" si="1097"/>
        <v>0</v>
      </c>
      <c r="BQ338" s="523">
        <f t="shared" si="1098"/>
        <v>0</v>
      </c>
      <c r="BR338" s="523">
        <f t="shared" si="1099"/>
        <v>0</v>
      </c>
      <c r="BS338" s="523">
        <f t="shared" si="1100"/>
        <v>0</v>
      </c>
      <c r="BT338" s="523">
        <f t="shared" si="1101"/>
        <v>0</v>
      </c>
      <c r="BU338" s="523">
        <f t="shared" si="1102"/>
        <v>0</v>
      </c>
      <c r="BV338" s="523">
        <f t="shared" si="1103"/>
        <v>0</v>
      </c>
      <c r="BW338" s="523">
        <f t="shared" si="1104"/>
        <v>0</v>
      </c>
      <c r="BX338" s="523">
        <f t="shared" si="1105"/>
        <v>0</v>
      </c>
      <c r="BY338" s="523">
        <f t="shared" si="1106"/>
        <v>0</v>
      </c>
      <c r="BZ338" s="523">
        <f t="shared" si="1107"/>
        <v>0</v>
      </c>
      <c r="CA338" s="354"/>
      <c r="CB338" s="510" t="b">
        <f t="shared" si="1108"/>
        <v>0</v>
      </c>
      <c r="CC338" s="509" t="str">
        <f t="shared" si="956"/>
        <v>XLM.</v>
      </c>
      <c r="CD338" s="509" t="str">
        <f t="shared" si="1109"/>
        <v>XLM.13,1</v>
      </c>
      <c r="CE338" s="351" t="str">
        <f t="shared" si="1111"/>
        <v>Lò</v>
      </c>
      <c r="CF338" s="509" t="str">
        <f t="shared" si="957"/>
        <v>XLM.Lò</v>
      </c>
      <c r="CG338" s="509" t="e">
        <f>#REF!</f>
        <v>#REF!</v>
      </c>
      <c r="CH338" s="509" t="e">
        <f>#REF!</f>
        <v>#REF!</v>
      </c>
    </row>
    <row r="339" spans="1:86" ht="24" customHeight="1" x14ac:dyDescent="0.25">
      <c r="A339" s="354" t="e">
        <f t="shared" si="1060"/>
        <v>#REF!</v>
      </c>
      <c r="B339" s="518"/>
      <c r="C339" s="519" t="s">
        <v>748</v>
      </c>
      <c r="D339" s="447" t="s">
        <v>14</v>
      </c>
      <c r="E339" s="447"/>
      <c r="F339" s="447" t="s">
        <v>875</v>
      </c>
      <c r="G339" s="520">
        <v>28.3</v>
      </c>
      <c r="H339" s="521">
        <v>0.5</v>
      </c>
      <c r="I339" s="522">
        <f t="shared" si="1064"/>
        <v>22</v>
      </c>
      <c r="J339" s="522">
        <f t="shared" si="1065"/>
        <v>22</v>
      </c>
      <c r="K339" s="522">
        <f t="shared" si="1066"/>
        <v>0</v>
      </c>
      <c r="L339" s="57">
        <f t="shared" si="1067"/>
        <v>0</v>
      </c>
      <c r="M339" s="60"/>
      <c r="N339" s="60"/>
      <c r="O339" s="60">
        <f t="shared" si="1112"/>
        <v>0</v>
      </c>
      <c r="P339" s="60"/>
      <c r="Q339" s="60"/>
      <c r="R339" s="60">
        <f t="shared" si="1113"/>
        <v>0</v>
      </c>
      <c r="S339" s="824"/>
      <c r="T339" s="60"/>
      <c r="U339" s="60">
        <f t="shared" si="1114"/>
        <v>0</v>
      </c>
      <c r="V339" s="60">
        <f t="shared" si="1071"/>
        <v>0</v>
      </c>
      <c r="W339" s="60">
        <f t="shared" si="1072"/>
        <v>0</v>
      </c>
      <c r="X339" s="60">
        <f t="shared" si="1073"/>
        <v>0</v>
      </c>
      <c r="Y339" s="60"/>
      <c r="Z339" s="60"/>
      <c r="AA339" s="60">
        <f t="shared" si="1115"/>
        <v>0</v>
      </c>
      <c r="AB339" s="60"/>
      <c r="AC339" s="60"/>
      <c r="AD339" s="60">
        <f t="shared" si="1116"/>
        <v>0</v>
      </c>
      <c r="AE339" s="60"/>
      <c r="AF339" s="60"/>
      <c r="AG339" s="60">
        <f t="shared" si="1117"/>
        <v>0</v>
      </c>
      <c r="AH339" s="60">
        <f t="shared" si="1077"/>
        <v>0</v>
      </c>
      <c r="AI339" s="60">
        <f t="shared" si="1078"/>
        <v>0</v>
      </c>
      <c r="AJ339" s="60">
        <f t="shared" si="1079"/>
        <v>0</v>
      </c>
      <c r="AK339" s="60"/>
      <c r="AL339" s="60"/>
      <c r="AM339" s="60">
        <f t="shared" si="1118"/>
        <v>0</v>
      </c>
      <c r="AN339" s="60">
        <v>11</v>
      </c>
      <c r="AO339" s="60">
        <v>11</v>
      </c>
      <c r="AP339" s="60">
        <f t="shared" si="1119"/>
        <v>0</v>
      </c>
      <c r="AQ339" s="60">
        <v>11</v>
      </c>
      <c r="AR339" s="60">
        <v>11</v>
      </c>
      <c r="AS339" s="60">
        <f t="shared" si="1120"/>
        <v>0</v>
      </c>
      <c r="AT339" s="60">
        <f t="shared" si="1083"/>
        <v>22</v>
      </c>
      <c r="AU339" s="60">
        <f t="shared" si="1084"/>
        <v>22</v>
      </c>
      <c r="AV339" s="60">
        <f t="shared" si="1085"/>
        <v>0</v>
      </c>
      <c r="AW339" s="60"/>
      <c r="AX339" s="60"/>
      <c r="AY339" s="60">
        <f t="shared" si="1121"/>
        <v>0</v>
      </c>
      <c r="AZ339" s="60"/>
      <c r="BA339" s="60"/>
      <c r="BB339" s="60">
        <f t="shared" si="1122"/>
        <v>0</v>
      </c>
      <c r="BC339" s="60"/>
      <c r="BD339" s="60"/>
      <c r="BE339" s="60">
        <f t="shared" si="1123"/>
        <v>0</v>
      </c>
      <c r="BF339" s="60">
        <f t="shared" si="1089"/>
        <v>0</v>
      </c>
      <c r="BG339" s="60">
        <f t="shared" si="1090"/>
        <v>0</v>
      </c>
      <c r="BH339" s="60">
        <f t="shared" si="1091"/>
        <v>0</v>
      </c>
      <c r="BI339" s="508"/>
      <c r="BJ339" s="488" t="str">
        <f t="shared" si="1110"/>
        <v>Lò</v>
      </c>
      <c r="BK339" s="523">
        <f t="shared" si="1092"/>
        <v>0</v>
      </c>
      <c r="BL339" s="523">
        <f t="shared" si="1093"/>
        <v>0</v>
      </c>
      <c r="BM339" s="523">
        <f t="shared" si="1094"/>
        <v>0</v>
      </c>
      <c r="BN339" s="523">
        <f t="shared" si="1095"/>
        <v>0</v>
      </c>
      <c r="BO339" s="523">
        <f t="shared" si="1096"/>
        <v>0</v>
      </c>
      <c r="BP339" s="523">
        <f t="shared" si="1097"/>
        <v>0</v>
      </c>
      <c r="BQ339" s="523">
        <f t="shared" si="1098"/>
        <v>0</v>
      </c>
      <c r="BR339" s="523">
        <f t="shared" si="1099"/>
        <v>0</v>
      </c>
      <c r="BS339" s="523">
        <f t="shared" si="1100"/>
        <v>0</v>
      </c>
      <c r="BT339" s="523">
        <f t="shared" si="1101"/>
        <v>0</v>
      </c>
      <c r="BU339" s="523">
        <f t="shared" si="1102"/>
        <v>0</v>
      </c>
      <c r="BV339" s="523">
        <f t="shared" si="1103"/>
        <v>0</v>
      </c>
      <c r="BW339" s="523">
        <f t="shared" si="1104"/>
        <v>0</v>
      </c>
      <c r="BX339" s="523">
        <f t="shared" si="1105"/>
        <v>0</v>
      </c>
      <c r="BY339" s="523">
        <f t="shared" si="1106"/>
        <v>0</v>
      </c>
      <c r="BZ339" s="523">
        <f t="shared" si="1107"/>
        <v>0</v>
      </c>
      <c r="CA339" s="354"/>
      <c r="CB339" s="510" t="str">
        <f t="shared" si="1108"/>
        <v>X</v>
      </c>
      <c r="CC339" s="509" t="str">
        <f t="shared" si="956"/>
        <v>XLM.</v>
      </c>
      <c r="CD339" s="509" t="str">
        <f t="shared" si="1109"/>
        <v>XLM.28,3</v>
      </c>
      <c r="CE339" s="351" t="str">
        <f t="shared" si="1111"/>
        <v>Lò</v>
      </c>
      <c r="CF339" s="509" t="str">
        <f t="shared" si="957"/>
        <v>XLM.Lò</v>
      </c>
      <c r="CG339" s="509" t="e">
        <f>#REF!</f>
        <v>#REF!</v>
      </c>
      <c r="CH339" s="509" t="e">
        <f>#REF!</f>
        <v>#REF!</v>
      </c>
    </row>
    <row r="340" spans="1:86" ht="24" customHeight="1" x14ac:dyDescent="0.25">
      <c r="A340" s="354" t="e">
        <f>A328</f>
        <v>#REF!</v>
      </c>
      <c r="B340" s="518"/>
      <c r="C340" s="519" t="s">
        <v>776</v>
      </c>
      <c r="D340" s="447" t="s">
        <v>14</v>
      </c>
      <c r="E340" s="447"/>
      <c r="F340" s="447"/>
      <c r="G340" s="520">
        <v>18.5</v>
      </c>
      <c r="H340" s="521">
        <v>0.5</v>
      </c>
      <c r="I340" s="522">
        <f t="shared" si="1064"/>
        <v>0</v>
      </c>
      <c r="J340" s="522">
        <f t="shared" si="1065"/>
        <v>0</v>
      </c>
      <c r="K340" s="522">
        <f t="shared" si="1066"/>
        <v>0</v>
      </c>
      <c r="L340" s="57">
        <f t="shared" si="1067"/>
        <v>0</v>
      </c>
      <c r="M340" s="60"/>
      <c r="N340" s="60"/>
      <c r="O340" s="60">
        <f t="shared" si="1112"/>
        <v>0</v>
      </c>
      <c r="P340" s="60"/>
      <c r="Q340" s="60"/>
      <c r="R340" s="60">
        <f t="shared" si="1113"/>
        <v>0</v>
      </c>
      <c r="S340" s="824"/>
      <c r="T340" s="60"/>
      <c r="U340" s="60">
        <f t="shared" si="1114"/>
        <v>0</v>
      </c>
      <c r="V340" s="60">
        <f t="shared" si="1071"/>
        <v>0</v>
      </c>
      <c r="W340" s="60">
        <f t="shared" si="1072"/>
        <v>0</v>
      </c>
      <c r="X340" s="60">
        <f t="shared" si="1073"/>
        <v>0</v>
      </c>
      <c r="Y340" s="60"/>
      <c r="Z340" s="60"/>
      <c r="AA340" s="60">
        <f t="shared" si="1115"/>
        <v>0</v>
      </c>
      <c r="AB340" s="60"/>
      <c r="AC340" s="60"/>
      <c r="AD340" s="60">
        <f t="shared" si="1116"/>
        <v>0</v>
      </c>
      <c r="AE340" s="60"/>
      <c r="AF340" s="60"/>
      <c r="AG340" s="60">
        <f t="shared" si="1117"/>
        <v>0</v>
      </c>
      <c r="AH340" s="60">
        <f t="shared" si="1077"/>
        <v>0</v>
      </c>
      <c r="AI340" s="60">
        <f t="shared" si="1078"/>
        <v>0</v>
      </c>
      <c r="AJ340" s="60">
        <f t="shared" si="1079"/>
        <v>0</v>
      </c>
      <c r="AK340" s="60"/>
      <c r="AL340" s="60"/>
      <c r="AM340" s="60">
        <f t="shared" si="1118"/>
        <v>0</v>
      </c>
      <c r="AN340" s="60"/>
      <c r="AO340" s="60"/>
      <c r="AP340" s="60">
        <f t="shared" si="1119"/>
        <v>0</v>
      </c>
      <c r="AQ340" s="60"/>
      <c r="AR340" s="60"/>
      <c r="AS340" s="60">
        <f t="shared" si="1120"/>
        <v>0</v>
      </c>
      <c r="AT340" s="60">
        <f t="shared" si="1083"/>
        <v>0</v>
      </c>
      <c r="AU340" s="60">
        <f t="shared" si="1084"/>
        <v>0</v>
      </c>
      <c r="AV340" s="60">
        <f t="shared" si="1085"/>
        <v>0</v>
      </c>
      <c r="AW340" s="60"/>
      <c r="AX340" s="60"/>
      <c r="AY340" s="60">
        <f t="shared" si="1121"/>
        <v>0</v>
      </c>
      <c r="AZ340" s="60"/>
      <c r="BA340" s="60"/>
      <c r="BB340" s="60">
        <f t="shared" si="1122"/>
        <v>0</v>
      </c>
      <c r="BC340" s="60"/>
      <c r="BD340" s="60"/>
      <c r="BE340" s="60">
        <f t="shared" si="1123"/>
        <v>0</v>
      </c>
      <c r="BF340" s="60">
        <f t="shared" si="1089"/>
        <v>0</v>
      </c>
      <c r="BG340" s="60">
        <f t="shared" si="1090"/>
        <v>0</v>
      </c>
      <c r="BH340" s="60">
        <f t="shared" si="1091"/>
        <v>0</v>
      </c>
      <c r="BI340" s="508"/>
      <c r="BJ340" s="488" t="str">
        <f t="shared" si="1110"/>
        <v>Đổ</v>
      </c>
      <c r="BK340" s="523">
        <f t="shared" si="1092"/>
        <v>0</v>
      </c>
      <c r="BL340" s="523">
        <f t="shared" si="1093"/>
        <v>0</v>
      </c>
      <c r="BM340" s="523">
        <f t="shared" si="1094"/>
        <v>0</v>
      </c>
      <c r="BN340" s="523">
        <f t="shared" si="1095"/>
        <v>0</v>
      </c>
      <c r="BO340" s="523">
        <f t="shared" si="1096"/>
        <v>0</v>
      </c>
      <c r="BP340" s="523">
        <f t="shared" si="1097"/>
        <v>0</v>
      </c>
      <c r="BQ340" s="523">
        <f t="shared" si="1098"/>
        <v>0</v>
      </c>
      <c r="BR340" s="523">
        <f t="shared" si="1099"/>
        <v>0</v>
      </c>
      <c r="BS340" s="523">
        <f t="shared" si="1100"/>
        <v>0</v>
      </c>
      <c r="BT340" s="523">
        <f t="shared" si="1101"/>
        <v>0</v>
      </c>
      <c r="BU340" s="523">
        <f t="shared" si="1102"/>
        <v>0</v>
      </c>
      <c r="BV340" s="523">
        <f t="shared" si="1103"/>
        <v>0</v>
      </c>
      <c r="BW340" s="523">
        <f t="shared" si="1104"/>
        <v>0</v>
      </c>
      <c r="BX340" s="523">
        <f t="shared" si="1105"/>
        <v>0</v>
      </c>
      <c r="BY340" s="523">
        <f t="shared" si="1106"/>
        <v>0</v>
      </c>
      <c r="BZ340" s="523">
        <f t="shared" si="1107"/>
        <v>0</v>
      </c>
      <c r="CA340" s="354"/>
      <c r="CB340" s="510" t="b">
        <f t="shared" si="1108"/>
        <v>0</v>
      </c>
      <c r="CC340" s="509" t="str">
        <f t="shared" si="956"/>
        <v>XLM.</v>
      </c>
      <c r="CD340" s="509" t="str">
        <f t="shared" si="1109"/>
        <v>XLM.18,5</v>
      </c>
      <c r="CE340" s="351" t="str">
        <f t="shared" si="1111"/>
        <v>Đổ</v>
      </c>
      <c r="CF340" s="509" t="str">
        <f t="shared" si="957"/>
        <v>XLM.Đổ</v>
      </c>
      <c r="CG340" s="509" t="e">
        <f>#REF!</f>
        <v>#REF!</v>
      </c>
      <c r="CH340" s="509" t="e">
        <f>#REF!</f>
        <v>#REF!</v>
      </c>
    </row>
    <row r="341" spans="1:86" ht="24" customHeight="1" x14ac:dyDescent="0.25">
      <c r="A341" s="354" t="e">
        <f>A329</f>
        <v>#REF!</v>
      </c>
      <c r="B341" s="518"/>
      <c r="C341" s="519" t="s">
        <v>865</v>
      </c>
      <c r="D341" s="447" t="s">
        <v>14</v>
      </c>
      <c r="E341" s="447" t="s">
        <v>873</v>
      </c>
      <c r="F341" s="447"/>
      <c r="G341" s="520">
        <v>22.2</v>
      </c>
      <c r="H341" s="521">
        <v>0.5</v>
      </c>
      <c r="I341" s="522">
        <f t="shared" si="1064"/>
        <v>265</v>
      </c>
      <c r="J341" s="522">
        <f t="shared" si="1065"/>
        <v>265</v>
      </c>
      <c r="K341" s="522">
        <f t="shared" si="1066"/>
        <v>0</v>
      </c>
      <c r="L341" s="57">
        <f t="shared" si="1067"/>
        <v>0</v>
      </c>
      <c r="M341" s="60"/>
      <c r="N341" s="60"/>
      <c r="O341" s="60">
        <f t="shared" si="1112"/>
        <v>0</v>
      </c>
      <c r="P341" s="60"/>
      <c r="Q341" s="60"/>
      <c r="R341" s="60">
        <f t="shared" si="1113"/>
        <v>0</v>
      </c>
      <c r="S341" s="824"/>
      <c r="T341" s="60"/>
      <c r="U341" s="60">
        <f t="shared" si="1114"/>
        <v>0</v>
      </c>
      <c r="V341" s="60">
        <f t="shared" si="1071"/>
        <v>0</v>
      </c>
      <c r="W341" s="60">
        <f t="shared" si="1072"/>
        <v>0</v>
      </c>
      <c r="X341" s="60">
        <f t="shared" si="1073"/>
        <v>0</v>
      </c>
      <c r="Y341" s="60"/>
      <c r="Z341" s="60"/>
      <c r="AA341" s="60">
        <f t="shared" si="1115"/>
        <v>0</v>
      </c>
      <c r="AB341" s="60"/>
      <c r="AC341" s="60"/>
      <c r="AD341" s="60">
        <f t="shared" si="1116"/>
        <v>0</v>
      </c>
      <c r="AE341" s="60"/>
      <c r="AF341" s="60"/>
      <c r="AG341" s="60">
        <f t="shared" si="1117"/>
        <v>0</v>
      </c>
      <c r="AH341" s="60">
        <f t="shared" si="1077"/>
        <v>0</v>
      </c>
      <c r="AI341" s="60">
        <f t="shared" si="1078"/>
        <v>0</v>
      </c>
      <c r="AJ341" s="60">
        <f t="shared" si="1079"/>
        <v>0</v>
      </c>
      <c r="AK341" s="60">
        <v>15</v>
      </c>
      <c r="AL341" s="60">
        <v>15</v>
      </c>
      <c r="AM341" s="60">
        <f t="shared" si="1118"/>
        <v>0</v>
      </c>
      <c r="AN341" s="60">
        <v>50</v>
      </c>
      <c r="AO341" s="60">
        <v>50</v>
      </c>
      <c r="AP341" s="60">
        <f t="shared" si="1119"/>
        <v>0</v>
      </c>
      <c r="AQ341" s="60">
        <v>50</v>
      </c>
      <c r="AR341" s="60">
        <v>50</v>
      </c>
      <c r="AS341" s="60">
        <f t="shared" si="1120"/>
        <v>0</v>
      </c>
      <c r="AT341" s="60">
        <f t="shared" si="1083"/>
        <v>115</v>
      </c>
      <c r="AU341" s="60">
        <f t="shared" si="1084"/>
        <v>115</v>
      </c>
      <c r="AV341" s="60">
        <f t="shared" si="1085"/>
        <v>0</v>
      </c>
      <c r="AW341" s="60">
        <v>50</v>
      </c>
      <c r="AX341" s="60">
        <v>50</v>
      </c>
      <c r="AY341" s="60">
        <f t="shared" si="1121"/>
        <v>0</v>
      </c>
      <c r="AZ341" s="60">
        <v>50</v>
      </c>
      <c r="BA341" s="60">
        <v>50</v>
      </c>
      <c r="BB341" s="60">
        <f t="shared" si="1122"/>
        <v>0</v>
      </c>
      <c r="BC341" s="60">
        <v>50</v>
      </c>
      <c r="BD341" s="60">
        <v>50</v>
      </c>
      <c r="BE341" s="60">
        <f t="shared" si="1123"/>
        <v>0</v>
      </c>
      <c r="BF341" s="60">
        <f t="shared" si="1089"/>
        <v>150</v>
      </c>
      <c r="BG341" s="60">
        <f t="shared" si="1090"/>
        <v>150</v>
      </c>
      <c r="BH341" s="60">
        <f t="shared" si="1091"/>
        <v>0</v>
      </c>
      <c r="BI341" s="508"/>
      <c r="BJ341" s="488" t="str">
        <f t="shared" si="1110"/>
        <v>Lò</v>
      </c>
      <c r="BK341" s="523">
        <f t="shared" si="1092"/>
        <v>0</v>
      </c>
      <c r="BL341" s="523">
        <f t="shared" si="1093"/>
        <v>0</v>
      </c>
      <c r="BM341" s="523">
        <f t="shared" si="1094"/>
        <v>0</v>
      </c>
      <c r="BN341" s="523">
        <f t="shared" si="1095"/>
        <v>0</v>
      </c>
      <c r="BO341" s="523">
        <f t="shared" si="1096"/>
        <v>0</v>
      </c>
      <c r="BP341" s="523">
        <f t="shared" si="1097"/>
        <v>0</v>
      </c>
      <c r="BQ341" s="523">
        <f t="shared" si="1098"/>
        <v>0</v>
      </c>
      <c r="BR341" s="523">
        <f t="shared" si="1099"/>
        <v>0</v>
      </c>
      <c r="BS341" s="523">
        <f t="shared" si="1100"/>
        <v>0</v>
      </c>
      <c r="BT341" s="523">
        <f t="shared" si="1101"/>
        <v>0</v>
      </c>
      <c r="BU341" s="523">
        <f t="shared" si="1102"/>
        <v>0</v>
      </c>
      <c r="BV341" s="523">
        <f t="shared" si="1103"/>
        <v>0</v>
      </c>
      <c r="BW341" s="523">
        <f t="shared" si="1104"/>
        <v>0</v>
      </c>
      <c r="BX341" s="523">
        <f t="shared" si="1105"/>
        <v>0</v>
      </c>
      <c r="BY341" s="523">
        <f t="shared" si="1106"/>
        <v>0</v>
      </c>
      <c r="BZ341" s="523">
        <f t="shared" si="1107"/>
        <v>0</v>
      </c>
      <c r="CA341" s="354"/>
      <c r="CB341" s="510" t="str">
        <f t="shared" si="1108"/>
        <v>X</v>
      </c>
      <c r="CC341" s="509" t="str">
        <f t="shared" si="956"/>
        <v>XLM.</v>
      </c>
      <c r="CD341" s="509" t="str">
        <f t="shared" si="1109"/>
        <v>XLM.22,2</v>
      </c>
      <c r="CE341" s="351" t="str">
        <f t="shared" si="1111"/>
        <v>Lò</v>
      </c>
      <c r="CF341" s="509" t="str">
        <f t="shared" si="957"/>
        <v>XLM.Lò</v>
      </c>
      <c r="CG341" s="509" t="e">
        <f>#REF!</f>
        <v>#REF!</v>
      </c>
      <c r="CH341" s="509" t="e">
        <f>#REF!</f>
        <v>#REF!</v>
      </c>
    </row>
    <row r="342" spans="1:86" ht="24" customHeight="1" x14ac:dyDescent="0.25">
      <c r="A342" s="354" t="e">
        <f>#REF!</f>
        <v>#REF!</v>
      </c>
      <c r="B342" s="518"/>
      <c r="C342" s="519" t="s">
        <v>762</v>
      </c>
      <c r="D342" s="447" t="s">
        <v>14</v>
      </c>
      <c r="E342" s="447" t="s">
        <v>873</v>
      </c>
      <c r="F342" s="447" t="s">
        <v>875</v>
      </c>
      <c r="G342" s="520">
        <v>24.8</v>
      </c>
      <c r="H342" s="521">
        <v>0.5</v>
      </c>
      <c r="I342" s="522">
        <f t="shared" si="1064"/>
        <v>130</v>
      </c>
      <c r="J342" s="522">
        <f t="shared" si="1065"/>
        <v>130</v>
      </c>
      <c r="K342" s="522">
        <f t="shared" si="1066"/>
        <v>0</v>
      </c>
      <c r="L342" s="57">
        <f t="shared" si="1067"/>
        <v>0</v>
      </c>
      <c r="M342" s="60">
        <v>50</v>
      </c>
      <c r="N342" s="60">
        <v>50</v>
      </c>
      <c r="O342" s="60">
        <f t="shared" si="1112"/>
        <v>0</v>
      </c>
      <c r="P342" s="60">
        <v>30</v>
      </c>
      <c r="Q342" s="60">
        <v>30</v>
      </c>
      <c r="R342" s="60">
        <f t="shared" si="1113"/>
        <v>0</v>
      </c>
      <c r="S342" s="824">
        <v>50</v>
      </c>
      <c r="T342" s="60">
        <v>50</v>
      </c>
      <c r="U342" s="60">
        <f t="shared" si="1114"/>
        <v>0</v>
      </c>
      <c r="V342" s="60">
        <f t="shared" si="1071"/>
        <v>130</v>
      </c>
      <c r="W342" s="60">
        <f t="shared" si="1072"/>
        <v>130</v>
      </c>
      <c r="X342" s="60">
        <f t="shared" si="1073"/>
        <v>0</v>
      </c>
      <c r="Y342" s="60"/>
      <c r="Z342" s="60"/>
      <c r="AA342" s="60">
        <f t="shared" si="1115"/>
        <v>0</v>
      </c>
      <c r="AB342" s="60"/>
      <c r="AC342" s="60"/>
      <c r="AD342" s="60">
        <f t="shared" si="1116"/>
        <v>0</v>
      </c>
      <c r="AE342" s="60"/>
      <c r="AF342" s="60"/>
      <c r="AG342" s="60">
        <f t="shared" si="1117"/>
        <v>0</v>
      </c>
      <c r="AH342" s="60">
        <f t="shared" si="1077"/>
        <v>0</v>
      </c>
      <c r="AI342" s="60">
        <f t="shared" si="1078"/>
        <v>0</v>
      </c>
      <c r="AJ342" s="60">
        <f t="shared" si="1079"/>
        <v>0</v>
      </c>
      <c r="AK342" s="60"/>
      <c r="AL342" s="60"/>
      <c r="AM342" s="60">
        <f t="shared" si="1118"/>
        <v>0</v>
      </c>
      <c r="AN342" s="60"/>
      <c r="AO342" s="60"/>
      <c r="AP342" s="60">
        <f t="shared" si="1119"/>
        <v>0</v>
      </c>
      <c r="AQ342" s="60"/>
      <c r="AR342" s="60"/>
      <c r="AS342" s="60">
        <f t="shared" si="1120"/>
        <v>0</v>
      </c>
      <c r="AT342" s="60">
        <f t="shared" si="1083"/>
        <v>0</v>
      </c>
      <c r="AU342" s="60">
        <f t="shared" si="1084"/>
        <v>0</v>
      </c>
      <c r="AV342" s="60">
        <f t="shared" si="1085"/>
        <v>0</v>
      </c>
      <c r="AW342" s="60"/>
      <c r="AX342" s="60"/>
      <c r="AY342" s="60">
        <f t="shared" si="1121"/>
        <v>0</v>
      </c>
      <c r="AZ342" s="60"/>
      <c r="BA342" s="60"/>
      <c r="BB342" s="60">
        <f t="shared" si="1122"/>
        <v>0</v>
      </c>
      <c r="BC342" s="60"/>
      <c r="BD342" s="60"/>
      <c r="BE342" s="60">
        <f t="shared" si="1123"/>
        <v>0</v>
      </c>
      <c r="BF342" s="60">
        <f t="shared" si="1089"/>
        <v>0</v>
      </c>
      <c r="BG342" s="60">
        <f t="shared" si="1090"/>
        <v>0</v>
      </c>
      <c r="BH342" s="60">
        <f t="shared" si="1091"/>
        <v>0</v>
      </c>
      <c r="BI342" s="508"/>
      <c r="BJ342" s="488" t="str">
        <f t="shared" si="1110"/>
        <v>Lò</v>
      </c>
      <c r="BK342" s="523">
        <f t="shared" si="1092"/>
        <v>0</v>
      </c>
      <c r="BL342" s="523">
        <f t="shared" si="1093"/>
        <v>0</v>
      </c>
      <c r="BM342" s="523">
        <f t="shared" si="1094"/>
        <v>0</v>
      </c>
      <c r="BN342" s="523">
        <f t="shared" si="1095"/>
        <v>0</v>
      </c>
      <c r="BO342" s="523">
        <f t="shared" si="1096"/>
        <v>0</v>
      </c>
      <c r="BP342" s="523">
        <f t="shared" si="1097"/>
        <v>0</v>
      </c>
      <c r="BQ342" s="523">
        <f t="shared" si="1098"/>
        <v>0</v>
      </c>
      <c r="BR342" s="523">
        <f t="shared" si="1099"/>
        <v>0</v>
      </c>
      <c r="BS342" s="523">
        <f t="shared" si="1100"/>
        <v>0</v>
      </c>
      <c r="BT342" s="523">
        <f t="shared" si="1101"/>
        <v>0</v>
      </c>
      <c r="BU342" s="523">
        <f t="shared" si="1102"/>
        <v>0</v>
      </c>
      <c r="BV342" s="523">
        <f t="shared" si="1103"/>
        <v>0</v>
      </c>
      <c r="BW342" s="523">
        <f t="shared" si="1104"/>
        <v>0</v>
      </c>
      <c r="BX342" s="523">
        <f t="shared" si="1105"/>
        <v>0</v>
      </c>
      <c r="BY342" s="523">
        <f t="shared" si="1106"/>
        <v>0</v>
      </c>
      <c r="BZ342" s="523">
        <f t="shared" si="1107"/>
        <v>0</v>
      </c>
      <c r="CA342" s="354"/>
      <c r="CB342" s="510" t="str">
        <f t="shared" si="1108"/>
        <v>X</v>
      </c>
      <c r="CC342" s="509" t="str">
        <f t="shared" si="956"/>
        <v>XLM.</v>
      </c>
      <c r="CD342" s="509" t="str">
        <f>CC342&amp;G342</f>
        <v>XLM.24,8</v>
      </c>
      <c r="CE342" s="351" t="str">
        <f t="shared" si="1111"/>
        <v>Lò</v>
      </c>
      <c r="CF342" s="509" t="str">
        <f t="shared" si="957"/>
        <v>XLM.Lò</v>
      </c>
      <c r="CG342" s="509" t="e">
        <f>#REF!</f>
        <v>#REF!</v>
      </c>
      <c r="CH342" s="509" t="e">
        <f>#REF!</f>
        <v>#REF!</v>
      </c>
    </row>
    <row r="343" spans="1:86" ht="24" customHeight="1" x14ac:dyDescent="0.25">
      <c r="A343" s="354" t="e">
        <f>#REF!</f>
        <v>#REF!</v>
      </c>
      <c r="B343" s="518"/>
      <c r="C343" s="519" t="s">
        <v>763</v>
      </c>
      <c r="D343" s="447" t="s">
        <v>14</v>
      </c>
      <c r="E343" s="447" t="s">
        <v>873</v>
      </c>
      <c r="F343" s="447" t="s">
        <v>875</v>
      </c>
      <c r="G343" s="520">
        <v>24.8</v>
      </c>
      <c r="H343" s="521">
        <v>0.5</v>
      </c>
      <c r="I343" s="522">
        <f t="shared" si="1064"/>
        <v>540</v>
      </c>
      <c r="J343" s="522">
        <f t="shared" si="1065"/>
        <v>540</v>
      </c>
      <c r="K343" s="522">
        <f t="shared" si="1066"/>
        <v>0</v>
      </c>
      <c r="L343" s="57">
        <f t="shared" si="1067"/>
        <v>0</v>
      </c>
      <c r="M343" s="60"/>
      <c r="N343" s="60"/>
      <c r="O343" s="60">
        <f t="shared" si="1112"/>
        <v>0</v>
      </c>
      <c r="P343" s="60"/>
      <c r="Q343" s="60"/>
      <c r="R343" s="60">
        <f t="shared" si="1113"/>
        <v>0</v>
      </c>
      <c r="S343" s="824"/>
      <c r="T343" s="60"/>
      <c r="U343" s="60">
        <f t="shared" si="1114"/>
        <v>0</v>
      </c>
      <c r="V343" s="60">
        <f t="shared" si="1071"/>
        <v>0</v>
      </c>
      <c r="W343" s="60">
        <f t="shared" si="1072"/>
        <v>0</v>
      </c>
      <c r="X343" s="60">
        <f t="shared" si="1073"/>
        <v>0</v>
      </c>
      <c r="Y343" s="60">
        <v>60</v>
      </c>
      <c r="Z343" s="60">
        <v>60</v>
      </c>
      <c r="AA343" s="60">
        <f t="shared" si="1115"/>
        <v>0</v>
      </c>
      <c r="AB343" s="60">
        <v>60</v>
      </c>
      <c r="AC343" s="60">
        <v>60</v>
      </c>
      <c r="AD343" s="60">
        <f t="shared" si="1116"/>
        <v>0</v>
      </c>
      <c r="AE343" s="60">
        <v>60</v>
      </c>
      <c r="AF343" s="60">
        <v>60</v>
      </c>
      <c r="AG343" s="60">
        <f t="shared" si="1117"/>
        <v>0</v>
      </c>
      <c r="AH343" s="60">
        <f t="shared" si="1077"/>
        <v>180</v>
      </c>
      <c r="AI343" s="60">
        <f t="shared" si="1078"/>
        <v>180</v>
      </c>
      <c r="AJ343" s="60">
        <f t="shared" si="1079"/>
        <v>0</v>
      </c>
      <c r="AK343" s="60">
        <v>60</v>
      </c>
      <c r="AL343" s="60">
        <v>60</v>
      </c>
      <c r="AM343" s="60">
        <f t="shared" si="1118"/>
        <v>0</v>
      </c>
      <c r="AN343" s="60">
        <v>60</v>
      </c>
      <c r="AO343" s="60">
        <v>60</v>
      </c>
      <c r="AP343" s="60">
        <f t="shared" si="1119"/>
        <v>0</v>
      </c>
      <c r="AQ343" s="60">
        <v>60</v>
      </c>
      <c r="AR343" s="60">
        <v>60</v>
      </c>
      <c r="AS343" s="60">
        <f t="shared" si="1120"/>
        <v>0</v>
      </c>
      <c r="AT343" s="60">
        <f t="shared" si="1083"/>
        <v>180</v>
      </c>
      <c r="AU343" s="60">
        <f t="shared" si="1084"/>
        <v>180</v>
      </c>
      <c r="AV343" s="60">
        <f t="shared" si="1085"/>
        <v>0</v>
      </c>
      <c r="AW343" s="60">
        <v>60</v>
      </c>
      <c r="AX343" s="60">
        <v>60</v>
      </c>
      <c r="AY343" s="60">
        <f t="shared" si="1121"/>
        <v>0</v>
      </c>
      <c r="AZ343" s="60">
        <v>60</v>
      </c>
      <c r="BA343" s="60">
        <v>60</v>
      </c>
      <c r="BB343" s="60">
        <f t="shared" si="1122"/>
        <v>0</v>
      </c>
      <c r="BC343" s="60">
        <v>60</v>
      </c>
      <c r="BD343" s="60">
        <v>60</v>
      </c>
      <c r="BE343" s="60">
        <f t="shared" si="1123"/>
        <v>0</v>
      </c>
      <c r="BF343" s="60">
        <f t="shared" si="1089"/>
        <v>180</v>
      </c>
      <c r="BG343" s="60">
        <f t="shared" si="1090"/>
        <v>180</v>
      </c>
      <c r="BH343" s="60">
        <f t="shared" si="1091"/>
        <v>0</v>
      </c>
      <c r="BI343" s="508"/>
      <c r="BJ343" s="488" t="str">
        <f t="shared" si="1110"/>
        <v>Lò</v>
      </c>
      <c r="BK343" s="523">
        <f t="shared" si="1092"/>
        <v>0</v>
      </c>
      <c r="BL343" s="523">
        <f t="shared" si="1093"/>
        <v>0</v>
      </c>
      <c r="BM343" s="523">
        <f t="shared" si="1094"/>
        <v>0</v>
      </c>
      <c r="BN343" s="523">
        <f t="shared" si="1095"/>
        <v>0</v>
      </c>
      <c r="BO343" s="523">
        <f t="shared" si="1096"/>
        <v>0</v>
      </c>
      <c r="BP343" s="523">
        <f t="shared" si="1097"/>
        <v>0</v>
      </c>
      <c r="BQ343" s="523">
        <f t="shared" si="1098"/>
        <v>0</v>
      </c>
      <c r="BR343" s="523">
        <f t="shared" si="1099"/>
        <v>0</v>
      </c>
      <c r="BS343" s="523">
        <f t="shared" si="1100"/>
        <v>0</v>
      </c>
      <c r="BT343" s="523">
        <f t="shared" si="1101"/>
        <v>0</v>
      </c>
      <c r="BU343" s="523">
        <f t="shared" si="1102"/>
        <v>0</v>
      </c>
      <c r="BV343" s="523">
        <f t="shared" si="1103"/>
        <v>0</v>
      </c>
      <c r="BW343" s="523">
        <f t="shared" si="1104"/>
        <v>0</v>
      </c>
      <c r="BX343" s="523">
        <f t="shared" si="1105"/>
        <v>0</v>
      </c>
      <c r="BY343" s="523">
        <f t="shared" si="1106"/>
        <v>0</v>
      </c>
      <c r="BZ343" s="523">
        <f t="shared" si="1107"/>
        <v>0</v>
      </c>
      <c r="CA343" s="354"/>
      <c r="CB343" s="510" t="str">
        <f t="shared" si="1108"/>
        <v>X</v>
      </c>
      <c r="CC343" s="509" t="str">
        <f t="shared" si="956"/>
        <v>XLM.</v>
      </c>
      <c r="CD343" s="509" t="str">
        <f t="shared" si="1109"/>
        <v>XLM.24,8</v>
      </c>
      <c r="CE343" s="351" t="str">
        <f t="shared" si="1111"/>
        <v>Lò</v>
      </c>
      <c r="CF343" s="509" t="str">
        <f t="shared" si="957"/>
        <v>XLM.Lò</v>
      </c>
      <c r="CG343" s="509" t="e">
        <f>#REF!</f>
        <v>#REF!</v>
      </c>
      <c r="CH343" s="509" t="e">
        <f>#REF!</f>
        <v>#REF!</v>
      </c>
    </row>
    <row r="344" spans="1:86" ht="24" customHeight="1" x14ac:dyDescent="0.25">
      <c r="A344" s="354" t="e">
        <f>A335</f>
        <v>#REF!</v>
      </c>
      <c r="B344" s="518"/>
      <c r="C344" s="519" t="s">
        <v>764</v>
      </c>
      <c r="D344" s="447" t="s">
        <v>14</v>
      </c>
      <c r="E344" s="447" t="s">
        <v>873</v>
      </c>
      <c r="F344" s="447" t="s">
        <v>875</v>
      </c>
      <c r="G344" s="520">
        <v>24.8</v>
      </c>
      <c r="H344" s="521">
        <v>0.5</v>
      </c>
      <c r="I344" s="522">
        <f t="shared" si="1064"/>
        <v>670</v>
      </c>
      <c r="J344" s="522">
        <f t="shared" si="1065"/>
        <v>670</v>
      </c>
      <c r="K344" s="522">
        <f t="shared" si="1066"/>
        <v>0</v>
      </c>
      <c r="L344" s="57">
        <f t="shared" si="1067"/>
        <v>0</v>
      </c>
      <c r="M344" s="60">
        <v>50</v>
      </c>
      <c r="N344" s="60">
        <v>50</v>
      </c>
      <c r="O344" s="60">
        <f t="shared" si="1112"/>
        <v>0</v>
      </c>
      <c r="P344" s="60">
        <v>30</v>
      </c>
      <c r="Q344" s="60">
        <v>30</v>
      </c>
      <c r="R344" s="60">
        <f t="shared" si="1113"/>
        <v>0</v>
      </c>
      <c r="S344" s="824">
        <v>50</v>
      </c>
      <c r="T344" s="60">
        <v>50</v>
      </c>
      <c r="U344" s="60">
        <f t="shared" si="1114"/>
        <v>0</v>
      </c>
      <c r="V344" s="60">
        <f t="shared" si="1071"/>
        <v>130</v>
      </c>
      <c r="W344" s="60">
        <f t="shared" si="1072"/>
        <v>130</v>
      </c>
      <c r="X344" s="60">
        <f t="shared" si="1073"/>
        <v>0</v>
      </c>
      <c r="Y344" s="60">
        <v>60</v>
      </c>
      <c r="Z344" s="60">
        <v>60</v>
      </c>
      <c r="AA344" s="60">
        <f t="shared" si="1115"/>
        <v>0</v>
      </c>
      <c r="AB344" s="60">
        <v>60</v>
      </c>
      <c r="AC344" s="60">
        <v>60</v>
      </c>
      <c r="AD344" s="60">
        <f t="shared" si="1116"/>
        <v>0</v>
      </c>
      <c r="AE344" s="60">
        <v>60</v>
      </c>
      <c r="AF344" s="60">
        <v>60</v>
      </c>
      <c r="AG344" s="60">
        <f t="shared" si="1117"/>
        <v>0</v>
      </c>
      <c r="AH344" s="60">
        <f t="shared" si="1077"/>
        <v>180</v>
      </c>
      <c r="AI344" s="60">
        <f t="shared" si="1078"/>
        <v>180</v>
      </c>
      <c r="AJ344" s="60">
        <f t="shared" si="1079"/>
        <v>0</v>
      </c>
      <c r="AK344" s="60">
        <v>60</v>
      </c>
      <c r="AL344" s="60">
        <v>60</v>
      </c>
      <c r="AM344" s="60">
        <f t="shared" si="1118"/>
        <v>0</v>
      </c>
      <c r="AN344" s="60">
        <v>60</v>
      </c>
      <c r="AO344" s="60">
        <v>60</v>
      </c>
      <c r="AP344" s="60">
        <f t="shared" si="1119"/>
        <v>0</v>
      </c>
      <c r="AQ344" s="60">
        <v>60</v>
      </c>
      <c r="AR344" s="60">
        <v>60</v>
      </c>
      <c r="AS344" s="60">
        <f t="shared" si="1120"/>
        <v>0</v>
      </c>
      <c r="AT344" s="60">
        <f t="shared" si="1083"/>
        <v>180</v>
      </c>
      <c r="AU344" s="60">
        <f t="shared" si="1084"/>
        <v>180</v>
      </c>
      <c r="AV344" s="60">
        <f t="shared" si="1085"/>
        <v>0</v>
      </c>
      <c r="AW344" s="60">
        <v>60</v>
      </c>
      <c r="AX344" s="60">
        <v>60</v>
      </c>
      <c r="AY344" s="60">
        <f t="shared" si="1121"/>
        <v>0</v>
      </c>
      <c r="AZ344" s="60">
        <v>60</v>
      </c>
      <c r="BA344" s="60">
        <v>60</v>
      </c>
      <c r="BB344" s="60">
        <f t="shared" si="1122"/>
        <v>0</v>
      </c>
      <c r="BC344" s="60">
        <v>60</v>
      </c>
      <c r="BD344" s="60">
        <v>60</v>
      </c>
      <c r="BE344" s="60">
        <f t="shared" si="1123"/>
        <v>0</v>
      </c>
      <c r="BF344" s="60">
        <f t="shared" si="1089"/>
        <v>180</v>
      </c>
      <c r="BG344" s="60">
        <f t="shared" si="1090"/>
        <v>180</v>
      </c>
      <c r="BH344" s="60">
        <f t="shared" si="1091"/>
        <v>0</v>
      </c>
      <c r="BI344" s="508"/>
      <c r="BJ344" s="488" t="str">
        <f t="shared" si="1110"/>
        <v>Lò</v>
      </c>
      <c r="BK344" s="523">
        <f t="shared" si="1092"/>
        <v>0</v>
      </c>
      <c r="BL344" s="523">
        <f t="shared" si="1093"/>
        <v>0</v>
      </c>
      <c r="BM344" s="523">
        <f t="shared" si="1094"/>
        <v>0</v>
      </c>
      <c r="BN344" s="523">
        <f t="shared" si="1095"/>
        <v>0</v>
      </c>
      <c r="BO344" s="523">
        <f t="shared" si="1096"/>
        <v>0</v>
      </c>
      <c r="BP344" s="523">
        <f t="shared" si="1097"/>
        <v>0</v>
      </c>
      <c r="BQ344" s="523">
        <f t="shared" si="1098"/>
        <v>0</v>
      </c>
      <c r="BR344" s="523">
        <f t="shared" si="1099"/>
        <v>0</v>
      </c>
      <c r="BS344" s="523">
        <f t="shared" si="1100"/>
        <v>0</v>
      </c>
      <c r="BT344" s="523">
        <f t="shared" si="1101"/>
        <v>0</v>
      </c>
      <c r="BU344" s="523">
        <f t="shared" si="1102"/>
        <v>0</v>
      </c>
      <c r="BV344" s="523">
        <f t="shared" si="1103"/>
        <v>0</v>
      </c>
      <c r="BW344" s="523">
        <f t="shared" si="1104"/>
        <v>0</v>
      </c>
      <c r="BX344" s="523">
        <f t="shared" si="1105"/>
        <v>0</v>
      </c>
      <c r="BY344" s="523">
        <f t="shared" si="1106"/>
        <v>0</v>
      </c>
      <c r="BZ344" s="523">
        <f t="shared" si="1107"/>
        <v>0</v>
      </c>
      <c r="CA344" s="354"/>
      <c r="CB344" s="510" t="str">
        <f t="shared" si="1108"/>
        <v>X</v>
      </c>
      <c r="CC344" s="509" t="str">
        <f t="shared" si="956"/>
        <v>XLM.</v>
      </c>
      <c r="CD344" s="509" t="str">
        <f t="shared" si="1109"/>
        <v>XLM.24,8</v>
      </c>
      <c r="CE344" s="351" t="str">
        <f t="shared" si="1111"/>
        <v>Lò</v>
      </c>
      <c r="CF344" s="509" t="str">
        <f t="shared" si="957"/>
        <v>XLM.Lò</v>
      </c>
      <c r="CG344" s="509" t="e">
        <f>#REF!</f>
        <v>#REF!</v>
      </c>
      <c r="CH344" s="509" t="e">
        <f>#REF!</f>
        <v>#REF!</v>
      </c>
    </row>
    <row r="345" spans="1:86" ht="24" customHeight="1" x14ac:dyDescent="0.25">
      <c r="A345" s="354" t="e">
        <f>A336</f>
        <v>#REF!</v>
      </c>
      <c r="B345" s="518"/>
      <c r="C345" s="519" t="s">
        <v>502</v>
      </c>
      <c r="D345" s="447" t="s">
        <v>14</v>
      </c>
      <c r="E345" s="447"/>
      <c r="F345" s="447" t="s">
        <v>875</v>
      </c>
      <c r="G345" s="520">
        <v>11.2</v>
      </c>
      <c r="H345" s="521">
        <v>0.7</v>
      </c>
      <c r="I345" s="522">
        <f t="shared" si="1064"/>
        <v>62</v>
      </c>
      <c r="J345" s="522">
        <f t="shared" si="1065"/>
        <v>62</v>
      </c>
      <c r="K345" s="522">
        <f t="shared" si="1066"/>
        <v>0</v>
      </c>
      <c r="L345" s="57">
        <f t="shared" si="1067"/>
        <v>0</v>
      </c>
      <c r="M345" s="60">
        <v>40</v>
      </c>
      <c r="N345" s="60">
        <v>40</v>
      </c>
      <c r="O345" s="60">
        <f t="shared" si="1112"/>
        <v>0</v>
      </c>
      <c r="P345" s="60">
        <v>22</v>
      </c>
      <c r="Q345" s="60">
        <v>22</v>
      </c>
      <c r="R345" s="60">
        <f t="shared" si="1113"/>
        <v>0</v>
      </c>
      <c r="S345" s="824"/>
      <c r="T345" s="60"/>
      <c r="U345" s="60">
        <f t="shared" si="1114"/>
        <v>0</v>
      </c>
      <c r="V345" s="60">
        <f t="shared" si="1071"/>
        <v>62</v>
      </c>
      <c r="W345" s="60">
        <f t="shared" si="1072"/>
        <v>62</v>
      </c>
      <c r="X345" s="60">
        <f t="shared" si="1073"/>
        <v>0</v>
      </c>
      <c r="Y345" s="60"/>
      <c r="Z345" s="60"/>
      <c r="AA345" s="60">
        <f t="shared" si="1115"/>
        <v>0</v>
      </c>
      <c r="AB345" s="60"/>
      <c r="AC345" s="60"/>
      <c r="AD345" s="60">
        <f t="shared" si="1116"/>
        <v>0</v>
      </c>
      <c r="AE345" s="60"/>
      <c r="AF345" s="60"/>
      <c r="AG345" s="60">
        <f t="shared" si="1117"/>
        <v>0</v>
      </c>
      <c r="AH345" s="60">
        <f t="shared" si="1077"/>
        <v>0</v>
      </c>
      <c r="AI345" s="60">
        <f t="shared" si="1078"/>
        <v>0</v>
      </c>
      <c r="AJ345" s="60">
        <f t="shared" si="1079"/>
        <v>0</v>
      </c>
      <c r="AK345" s="60"/>
      <c r="AL345" s="60"/>
      <c r="AM345" s="60">
        <f t="shared" si="1118"/>
        <v>0</v>
      </c>
      <c r="AN345" s="60"/>
      <c r="AO345" s="60"/>
      <c r="AP345" s="60">
        <f t="shared" si="1119"/>
        <v>0</v>
      </c>
      <c r="AQ345" s="60"/>
      <c r="AR345" s="60"/>
      <c r="AS345" s="60">
        <f t="shared" si="1120"/>
        <v>0</v>
      </c>
      <c r="AT345" s="60">
        <f t="shared" si="1083"/>
        <v>0</v>
      </c>
      <c r="AU345" s="60">
        <f t="shared" si="1084"/>
        <v>0</v>
      </c>
      <c r="AV345" s="60">
        <f t="shared" si="1085"/>
        <v>0</v>
      </c>
      <c r="AW345" s="60"/>
      <c r="AX345" s="60"/>
      <c r="AY345" s="60">
        <f t="shared" si="1121"/>
        <v>0</v>
      </c>
      <c r="AZ345" s="60"/>
      <c r="BA345" s="60"/>
      <c r="BB345" s="60">
        <f t="shared" si="1122"/>
        <v>0</v>
      </c>
      <c r="BC345" s="60"/>
      <c r="BD345" s="60"/>
      <c r="BE345" s="60">
        <f t="shared" si="1123"/>
        <v>0</v>
      </c>
      <c r="BF345" s="60">
        <f t="shared" si="1089"/>
        <v>0</v>
      </c>
      <c r="BG345" s="60">
        <f t="shared" si="1090"/>
        <v>0</v>
      </c>
      <c r="BH345" s="60">
        <f t="shared" si="1091"/>
        <v>0</v>
      </c>
      <c r="BI345" s="508"/>
      <c r="BJ345" s="488" t="str">
        <f t="shared" si="1110"/>
        <v>Lò</v>
      </c>
      <c r="BK345" s="523">
        <f t="shared" si="1092"/>
        <v>0</v>
      </c>
      <c r="BL345" s="523">
        <f t="shared" si="1093"/>
        <v>0</v>
      </c>
      <c r="BM345" s="523">
        <f t="shared" si="1094"/>
        <v>0</v>
      </c>
      <c r="BN345" s="523">
        <f t="shared" si="1095"/>
        <v>0</v>
      </c>
      <c r="BO345" s="523">
        <f t="shared" si="1096"/>
        <v>0</v>
      </c>
      <c r="BP345" s="523">
        <f t="shared" si="1097"/>
        <v>0</v>
      </c>
      <c r="BQ345" s="523">
        <f t="shared" si="1098"/>
        <v>0</v>
      </c>
      <c r="BR345" s="523">
        <f t="shared" si="1099"/>
        <v>0</v>
      </c>
      <c r="BS345" s="523">
        <f t="shared" si="1100"/>
        <v>0</v>
      </c>
      <c r="BT345" s="523">
        <f t="shared" si="1101"/>
        <v>0</v>
      </c>
      <c r="BU345" s="523">
        <f t="shared" si="1102"/>
        <v>0</v>
      </c>
      <c r="BV345" s="523">
        <f t="shared" si="1103"/>
        <v>0</v>
      </c>
      <c r="BW345" s="523">
        <f t="shared" si="1104"/>
        <v>0</v>
      </c>
      <c r="BX345" s="523">
        <f t="shared" si="1105"/>
        <v>0</v>
      </c>
      <c r="BY345" s="523">
        <f t="shared" si="1106"/>
        <v>0</v>
      </c>
      <c r="BZ345" s="523">
        <f t="shared" si="1107"/>
        <v>0</v>
      </c>
      <c r="CA345" s="354"/>
      <c r="CB345" s="510" t="str">
        <f t="shared" si="1108"/>
        <v>X</v>
      </c>
      <c r="CC345" s="509" t="str">
        <f t="shared" si="956"/>
        <v>XLM.</v>
      </c>
      <c r="CD345" s="509" t="str">
        <f t="shared" si="1109"/>
        <v>XLM.11,2</v>
      </c>
      <c r="CE345" s="351" t="str">
        <f t="shared" si="1111"/>
        <v>Lò</v>
      </c>
      <c r="CF345" s="509" t="str">
        <f t="shared" si="957"/>
        <v>XLM.Lò</v>
      </c>
      <c r="CG345" s="509" t="e">
        <f>#REF!</f>
        <v>#REF!</v>
      </c>
      <c r="CH345" s="509" t="e">
        <f>#REF!</f>
        <v>#REF!</v>
      </c>
    </row>
    <row r="346" spans="1:86" ht="24" customHeight="1" x14ac:dyDescent="0.25">
      <c r="A346" s="354" t="e">
        <f>A337</f>
        <v>#REF!</v>
      </c>
      <c r="B346" s="518"/>
      <c r="C346" s="519" t="s">
        <v>503</v>
      </c>
      <c r="D346" s="447" t="s">
        <v>14</v>
      </c>
      <c r="E346" s="447"/>
      <c r="F346" s="447" t="s">
        <v>875</v>
      </c>
      <c r="G346" s="520">
        <v>11.2</v>
      </c>
      <c r="H346" s="521">
        <v>0.7</v>
      </c>
      <c r="I346" s="522">
        <f t="shared" si="1064"/>
        <v>73</v>
      </c>
      <c r="J346" s="522">
        <f t="shared" si="1065"/>
        <v>73</v>
      </c>
      <c r="K346" s="522">
        <f t="shared" si="1066"/>
        <v>0</v>
      </c>
      <c r="L346" s="57">
        <f t="shared" si="1067"/>
        <v>0</v>
      </c>
      <c r="M346" s="60"/>
      <c r="N346" s="60"/>
      <c r="O346" s="60">
        <f t="shared" si="1112"/>
        <v>0</v>
      </c>
      <c r="P346" s="60"/>
      <c r="Q346" s="60"/>
      <c r="R346" s="60">
        <f t="shared" si="1113"/>
        <v>0</v>
      </c>
      <c r="S346" s="824">
        <v>45</v>
      </c>
      <c r="T346" s="60">
        <v>45</v>
      </c>
      <c r="U346" s="60">
        <f t="shared" si="1114"/>
        <v>0</v>
      </c>
      <c r="V346" s="60">
        <f t="shared" si="1071"/>
        <v>45</v>
      </c>
      <c r="W346" s="60">
        <f t="shared" si="1072"/>
        <v>45</v>
      </c>
      <c r="X346" s="60">
        <f t="shared" si="1073"/>
        <v>0</v>
      </c>
      <c r="Y346" s="60">
        <v>28</v>
      </c>
      <c r="Z346" s="60">
        <v>28</v>
      </c>
      <c r="AA346" s="60">
        <f t="shared" si="1115"/>
        <v>0</v>
      </c>
      <c r="AB346" s="60"/>
      <c r="AC346" s="60"/>
      <c r="AD346" s="60">
        <f t="shared" si="1116"/>
        <v>0</v>
      </c>
      <c r="AE346" s="60"/>
      <c r="AF346" s="60"/>
      <c r="AG346" s="60">
        <f t="shared" si="1117"/>
        <v>0</v>
      </c>
      <c r="AH346" s="60">
        <f t="shared" si="1077"/>
        <v>28</v>
      </c>
      <c r="AI346" s="60">
        <f t="shared" si="1078"/>
        <v>28</v>
      </c>
      <c r="AJ346" s="60">
        <f t="shared" si="1079"/>
        <v>0</v>
      </c>
      <c r="AK346" s="60"/>
      <c r="AL346" s="60"/>
      <c r="AM346" s="60">
        <f t="shared" si="1118"/>
        <v>0</v>
      </c>
      <c r="AN346" s="60"/>
      <c r="AO346" s="60"/>
      <c r="AP346" s="60">
        <f t="shared" si="1119"/>
        <v>0</v>
      </c>
      <c r="AQ346" s="60"/>
      <c r="AR346" s="60"/>
      <c r="AS346" s="60">
        <f t="shared" si="1120"/>
        <v>0</v>
      </c>
      <c r="AT346" s="60">
        <f t="shared" si="1083"/>
        <v>0</v>
      </c>
      <c r="AU346" s="60">
        <f t="shared" si="1084"/>
        <v>0</v>
      </c>
      <c r="AV346" s="60">
        <f t="shared" si="1085"/>
        <v>0</v>
      </c>
      <c r="AW346" s="60"/>
      <c r="AX346" s="60"/>
      <c r="AY346" s="60">
        <f t="shared" si="1121"/>
        <v>0</v>
      </c>
      <c r="AZ346" s="60"/>
      <c r="BA346" s="60"/>
      <c r="BB346" s="60">
        <f t="shared" si="1122"/>
        <v>0</v>
      </c>
      <c r="BC346" s="60"/>
      <c r="BD346" s="60"/>
      <c r="BE346" s="60">
        <f t="shared" si="1123"/>
        <v>0</v>
      </c>
      <c r="BF346" s="60">
        <f t="shared" si="1089"/>
        <v>0</v>
      </c>
      <c r="BG346" s="60">
        <f t="shared" si="1090"/>
        <v>0</v>
      </c>
      <c r="BH346" s="60">
        <f t="shared" si="1091"/>
        <v>0</v>
      </c>
      <c r="BI346" s="508"/>
      <c r="BJ346" s="488" t="str">
        <f t="shared" si="1110"/>
        <v>Lò</v>
      </c>
      <c r="BK346" s="523">
        <f t="shared" si="1092"/>
        <v>0</v>
      </c>
      <c r="BL346" s="523">
        <f t="shared" si="1093"/>
        <v>0</v>
      </c>
      <c r="BM346" s="523">
        <f t="shared" si="1094"/>
        <v>0</v>
      </c>
      <c r="BN346" s="523">
        <f t="shared" si="1095"/>
        <v>0</v>
      </c>
      <c r="BO346" s="523">
        <f t="shared" si="1096"/>
        <v>0</v>
      </c>
      <c r="BP346" s="523">
        <f t="shared" si="1097"/>
        <v>0</v>
      </c>
      <c r="BQ346" s="523">
        <f t="shared" si="1098"/>
        <v>0</v>
      </c>
      <c r="BR346" s="523">
        <f t="shared" si="1099"/>
        <v>0</v>
      </c>
      <c r="BS346" s="523">
        <f t="shared" si="1100"/>
        <v>0</v>
      </c>
      <c r="BT346" s="523">
        <f t="shared" si="1101"/>
        <v>0</v>
      </c>
      <c r="BU346" s="523">
        <f t="shared" si="1102"/>
        <v>0</v>
      </c>
      <c r="BV346" s="523">
        <f t="shared" si="1103"/>
        <v>0</v>
      </c>
      <c r="BW346" s="523">
        <f t="shared" si="1104"/>
        <v>0</v>
      </c>
      <c r="BX346" s="523">
        <f t="shared" si="1105"/>
        <v>0</v>
      </c>
      <c r="BY346" s="523">
        <f t="shared" si="1106"/>
        <v>0</v>
      </c>
      <c r="BZ346" s="523">
        <f t="shared" si="1107"/>
        <v>0</v>
      </c>
      <c r="CA346" s="354"/>
      <c r="CB346" s="510" t="str">
        <f t="shared" si="1108"/>
        <v>X</v>
      </c>
      <c r="CC346" s="509" t="str">
        <f t="shared" si="956"/>
        <v>XLM.</v>
      </c>
      <c r="CD346" s="509" t="str">
        <f t="shared" si="1109"/>
        <v>XLM.11,2</v>
      </c>
      <c r="CE346" s="351" t="str">
        <f t="shared" si="1111"/>
        <v>Lò</v>
      </c>
      <c r="CF346" s="509" t="str">
        <f t="shared" si="957"/>
        <v>XLM.Lò</v>
      </c>
      <c r="CG346" s="509" t="e">
        <f>#REF!</f>
        <v>#REF!</v>
      </c>
      <c r="CH346" s="509" t="e">
        <f>#REF!</f>
        <v>#REF!</v>
      </c>
    </row>
    <row r="347" spans="1:86" ht="24" customHeight="1" x14ac:dyDescent="0.25">
      <c r="A347" s="354" t="e">
        <f>A338</f>
        <v>#REF!</v>
      </c>
      <c r="B347" s="518"/>
      <c r="C347" s="519" t="s">
        <v>505</v>
      </c>
      <c r="D347" s="447" t="s">
        <v>14</v>
      </c>
      <c r="E347" s="447"/>
      <c r="F347" s="447" t="s">
        <v>875</v>
      </c>
      <c r="G347" s="520">
        <v>11.2</v>
      </c>
      <c r="H347" s="521">
        <v>0.7</v>
      </c>
      <c r="I347" s="522">
        <f t="shared" si="1064"/>
        <v>118</v>
      </c>
      <c r="J347" s="522">
        <f t="shared" si="1065"/>
        <v>118</v>
      </c>
      <c r="K347" s="522">
        <f t="shared" si="1066"/>
        <v>0</v>
      </c>
      <c r="L347" s="57">
        <f t="shared" si="1067"/>
        <v>0</v>
      </c>
      <c r="M347" s="60"/>
      <c r="N347" s="60"/>
      <c r="O347" s="60">
        <f t="shared" si="1112"/>
        <v>0</v>
      </c>
      <c r="P347" s="60"/>
      <c r="Q347" s="60"/>
      <c r="R347" s="60">
        <f t="shared" si="1113"/>
        <v>0</v>
      </c>
      <c r="S347" s="824"/>
      <c r="T347" s="60"/>
      <c r="U347" s="60">
        <f t="shared" si="1114"/>
        <v>0</v>
      </c>
      <c r="V347" s="60">
        <f t="shared" si="1071"/>
        <v>0</v>
      </c>
      <c r="W347" s="60">
        <f t="shared" si="1072"/>
        <v>0</v>
      </c>
      <c r="X347" s="60">
        <f t="shared" si="1073"/>
        <v>0</v>
      </c>
      <c r="Y347" s="60">
        <v>18</v>
      </c>
      <c r="Z347" s="60">
        <v>18</v>
      </c>
      <c r="AA347" s="60">
        <f t="shared" si="1115"/>
        <v>0</v>
      </c>
      <c r="AB347" s="60">
        <v>50</v>
      </c>
      <c r="AC347" s="60">
        <v>50</v>
      </c>
      <c r="AD347" s="60">
        <f t="shared" si="1116"/>
        <v>0</v>
      </c>
      <c r="AE347" s="60">
        <v>50</v>
      </c>
      <c r="AF347" s="60">
        <v>50</v>
      </c>
      <c r="AG347" s="60">
        <f t="shared" si="1117"/>
        <v>0</v>
      </c>
      <c r="AH347" s="60">
        <f t="shared" si="1077"/>
        <v>118</v>
      </c>
      <c r="AI347" s="60">
        <f t="shared" si="1078"/>
        <v>118</v>
      </c>
      <c r="AJ347" s="60">
        <f t="shared" si="1079"/>
        <v>0</v>
      </c>
      <c r="AK347" s="60"/>
      <c r="AL347" s="60"/>
      <c r="AM347" s="60">
        <f t="shared" si="1118"/>
        <v>0</v>
      </c>
      <c r="AN347" s="60"/>
      <c r="AO347" s="60"/>
      <c r="AP347" s="60">
        <f t="shared" si="1119"/>
        <v>0</v>
      </c>
      <c r="AQ347" s="60"/>
      <c r="AR347" s="60"/>
      <c r="AS347" s="60">
        <f t="shared" si="1120"/>
        <v>0</v>
      </c>
      <c r="AT347" s="60">
        <f t="shared" si="1083"/>
        <v>0</v>
      </c>
      <c r="AU347" s="60">
        <f t="shared" si="1084"/>
        <v>0</v>
      </c>
      <c r="AV347" s="60">
        <f t="shared" si="1085"/>
        <v>0</v>
      </c>
      <c r="AW347" s="60"/>
      <c r="AX347" s="60"/>
      <c r="AY347" s="60">
        <f t="shared" si="1121"/>
        <v>0</v>
      </c>
      <c r="AZ347" s="60"/>
      <c r="BA347" s="60"/>
      <c r="BB347" s="60">
        <f t="shared" si="1122"/>
        <v>0</v>
      </c>
      <c r="BC347" s="60"/>
      <c r="BD347" s="60"/>
      <c r="BE347" s="60">
        <f t="shared" si="1123"/>
        <v>0</v>
      </c>
      <c r="BF347" s="60">
        <f t="shared" si="1089"/>
        <v>0</v>
      </c>
      <c r="BG347" s="60">
        <f t="shared" si="1090"/>
        <v>0</v>
      </c>
      <c r="BH347" s="60">
        <f t="shared" si="1091"/>
        <v>0</v>
      </c>
      <c r="BI347" s="508"/>
      <c r="BJ347" s="488" t="str">
        <f t="shared" si="1110"/>
        <v>Lò</v>
      </c>
      <c r="BK347" s="523">
        <f t="shared" si="1092"/>
        <v>0</v>
      </c>
      <c r="BL347" s="523">
        <f t="shared" si="1093"/>
        <v>0</v>
      </c>
      <c r="BM347" s="523">
        <f t="shared" si="1094"/>
        <v>0</v>
      </c>
      <c r="BN347" s="523">
        <f t="shared" si="1095"/>
        <v>0</v>
      </c>
      <c r="BO347" s="523">
        <f t="shared" si="1096"/>
        <v>0</v>
      </c>
      <c r="BP347" s="523">
        <f t="shared" si="1097"/>
        <v>0</v>
      </c>
      <c r="BQ347" s="523">
        <f t="shared" si="1098"/>
        <v>0</v>
      </c>
      <c r="BR347" s="523">
        <f t="shared" si="1099"/>
        <v>0</v>
      </c>
      <c r="BS347" s="523">
        <f t="shared" si="1100"/>
        <v>0</v>
      </c>
      <c r="BT347" s="523">
        <f t="shared" si="1101"/>
        <v>0</v>
      </c>
      <c r="BU347" s="523">
        <f t="shared" si="1102"/>
        <v>0</v>
      </c>
      <c r="BV347" s="523">
        <f t="shared" si="1103"/>
        <v>0</v>
      </c>
      <c r="BW347" s="523">
        <f t="shared" si="1104"/>
        <v>0</v>
      </c>
      <c r="BX347" s="523">
        <f t="shared" si="1105"/>
        <v>0</v>
      </c>
      <c r="BY347" s="523">
        <f t="shared" si="1106"/>
        <v>0</v>
      </c>
      <c r="BZ347" s="523">
        <f t="shared" si="1107"/>
        <v>0</v>
      </c>
      <c r="CA347" s="354"/>
      <c r="CB347" s="510" t="str">
        <f t="shared" si="1108"/>
        <v>X</v>
      </c>
      <c r="CC347" s="509" t="str">
        <f t="shared" si="956"/>
        <v>XLM.</v>
      </c>
      <c r="CD347" s="509" t="str">
        <f t="shared" si="1109"/>
        <v>XLM.11,2</v>
      </c>
      <c r="CE347" s="351" t="str">
        <f t="shared" si="1111"/>
        <v>Lò</v>
      </c>
      <c r="CF347" s="509" t="str">
        <f t="shared" si="957"/>
        <v>XLM.Lò</v>
      </c>
      <c r="CG347" s="509" t="e">
        <f>#REF!</f>
        <v>#REF!</v>
      </c>
      <c r="CH347" s="509" t="e">
        <f>#REF!</f>
        <v>#REF!</v>
      </c>
    </row>
    <row r="348" spans="1:86" ht="24" customHeight="1" x14ac:dyDescent="0.25">
      <c r="A348" s="354" t="e">
        <f>A339</f>
        <v>#REF!</v>
      </c>
      <c r="B348" s="518"/>
      <c r="C348" s="519" t="s">
        <v>504</v>
      </c>
      <c r="D348" s="447" t="s">
        <v>14</v>
      </c>
      <c r="E348" s="447"/>
      <c r="F348" s="447" t="s">
        <v>875</v>
      </c>
      <c r="G348" s="520">
        <v>11.2</v>
      </c>
      <c r="H348" s="521">
        <v>0.7</v>
      </c>
      <c r="I348" s="522">
        <f t="shared" si="1064"/>
        <v>30</v>
      </c>
      <c r="J348" s="522">
        <f t="shared" si="1065"/>
        <v>30</v>
      </c>
      <c r="K348" s="522">
        <f t="shared" si="1066"/>
        <v>0</v>
      </c>
      <c r="L348" s="57">
        <f t="shared" si="1067"/>
        <v>0</v>
      </c>
      <c r="M348" s="60"/>
      <c r="N348" s="60"/>
      <c r="O348" s="60">
        <f t="shared" si="1112"/>
        <v>0</v>
      </c>
      <c r="P348" s="60"/>
      <c r="Q348" s="60"/>
      <c r="R348" s="60">
        <f t="shared" si="1113"/>
        <v>0</v>
      </c>
      <c r="S348" s="824"/>
      <c r="T348" s="60"/>
      <c r="U348" s="60">
        <f t="shared" si="1114"/>
        <v>0</v>
      </c>
      <c r="V348" s="60">
        <f t="shared" si="1071"/>
        <v>0</v>
      </c>
      <c r="W348" s="60">
        <f t="shared" si="1072"/>
        <v>0</v>
      </c>
      <c r="X348" s="60">
        <f t="shared" si="1073"/>
        <v>0</v>
      </c>
      <c r="Y348" s="60"/>
      <c r="Z348" s="60"/>
      <c r="AA348" s="60">
        <f t="shared" si="1115"/>
        <v>0</v>
      </c>
      <c r="AB348" s="60"/>
      <c r="AC348" s="60"/>
      <c r="AD348" s="60">
        <f t="shared" si="1116"/>
        <v>0</v>
      </c>
      <c r="AE348" s="60"/>
      <c r="AF348" s="60"/>
      <c r="AG348" s="60">
        <f t="shared" si="1117"/>
        <v>0</v>
      </c>
      <c r="AH348" s="60">
        <f t="shared" si="1077"/>
        <v>0</v>
      </c>
      <c r="AI348" s="60">
        <f t="shared" si="1078"/>
        <v>0</v>
      </c>
      <c r="AJ348" s="60">
        <f t="shared" si="1079"/>
        <v>0</v>
      </c>
      <c r="AK348" s="60">
        <v>30</v>
      </c>
      <c r="AL348" s="60">
        <v>30</v>
      </c>
      <c r="AM348" s="60">
        <f t="shared" si="1118"/>
        <v>0</v>
      </c>
      <c r="AN348" s="60"/>
      <c r="AO348" s="60"/>
      <c r="AP348" s="60">
        <f t="shared" si="1119"/>
        <v>0</v>
      </c>
      <c r="AQ348" s="60"/>
      <c r="AR348" s="60"/>
      <c r="AS348" s="60">
        <f t="shared" si="1120"/>
        <v>0</v>
      </c>
      <c r="AT348" s="60">
        <f t="shared" si="1083"/>
        <v>30</v>
      </c>
      <c r="AU348" s="60">
        <f t="shared" si="1084"/>
        <v>30</v>
      </c>
      <c r="AV348" s="60">
        <f t="shared" si="1085"/>
        <v>0</v>
      </c>
      <c r="AW348" s="60"/>
      <c r="AX348" s="60"/>
      <c r="AY348" s="60">
        <f t="shared" si="1121"/>
        <v>0</v>
      </c>
      <c r="AZ348" s="60"/>
      <c r="BA348" s="60"/>
      <c r="BB348" s="60">
        <f t="shared" si="1122"/>
        <v>0</v>
      </c>
      <c r="BC348" s="60"/>
      <c r="BD348" s="60"/>
      <c r="BE348" s="60">
        <f t="shared" si="1123"/>
        <v>0</v>
      </c>
      <c r="BF348" s="60">
        <f t="shared" si="1089"/>
        <v>0</v>
      </c>
      <c r="BG348" s="60">
        <f t="shared" si="1090"/>
        <v>0</v>
      </c>
      <c r="BH348" s="60">
        <f t="shared" si="1091"/>
        <v>0</v>
      </c>
      <c r="BI348" s="508"/>
      <c r="BJ348" s="488" t="str">
        <f t="shared" si="1110"/>
        <v>Lò</v>
      </c>
      <c r="BK348" s="523">
        <f t="shared" si="1092"/>
        <v>0</v>
      </c>
      <c r="BL348" s="523">
        <f t="shared" si="1093"/>
        <v>0</v>
      </c>
      <c r="BM348" s="523">
        <f t="shared" si="1094"/>
        <v>0</v>
      </c>
      <c r="BN348" s="523">
        <f t="shared" si="1095"/>
        <v>0</v>
      </c>
      <c r="BO348" s="523">
        <f t="shared" si="1096"/>
        <v>0</v>
      </c>
      <c r="BP348" s="523">
        <f t="shared" si="1097"/>
        <v>0</v>
      </c>
      <c r="BQ348" s="523">
        <f t="shared" si="1098"/>
        <v>0</v>
      </c>
      <c r="BR348" s="523">
        <f t="shared" si="1099"/>
        <v>0</v>
      </c>
      <c r="BS348" s="523">
        <f t="shared" si="1100"/>
        <v>0</v>
      </c>
      <c r="BT348" s="523">
        <f t="shared" si="1101"/>
        <v>0</v>
      </c>
      <c r="BU348" s="523">
        <f t="shared" si="1102"/>
        <v>0</v>
      </c>
      <c r="BV348" s="523">
        <f t="shared" si="1103"/>
        <v>0</v>
      </c>
      <c r="BW348" s="523">
        <f t="shared" si="1104"/>
        <v>0</v>
      </c>
      <c r="BX348" s="523">
        <f t="shared" si="1105"/>
        <v>0</v>
      </c>
      <c r="BY348" s="523">
        <f t="shared" si="1106"/>
        <v>0</v>
      </c>
      <c r="BZ348" s="523">
        <f t="shared" si="1107"/>
        <v>0</v>
      </c>
      <c r="CA348" s="354"/>
      <c r="CB348" s="510" t="str">
        <f t="shared" si="1108"/>
        <v>X</v>
      </c>
      <c r="CC348" s="509" t="str">
        <f t="shared" si="956"/>
        <v>XLM.</v>
      </c>
      <c r="CD348" s="509" t="str">
        <f t="shared" si="1109"/>
        <v>XLM.11,2</v>
      </c>
      <c r="CE348" s="351" t="str">
        <f t="shared" si="1111"/>
        <v>Lò</v>
      </c>
      <c r="CF348" s="509" t="str">
        <f t="shared" si="957"/>
        <v>XLM.Lò</v>
      </c>
      <c r="CG348" s="509" t="e">
        <f>#REF!</f>
        <v>#REF!</v>
      </c>
      <c r="CH348" s="509" t="e">
        <f>#REF!</f>
        <v>#REF!</v>
      </c>
    </row>
    <row r="349" spans="1:86" ht="24" customHeight="1" x14ac:dyDescent="0.25">
      <c r="A349" s="354" t="e">
        <f>A337</f>
        <v>#REF!</v>
      </c>
      <c r="B349" s="518"/>
      <c r="C349" s="519" t="s">
        <v>765</v>
      </c>
      <c r="D349" s="447" t="s">
        <v>14</v>
      </c>
      <c r="E349" s="447"/>
      <c r="F349" s="447"/>
      <c r="G349" s="520">
        <v>10.8</v>
      </c>
      <c r="H349" s="521">
        <v>0.7</v>
      </c>
      <c r="I349" s="522">
        <f t="shared" si="1064"/>
        <v>0</v>
      </c>
      <c r="J349" s="522">
        <f t="shared" si="1065"/>
        <v>0</v>
      </c>
      <c r="K349" s="522">
        <f t="shared" si="1066"/>
        <v>0</v>
      </c>
      <c r="L349" s="57">
        <f t="shared" si="1067"/>
        <v>0</v>
      </c>
      <c r="M349" s="60"/>
      <c r="N349" s="60"/>
      <c r="O349" s="60">
        <f t="shared" si="1112"/>
        <v>0</v>
      </c>
      <c r="P349" s="60"/>
      <c r="Q349" s="60"/>
      <c r="R349" s="60">
        <f t="shared" si="1113"/>
        <v>0</v>
      </c>
      <c r="S349" s="824"/>
      <c r="T349" s="60"/>
      <c r="U349" s="60">
        <f t="shared" si="1114"/>
        <v>0</v>
      </c>
      <c r="V349" s="60">
        <f t="shared" si="1071"/>
        <v>0</v>
      </c>
      <c r="W349" s="60">
        <f t="shared" si="1072"/>
        <v>0</v>
      </c>
      <c r="X349" s="60">
        <f t="shared" si="1073"/>
        <v>0</v>
      </c>
      <c r="Y349" s="60"/>
      <c r="Z349" s="60"/>
      <c r="AA349" s="60">
        <f t="shared" si="1115"/>
        <v>0</v>
      </c>
      <c r="AB349" s="60"/>
      <c r="AC349" s="60"/>
      <c r="AD349" s="60">
        <f t="shared" si="1116"/>
        <v>0</v>
      </c>
      <c r="AE349" s="60"/>
      <c r="AF349" s="60"/>
      <c r="AG349" s="60">
        <f t="shared" si="1117"/>
        <v>0</v>
      </c>
      <c r="AH349" s="60">
        <f t="shared" si="1077"/>
        <v>0</v>
      </c>
      <c r="AI349" s="60">
        <f t="shared" si="1078"/>
        <v>0</v>
      </c>
      <c r="AJ349" s="60">
        <f t="shared" si="1079"/>
        <v>0</v>
      </c>
      <c r="AK349" s="60"/>
      <c r="AL349" s="60"/>
      <c r="AM349" s="60">
        <f t="shared" si="1118"/>
        <v>0</v>
      </c>
      <c r="AN349" s="60"/>
      <c r="AO349" s="60"/>
      <c r="AP349" s="60">
        <f t="shared" si="1119"/>
        <v>0</v>
      </c>
      <c r="AQ349" s="60"/>
      <c r="AR349" s="60"/>
      <c r="AS349" s="60">
        <f t="shared" si="1120"/>
        <v>0</v>
      </c>
      <c r="AT349" s="60">
        <f t="shared" si="1083"/>
        <v>0</v>
      </c>
      <c r="AU349" s="60">
        <f t="shared" si="1084"/>
        <v>0</v>
      </c>
      <c r="AV349" s="60">
        <f t="shared" si="1085"/>
        <v>0</v>
      </c>
      <c r="AW349" s="60"/>
      <c r="AX349" s="60"/>
      <c r="AY349" s="60">
        <f t="shared" si="1121"/>
        <v>0</v>
      </c>
      <c r="AZ349" s="60"/>
      <c r="BA349" s="60"/>
      <c r="BB349" s="60">
        <f t="shared" si="1122"/>
        <v>0</v>
      </c>
      <c r="BC349" s="60"/>
      <c r="BD349" s="60"/>
      <c r="BE349" s="60">
        <f t="shared" si="1123"/>
        <v>0</v>
      </c>
      <c r="BF349" s="60">
        <f t="shared" si="1089"/>
        <v>0</v>
      </c>
      <c r="BG349" s="60">
        <f t="shared" si="1090"/>
        <v>0</v>
      </c>
      <c r="BH349" s="60">
        <f t="shared" si="1091"/>
        <v>0</v>
      </c>
      <c r="BI349" s="508"/>
      <c r="BJ349" s="488" t="str">
        <f t="shared" si="1110"/>
        <v>Đổ</v>
      </c>
      <c r="BK349" s="523">
        <f t="shared" si="1092"/>
        <v>0</v>
      </c>
      <c r="BL349" s="523">
        <f t="shared" si="1093"/>
        <v>0</v>
      </c>
      <c r="BM349" s="523">
        <f t="shared" si="1094"/>
        <v>0</v>
      </c>
      <c r="BN349" s="523">
        <f t="shared" si="1095"/>
        <v>0</v>
      </c>
      <c r="BO349" s="523">
        <f t="shared" si="1096"/>
        <v>0</v>
      </c>
      <c r="BP349" s="523">
        <f t="shared" si="1097"/>
        <v>0</v>
      </c>
      <c r="BQ349" s="523">
        <f t="shared" si="1098"/>
        <v>0</v>
      </c>
      <c r="BR349" s="523">
        <f t="shared" si="1099"/>
        <v>0</v>
      </c>
      <c r="BS349" s="523">
        <f t="shared" si="1100"/>
        <v>0</v>
      </c>
      <c r="BT349" s="523">
        <f t="shared" si="1101"/>
        <v>0</v>
      </c>
      <c r="BU349" s="523">
        <f t="shared" si="1102"/>
        <v>0</v>
      </c>
      <c r="BV349" s="523">
        <f t="shared" si="1103"/>
        <v>0</v>
      </c>
      <c r="BW349" s="523">
        <f t="shared" si="1104"/>
        <v>0</v>
      </c>
      <c r="BX349" s="523">
        <f t="shared" si="1105"/>
        <v>0</v>
      </c>
      <c r="BY349" s="523">
        <f t="shared" si="1106"/>
        <v>0</v>
      </c>
      <c r="BZ349" s="523">
        <f t="shared" si="1107"/>
        <v>0</v>
      </c>
      <c r="CA349" s="354"/>
      <c r="CB349" s="510" t="b">
        <f t="shared" si="1108"/>
        <v>0</v>
      </c>
      <c r="CC349" s="509" t="str">
        <f t="shared" si="956"/>
        <v>XLM.</v>
      </c>
      <c r="CD349" s="509" t="str">
        <f t="shared" si="1109"/>
        <v>XLM.10,8</v>
      </c>
      <c r="CE349" s="351" t="str">
        <f t="shared" si="1111"/>
        <v>Đổ</v>
      </c>
      <c r="CF349" s="509" t="str">
        <f t="shared" si="957"/>
        <v>XLM.Đổ</v>
      </c>
      <c r="CG349" s="509" t="e">
        <f>#REF!</f>
        <v>#REF!</v>
      </c>
      <c r="CH349" s="509" t="e">
        <f>#REF!</f>
        <v>#REF!</v>
      </c>
    </row>
    <row r="350" spans="1:86" ht="24" customHeight="1" x14ac:dyDescent="0.25">
      <c r="A350" s="354" t="e">
        <f>A338</f>
        <v>#REF!</v>
      </c>
      <c r="B350" s="518"/>
      <c r="C350" s="519" t="s">
        <v>772</v>
      </c>
      <c r="D350" s="447" t="s">
        <v>14</v>
      </c>
      <c r="E350" s="447"/>
      <c r="F350" s="447"/>
      <c r="G350" s="520">
        <v>16.100000000000001</v>
      </c>
      <c r="H350" s="521">
        <v>0.7</v>
      </c>
      <c r="I350" s="522">
        <f t="shared" si="1064"/>
        <v>130</v>
      </c>
      <c r="J350" s="522">
        <f t="shared" si="1065"/>
        <v>25</v>
      </c>
      <c r="K350" s="522">
        <f t="shared" si="1066"/>
        <v>105</v>
      </c>
      <c r="L350" s="57">
        <f t="shared" si="1067"/>
        <v>2000</v>
      </c>
      <c r="M350" s="60"/>
      <c r="N350" s="60"/>
      <c r="O350" s="60">
        <f t="shared" si="1112"/>
        <v>0</v>
      </c>
      <c r="P350" s="60"/>
      <c r="Q350" s="60"/>
      <c r="R350" s="60">
        <f t="shared" si="1113"/>
        <v>0</v>
      </c>
      <c r="S350" s="824"/>
      <c r="T350" s="60"/>
      <c r="U350" s="60">
        <f t="shared" si="1114"/>
        <v>0</v>
      </c>
      <c r="V350" s="60">
        <f t="shared" si="1071"/>
        <v>0</v>
      </c>
      <c r="W350" s="60">
        <f t="shared" si="1072"/>
        <v>0</v>
      </c>
      <c r="X350" s="60">
        <f t="shared" si="1073"/>
        <v>0</v>
      </c>
      <c r="Y350" s="60">
        <v>20</v>
      </c>
      <c r="Z350" s="60">
        <v>5</v>
      </c>
      <c r="AA350" s="60">
        <f t="shared" si="1115"/>
        <v>15</v>
      </c>
      <c r="AB350" s="60">
        <v>50</v>
      </c>
      <c r="AC350" s="60">
        <v>10</v>
      </c>
      <c r="AD350" s="60">
        <f t="shared" si="1116"/>
        <v>40</v>
      </c>
      <c r="AE350" s="60">
        <v>50</v>
      </c>
      <c r="AF350" s="60">
        <v>10</v>
      </c>
      <c r="AG350" s="60">
        <f t="shared" si="1117"/>
        <v>40</v>
      </c>
      <c r="AH350" s="60">
        <f t="shared" si="1077"/>
        <v>120</v>
      </c>
      <c r="AI350" s="60">
        <f t="shared" si="1078"/>
        <v>25</v>
      </c>
      <c r="AJ350" s="60">
        <f t="shared" si="1079"/>
        <v>95</v>
      </c>
      <c r="AK350" s="60">
        <v>10</v>
      </c>
      <c r="AL350" s="60"/>
      <c r="AM350" s="60">
        <f t="shared" si="1118"/>
        <v>10</v>
      </c>
      <c r="AN350" s="60"/>
      <c r="AO350" s="60"/>
      <c r="AP350" s="60">
        <f t="shared" si="1119"/>
        <v>0</v>
      </c>
      <c r="AQ350" s="60"/>
      <c r="AR350" s="60"/>
      <c r="AS350" s="60">
        <f t="shared" si="1120"/>
        <v>0</v>
      </c>
      <c r="AT350" s="60">
        <f t="shared" si="1083"/>
        <v>10</v>
      </c>
      <c r="AU350" s="60">
        <f t="shared" si="1084"/>
        <v>0</v>
      </c>
      <c r="AV350" s="60">
        <f t="shared" si="1085"/>
        <v>10</v>
      </c>
      <c r="AW350" s="60"/>
      <c r="AX350" s="60"/>
      <c r="AY350" s="60">
        <f t="shared" si="1121"/>
        <v>0</v>
      </c>
      <c r="AZ350" s="60"/>
      <c r="BA350" s="60"/>
      <c r="BB350" s="60">
        <f t="shared" si="1122"/>
        <v>0</v>
      </c>
      <c r="BC350" s="60"/>
      <c r="BD350" s="60"/>
      <c r="BE350" s="60">
        <f t="shared" si="1123"/>
        <v>0</v>
      </c>
      <c r="BF350" s="60">
        <f t="shared" si="1089"/>
        <v>0</v>
      </c>
      <c r="BG350" s="60">
        <f t="shared" si="1090"/>
        <v>0</v>
      </c>
      <c r="BH350" s="60">
        <f t="shared" si="1091"/>
        <v>0</v>
      </c>
      <c r="BI350" s="508"/>
      <c r="BJ350" s="488" t="str">
        <f t="shared" si="1110"/>
        <v>Lò</v>
      </c>
      <c r="BK350" s="523">
        <f t="shared" si="1092"/>
        <v>0</v>
      </c>
      <c r="BL350" s="523">
        <f t="shared" si="1093"/>
        <v>0</v>
      </c>
      <c r="BM350" s="523">
        <f t="shared" si="1094"/>
        <v>0</v>
      </c>
      <c r="BN350" s="523">
        <f t="shared" si="1095"/>
        <v>0</v>
      </c>
      <c r="BO350" s="523">
        <f t="shared" si="1096"/>
        <v>300</v>
      </c>
      <c r="BP350" s="523">
        <f t="shared" si="1097"/>
        <v>800</v>
      </c>
      <c r="BQ350" s="523">
        <f t="shared" si="1098"/>
        <v>800</v>
      </c>
      <c r="BR350" s="523">
        <f t="shared" si="1099"/>
        <v>1800</v>
      </c>
      <c r="BS350" s="523">
        <f t="shared" si="1100"/>
        <v>200</v>
      </c>
      <c r="BT350" s="523">
        <f t="shared" si="1101"/>
        <v>0</v>
      </c>
      <c r="BU350" s="523">
        <f t="shared" si="1102"/>
        <v>0</v>
      </c>
      <c r="BV350" s="523">
        <f t="shared" si="1103"/>
        <v>200</v>
      </c>
      <c r="BW350" s="523">
        <f t="shared" si="1104"/>
        <v>0</v>
      </c>
      <c r="BX350" s="523">
        <f t="shared" si="1105"/>
        <v>0</v>
      </c>
      <c r="BY350" s="523">
        <f t="shared" si="1106"/>
        <v>0</v>
      </c>
      <c r="BZ350" s="523">
        <f t="shared" si="1107"/>
        <v>0</v>
      </c>
      <c r="CA350" s="354"/>
      <c r="CB350" s="510" t="str">
        <f t="shared" si="1108"/>
        <v>X</v>
      </c>
      <c r="CC350" s="509" t="str">
        <f t="shared" si="956"/>
        <v>XLM.</v>
      </c>
      <c r="CD350" s="509" t="str">
        <f t="shared" si="1109"/>
        <v>XLM.16,1</v>
      </c>
      <c r="CE350" s="351" t="str">
        <f t="shared" si="1111"/>
        <v>Lò</v>
      </c>
      <c r="CF350" s="509" t="str">
        <f t="shared" si="957"/>
        <v>XLM.Lò</v>
      </c>
      <c r="CG350" s="509" t="e">
        <f>#REF!</f>
        <v>#REF!</v>
      </c>
      <c r="CH350" s="509" t="e">
        <f>#REF!</f>
        <v>#REF!</v>
      </c>
    </row>
    <row r="351" spans="1:86" ht="24" customHeight="1" x14ac:dyDescent="0.25">
      <c r="A351" s="354" t="e">
        <f>#REF!</f>
        <v>#REF!</v>
      </c>
      <c r="B351" s="518"/>
      <c r="C351" s="519" t="s">
        <v>773</v>
      </c>
      <c r="D351" s="447" t="s">
        <v>14</v>
      </c>
      <c r="E351" s="447"/>
      <c r="F351" s="447"/>
      <c r="G351" s="520">
        <v>16.100000000000001</v>
      </c>
      <c r="H351" s="521">
        <v>0.7</v>
      </c>
      <c r="I351" s="522">
        <f t="shared" si="1064"/>
        <v>210</v>
      </c>
      <c r="J351" s="522">
        <f t="shared" si="1065"/>
        <v>210</v>
      </c>
      <c r="K351" s="522">
        <f t="shared" si="1066"/>
        <v>0</v>
      </c>
      <c r="L351" s="57">
        <f t="shared" si="1067"/>
        <v>0</v>
      </c>
      <c r="M351" s="60"/>
      <c r="N351" s="60"/>
      <c r="O351" s="60">
        <f t="shared" si="1112"/>
        <v>0</v>
      </c>
      <c r="P351" s="60"/>
      <c r="Q351" s="60"/>
      <c r="R351" s="60">
        <f t="shared" si="1113"/>
        <v>0</v>
      </c>
      <c r="S351" s="824"/>
      <c r="T351" s="60"/>
      <c r="U351" s="60">
        <f t="shared" si="1114"/>
        <v>0</v>
      </c>
      <c r="V351" s="60">
        <f t="shared" si="1071"/>
        <v>0</v>
      </c>
      <c r="W351" s="60">
        <f t="shared" si="1072"/>
        <v>0</v>
      </c>
      <c r="X351" s="60">
        <f t="shared" si="1073"/>
        <v>0</v>
      </c>
      <c r="Y351" s="60"/>
      <c r="Z351" s="60"/>
      <c r="AA351" s="60">
        <f t="shared" si="1115"/>
        <v>0</v>
      </c>
      <c r="AB351" s="60"/>
      <c r="AC351" s="60"/>
      <c r="AD351" s="60">
        <f t="shared" si="1116"/>
        <v>0</v>
      </c>
      <c r="AE351" s="60"/>
      <c r="AF351" s="60"/>
      <c r="AG351" s="60">
        <f t="shared" si="1117"/>
        <v>0</v>
      </c>
      <c r="AH351" s="60">
        <f t="shared" si="1077"/>
        <v>0</v>
      </c>
      <c r="AI351" s="60">
        <f t="shared" si="1078"/>
        <v>0</v>
      </c>
      <c r="AJ351" s="60">
        <f t="shared" si="1079"/>
        <v>0</v>
      </c>
      <c r="AK351" s="60">
        <v>30</v>
      </c>
      <c r="AL351" s="60">
        <v>30</v>
      </c>
      <c r="AM351" s="60">
        <f t="shared" si="1118"/>
        <v>0</v>
      </c>
      <c r="AN351" s="60">
        <v>45</v>
      </c>
      <c r="AO351" s="60">
        <v>45</v>
      </c>
      <c r="AP351" s="60">
        <f t="shared" si="1119"/>
        <v>0</v>
      </c>
      <c r="AQ351" s="60">
        <v>45</v>
      </c>
      <c r="AR351" s="60">
        <v>45</v>
      </c>
      <c r="AS351" s="60">
        <f t="shared" si="1120"/>
        <v>0</v>
      </c>
      <c r="AT351" s="60">
        <f t="shared" si="1083"/>
        <v>120</v>
      </c>
      <c r="AU351" s="60">
        <f t="shared" si="1084"/>
        <v>120</v>
      </c>
      <c r="AV351" s="60">
        <f t="shared" si="1085"/>
        <v>0</v>
      </c>
      <c r="AW351" s="60">
        <v>45</v>
      </c>
      <c r="AX351" s="60">
        <v>45</v>
      </c>
      <c r="AY351" s="60">
        <f t="shared" si="1121"/>
        <v>0</v>
      </c>
      <c r="AZ351" s="60">
        <v>45</v>
      </c>
      <c r="BA351" s="60">
        <v>45</v>
      </c>
      <c r="BB351" s="60">
        <f t="shared" si="1122"/>
        <v>0</v>
      </c>
      <c r="BC351" s="60"/>
      <c r="BD351" s="60"/>
      <c r="BE351" s="60">
        <f t="shared" si="1123"/>
        <v>0</v>
      </c>
      <c r="BF351" s="60">
        <f t="shared" si="1089"/>
        <v>90</v>
      </c>
      <c r="BG351" s="60">
        <f t="shared" si="1090"/>
        <v>90</v>
      </c>
      <c r="BH351" s="60">
        <f t="shared" si="1091"/>
        <v>0</v>
      </c>
      <c r="BI351" s="508"/>
      <c r="BJ351" s="488" t="str">
        <f t="shared" si="1110"/>
        <v>Lò</v>
      </c>
      <c r="BK351" s="523">
        <f t="shared" si="1092"/>
        <v>0</v>
      </c>
      <c r="BL351" s="523">
        <f t="shared" si="1093"/>
        <v>0</v>
      </c>
      <c r="BM351" s="523">
        <f t="shared" si="1094"/>
        <v>0</v>
      </c>
      <c r="BN351" s="523">
        <f t="shared" si="1095"/>
        <v>0</v>
      </c>
      <c r="BO351" s="523">
        <f t="shared" si="1096"/>
        <v>0</v>
      </c>
      <c r="BP351" s="523">
        <f t="shared" si="1097"/>
        <v>0</v>
      </c>
      <c r="BQ351" s="523">
        <f t="shared" si="1098"/>
        <v>0</v>
      </c>
      <c r="BR351" s="523">
        <f t="shared" si="1099"/>
        <v>0</v>
      </c>
      <c r="BS351" s="523">
        <f t="shared" si="1100"/>
        <v>0</v>
      </c>
      <c r="BT351" s="523">
        <f t="shared" si="1101"/>
        <v>0</v>
      </c>
      <c r="BU351" s="523">
        <f t="shared" si="1102"/>
        <v>0</v>
      </c>
      <c r="BV351" s="523">
        <f t="shared" si="1103"/>
        <v>0</v>
      </c>
      <c r="BW351" s="523">
        <f t="shared" si="1104"/>
        <v>0</v>
      </c>
      <c r="BX351" s="523">
        <f t="shared" si="1105"/>
        <v>0</v>
      </c>
      <c r="BY351" s="523">
        <f t="shared" si="1106"/>
        <v>0</v>
      </c>
      <c r="BZ351" s="523">
        <f t="shared" si="1107"/>
        <v>0</v>
      </c>
      <c r="CA351" s="354"/>
      <c r="CB351" s="510" t="str">
        <f t="shared" si="1108"/>
        <v>X</v>
      </c>
      <c r="CC351" s="509" t="str">
        <f t="shared" si="956"/>
        <v>XLM.</v>
      </c>
      <c r="CD351" s="509" t="str">
        <f t="shared" si="1109"/>
        <v>XLM.16,1</v>
      </c>
      <c r="CE351" s="351" t="str">
        <f t="shared" si="1111"/>
        <v>Lò</v>
      </c>
      <c r="CF351" s="509" t="str">
        <f t="shared" si="957"/>
        <v>XLM.Lò</v>
      </c>
      <c r="CG351" s="509" t="e">
        <f>#REF!</f>
        <v>#REF!</v>
      </c>
      <c r="CH351" s="509" t="e">
        <f>#REF!</f>
        <v>#REF!</v>
      </c>
    </row>
    <row r="352" spans="1:86" ht="24" customHeight="1" x14ac:dyDescent="0.25">
      <c r="A352" s="354" t="e">
        <f>#REF!</f>
        <v>#REF!</v>
      </c>
      <c r="B352" s="518"/>
      <c r="C352" s="519" t="s">
        <v>774</v>
      </c>
      <c r="D352" s="447" t="s">
        <v>14</v>
      </c>
      <c r="E352" s="447"/>
      <c r="F352" s="447"/>
      <c r="G352" s="520">
        <v>16.100000000000001</v>
      </c>
      <c r="H352" s="521">
        <v>0.7</v>
      </c>
      <c r="I352" s="522">
        <f t="shared" si="1064"/>
        <v>20</v>
      </c>
      <c r="J352" s="522">
        <f t="shared" si="1065"/>
        <v>0</v>
      </c>
      <c r="K352" s="522">
        <f t="shared" si="1066"/>
        <v>20</v>
      </c>
      <c r="L352" s="57">
        <f t="shared" si="1067"/>
        <v>400</v>
      </c>
      <c r="M352" s="60"/>
      <c r="N352" s="60"/>
      <c r="O352" s="60">
        <f t="shared" si="1112"/>
        <v>0</v>
      </c>
      <c r="P352" s="60"/>
      <c r="Q352" s="60"/>
      <c r="R352" s="60">
        <f t="shared" si="1113"/>
        <v>0</v>
      </c>
      <c r="S352" s="824"/>
      <c r="T352" s="60"/>
      <c r="U352" s="60">
        <f t="shared" si="1114"/>
        <v>0</v>
      </c>
      <c r="V352" s="60">
        <f t="shared" si="1071"/>
        <v>0</v>
      </c>
      <c r="W352" s="60">
        <f t="shared" si="1072"/>
        <v>0</v>
      </c>
      <c r="X352" s="60">
        <f t="shared" si="1073"/>
        <v>0</v>
      </c>
      <c r="Y352" s="60"/>
      <c r="Z352" s="60"/>
      <c r="AA352" s="60">
        <f t="shared" si="1115"/>
        <v>0</v>
      </c>
      <c r="AB352" s="60"/>
      <c r="AC352" s="60"/>
      <c r="AD352" s="60">
        <f t="shared" si="1116"/>
        <v>0</v>
      </c>
      <c r="AE352" s="60"/>
      <c r="AF352" s="60"/>
      <c r="AG352" s="60">
        <f t="shared" si="1117"/>
        <v>0</v>
      </c>
      <c r="AH352" s="60">
        <f t="shared" si="1077"/>
        <v>0</v>
      </c>
      <c r="AI352" s="60">
        <f t="shared" si="1078"/>
        <v>0</v>
      </c>
      <c r="AJ352" s="60">
        <f t="shared" si="1079"/>
        <v>0</v>
      </c>
      <c r="AK352" s="60"/>
      <c r="AL352" s="60"/>
      <c r="AM352" s="60">
        <f t="shared" si="1118"/>
        <v>0</v>
      </c>
      <c r="AN352" s="60"/>
      <c r="AO352" s="60"/>
      <c r="AP352" s="60">
        <f t="shared" si="1119"/>
        <v>0</v>
      </c>
      <c r="AQ352" s="60"/>
      <c r="AR352" s="60"/>
      <c r="AS352" s="60">
        <f t="shared" si="1120"/>
        <v>0</v>
      </c>
      <c r="AT352" s="60">
        <f t="shared" si="1083"/>
        <v>0</v>
      </c>
      <c r="AU352" s="60">
        <f t="shared" si="1084"/>
        <v>0</v>
      </c>
      <c r="AV352" s="60">
        <f t="shared" si="1085"/>
        <v>0</v>
      </c>
      <c r="AW352" s="60"/>
      <c r="AX352" s="60"/>
      <c r="AY352" s="60">
        <f t="shared" si="1121"/>
        <v>0</v>
      </c>
      <c r="AZ352" s="60"/>
      <c r="BA352" s="60"/>
      <c r="BB352" s="60">
        <f t="shared" si="1122"/>
        <v>0</v>
      </c>
      <c r="BC352" s="60">
        <v>20</v>
      </c>
      <c r="BD352" s="60"/>
      <c r="BE352" s="60">
        <f t="shared" si="1123"/>
        <v>20</v>
      </c>
      <c r="BF352" s="60">
        <f t="shared" si="1089"/>
        <v>20</v>
      </c>
      <c r="BG352" s="60">
        <f t="shared" si="1090"/>
        <v>0</v>
      </c>
      <c r="BH352" s="60">
        <f t="shared" si="1091"/>
        <v>20</v>
      </c>
      <c r="BI352" s="508"/>
      <c r="BJ352" s="488" t="str">
        <f t="shared" si="1110"/>
        <v>Lò</v>
      </c>
      <c r="BK352" s="523">
        <f t="shared" si="1092"/>
        <v>0</v>
      </c>
      <c r="BL352" s="523">
        <f t="shared" si="1093"/>
        <v>0</v>
      </c>
      <c r="BM352" s="523">
        <f t="shared" si="1094"/>
        <v>0</v>
      </c>
      <c r="BN352" s="523">
        <f t="shared" si="1095"/>
        <v>0</v>
      </c>
      <c r="BO352" s="523">
        <f t="shared" si="1096"/>
        <v>0</v>
      </c>
      <c r="BP352" s="523">
        <f t="shared" si="1097"/>
        <v>0</v>
      </c>
      <c r="BQ352" s="523">
        <f t="shared" si="1098"/>
        <v>0</v>
      </c>
      <c r="BR352" s="523">
        <f t="shared" si="1099"/>
        <v>0</v>
      </c>
      <c r="BS352" s="523">
        <f t="shared" si="1100"/>
        <v>0</v>
      </c>
      <c r="BT352" s="523">
        <f t="shared" si="1101"/>
        <v>0</v>
      </c>
      <c r="BU352" s="523">
        <f t="shared" si="1102"/>
        <v>0</v>
      </c>
      <c r="BV352" s="523">
        <f t="shared" si="1103"/>
        <v>0</v>
      </c>
      <c r="BW352" s="523">
        <f t="shared" si="1104"/>
        <v>0</v>
      </c>
      <c r="BX352" s="523">
        <f t="shared" si="1105"/>
        <v>0</v>
      </c>
      <c r="BY352" s="523">
        <f t="shared" si="1106"/>
        <v>400</v>
      </c>
      <c r="BZ352" s="523">
        <f t="shared" si="1107"/>
        <v>400</v>
      </c>
      <c r="CA352" s="354"/>
      <c r="CB352" s="510" t="str">
        <f t="shared" si="1108"/>
        <v>X</v>
      </c>
      <c r="CC352" s="509" t="str">
        <f t="shared" si="956"/>
        <v>XLM.</v>
      </c>
      <c r="CD352" s="509" t="str">
        <f t="shared" si="1109"/>
        <v>XLM.16,1</v>
      </c>
      <c r="CE352" s="351" t="str">
        <f t="shared" si="1111"/>
        <v>Lò</v>
      </c>
      <c r="CF352" s="509" t="str">
        <f t="shared" si="957"/>
        <v>XLM.Lò</v>
      </c>
      <c r="CG352" s="509" t="e">
        <f>#REF!</f>
        <v>#REF!</v>
      </c>
      <c r="CH352" s="509" t="e">
        <f>#REF!</f>
        <v>#REF!</v>
      </c>
    </row>
    <row r="353" spans="1:86" ht="24" customHeight="1" x14ac:dyDescent="0.25">
      <c r="A353" s="354" t="e">
        <f>A335</f>
        <v>#REF!</v>
      </c>
      <c r="B353" s="518"/>
      <c r="C353" s="519" t="s">
        <v>506</v>
      </c>
      <c r="D353" s="447" t="s">
        <v>14</v>
      </c>
      <c r="E353" s="447" t="s">
        <v>873</v>
      </c>
      <c r="F353" s="447" t="s">
        <v>875</v>
      </c>
      <c r="G353" s="520">
        <v>17.8</v>
      </c>
      <c r="H353" s="521">
        <v>0.7</v>
      </c>
      <c r="I353" s="522">
        <f t="shared" si="1064"/>
        <v>0</v>
      </c>
      <c r="J353" s="522">
        <f t="shared" si="1065"/>
        <v>0</v>
      </c>
      <c r="K353" s="522">
        <f t="shared" si="1066"/>
        <v>0</v>
      </c>
      <c r="L353" s="57">
        <f t="shared" si="1067"/>
        <v>0</v>
      </c>
      <c r="M353" s="60"/>
      <c r="N353" s="60"/>
      <c r="O353" s="60">
        <f t="shared" si="1112"/>
        <v>0</v>
      </c>
      <c r="P353" s="60"/>
      <c r="Q353" s="60"/>
      <c r="R353" s="60">
        <f t="shared" si="1113"/>
        <v>0</v>
      </c>
      <c r="S353" s="824"/>
      <c r="T353" s="60"/>
      <c r="U353" s="60">
        <f t="shared" si="1114"/>
        <v>0</v>
      </c>
      <c r="V353" s="60">
        <f t="shared" si="1071"/>
        <v>0</v>
      </c>
      <c r="W353" s="60">
        <f t="shared" si="1072"/>
        <v>0</v>
      </c>
      <c r="X353" s="60">
        <f t="shared" si="1073"/>
        <v>0</v>
      </c>
      <c r="Y353" s="60"/>
      <c r="Z353" s="60"/>
      <c r="AA353" s="60">
        <f t="shared" si="1115"/>
        <v>0</v>
      </c>
      <c r="AB353" s="60"/>
      <c r="AC353" s="60"/>
      <c r="AD353" s="60">
        <f t="shared" si="1116"/>
        <v>0</v>
      </c>
      <c r="AE353" s="60"/>
      <c r="AF353" s="60"/>
      <c r="AG353" s="60">
        <f t="shared" si="1117"/>
        <v>0</v>
      </c>
      <c r="AH353" s="60">
        <f t="shared" si="1077"/>
        <v>0</v>
      </c>
      <c r="AI353" s="60">
        <f t="shared" si="1078"/>
        <v>0</v>
      </c>
      <c r="AJ353" s="60">
        <f t="shared" si="1079"/>
        <v>0</v>
      </c>
      <c r="AK353" s="60"/>
      <c r="AL353" s="60"/>
      <c r="AM353" s="60">
        <f t="shared" si="1118"/>
        <v>0</v>
      </c>
      <c r="AN353" s="60"/>
      <c r="AO353" s="60"/>
      <c r="AP353" s="60">
        <f t="shared" si="1119"/>
        <v>0</v>
      </c>
      <c r="AQ353" s="60"/>
      <c r="AR353" s="60"/>
      <c r="AS353" s="60">
        <f t="shared" si="1120"/>
        <v>0</v>
      </c>
      <c r="AT353" s="60">
        <f t="shared" si="1083"/>
        <v>0</v>
      </c>
      <c r="AU353" s="60">
        <f t="shared" si="1084"/>
        <v>0</v>
      </c>
      <c r="AV353" s="60">
        <f t="shared" si="1085"/>
        <v>0</v>
      </c>
      <c r="AW353" s="60"/>
      <c r="AX353" s="60"/>
      <c r="AY353" s="60">
        <f t="shared" si="1121"/>
        <v>0</v>
      </c>
      <c r="AZ353" s="60"/>
      <c r="BA353" s="60"/>
      <c r="BB353" s="60">
        <f t="shared" si="1122"/>
        <v>0</v>
      </c>
      <c r="BC353" s="60"/>
      <c r="BD353" s="60"/>
      <c r="BE353" s="60">
        <f t="shared" si="1123"/>
        <v>0</v>
      </c>
      <c r="BF353" s="60">
        <f t="shared" si="1089"/>
        <v>0</v>
      </c>
      <c r="BG353" s="60">
        <f t="shared" si="1090"/>
        <v>0</v>
      </c>
      <c r="BH353" s="60">
        <f t="shared" si="1091"/>
        <v>0</v>
      </c>
      <c r="BI353" s="508"/>
      <c r="BJ353" s="488" t="str">
        <f t="shared" si="1110"/>
        <v>Lò</v>
      </c>
      <c r="BK353" s="523">
        <f t="shared" si="1092"/>
        <v>0</v>
      </c>
      <c r="BL353" s="523">
        <f t="shared" si="1093"/>
        <v>0</v>
      </c>
      <c r="BM353" s="523">
        <f t="shared" si="1094"/>
        <v>0</v>
      </c>
      <c r="BN353" s="523">
        <f t="shared" si="1095"/>
        <v>0</v>
      </c>
      <c r="BO353" s="523">
        <f t="shared" si="1096"/>
        <v>0</v>
      </c>
      <c r="BP353" s="523">
        <f t="shared" si="1097"/>
        <v>0</v>
      </c>
      <c r="BQ353" s="523">
        <f t="shared" si="1098"/>
        <v>0</v>
      </c>
      <c r="BR353" s="523">
        <f t="shared" si="1099"/>
        <v>0</v>
      </c>
      <c r="BS353" s="523">
        <f t="shared" si="1100"/>
        <v>0</v>
      </c>
      <c r="BT353" s="523">
        <f t="shared" si="1101"/>
        <v>0</v>
      </c>
      <c r="BU353" s="523">
        <f t="shared" si="1102"/>
        <v>0</v>
      </c>
      <c r="BV353" s="523">
        <f t="shared" si="1103"/>
        <v>0</v>
      </c>
      <c r="BW353" s="523">
        <f t="shared" si="1104"/>
        <v>0</v>
      </c>
      <c r="BX353" s="523">
        <f t="shared" si="1105"/>
        <v>0</v>
      </c>
      <c r="BY353" s="523">
        <f t="shared" si="1106"/>
        <v>0</v>
      </c>
      <c r="BZ353" s="523">
        <f t="shared" si="1107"/>
        <v>0</v>
      </c>
      <c r="CA353" s="354"/>
      <c r="CB353" s="510" t="b">
        <f t="shared" si="1108"/>
        <v>0</v>
      </c>
      <c r="CC353" s="509" t="str">
        <f t="shared" si="956"/>
        <v>XLM.</v>
      </c>
      <c r="CD353" s="509" t="str">
        <f t="shared" si="1109"/>
        <v>XLM.17,8</v>
      </c>
      <c r="CE353" s="351" t="str">
        <f t="shared" si="1111"/>
        <v>Lò</v>
      </c>
      <c r="CF353" s="509" t="str">
        <f t="shared" si="957"/>
        <v>XLM.Lò</v>
      </c>
      <c r="CG353" s="509" t="e">
        <f>#REF!</f>
        <v>#REF!</v>
      </c>
      <c r="CH353" s="509" t="e">
        <f>#REF!</f>
        <v>#REF!</v>
      </c>
    </row>
    <row r="354" spans="1:86" ht="24" customHeight="1" x14ac:dyDescent="0.25">
      <c r="A354" s="354" t="e">
        <f>A336</f>
        <v>#REF!</v>
      </c>
      <c r="B354" s="518"/>
      <c r="C354" s="519" t="s">
        <v>507</v>
      </c>
      <c r="D354" s="447" t="s">
        <v>14</v>
      </c>
      <c r="E354" s="447" t="s">
        <v>873</v>
      </c>
      <c r="F354" s="447" t="s">
        <v>875</v>
      </c>
      <c r="G354" s="520">
        <v>17.8</v>
      </c>
      <c r="H354" s="521">
        <v>0.7</v>
      </c>
      <c r="I354" s="522">
        <f t="shared" si="1064"/>
        <v>0</v>
      </c>
      <c r="J354" s="522">
        <f t="shared" si="1065"/>
        <v>0</v>
      </c>
      <c r="K354" s="522">
        <f t="shared" si="1066"/>
        <v>0</v>
      </c>
      <c r="L354" s="57">
        <f t="shared" si="1067"/>
        <v>0</v>
      </c>
      <c r="M354" s="60"/>
      <c r="N354" s="60"/>
      <c r="O354" s="60">
        <f t="shared" si="1112"/>
        <v>0</v>
      </c>
      <c r="P354" s="60"/>
      <c r="Q354" s="60"/>
      <c r="R354" s="60">
        <f t="shared" si="1113"/>
        <v>0</v>
      </c>
      <c r="S354" s="824"/>
      <c r="T354" s="60"/>
      <c r="U354" s="60">
        <f t="shared" si="1114"/>
        <v>0</v>
      </c>
      <c r="V354" s="60">
        <f t="shared" si="1071"/>
        <v>0</v>
      </c>
      <c r="W354" s="60">
        <f t="shared" si="1072"/>
        <v>0</v>
      </c>
      <c r="X354" s="60">
        <f t="shared" si="1073"/>
        <v>0</v>
      </c>
      <c r="Y354" s="60"/>
      <c r="Z354" s="60"/>
      <c r="AA354" s="60">
        <f t="shared" si="1115"/>
        <v>0</v>
      </c>
      <c r="AB354" s="60"/>
      <c r="AC354" s="60"/>
      <c r="AD354" s="60">
        <f t="shared" si="1116"/>
        <v>0</v>
      </c>
      <c r="AE354" s="60"/>
      <c r="AF354" s="60"/>
      <c r="AG354" s="60">
        <f t="shared" si="1117"/>
        <v>0</v>
      </c>
      <c r="AH354" s="60">
        <f t="shared" si="1077"/>
        <v>0</v>
      </c>
      <c r="AI354" s="60">
        <f t="shared" si="1078"/>
        <v>0</v>
      </c>
      <c r="AJ354" s="60">
        <f t="shared" si="1079"/>
        <v>0</v>
      </c>
      <c r="AK354" s="60"/>
      <c r="AL354" s="60"/>
      <c r="AM354" s="60">
        <f t="shared" si="1118"/>
        <v>0</v>
      </c>
      <c r="AN354" s="60"/>
      <c r="AO354" s="60"/>
      <c r="AP354" s="60">
        <f t="shared" si="1119"/>
        <v>0</v>
      </c>
      <c r="AQ354" s="60"/>
      <c r="AR354" s="60"/>
      <c r="AS354" s="60">
        <f t="shared" si="1120"/>
        <v>0</v>
      </c>
      <c r="AT354" s="60">
        <f t="shared" si="1083"/>
        <v>0</v>
      </c>
      <c r="AU354" s="60">
        <f t="shared" si="1084"/>
        <v>0</v>
      </c>
      <c r="AV354" s="60">
        <f t="shared" si="1085"/>
        <v>0</v>
      </c>
      <c r="AW354" s="60"/>
      <c r="AX354" s="60"/>
      <c r="AY354" s="60">
        <f t="shared" si="1121"/>
        <v>0</v>
      </c>
      <c r="AZ354" s="60"/>
      <c r="BA354" s="60"/>
      <c r="BB354" s="60">
        <f t="shared" si="1122"/>
        <v>0</v>
      </c>
      <c r="BC354" s="60"/>
      <c r="BD354" s="60"/>
      <c r="BE354" s="60">
        <f t="shared" si="1123"/>
        <v>0</v>
      </c>
      <c r="BF354" s="60">
        <f t="shared" si="1089"/>
        <v>0</v>
      </c>
      <c r="BG354" s="60">
        <f t="shared" si="1090"/>
        <v>0</v>
      </c>
      <c r="BH354" s="60">
        <f t="shared" si="1091"/>
        <v>0</v>
      </c>
      <c r="BI354" s="508"/>
      <c r="BJ354" s="488" t="str">
        <f t="shared" si="1110"/>
        <v>Lò</v>
      </c>
      <c r="BK354" s="523">
        <f t="shared" si="1092"/>
        <v>0</v>
      </c>
      <c r="BL354" s="523">
        <f t="shared" si="1093"/>
        <v>0</v>
      </c>
      <c r="BM354" s="523">
        <f t="shared" si="1094"/>
        <v>0</v>
      </c>
      <c r="BN354" s="523">
        <f t="shared" si="1095"/>
        <v>0</v>
      </c>
      <c r="BO354" s="523">
        <f t="shared" si="1096"/>
        <v>0</v>
      </c>
      <c r="BP354" s="523">
        <f t="shared" si="1097"/>
        <v>0</v>
      </c>
      <c r="BQ354" s="523">
        <f t="shared" si="1098"/>
        <v>0</v>
      </c>
      <c r="BR354" s="523">
        <f t="shared" si="1099"/>
        <v>0</v>
      </c>
      <c r="BS354" s="523">
        <f t="shared" si="1100"/>
        <v>0</v>
      </c>
      <c r="BT354" s="523">
        <f t="shared" si="1101"/>
        <v>0</v>
      </c>
      <c r="BU354" s="523">
        <f t="shared" si="1102"/>
        <v>0</v>
      </c>
      <c r="BV354" s="523">
        <f t="shared" si="1103"/>
        <v>0</v>
      </c>
      <c r="BW354" s="523">
        <f t="shared" si="1104"/>
        <v>0</v>
      </c>
      <c r="BX354" s="523">
        <f t="shared" si="1105"/>
        <v>0</v>
      </c>
      <c r="BY354" s="523">
        <f t="shared" si="1106"/>
        <v>0</v>
      </c>
      <c r="BZ354" s="523">
        <f t="shared" si="1107"/>
        <v>0</v>
      </c>
      <c r="CA354" s="354"/>
      <c r="CB354" s="510" t="b">
        <f t="shared" si="1108"/>
        <v>0</v>
      </c>
      <c r="CC354" s="509" t="str">
        <f t="shared" si="956"/>
        <v>XLM.</v>
      </c>
      <c r="CD354" s="509" t="str">
        <f t="shared" si="1109"/>
        <v>XLM.17,8</v>
      </c>
      <c r="CE354" s="351" t="str">
        <f t="shared" si="1111"/>
        <v>Lò</v>
      </c>
      <c r="CF354" s="509" t="str">
        <f t="shared" si="957"/>
        <v>XLM.Lò</v>
      </c>
      <c r="CG354" s="509" t="e">
        <f>#REF!</f>
        <v>#REF!</v>
      </c>
      <c r="CH354" s="509" t="e">
        <f>#REF!</f>
        <v>#REF!</v>
      </c>
    </row>
    <row r="355" spans="1:86" ht="24" customHeight="1" x14ac:dyDescent="0.25">
      <c r="A355" s="354" t="e">
        <f>A337</f>
        <v>#REF!</v>
      </c>
      <c r="B355" s="518"/>
      <c r="C355" s="519" t="s">
        <v>508</v>
      </c>
      <c r="D355" s="447" t="s">
        <v>14</v>
      </c>
      <c r="E355" s="447"/>
      <c r="F355" s="447"/>
      <c r="G355" s="520">
        <v>16.100000000000001</v>
      </c>
      <c r="H355" s="521">
        <v>0.7</v>
      </c>
      <c r="I355" s="522">
        <f t="shared" si="1064"/>
        <v>0</v>
      </c>
      <c r="J355" s="522">
        <f t="shared" si="1065"/>
        <v>0</v>
      </c>
      <c r="K355" s="522">
        <f t="shared" si="1066"/>
        <v>0</v>
      </c>
      <c r="L355" s="57">
        <f t="shared" si="1067"/>
        <v>0</v>
      </c>
      <c r="M355" s="60"/>
      <c r="N355" s="60"/>
      <c r="O355" s="60">
        <f t="shared" si="1112"/>
        <v>0</v>
      </c>
      <c r="P355" s="60"/>
      <c r="Q355" s="60"/>
      <c r="R355" s="60">
        <f t="shared" si="1113"/>
        <v>0</v>
      </c>
      <c r="S355" s="824"/>
      <c r="T355" s="60"/>
      <c r="U355" s="60">
        <f t="shared" si="1114"/>
        <v>0</v>
      </c>
      <c r="V355" s="60">
        <f t="shared" si="1071"/>
        <v>0</v>
      </c>
      <c r="W355" s="60">
        <f t="shared" si="1072"/>
        <v>0</v>
      </c>
      <c r="X355" s="60">
        <f t="shared" si="1073"/>
        <v>0</v>
      </c>
      <c r="Y355" s="60"/>
      <c r="Z355" s="60"/>
      <c r="AA355" s="60">
        <f t="shared" si="1115"/>
        <v>0</v>
      </c>
      <c r="AB355" s="60"/>
      <c r="AC355" s="60"/>
      <c r="AD355" s="60">
        <f t="shared" si="1116"/>
        <v>0</v>
      </c>
      <c r="AE355" s="60"/>
      <c r="AF355" s="60"/>
      <c r="AG355" s="60">
        <f t="shared" si="1117"/>
        <v>0</v>
      </c>
      <c r="AH355" s="60">
        <f t="shared" si="1077"/>
        <v>0</v>
      </c>
      <c r="AI355" s="60">
        <f t="shared" si="1078"/>
        <v>0</v>
      </c>
      <c r="AJ355" s="60">
        <f t="shared" si="1079"/>
        <v>0</v>
      </c>
      <c r="AK355" s="60"/>
      <c r="AL355" s="60"/>
      <c r="AM355" s="60">
        <f t="shared" si="1118"/>
        <v>0</v>
      </c>
      <c r="AN355" s="60"/>
      <c r="AO355" s="60"/>
      <c r="AP355" s="60">
        <f t="shared" si="1119"/>
        <v>0</v>
      </c>
      <c r="AQ355" s="60"/>
      <c r="AR355" s="60"/>
      <c r="AS355" s="60">
        <f t="shared" si="1120"/>
        <v>0</v>
      </c>
      <c r="AT355" s="60">
        <f t="shared" si="1083"/>
        <v>0</v>
      </c>
      <c r="AU355" s="60">
        <f t="shared" si="1084"/>
        <v>0</v>
      </c>
      <c r="AV355" s="60">
        <f t="shared" si="1085"/>
        <v>0</v>
      </c>
      <c r="AW355" s="60"/>
      <c r="AX355" s="60"/>
      <c r="AY355" s="60">
        <f t="shared" si="1121"/>
        <v>0</v>
      </c>
      <c r="AZ355" s="60"/>
      <c r="BA355" s="60"/>
      <c r="BB355" s="60">
        <f t="shared" si="1122"/>
        <v>0</v>
      </c>
      <c r="BC355" s="60"/>
      <c r="BD355" s="60"/>
      <c r="BE355" s="60">
        <f t="shared" si="1123"/>
        <v>0</v>
      </c>
      <c r="BF355" s="60">
        <f t="shared" si="1089"/>
        <v>0</v>
      </c>
      <c r="BG355" s="60">
        <f t="shared" si="1090"/>
        <v>0</v>
      </c>
      <c r="BH355" s="60">
        <f t="shared" si="1091"/>
        <v>0</v>
      </c>
      <c r="BI355" s="508"/>
      <c r="BJ355" s="488" t="str">
        <f t="shared" si="1110"/>
        <v>Lò</v>
      </c>
      <c r="BK355" s="523">
        <f t="shared" si="1092"/>
        <v>0</v>
      </c>
      <c r="BL355" s="523">
        <f t="shared" si="1093"/>
        <v>0</v>
      </c>
      <c r="BM355" s="523">
        <f t="shared" si="1094"/>
        <v>0</v>
      </c>
      <c r="BN355" s="523">
        <f t="shared" si="1095"/>
        <v>0</v>
      </c>
      <c r="BO355" s="523">
        <f t="shared" si="1096"/>
        <v>0</v>
      </c>
      <c r="BP355" s="523">
        <f t="shared" si="1097"/>
        <v>0</v>
      </c>
      <c r="BQ355" s="523">
        <f t="shared" si="1098"/>
        <v>0</v>
      </c>
      <c r="BR355" s="523">
        <f t="shared" si="1099"/>
        <v>0</v>
      </c>
      <c r="BS355" s="523">
        <f t="shared" si="1100"/>
        <v>0</v>
      </c>
      <c r="BT355" s="523">
        <f t="shared" si="1101"/>
        <v>0</v>
      </c>
      <c r="BU355" s="523">
        <f t="shared" si="1102"/>
        <v>0</v>
      </c>
      <c r="BV355" s="523">
        <f t="shared" si="1103"/>
        <v>0</v>
      </c>
      <c r="BW355" s="523">
        <f t="shared" si="1104"/>
        <v>0</v>
      </c>
      <c r="BX355" s="523">
        <f t="shared" si="1105"/>
        <v>0</v>
      </c>
      <c r="BY355" s="523">
        <f t="shared" si="1106"/>
        <v>0</v>
      </c>
      <c r="BZ355" s="523">
        <f t="shared" si="1107"/>
        <v>0</v>
      </c>
      <c r="CA355" s="354"/>
      <c r="CB355" s="510" t="b">
        <f t="shared" si="1108"/>
        <v>0</v>
      </c>
      <c r="CC355" s="509" t="str">
        <f t="shared" si="956"/>
        <v>XLM.</v>
      </c>
      <c r="CD355" s="509" t="str">
        <f t="shared" si="1109"/>
        <v>XLM.16,1</v>
      </c>
      <c r="CE355" s="351" t="str">
        <f t="shared" si="1111"/>
        <v>Lò</v>
      </c>
      <c r="CF355" s="509" t="str">
        <f t="shared" si="957"/>
        <v>XLM.Lò</v>
      </c>
      <c r="CG355" s="509" t="e">
        <f>#REF!</f>
        <v>#REF!</v>
      </c>
      <c r="CH355" s="509" t="e">
        <f>#REF!</f>
        <v>#REF!</v>
      </c>
    </row>
    <row r="356" spans="1:86" ht="24" customHeight="1" x14ac:dyDescent="0.25">
      <c r="A356" s="354" t="e">
        <f>A338</f>
        <v>#REF!</v>
      </c>
      <c r="B356" s="518"/>
      <c r="C356" s="519" t="s">
        <v>509</v>
      </c>
      <c r="D356" s="447" t="s">
        <v>14</v>
      </c>
      <c r="E356" s="447"/>
      <c r="F356" s="447"/>
      <c r="G356" s="520">
        <v>16.100000000000001</v>
      </c>
      <c r="H356" s="521">
        <v>0.7</v>
      </c>
      <c r="I356" s="522">
        <f t="shared" si="1064"/>
        <v>0</v>
      </c>
      <c r="J356" s="522">
        <f t="shared" si="1065"/>
        <v>0</v>
      </c>
      <c r="K356" s="522">
        <f t="shared" si="1066"/>
        <v>0</v>
      </c>
      <c r="L356" s="57">
        <f t="shared" si="1067"/>
        <v>0</v>
      </c>
      <c r="M356" s="60"/>
      <c r="N356" s="60"/>
      <c r="O356" s="60">
        <f t="shared" si="1112"/>
        <v>0</v>
      </c>
      <c r="P356" s="60"/>
      <c r="Q356" s="60"/>
      <c r="R356" s="60">
        <f t="shared" si="1113"/>
        <v>0</v>
      </c>
      <c r="S356" s="824"/>
      <c r="T356" s="60"/>
      <c r="U356" s="60">
        <f t="shared" si="1114"/>
        <v>0</v>
      </c>
      <c r="V356" s="60">
        <f t="shared" si="1071"/>
        <v>0</v>
      </c>
      <c r="W356" s="60">
        <f t="shared" si="1072"/>
        <v>0</v>
      </c>
      <c r="X356" s="60">
        <f t="shared" si="1073"/>
        <v>0</v>
      </c>
      <c r="Y356" s="60"/>
      <c r="Z356" s="60"/>
      <c r="AA356" s="60">
        <f t="shared" si="1115"/>
        <v>0</v>
      </c>
      <c r="AB356" s="60"/>
      <c r="AC356" s="60"/>
      <c r="AD356" s="60">
        <f t="shared" si="1116"/>
        <v>0</v>
      </c>
      <c r="AE356" s="60"/>
      <c r="AF356" s="60"/>
      <c r="AG356" s="60">
        <f t="shared" si="1117"/>
        <v>0</v>
      </c>
      <c r="AH356" s="60">
        <f t="shared" si="1077"/>
        <v>0</v>
      </c>
      <c r="AI356" s="60">
        <f t="shared" si="1078"/>
        <v>0</v>
      </c>
      <c r="AJ356" s="60">
        <f t="shared" si="1079"/>
        <v>0</v>
      </c>
      <c r="AK356" s="60"/>
      <c r="AL356" s="60"/>
      <c r="AM356" s="60">
        <f t="shared" si="1118"/>
        <v>0</v>
      </c>
      <c r="AN356" s="60"/>
      <c r="AO356" s="60"/>
      <c r="AP356" s="60">
        <f t="shared" si="1119"/>
        <v>0</v>
      </c>
      <c r="AQ356" s="60"/>
      <c r="AR356" s="60"/>
      <c r="AS356" s="60">
        <f t="shared" si="1120"/>
        <v>0</v>
      </c>
      <c r="AT356" s="60">
        <f t="shared" si="1083"/>
        <v>0</v>
      </c>
      <c r="AU356" s="60">
        <f t="shared" si="1084"/>
        <v>0</v>
      </c>
      <c r="AV356" s="60">
        <f t="shared" si="1085"/>
        <v>0</v>
      </c>
      <c r="AW356" s="60"/>
      <c r="AX356" s="60"/>
      <c r="AY356" s="60">
        <f t="shared" si="1121"/>
        <v>0</v>
      </c>
      <c r="AZ356" s="60"/>
      <c r="BA356" s="60"/>
      <c r="BB356" s="60">
        <f t="shared" si="1122"/>
        <v>0</v>
      </c>
      <c r="BC356" s="60"/>
      <c r="BD356" s="60"/>
      <c r="BE356" s="60">
        <f t="shared" si="1123"/>
        <v>0</v>
      </c>
      <c r="BF356" s="60">
        <f t="shared" si="1089"/>
        <v>0</v>
      </c>
      <c r="BG356" s="60">
        <f t="shared" si="1090"/>
        <v>0</v>
      </c>
      <c r="BH356" s="60">
        <f t="shared" si="1091"/>
        <v>0</v>
      </c>
      <c r="BI356" s="508"/>
      <c r="BJ356" s="488" t="str">
        <f t="shared" si="1110"/>
        <v>Lò</v>
      </c>
      <c r="BK356" s="523">
        <f t="shared" si="1092"/>
        <v>0</v>
      </c>
      <c r="BL356" s="523">
        <f t="shared" si="1093"/>
        <v>0</v>
      </c>
      <c r="BM356" s="523">
        <f t="shared" si="1094"/>
        <v>0</v>
      </c>
      <c r="BN356" s="523">
        <f t="shared" si="1095"/>
        <v>0</v>
      </c>
      <c r="BO356" s="523">
        <f t="shared" si="1096"/>
        <v>0</v>
      </c>
      <c r="BP356" s="523">
        <f t="shared" si="1097"/>
        <v>0</v>
      </c>
      <c r="BQ356" s="523">
        <f t="shared" si="1098"/>
        <v>0</v>
      </c>
      <c r="BR356" s="523">
        <f t="shared" si="1099"/>
        <v>0</v>
      </c>
      <c r="BS356" s="523">
        <f t="shared" si="1100"/>
        <v>0</v>
      </c>
      <c r="BT356" s="523">
        <f t="shared" si="1101"/>
        <v>0</v>
      </c>
      <c r="BU356" s="523">
        <f t="shared" si="1102"/>
        <v>0</v>
      </c>
      <c r="BV356" s="523">
        <f t="shared" si="1103"/>
        <v>0</v>
      </c>
      <c r="BW356" s="523">
        <f t="shared" si="1104"/>
        <v>0</v>
      </c>
      <c r="BX356" s="523">
        <f t="shared" si="1105"/>
        <v>0</v>
      </c>
      <c r="BY356" s="523">
        <f t="shared" si="1106"/>
        <v>0</v>
      </c>
      <c r="BZ356" s="523">
        <f t="shared" si="1107"/>
        <v>0</v>
      </c>
      <c r="CA356" s="354"/>
      <c r="CB356" s="510" t="b">
        <f t="shared" si="1108"/>
        <v>0</v>
      </c>
      <c r="CC356" s="509" t="str">
        <f t="shared" si="956"/>
        <v>XLM.</v>
      </c>
      <c r="CD356" s="509" t="str">
        <f t="shared" si="1109"/>
        <v>XLM.16,1</v>
      </c>
      <c r="CE356" s="351" t="str">
        <f t="shared" si="1111"/>
        <v>Lò</v>
      </c>
      <c r="CF356" s="509" t="str">
        <f t="shared" si="957"/>
        <v>XLM.Lò</v>
      </c>
      <c r="CG356" s="509" t="e">
        <f>#REF!</f>
        <v>#REF!</v>
      </c>
      <c r="CH356" s="509" t="e">
        <f>#REF!</f>
        <v>#REF!</v>
      </c>
    </row>
    <row r="357" spans="1:86" ht="24" customHeight="1" x14ac:dyDescent="0.25">
      <c r="A357" s="354" t="e">
        <f>A339</f>
        <v>#REF!</v>
      </c>
      <c r="B357" s="518"/>
      <c r="C357" s="519" t="s">
        <v>510</v>
      </c>
      <c r="D357" s="447" t="s">
        <v>14</v>
      </c>
      <c r="E357" s="447"/>
      <c r="F357" s="447"/>
      <c r="G357" s="520">
        <v>16.100000000000001</v>
      </c>
      <c r="H357" s="521">
        <v>0.7</v>
      </c>
      <c r="I357" s="522">
        <f t="shared" si="1064"/>
        <v>0</v>
      </c>
      <c r="J357" s="522">
        <f t="shared" si="1065"/>
        <v>0</v>
      </c>
      <c r="K357" s="522">
        <f t="shared" si="1066"/>
        <v>0</v>
      </c>
      <c r="L357" s="57">
        <f t="shared" si="1067"/>
        <v>0</v>
      </c>
      <c r="M357" s="60"/>
      <c r="N357" s="60"/>
      <c r="O357" s="60">
        <f t="shared" si="1112"/>
        <v>0</v>
      </c>
      <c r="P357" s="60"/>
      <c r="Q357" s="60"/>
      <c r="R357" s="60">
        <f t="shared" si="1113"/>
        <v>0</v>
      </c>
      <c r="S357" s="824"/>
      <c r="T357" s="60"/>
      <c r="U357" s="60">
        <f t="shared" si="1114"/>
        <v>0</v>
      </c>
      <c r="V357" s="60">
        <f t="shared" si="1071"/>
        <v>0</v>
      </c>
      <c r="W357" s="60">
        <f t="shared" si="1072"/>
        <v>0</v>
      </c>
      <c r="X357" s="60">
        <f t="shared" si="1073"/>
        <v>0</v>
      </c>
      <c r="Y357" s="60"/>
      <c r="Z357" s="60"/>
      <c r="AA357" s="60">
        <f t="shared" si="1115"/>
        <v>0</v>
      </c>
      <c r="AB357" s="60"/>
      <c r="AC357" s="60"/>
      <c r="AD357" s="60">
        <f t="shared" si="1116"/>
        <v>0</v>
      </c>
      <c r="AE357" s="60"/>
      <c r="AF357" s="60"/>
      <c r="AG357" s="60">
        <f t="shared" si="1117"/>
        <v>0</v>
      </c>
      <c r="AH357" s="60">
        <f t="shared" si="1077"/>
        <v>0</v>
      </c>
      <c r="AI357" s="60">
        <f t="shared" si="1078"/>
        <v>0</v>
      </c>
      <c r="AJ357" s="60">
        <f t="shared" si="1079"/>
        <v>0</v>
      </c>
      <c r="AK357" s="60"/>
      <c r="AL357" s="60"/>
      <c r="AM357" s="60">
        <f t="shared" si="1118"/>
        <v>0</v>
      </c>
      <c r="AN357" s="60"/>
      <c r="AO357" s="60"/>
      <c r="AP357" s="60">
        <f t="shared" si="1119"/>
        <v>0</v>
      </c>
      <c r="AQ357" s="60"/>
      <c r="AR357" s="60"/>
      <c r="AS357" s="60">
        <f t="shared" si="1120"/>
        <v>0</v>
      </c>
      <c r="AT357" s="60">
        <f t="shared" si="1083"/>
        <v>0</v>
      </c>
      <c r="AU357" s="60">
        <f t="shared" si="1084"/>
        <v>0</v>
      </c>
      <c r="AV357" s="60">
        <f t="shared" si="1085"/>
        <v>0</v>
      </c>
      <c r="AW357" s="60"/>
      <c r="AX357" s="60"/>
      <c r="AY357" s="60">
        <f t="shared" si="1121"/>
        <v>0</v>
      </c>
      <c r="AZ357" s="60"/>
      <c r="BA357" s="60"/>
      <c r="BB357" s="60">
        <f t="shared" si="1122"/>
        <v>0</v>
      </c>
      <c r="BC357" s="60"/>
      <c r="BD357" s="60"/>
      <c r="BE357" s="60">
        <f t="shared" si="1123"/>
        <v>0</v>
      </c>
      <c r="BF357" s="60">
        <f t="shared" si="1089"/>
        <v>0</v>
      </c>
      <c r="BG357" s="60">
        <f t="shared" si="1090"/>
        <v>0</v>
      </c>
      <c r="BH357" s="60">
        <f t="shared" si="1091"/>
        <v>0</v>
      </c>
      <c r="BI357" s="508"/>
      <c r="BJ357" s="488" t="str">
        <f t="shared" si="1110"/>
        <v>Lò</v>
      </c>
      <c r="BK357" s="523">
        <f t="shared" si="1092"/>
        <v>0</v>
      </c>
      <c r="BL357" s="523">
        <f t="shared" si="1093"/>
        <v>0</v>
      </c>
      <c r="BM357" s="523">
        <f t="shared" si="1094"/>
        <v>0</v>
      </c>
      <c r="BN357" s="523">
        <f t="shared" si="1095"/>
        <v>0</v>
      </c>
      <c r="BO357" s="523">
        <f t="shared" si="1096"/>
        <v>0</v>
      </c>
      <c r="BP357" s="523">
        <f t="shared" si="1097"/>
        <v>0</v>
      </c>
      <c r="BQ357" s="523">
        <f t="shared" si="1098"/>
        <v>0</v>
      </c>
      <c r="BR357" s="523">
        <f t="shared" si="1099"/>
        <v>0</v>
      </c>
      <c r="BS357" s="523">
        <f t="shared" si="1100"/>
        <v>0</v>
      </c>
      <c r="BT357" s="523">
        <f t="shared" si="1101"/>
        <v>0</v>
      </c>
      <c r="BU357" s="523">
        <f t="shared" si="1102"/>
        <v>0</v>
      </c>
      <c r="BV357" s="523">
        <f t="shared" si="1103"/>
        <v>0</v>
      </c>
      <c r="BW357" s="523">
        <f t="shared" si="1104"/>
        <v>0</v>
      </c>
      <c r="BX357" s="523">
        <f t="shared" si="1105"/>
        <v>0</v>
      </c>
      <c r="BY357" s="523">
        <f t="shared" si="1106"/>
        <v>0</v>
      </c>
      <c r="BZ357" s="523">
        <f t="shared" si="1107"/>
        <v>0</v>
      </c>
      <c r="CA357" s="354"/>
      <c r="CB357" s="510" t="b">
        <f t="shared" si="1108"/>
        <v>0</v>
      </c>
      <c r="CC357" s="509" t="str">
        <f t="shared" si="956"/>
        <v>XLM.</v>
      </c>
      <c r="CD357" s="509" t="str">
        <f t="shared" si="1109"/>
        <v>XLM.16,1</v>
      </c>
      <c r="CE357" s="351" t="str">
        <f t="shared" si="1111"/>
        <v>Lò</v>
      </c>
      <c r="CF357" s="509" t="str">
        <f t="shared" si="957"/>
        <v>XLM.Lò</v>
      </c>
      <c r="CG357" s="509" t="e">
        <f>#REF!</f>
        <v>#REF!</v>
      </c>
      <c r="CH357" s="509" t="e">
        <f>#REF!</f>
        <v>#REF!</v>
      </c>
    </row>
    <row r="358" spans="1:86" ht="24" customHeight="1" x14ac:dyDescent="0.25">
      <c r="A358" s="354" t="e">
        <f>A339</f>
        <v>#REF!</v>
      </c>
      <c r="B358" s="518"/>
      <c r="C358" s="519" t="s">
        <v>511</v>
      </c>
      <c r="D358" s="447" t="s">
        <v>14</v>
      </c>
      <c r="E358" s="447"/>
      <c r="F358" s="447"/>
      <c r="G358" s="520">
        <v>16.100000000000001</v>
      </c>
      <c r="H358" s="521">
        <v>0.7</v>
      </c>
      <c r="I358" s="522">
        <f t="shared" si="1064"/>
        <v>0</v>
      </c>
      <c r="J358" s="522">
        <f t="shared" si="1065"/>
        <v>0</v>
      </c>
      <c r="K358" s="522">
        <f t="shared" si="1066"/>
        <v>0</v>
      </c>
      <c r="L358" s="57">
        <f t="shared" si="1067"/>
        <v>0</v>
      </c>
      <c r="M358" s="60"/>
      <c r="N358" s="60"/>
      <c r="O358" s="60">
        <f t="shared" si="1112"/>
        <v>0</v>
      </c>
      <c r="P358" s="60"/>
      <c r="Q358" s="60"/>
      <c r="R358" s="60">
        <f t="shared" si="1113"/>
        <v>0</v>
      </c>
      <c r="S358" s="824"/>
      <c r="T358" s="60"/>
      <c r="U358" s="60">
        <f t="shared" si="1114"/>
        <v>0</v>
      </c>
      <c r="V358" s="60">
        <f t="shared" si="1071"/>
        <v>0</v>
      </c>
      <c r="W358" s="60">
        <f t="shared" si="1072"/>
        <v>0</v>
      </c>
      <c r="X358" s="60">
        <f t="shared" si="1073"/>
        <v>0</v>
      </c>
      <c r="Y358" s="60"/>
      <c r="Z358" s="60"/>
      <c r="AA358" s="60">
        <f t="shared" si="1115"/>
        <v>0</v>
      </c>
      <c r="AB358" s="60"/>
      <c r="AC358" s="60"/>
      <c r="AD358" s="60">
        <f t="shared" si="1116"/>
        <v>0</v>
      </c>
      <c r="AE358" s="60"/>
      <c r="AF358" s="60"/>
      <c r="AG358" s="60">
        <f t="shared" si="1117"/>
        <v>0</v>
      </c>
      <c r="AH358" s="60">
        <f t="shared" si="1077"/>
        <v>0</v>
      </c>
      <c r="AI358" s="60">
        <f t="shared" si="1078"/>
        <v>0</v>
      </c>
      <c r="AJ358" s="60">
        <f t="shared" si="1079"/>
        <v>0</v>
      </c>
      <c r="AK358" s="60"/>
      <c r="AL358" s="60"/>
      <c r="AM358" s="60">
        <f t="shared" si="1118"/>
        <v>0</v>
      </c>
      <c r="AN358" s="60"/>
      <c r="AO358" s="60"/>
      <c r="AP358" s="60">
        <f t="shared" si="1119"/>
        <v>0</v>
      </c>
      <c r="AQ358" s="60"/>
      <c r="AR358" s="60"/>
      <c r="AS358" s="60">
        <f t="shared" si="1120"/>
        <v>0</v>
      </c>
      <c r="AT358" s="60">
        <f t="shared" si="1083"/>
        <v>0</v>
      </c>
      <c r="AU358" s="60">
        <f t="shared" si="1084"/>
        <v>0</v>
      </c>
      <c r="AV358" s="60">
        <f t="shared" si="1085"/>
        <v>0</v>
      </c>
      <c r="AW358" s="60"/>
      <c r="AX358" s="60"/>
      <c r="AY358" s="60">
        <f t="shared" si="1121"/>
        <v>0</v>
      </c>
      <c r="AZ358" s="60"/>
      <c r="BA358" s="60"/>
      <c r="BB358" s="60">
        <f t="shared" si="1122"/>
        <v>0</v>
      </c>
      <c r="BC358" s="60"/>
      <c r="BD358" s="60"/>
      <c r="BE358" s="60">
        <f t="shared" si="1123"/>
        <v>0</v>
      </c>
      <c r="BF358" s="60">
        <f t="shared" si="1089"/>
        <v>0</v>
      </c>
      <c r="BG358" s="60">
        <f t="shared" si="1090"/>
        <v>0</v>
      </c>
      <c r="BH358" s="60">
        <f t="shared" si="1091"/>
        <v>0</v>
      </c>
      <c r="BI358" s="508"/>
      <c r="BJ358" s="488" t="str">
        <f t="shared" si="1110"/>
        <v>Lò</v>
      </c>
      <c r="BK358" s="523">
        <f t="shared" si="1092"/>
        <v>0</v>
      </c>
      <c r="BL358" s="523">
        <f t="shared" si="1093"/>
        <v>0</v>
      </c>
      <c r="BM358" s="523">
        <f t="shared" si="1094"/>
        <v>0</v>
      </c>
      <c r="BN358" s="523">
        <f t="shared" si="1095"/>
        <v>0</v>
      </c>
      <c r="BO358" s="523">
        <f t="shared" si="1096"/>
        <v>0</v>
      </c>
      <c r="BP358" s="523">
        <f t="shared" si="1097"/>
        <v>0</v>
      </c>
      <c r="BQ358" s="523">
        <f t="shared" si="1098"/>
        <v>0</v>
      </c>
      <c r="BR358" s="523">
        <f t="shared" si="1099"/>
        <v>0</v>
      </c>
      <c r="BS358" s="523">
        <f t="shared" si="1100"/>
        <v>0</v>
      </c>
      <c r="BT358" s="523">
        <f t="shared" si="1101"/>
        <v>0</v>
      </c>
      <c r="BU358" s="523">
        <f t="shared" si="1102"/>
        <v>0</v>
      </c>
      <c r="BV358" s="523">
        <f t="shared" si="1103"/>
        <v>0</v>
      </c>
      <c r="BW358" s="523">
        <f t="shared" si="1104"/>
        <v>0</v>
      </c>
      <c r="BX358" s="523">
        <f t="shared" si="1105"/>
        <v>0</v>
      </c>
      <c r="BY358" s="523">
        <f t="shared" si="1106"/>
        <v>0</v>
      </c>
      <c r="BZ358" s="523">
        <f t="shared" si="1107"/>
        <v>0</v>
      </c>
      <c r="CA358" s="354"/>
      <c r="CB358" s="510" t="b">
        <f t="shared" si="1108"/>
        <v>0</v>
      </c>
      <c r="CC358" s="509" t="str">
        <f t="shared" si="956"/>
        <v>XLM.</v>
      </c>
      <c r="CD358" s="509" t="str">
        <f t="shared" si="1109"/>
        <v>XLM.16,1</v>
      </c>
      <c r="CE358" s="351" t="str">
        <f t="shared" si="1111"/>
        <v>Lò</v>
      </c>
      <c r="CF358" s="509" t="str">
        <f t="shared" si="957"/>
        <v>XLM.Lò</v>
      </c>
      <c r="CG358" s="509" t="e">
        <f>#REF!</f>
        <v>#REF!</v>
      </c>
      <c r="CH358" s="509" t="e">
        <f>#REF!</f>
        <v>#REF!</v>
      </c>
    </row>
    <row r="359" spans="1:86" ht="24" customHeight="1" x14ac:dyDescent="0.25">
      <c r="A359" s="354" t="e">
        <f>A340</f>
        <v>#REF!</v>
      </c>
      <c r="B359" s="518"/>
      <c r="C359" s="519" t="s">
        <v>512</v>
      </c>
      <c r="D359" s="447" t="s">
        <v>14</v>
      </c>
      <c r="E359" s="447"/>
      <c r="F359" s="447"/>
      <c r="G359" s="520">
        <v>11.2</v>
      </c>
      <c r="H359" s="521">
        <v>0.7</v>
      </c>
      <c r="I359" s="522">
        <f t="shared" si="1064"/>
        <v>0</v>
      </c>
      <c r="J359" s="522">
        <f t="shared" si="1065"/>
        <v>0</v>
      </c>
      <c r="K359" s="522">
        <f t="shared" si="1066"/>
        <v>0</v>
      </c>
      <c r="L359" s="57">
        <f t="shared" si="1067"/>
        <v>0</v>
      </c>
      <c r="M359" s="60"/>
      <c r="N359" s="60"/>
      <c r="O359" s="60">
        <f t="shared" si="1112"/>
        <v>0</v>
      </c>
      <c r="P359" s="60"/>
      <c r="Q359" s="60"/>
      <c r="R359" s="60">
        <f t="shared" si="1113"/>
        <v>0</v>
      </c>
      <c r="S359" s="824"/>
      <c r="T359" s="60"/>
      <c r="U359" s="60">
        <f t="shared" si="1114"/>
        <v>0</v>
      </c>
      <c r="V359" s="60">
        <f t="shared" si="1071"/>
        <v>0</v>
      </c>
      <c r="W359" s="60">
        <f t="shared" si="1072"/>
        <v>0</v>
      </c>
      <c r="X359" s="60">
        <f t="shared" si="1073"/>
        <v>0</v>
      </c>
      <c r="Y359" s="60"/>
      <c r="Z359" s="60"/>
      <c r="AA359" s="60">
        <f t="shared" si="1115"/>
        <v>0</v>
      </c>
      <c r="AB359" s="60"/>
      <c r="AC359" s="60"/>
      <c r="AD359" s="60">
        <f t="shared" si="1116"/>
        <v>0</v>
      </c>
      <c r="AE359" s="60"/>
      <c r="AF359" s="60"/>
      <c r="AG359" s="60">
        <f t="shared" si="1117"/>
        <v>0</v>
      </c>
      <c r="AH359" s="60">
        <f t="shared" si="1077"/>
        <v>0</v>
      </c>
      <c r="AI359" s="60">
        <f t="shared" si="1078"/>
        <v>0</v>
      </c>
      <c r="AJ359" s="60">
        <f t="shared" si="1079"/>
        <v>0</v>
      </c>
      <c r="AK359" s="60"/>
      <c r="AL359" s="60"/>
      <c r="AM359" s="60">
        <f t="shared" si="1118"/>
        <v>0</v>
      </c>
      <c r="AN359" s="60"/>
      <c r="AO359" s="60"/>
      <c r="AP359" s="60">
        <f t="shared" si="1119"/>
        <v>0</v>
      </c>
      <c r="AQ359" s="60"/>
      <c r="AR359" s="60"/>
      <c r="AS359" s="60">
        <f t="shared" si="1120"/>
        <v>0</v>
      </c>
      <c r="AT359" s="60">
        <f t="shared" si="1083"/>
        <v>0</v>
      </c>
      <c r="AU359" s="60">
        <f t="shared" si="1084"/>
        <v>0</v>
      </c>
      <c r="AV359" s="60">
        <f t="shared" si="1085"/>
        <v>0</v>
      </c>
      <c r="AW359" s="60"/>
      <c r="AX359" s="60"/>
      <c r="AY359" s="60">
        <f t="shared" si="1121"/>
        <v>0</v>
      </c>
      <c r="AZ359" s="60"/>
      <c r="BA359" s="60"/>
      <c r="BB359" s="60">
        <f t="shared" si="1122"/>
        <v>0</v>
      </c>
      <c r="BC359" s="60"/>
      <c r="BD359" s="60"/>
      <c r="BE359" s="60">
        <f t="shared" si="1123"/>
        <v>0</v>
      </c>
      <c r="BF359" s="60">
        <f t="shared" si="1089"/>
        <v>0</v>
      </c>
      <c r="BG359" s="60">
        <f t="shared" si="1090"/>
        <v>0</v>
      </c>
      <c r="BH359" s="60">
        <f t="shared" si="1091"/>
        <v>0</v>
      </c>
      <c r="BI359" s="508"/>
      <c r="BJ359" s="488" t="str">
        <f t="shared" si="1110"/>
        <v>Lò</v>
      </c>
      <c r="BK359" s="523">
        <f t="shared" si="1092"/>
        <v>0</v>
      </c>
      <c r="BL359" s="523">
        <f t="shared" si="1093"/>
        <v>0</v>
      </c>
      <c r="BM359" s="523">
        <f t="shared" si="1094"/>
        <v>0</v>
      </c>
      <c r="BN359" s="523">
        <f t="shared" si="1095"/>
        <v>0</v>
      </c>
      <c r="BO359" s="523">
        <f t="shared" si="1096"/>
        <v>0</v>
      </c>
      <c r="BP359" s="523">
        <f t="shared" si="1097"/>
        <v>0</v>
      </c>
      <c r="BQ359" s="523">
        <f t="shared" si="1098"/>
        <v>0</v>
      </c>
      <c r="BR359" s="523">
        <f t="shared" si="1099"/>
        <v>0</v>
      </c>
      <c r="BS359" s="523">
        <f t="shared" si="1100"/>
        <v>0</v>
      </c>
      <c r="BT359" s="523">
        <f t="shared" si="1101"/>
        <v>0</v>
      </c>
      <c r="BU359" s="523">
        <f t="shared" si="1102"/>
        <v>0</v>
      </c>
      <c r="BV359" s="523">
        <f t="shared" si="1103"/>
        <v>0</v>
      </c>
      <c r="BW359" s="523">
        <f t="shared" si="1104"/>
        <v>0</v>
      </c>
      <c r="BX359" s="523">
        <f t="shared" si="1105"/>
        <v>0</v>
      </c>
      <c r="BY359" s="523">
        <f t="shared" si="1106"/>
        <v>0</v>
      </c>
      <c r="BZ359" s="523">
        <f t="shared" si="1107"/>
        <v>0</v>
      </c>
      <c r="CA359" s="354"/>
      <c r="CB359" s="510" t="b">
        <f t="shared" si="1108"/>
        <v>0</v>
      </c>
      <c r="CC359" s="509" t="str">
        <f t="shared" si="956"/>
        <v>XLM.</v>
      </c>
      <c r="CD359" s="509" t="str">
        <f t="shared" si="1109"/>
        <v>XLM.11,2</v>
      </c>
      <c r="CE359" s="351" t="str">
        <f t="shared" si="1111"/>
        <v>Lò</v>
      </c>
      <c r="CF359" s="509" t="str">
        <f t="shared" si="957"/>
        <v>XLM.Lò</v>
      </c>
      <c r="CG359" s="509" t="e">
        <f>#REF!</f>
        <v>#REF!</v>
      </c>
      <c r="CH359" s="509" t="e">
        <f>#REF!</f>
        <v>#REF!</v>
      </c>
    </row>
    <row r="360" spans="1:86" ht="24" customHeight="1" x14ac:dyDescent="0.25">
      <c r="A360" s="354" t="e">
        <f>A315</f>
        <v>#REF!</v>
      </c>
      <c r="B360" s="518"/>
      <c r="C360" s="519" t="s">
        <v>216</v>
      </c>
      <c r="D360" s="447" t="s">
        <v>14</v>
      </c>
      <c r="E360" s="447"/>
      <c r="F360" s="447"/>
      <c r="G360" s="520">
        <v>16.100000000000001</v>
      </c>
      <c r="H360" s="521">
        <v>0.7</v>
      </c>
      <c r="I360" s="522">
        <f t="shared" si="1064"/>
        <v>0</v>
      </c>
      <c r="J360" s="522">
        <f t="shared" si="1065"/>
        <v>0</v>
      </c>
      <c r="K360" s="522">
        <f t="shared" si="1066"/>
        <v>0</v>
      </c>
      <c r="L360" s="57">
        <f t="shared" si="1067"/>
        <v>0</v>
      </c>
      <c r="M360" s="60"/>
      <c r="N360" s="60"/>
      <c r="O360" s="60">
        <f t="shared" ref="O360:O368" si="1124">M360-N360</f>
        <v>0</v>
      </c>
      <c r="P360" s="60"/>
      <c r="Q360" s="60"/>
      <c r="R360" s="60">
        <f t="shared" ref="R360:R368" si="1125">P360-Q360</f>
        <v>0</v>
      </c>
      <c r="S360" s="824"/>
      <c r="T360" s="60"/>
      <c r="U360" s="60">
        <f t="shared" ref="U360:U368" si="1126">S360-T360</f>
        <v>0</v>
      </c>
      <c r="V360" s="60">
        <f t="shared" ref="V360:V368" si="1127">M360+P360+S360</f>
        <v>0</v>
      </c>
      <c r="W360" s="60">
        <f t="shared" ref="W360:W368" si="1128">N360+Q360+T360</f>
        <v>0</v>
      </c>
      <c r="X360" s="60">
        <f t="shared" ref="X360:X368" si="1129">O360+R360+U360</f>
        <v>0</v>
      </c>
      <c r="Y360" s="60"/>
      <c r="Z360" s="60"/>
      <c r="AA360" s="60">
        <f t="shared" ref="AA360:AA368" si="1130">Y360-Z360</f>
        <v>0</v>
      </c>
      <c r="AB360" s="60"/>
      <c r="AC360" s="60"/>
      <c r="AD360" s="60">
        <f t="shared" ref="AD360:AD368" si="1131">AB360-AC360</f>
        <v>0</v>
      </c>
      <c r="AE360" s="60"/>
      <c r="AF360" s="60"/>
      <c r="AG360" s="60">
        <f t="shared" ref="AG360:AG368" si="1132">AE360-AF360</f>
        <v>0</v>
      </c>
      <c r="AH360" s="60">
        <f t="shared" si="1077"/>
        <v>0</v>
      </c>
      <c r="AI360" s="60">
        <f t="shared" si="1078"/>
        <v>0</v>
      </c>
      <c r="AJ360" s="60">
        <f t="shared" si="1079"/>
        <v>0</v>
      </c>
      <c r="AK360" s="60"/>
      <c r="AL360" s="60"/>
      <c r="AM360" s="60">
        <f t="shared" ref="AM360:AM368" si="1133">AK360-AL360</f>
        <v>0</v>
      </c>
      <c r="AN360" s="60"/>
      <c r="AO360" s="60"/>
      <c r="AP360" s="60">
        <f t="shared" ref="AP360:AP368" si="1134">AN360-AO360</f>
        <v>0</v>
      </c>
      <c r="AQ360" s="60"/>
      <c r="AR360" s="60"/>
      <c r="AS360" s="60">
        <f t="shared" ref="AS360:AS368" si="1135">AQ360-AR360</f>
        <v>0</v>
      </c>
      <c r="AT360" s="60">
        <f t="shared" si="1083"/>
        <v>0</v>
      </c>
      <c r="AU360" s="60">
        <f t="shared" si="1084"/>
        <v>0</v>
      </c>
      <c r="AV360" s="60">
        <f t="shared" si="1085"/>
        <v>0</v>
      </c>
      <c r="AW360" s="60"/>
      <c r="AX360" s="60"/>
      <c r="AY360" s="60">
        <f t="shared" ref="AY360:AY368" si="1136">AW360-AX360</f>
        <v>0</v>
      </c>
      <c r="AZ360" s="60"/>
      <c r="BA360" s="60"/>
      <c r="BB360" s="60">
        <f t="shared" ref="BB360:BB368" si="1137">AZ360-BA360</f>
        <v>0</v>
      </c>
      <c r="BC360" s="60"/>
      <c r="BD360" s="60"/>
      <c r="BE360" s="60">
        <f t="shared" ref="BE360:BE368" si="1138">BC360-BD360</f>
        <v>0</v>
      </c>
      <c r="BF360" s="60">
        <f t="shared" si="1089"/>
        <v>0</v>
      </c>
      <c r="BG360" s="60">
        <f t="shared" si="1090"/>
        <v>0</v>
      </c>
      <c r="BH360" s="60">
        <f t="shared" si="1091"/>
        <v>0</v>
      </c>
      <c r="BI360" s="508"/>
      <c r="BJ360" s="488" t="str">
        <f t="shared" si="1110"/>
        <v>Lò</v>
      </c>
      <c r="BK360" s="523">
        <f t="shared" si="1092"/>
        <v>0</v>
      </c>
      <c r="BL360" s="523">
        <f t="shared" si="1093"/>
        <v>0</v>
      </c>
      <c r="BM360" s="523">
        <f t="shared" si="1094"/>
        <v>0</v>
      </c>
      <c r="BN360" s="523">
        <f t="shared" si="1095"/>
        <v>0</v>
      </c>
      <c r="BO360" s="523">
        <f t="shared" si="1096"/>
        <v>0</v>
      </c>
      <c r="BP360" s="523">
        <f t="shared" si="1097"/>
        <v>0</v>
      </c>
      <c r="BQ360" s="523">
        <f t="shared" si="1098"/>
        <v>0</v>
      </c>
      <c r="BR360" s="523">
        <f t="shared" si="1099"/>
        <v>0</v>
      </c>
      <c r="BS360" s="523">
        <f t="shared" si="1100"/>
        <v>0</v>
      </c>
      <c r="BT360" s="523">
        <f t="shared" si="1101"/>
        <v>0</v>
      </c>
      <c r="BU360" s="523">
        <f t="shared" si="1102"/>
        <v>0</v>
      </c>
      <c r="BV360" s="523">
        <f t="shared" si="1103"/>
        <v>0</v>
      </c>
      <c r="BW360" s="523">
        <f t="shared" si="1104"/>
        <v>0</v>
      </c>
      <c r="BX360" s="523">
        <f t="shared" si="1105"/>
        <v>0</v>
      </c>
      <c r="BY360" s="523">
        <f t="shared" si="1106"/>
        <v>0</v>
      </c>
      <c r="BZ360" s="523">
        <f t="shared" si="1107"/>
        <v>0</v>
      </c>
      <c r="CA360" s="354"/>
      <c r="CB360" s="510" t="b">
        <f t="shared" si="1108"/>
        <v>0</v>
      </c>
      <c r="CC360" s="509" t="str">
        <f t="shared" si="956"/>
        <v>XLM.</v>
      </c>
      <c r="CD360" s="509" t="str">
        <f t="shared" si="1109"/>
        <v>XLM.16,1</v>
      </c>
      <c r="CE360" s="351" t="str">
        <f t="shared" si="1111"/>
        <v>Lò</v>
      </c>
      <c r="CF360" s="509" t="str">
        <f t="shared" si="957"/>
        <v>XLM.Lò</v>
      </c>
      <c r="CG360" s="509"/>
      <c r="CH360" s="509"/>
    </row>
    <row r="361" spans="1:86" ht="24" customHeight="1" x14ac:dyDescent="0.25">
      <c r="A361" s="354" t="e">
        <f t="shared" si="1060"/>
        <v>#REF!</v>
      </c>
      <c r="B361" s="518"/>
      <c r="C361" s="519" t="s">
        <v>221</v>
      </c>
      <c r="D361" s="447" t="s">
        <v>14</v>
      </c>
      <c r="E361" s="447" t="s">
        <v>873</v>
      </c>
      <c r="F361" s="447"/>
      <c r="G361" s="520">
        <v>22</v>
      </c>
      <c r="H361" s="521">
        <v>0.5</v>
      </c>
      <c r="I361" s="522">
        <f t="shared" si="1064"/>
        <v>0</v>
      </c>
      <c r="J361" s="522">
        <f t="shared" si="1065"/>
        <v>0</v>
      </c>
      <c r="K361" s="522">
        <f t="shared" si="1066"/>
        <v>0</v>
      </c>
      <c r="L361" s="57">
        <f t="shared" si="1067"/>
        <v>0</v>
      </c>
      <c r="M361" s="60"/>
      <c r="N361" s="60"/>
      <c r="O361" s="60">
        <f t="shared" si="1124"/>
        <v>0</v>
      </c>
      <c r="P361" s="60"/>
      <c r="Q361" s="60"/>
      <c r="R361" s="60">
        <f t="shared" si="1125"/>
        <v>0</v>
      </c>
      <c r="S361" s="824"/>
      <c r="T361" s="60"/>
      <c r="U361" s="60">
        <f t="shared" si="1126"/>
        <v>0</v>
      </c>
      <c r="V361" s="60">
        <f t="shared" si="1127"/>
        <v>0</v>
      </c>
      <c r="W361" s="60">
        <f t="shared" si="1128"/>
        <v>0</v>
      </c>
      <c r="X361" s="60">
        <f t="shared" si="1129"/>
        <v>0</v>
      </c>
      <c r="Y361" s="60"/>
      <c r="Z361" s="60"/>
      <c r="AA361" s="60">
        <f t="shared" si="1130"/>
        <v>0</v>
      </c>
      <c r="AB361" s="60"/>
      <c r="AC361" s="60"/>
      <c r="AD361" s="60">
        <f t="shared" si="1131"/>
        <v>0</v>
      </c>
      <c r="AE361" s="60"/>
      <c r="AF361" s="60"/>
      <c r="AG361" s="60">
        <f t="shared" si="1132"/>
        <v>0</v>
      </c>
      <c r="AH361" s="60">
        <f t="shared" si="1077"/>
        <v>0</v>
      </c>
      <c r="AI361" s="60">
        <f t="shared" si="1078"/>
        <v>0</v>
      </c>
      <c r="AJ361" s="60">
        <f t="shared" si="1079"/>
        <v>0</v>
      </c>
      <c r="AK361" s="60"/>
      <c r="AL361" s="60"/>
      <c r="AM361" s="60">
        <f t="shared" si="1133"/>
        <v>0</v>
      </c>
      <c r="AN361" s="60"/>
      <c r="AO361" s="60"/>
      <c r="AP361" s="60">
        <f t="shared" si="1134"/>
        <v>0</v>
      </c>
      <c r="AQ361" s="60"/>
      <c r="AR361" s="60"/>
      <c r="AS361" s="60">
        <f t="shared" si="1135"/>
        <v>0</v>
      </c>
      <c r="AT361" s="60">
        <f t="shared" si="1083"/>
        <v>0</v>
      </c>
      <c r="AU361" s="60">
        <f t="shared" si="1084"/>
        <v>0</v>
      </c>
      <c r="AV361" s="60">
        <f t="shared" si="1085"/>
        <v>0</v>
      </c>
      <c r="AW361" s="60"/>
      <c r="AX361" s="60"/>
      <c r="AY361" s="60">
        <f t="shared" si="1136"/>
        <v>0</v>
      </c>
      <c r="AZ361" s="60"/>
      <c r="BA361" s="60"/>
      <c r="BB361" s="60">
        <f t="shared" si="1137"/>
        <v>0</v>
      </c>
      <c r="BC361" s="60"/>
      <c r="BD361" s="60"/>
      <c r="BE361" s="60">
        <f t="shared" si="1138"/>
        <v>0</v>
      </c>
      <c r="BF361" s="60">
        <f t="shared" si="1089"/>
        <v>0</v>
      </c>
      <c r="BG361" s="60">
        <f t="shared" si="1090"/>
        <v>0</v>
      </c>
      <c r="BH361" s="60">
        <f t="shared" si="1091"/>
        <v>0</v>
      </c>
      <c r="BI361" s="508"/>
      <c r="BJ361" s="488" t="str">
        <f t="shared" si="1110"/>
        <v>Lò</v>
      </c>
      <c r="BK361" s="523">
        <f t="shared" si="1092"/>
        <v>0</v>
      </c>
      <c r="BL361" s="523">
        <f t="shared" si="1093"/>
        <v>0</v>
      </c>
      <c r="BM361" s="523">
        <f t="shared" si="1094"/>
        <v>0</v>
      </c>
      <c r="BN361" s="523">
        <f t="shared" si="1095"/>
        <v>0</v>
      </c>
      <c r="BO361" s="523">
        <f t="shared" si="1096"/>
        <v>0</v>
      </c>
      <c r="BP361" s="523">
        <f t="shared" si="1097"/>
        <v>0</v>
      </c>
      <c r="BQ361" s="523">
        <f t="shared" si="1098"/>
        <v>0</v>
      </c>
      <c r="BR361" s="523">
        <f t="shared" si="1099"/>
        <v>0</v>
      </c>
      <c r="BS361" s="523">
        <f t="shared" si="1100"/>
        <v>0</v>
      </c>
      <c r="BT361" s="523">
        <f t="shared" si="1101"/>
        <v>0</v>
      </c>
      <c r="BU361" s="523">
        <f t="shared" si="1102"/>
        <v>0</v>
      </c>
      <c r="BV361" s="523">
        <f t="shared" si="1103"/>
        <v>0</v>
      </c>
      <c r="BW361" s="523">
        <f t="shared" si="1104"/>
        <v>0</v>
      </c>
      <c r="BX361" s="523">
        <f t="shared" si="1105"/>
        <v>0</v>
      </c>
      <c r="BY361" s="523">
        <f t="shared" si="1106"/>
        <v>0</v>
      </c>
      <c r="BZ361" s="523">
        <f t="shared" si="1107"/>
        <v>0</v>
      </c>
      <c r="CA361" s="354"/>
      <c r="CB361" s="510" t="b">
        <f t="shared" si="1108"/>
        <v>0</v>
      </c>
      <c r="CC361" s="509" t="str">
        <f t="shared" si="956"/>
        <v>XLM.</v>
      </c>
      <c r="CD361" s="509" t="str">
        <f t="shared" si="1109"/>
        <v>XLM.22</v>
      </c>
      <c r="CE361" s="351" t="str">
        <f t="shared" si="1111"/>
        <v>Lò</v>
      </c>
      <c r="CF361" s="509" t="str">
        <f t="shared" si="957"/>
        <v>XLM.Lò</v>
      </c>
      <c r="CG361" s="509"/>
      <c r="CH361" s="509"/>
    </row>
    <row r="362" spans="1:86" ht="24" customHeight="1" x14ac:dyDescent="0.25">
      <c r="A362" s="354" t="e">
        <f>A318</f>
        <v>#REF!</v>
      </c>
      <c r="B362" s="518"/>
      <c r="C362" s="519" t="s">
        <v>217</v>
      </c>
      <c r="D362" s="447" t="s">
        <v>14</v>
      </c>
      <c r="E362" s="447" t="s">
        <v>873</v>
      </c>
      <c r="F362" s="447"/>
      <c r="G362" s="520">
        <v>24</v>
      </c>
      <c r="H362" s="521">
        <v>0.7</v>
      </c>
      <c r="I362" s="522">
        <f t="shared" si="1064"/>
        <v>0</v>
      </c>
      <c r="J362" s="522">
        <f t="shared" si="1065"/>
        <v>0</v>
      </c>
      <c r="K362" s="522">
        <f t="shared" si="1066"/>
        <v>0</v>
      </c>
      <c r="L362" s="57">
        <f t="shared" si="1067"/>
        <v>0</v>
      </c>
      <c r="M362" s="60"/>
      <c r="N362" s="60"/>
      <c r="O362" s="60">
        <f t="shared" si="1124"/>
        <v>0</v>
      </c>
      <c r="P362" s="60"/>
      <c r="Q362" s="60"/>
      <c r="R362" s="60">
        <f t="shared" si="1125"/>
        <v>0</v>
      </c>
      <c r="S362" s="824"/>
      <c r="T362" s="60"/>
      <c r="U362" s="60">
        <f t="shared" si="1126"/>
        <v>0</v>
      </c>
      <c r="V362" s="60">
        <f t="shared" si="1127"/>
        <v>0</v>
      </c>
      <c r="W362" s="60">
        <f t="shared" si="1128"/>
        <v>0</v>
      </c>
      <c r="X362" s="60">
        <f t="shared" si="1129"/>
        <v>0</v>
      </c>
      <c r="Y362" s="60"/>
      <c r="Z362" s="60"/>
      <c r="AA362" s="60">
        <f t="shared" si="1130"/>
        <v>0</v>
      </c>
      <c r="AB362" s="60"/>
      <c r="AC362" s="60"/>
      <c r="AD362" s="60">
        <f t="shared" si="1131"/>
        <v>0</v>
      </c>
      <c r="AE362" s="60"/>
      <c r="AF362" s="60"/>
      <c r="AG362" s="60">
        <f t="shared" si="1132"/>
        <v>0</v>
      </c>
      <c r="AH362" s="60">
        <f t="shared" si="1077"/>
        <v>0</v>
      </c>
      <c r="AI362" s="60">
        <f t="shared" si="1078"/>
        <v>0</v>
      </c>
      <c r="AJ362" s="60">
        <f t="shared" si="1079"/>
        <v>0</v>
      </c>
      <c r="AK362" s="60"/>
      <c r="AL362" s="60"/>
      <c r="AM362" s="60">
        <f t="shared" si="1133"/>
        <v>0</v>
      </c>
      <c r="AN362" s="60"/>
      <c r="AO362" s="60"/>
      <c r="AP362" s="60">
        <f t="shared" si="1134"/>
        <v>0</v>
      </c>
      <c r="AQ362" s="60"/>
      <c r="AR362" s="60"/>
      <c r="AS362" s="60">
        <f t="shared" si="1135"/>
        <v>0</v>
      </c>
      <c r="AT362" s="60">
        <f t="shared" si="1083"/>
        <v>0</v>
      </c>
      <c r="AU362" s="60">
        <f t="shared" si="1084"/>
        <v>0</v>
      </c>
      <c r="AV362" s="60">
        <f t="shared" si="1085"/>
        <v>0</v>
      </c>
      <c r="AW362" s="60"/>
      <c r="AX362" s="60"/>
      <c r="AY362" s="60">
        <f t="shared" si="1136"/>
        <v>0</v>
      </c>
      <c r="AZ362" s="60"/>
      <c r="BA362" s="60"/>
      <c r="BB362" s="60">
        <f t="shared" si="1137"/>
        <v>0</v>
      </c>
      <c r="BC362" s="60"/>
      <c r="BD362" s="60"/>
      <c r="BE362" s="60">
        <f t="shared" si="1138"/>
        <v>0</v>
      </c>
      <c r="BF362" s="60">
        <f t="shared" si="1089"/>
        <v>0</v>
      </c>
      <c r="BG362" s="60">
        <f t="shared" si="1090"/>
        <v>0</v>
      </c>
      <c r="BH362" s="60">
        <f t="shared" si="1091"/>
        <v>0</v>
      </c>
      <c r="BI362" s="508"/>
      <c r="BJ362" s="488" t="str">
        <f t="shared" si="1110"/>
        <v>Lò</v>
      </c>
      <c r="BK362" s="523">
        <f t="shared" si="1092"/>
        <v>0</v>
      </c>
      <c r="BL362" s="523">
        <f t="shared" si="1093"/>
        <v>0</v>
      </c>
      <c r="BM362" s="523">
        <f t="shared" si="1094"/>
        <v>0</v>
      </c>
      <c r="BN362" s="523">
        <f t="shared" si="1095"/>
        <v>0</v>
      </c>
      <c r="BO362" s="523">
        <f t="shared" si="1096"/>
        <v>0</v>
      </c>
      <c r="BP362" s="523">
        <f t="shared" si="1097"/>
        <v>0</v>
      </c>
      <c r="BQ362" s="523">
        <f t="shared" si="1098"/>
        <v>0</v>
      </c>
      <c r="BR362" s="523">
        <f t="shared" si="1099"/>
        <v>0</v>
      </c>
      <c r="BS362" s="523">
        <f t="shared" si="1100"/>
        <v>0</v>
      </c>
      <c r="BT362" s="523">
        <f t="shared" si="1101"/>
        <v>0</v>
      </c>
      <c r="BU362" s="523">
        <f t="shared" si="1102"/>
        <v>0</v>
      </c>
      <c r="BV362" s="523">
        <f t="shared" si="1103"/>
        <v>0</v>
      </c>
      <c r="BW362" s="523">
        <f t="shared" si="1104"/>
        <v>0</v>
      </c>
      <c r="BX362" s="523">
        <f t="shared" si="1105"/>
        <v>0</v>
      </c>
      <c r="BY362" s="523">
        <f t="shared" si="1106"/>
        <v>0</v>
      </c>
      <c r="BZ362" s="523">
        <f t="shared" si="1107"/>
        <v>0</v>
      </c>
      <c r="CA362" s="354"/>
      <c r="CB362" s="510" t="b">
        <f t="shared" si="1108"/>
        <v>0</v>
      </c>
      <c r="CC362" s="509" t="str">
        <f t="shared" si="956"/>
        <v>XLM.</v>
      </c>
      <c r="CD362" s="509" t="str">
        <f t="shared" si="1109"/>
        <v>XLM.24</v>
      </c>
      <c r="CE362" s="351" t="str">
        <f t="shared" si="1111"/>
        <v>Lò</v>
      </c>
      <c r="CF362" s="509" t="str">
        <f t="shared" si="957"/>
        <v>XLM.Lò</v>
      </c>
      <c r="CG362" s="509"/>
      <c r="CH362" s="509"/>
    </row>
    <row r="363" spans="1:86" ht="24" customHeight="1" x14ac:dyDescent="0.25">
      <c r="A363" s="354" t="e">
        <f t="shared" si="1060"/>
        <v>#REF!</v>
      </c>
      <c r="B363" s="518"/>
      <c r="C363" s="519" t="s">
        <v>218</v>
      </c>
      <c r="D363" s="447" t="s">
        <v>14</v>
      </c>
      <c r="E363" s="447"/>
      <c r="F363" s="447"/>
      <c r="G363" s="520">
        <v>56</v>
      </c>
      <c r="H363" s="521">
        <v>0.7</v>
      </c>
      <c r="I363" s="522">
        <f t="shared" si="1064"/>
        <v>0</v>
      </c>
      <c r="J363" s="522">
        <f t="shared" si="1065"/>
        <v>0</v>
      </c>
      <c r="K363" s="522">
        <f t="shared" si="1066"/>
        <v>0</v>
      </c>
      <c r="L363" s="57">
        <f t="shared" si="1067"/>
        <v>0</v>
      </c>
      <c r="M363" s="60"/>
      <c r="N363" s="60"/>
      <c r="O363" s="60">
        <f t="shared" si="1124"/>
        <v>0</v>
      </c>
      <c r="P363" s="60"/>
      <c r="Q363" s="60"/>
      <c r="R363" s="60">
        <f t="shared" si="1125"/>
        <v>0</v>
      </c>
      <c r="S363" s="824"/>
      <c r="T363" s="60"/>
      <c r="U363" s="60">
        <f t="shared" si="1126"/>
        <v>0</v>
      </c>
      <c r="V363" s="60">
        <f t="shared" si="1127"/>
        <v>0</v>
      </c>
      <c r="W363" s="60">
        <f t="shared" si="1128"/>
        <v>0</v>
      </c>
      <c r="X363" s="60">
        <f t="shared" si="1129"/>
        <v>0</v>
      </c>
      <c r="Y363" s="60"/>
      <c r="Z363" s="60"/>
      <c r="AA363" s="60">
        <f t="shared" si="1130"/>
        <v>0</v>
      </c>
      <c r="AB363" s="60"/>
      <c r="AC363" s="60"/>
      <c r="AD363" s="60">
        <f t="shared" si="1131"/>
        <v>0</v>
      </c>
      <c r="AE363" s="60"/>
      <c r="AF363" s="60"/>
      <c r="AG363" s="60">
        <f t="shared" si="1132"/>
        <v>0</v>
      </c>
      <c r="AH363" s="60">
        <f t="shared" si="1077"/>
        <v>0</v>
      </c>
      <c r="AI363" s="60">
        <f t="shared" si="1078"/>
        <v>0</v>
      </c>
      <c r="AJ363" s="60">
        <f t="shared" si="1079"/>
        <v>0</v>
      </c>
      <c r="AK363" s="60"/>
      <c r="AL363" s="60"/>
      <c r="AM363" s="60">
        <f t="shared" si="1133"/>
        <v>0</v>
      </c>
      <c r="AN363" s="60"/>
      <c r="AO363" s="60"/>
      <c r="AP363" s="60">
        <f t="shared" si="1134"/>
        <v>0</v>
      </c>
      <c r="AQ363" s="60"/>
      <c r="AR363" s="60"/>
      <c r="AS363" s="60">
        <f t="shared" si="1135"/>
        <v>0</v>
      </c>
      <c r="AT363" s="60">
        <f t="shared" si="1083"/>
        <v>0</v>
      </c>
      <c r="AU363" s="60">
        <f t="shared" si="1084"/>
        <v>0</v>
      </c>
      <c r="AV363" s="60">
        <f t="shared" si="1085"/>
        <v>0</v>
      </c>
      <c r="AW363" s="60"/>
      <c r="AX363" s="60"/>
      <c r="AY363" s="60">
        <f t="shared" si="1136"/>
        <v>0</v>
      </c>
      <c r="AZ363" s="60"/>
      <c r="BA363" s="60"/>
      <c r="BB363" s="60">
        <f t="shared" si="1137"/>
        <v>0</v>
      </c>
      <c r="BC363" s="60"/>
      <c r="BD363" s="60"/>
      <c r="BE363" s="60">
        <f t="shared" si="1138"/>
        <v>0</v>
      </c>
      <c r="BF363" s="60">
        <f t="shared" si="1089"/>
        <v>0</v>
      </c>
      <c r="BG363" s="60">
        <f t="shared" si="1090"/>
        <v>0</v>
      </c>
      <c r="BH363" s="60">
        <f t="shared" si="1091"/>
        <v>0</v>
      </c>
      <c r="BI363" s="508"/>
      <c r="BJ363" s="488" t="str">
        <f t="shared" si="1110"/>
        <v>Lò</v>
      </c>
      <c r="BK363" s="523">
        <f t="shared" si="1092"/>
        <v>0</v>
      </c>
      <c r="BL363" s="523">
        <f t="shared" si="1093"/>
        <v>0</v>
      </c>
      <c r="BM363" s="523">
        <f t="shared" si="1094"/>
        <v>0</v>
      </c>
      <c r="BN363" s="523">
        <f t="shared" si="1095"/>
        <v>0</v>
      </c>
      <c r="BO363" s="523">
        <f t="shared" si="1096"/>
        <v>0</v>
      </c>
      <c r="BP363" s="523">
        <f t="shared" si="1097"/>
        <v>0</v>
      </c>
      <c r="BQ363" s="523">
        <f t="shared" si="1098"/>
        <v>0</v>
      </c>
      <c r="BR363" s="523">
        <f t="shared" si="1099"/>
        <v>0</v>
      </c>
      <c r="BS363" s="523">
        <f t="shared" si="1100"/>
        <v>0</v>
      </c>
      <c r="BT363" s="523">
        <f t="shared" si="1101"/>
        <v>0</v>
      </c>
      <c r="BU363" s="523">
        <f t="shared" si="1102"/>
        <v>0</v>
      </c>
      <c r="BV363" s="523">
        <f t="shared" si="1103"/>
        <v>0</v>
      </c>
      <c r="BW363" s="523">
        <f t="shared" si="1104"/>
        <v>0</v>
      </c>
      <c r="BX363" s="523">
        <f t="shared" si="1105"/>
        <v>0</v>
      </c>
      <c r="BY363" s="523">
        <f t="shared" si="1106"/>
        <v>0</v>
      </c>
      <c r="BZ363" s="523">
        <f t="shared" si="1107"/>
        <v>0</v>
      </c>
      <c r="CA363" s="354"/>
      <c r="CB363" s="510" t="b">
        <f t="shared" si="1108"/>
        <v>0</v>
      </c>
      <c r="CC363" s="509" t="str">
        <f t="shared" si="956"/>
        <v>XLM.</v>
      </c>
      <c r="CD363" s="509" t="str">
        <f t="shared" si="1109"/>
        <v>XLM.56</v>
      </c>
      <c r="CE363" s="351" t="str">
        <f t="shared" si="1111"/>
        <v>Lò</v>
      </c>
      <c r="CF363" s="509" t="str">
        <f t="shared" si="957"/>
        <v>XLM.Lò</v>
      </c>
      <c r="CG363" s="509"/>
      <c r="CH363" s="509"/>
    </row>
    <row r="364" spans="1:86" ht="24" customHeight="1" x14ac:dyDescent="0.25">
      <c r="A364" s="354" t="e">
        <f>A319</f>
        <v>#REF!</v>
      </c>
      <c r="B364" s="518"/>
      <c r="C364" s="519" t="s">
        <v>219</v>
      </c>
      <c r="D364" s="447" t="s">
        <v>14</v>
      </c>
      <c r="E364" s="447" t="s">
        <v>873</v>
      </c>
      <c r="F364" s="447"/>
      <c r="G364" s="520">
        <v>24</v>
      </c>
      <c r="H364" s="521">
        <v>0.7</v>
      </c>
      <c r="I364" s="522">
        <f t="shared" si="1064"/>
        <v>0</v>
      </c>
      <c r="J364" s="522">
        <f t="shared" si="1065"/>
        <v>0</v>
      </c>
      <c r="K364" s="522">
        <f t="shared" si="1066"/>
        <v>0</v>
      </c>
      <c r="L364" s="57">
        <f t="shared" si="1067"/>
        <v>0</v>
      </c>
      <c r="M364" s="60"/>
      <c r="N364" s="60"/>
      <c r="O364" s="60">
        <f t="shared" si="1124"/>
        <v>0</v>
      </c>
      <c r="P364" s="60"/>
      <c r="Q364" s="60"/>
      <c r="R364" s="60">
        <f t="shared" si="1125"/>
        <v>0</v>
      </c>
      <c r="S364" s="824"/>
      <c r="T364" s="60"/>
      <c r="U364" s="60">
        <f t="shared" si="1126"/>
        <v>0</v>
      </c>
      <c r="V364" s="60">
        <f t="shared" si="1127"/>
        <v>0</v>
      </c>
      <c r="W364" s="60">
        <f t="shared" si="1128"/>
        <v>0</v>
      </c>
      <c r="X364" s="60">
        <f t="shared" si="1129"/>
        <v>0</v>
      </c>
      <c r="Y364" s="60"/>
      <c r="Z364" s="60"/>
      <c r="AA364" s="60">
        <f t="shared" si="1130"/>
        <v>0</v>
      </c>
      <c r="AB364" s="60"/>
      <c r="AC364" s="60"/>
      <c r="AD364" s="60">
        <f t="shared" si="1131"/>
        <v>0</v>
      </c>
      <c r="AE364" s="60"/>
      <c r="AF364" s="60"/>
      <c r="AG364" s="60">
        <f t="shared" si="1132"/>
        <v>0</v>
      </c>
      <c r="AH364" s="60">
        <f t="shared" si="1077"/>
        <v>0</v>
      </c>
      <c r="AI364" s="60">
        <f t="shared" si="1078"/>
        <v>0</v>
      </c>
      <c r="AJ364" s="60">
        <f t="shared" si="1079"/>
        <v>0</v>
      </c>
      <c r="AK364" s="60"/>
      <c r="AL364" s="60"/>
      <c r="AM364" s="60">
        <f t="shared" si="1133"/>
        <v>0</v>
      </c>
      <c r="AN364" s="60"/>
      <c r="AO364" s="60"/>
      <c r="AP364" s="60">
        <f t="shared" si="1134"/>
        <v>0</v>
      </c>
      <c r="AQ364" s="60"/>
      <c r="AR364" s="60"/>
      <c r="AS364" s="60">
        <f t="shared" si="1135"/>
        <v>0</v>
      </c>
      <c r="AT364" s="60">
        <f t="shared" si="1083"/>
        <v>0</v>
      </c>
      <c r="AU364" s="60">
        <f t="shared" si="1084"/>
        <v>0</v>
      </c>
      <c r="AV364" s="60">
        <f t="shared" si="1085"/>
        <v>0</v>
      </c>
      <c r="AW364" s="60"/>
      <c r="AX364" s="60"/>
      <c r="AY364" s="60">
        <f t="shared" si="1136"/>
        <v>0</v>
      </c>
      <c r="AZ364" s="60"/>
      <c r="BA364" s="60"/>
      <c r="BB364" s="60">
        <f t="shared" si="1137"/>
        <v>0</v>
      </c>
      <c r="BC364" s="60"/>
      <c r="BD364" s="60"/>
      <c r="BE364" s="60">
        <f t="shared" si="1138"/>
        <v>0</v>
      </c>
      <c r="BF364" s="60">
        <f t="shared" si="1089"/>
        <v>0</v>
      </c>
      <c r="BG364" s="60">
        <f t="shared" si="1090"/>
        <v>0</v>
      </c>
      <c r="BH364" s="60">
        <f t="shared" si="1091"/>
        <v>0</v>
      </c>
      <c r="BI364" s="508"/>
      <c r="BJ364" s="488" t="str">
        <f t="shared" si="1110"/>
        <v>Lò</v>
      </c>
      <c r="BK364" s="523">
        <f t="shared" si="1092"/>
        <v>0</v>
      </c>
      <c r="BL364" s="523">
        <f t="shared" si="1093"/>
        <v>0</v>
      </c>
      <c r="BM364" s="523">
        <f t="shared" si="1094"/>
        <v>0</v>
      </c>
      <c r="BN364" s="523">
        <f t="shared" si="1095"/>
        <v>0</v>
      </c>
      <c r="BO364" s="523">
        <f t="shared" si="1096"/>
        <v>0</v>
      </c>
      <c r="BP364" s="523">
        <f t="shared" si="1097"/>
        <v>0</v>
      </c>
      <c r="BQ364" s="523">
        <f t="shared" si="1098"/>
        <v>0</v>
      </c>
      <c r="BR364" s="523">
        <f t="shared" si="1099"/>
        <v>0</v>
      </c>
      <c r="BS364" s="523">
        <f t="shared" si="1100"/>
        <v>0</v>
      </c>
      <c r="BT364" s="523">
        <f t="shared" si="1101"/>
        <v>0</v>
      </c>
      <c r="BU364" s="523">
        <f t="shared" si="1102"/>
        <v>0</v>
      </c>
      <c r="BV364" s="523">
        <f t="shared" si="1103"/>
        <v>0</v>
      </c>
      <c r="BW364" s="523">
        <f t="shared" si="1104"/>
        <v>0</v>
      </c>
      <c r="BX364" s="523">
        <f t="shared" si="1105"/>
        <v>0</v>
      </c>
      <c r="BY364" s="523">
        <f t="shared" si="1106"/>
        <v>0</v>
      </c>
      <c r="BZ364" s="523">
        <f t="shared" si="1107"/>
        <v>0</v>
      </c>
      <c r="CA364" s="354"/>
      <c r="CB364" s="510" t="b">
        <f t="shared" si="1108"/>
        <v>0</v>
      </c>
      <c r="CC364" s="509" t="str">
        <f t="shared" si="956"/>
        <v>XLM.</v>
      </c>
      <c r="CD364" s="509" t="str">
        <f t="shared" si="1109"/>
        <v>XLM.24</v>
      </c>
      <c r="CE364" s="351" t="str">
        <f t="shared" si="1111"/>
        <v>Lò</v>
      </c>
      <c r="CF364" s="509" t="str">
        <f t="shared" si="957"/>
        <v>XLM.Lò</v>
      </c>
      <c r="CG364" s="509"/>
      <c r="CH364" s="509"/>
    </row>
    <row r="365" spans="1:86" ht="24" customHeight="1" x14ac:dyDescent="0.25">
      <c r="A365" s="354" t="e">
        <f t="shared" si="1060"/>
        <v>#REF!</v>
      </c>
      <c r="B365" s="518"/>
      <c r="C365" s="519" t="s">
        <v>220</v>
      </c>
      <c r="D365" s="447" t="s">
        <v>14</v>
      </c>
      <c r="E365" s="447"/>
      <c r="F365" s="447"/>
      <c r="G365" s="520">
        <v>17.899999999999999</v>
      </c>
      <c r="H365" s="521">
        <v>0.7</v>
      </c>
      <c r="I365" s="522">
        <f t="shared" si="1064"/>
        <v>0</v>
      </c>
      <c r="J365" s="522">
        <f t="shared" si="1065"/>
        <v>0</v>
      </c>
      <c r="K365" s="522">
        <f t="shared" si="1066"/>
        <v>0</v>
      </c>
      <c r="L365" s="57">
        <f t="shared" si="1067"/>
        <v>0</v>
      </c>
      <c r="M365" s="60"/>
      <c r="N365" s="60"/>
      <c r="O365" s="60">
        <f t="shared" si="1124"/>
        <v>0</v>
      </c>
      <c r="P365" s="60"/>
      <c r="Q365" s="60"/>
      <c r="R365" s="60">
        <f t="shared" si="1125"/>
        <v>0</v>
      </c>
      <c r="S365" s="824"/>
      <c r="T365" s="60"/>
      <c r="U365" s="60">
        <f t="shared" si="1126"/>
        <v>0</v>
      </c>
      <c r="V365" s="60">
        <f t="shared" si="1127"/>
        <v>0</v>
      </c>
      <c r="W365" s="60">
        <f t="shared" si="1128"/>
        <v>0</v>
      </c>
      <c r="X365" s="60">
        <f t="shared" si="1129"/>
        <v>0</v>
      </c>
      <c r="Y365" s="60"/>
      <c r="Z365" s="60"/>
      <c r="AA365" s="60">
        <f t="shared" si="1130"/>
        <v>0</v>
      </c>
      <c r="AB365" s="60"/>
      <c r="AC365" s="60"/>
      <c r="AD365" s="60">
        <f t="shared" si="1131"/>
        <v>0</v>
      </c>
      <c r="AE365" s="60"/>
      <c r="AF365" s="60"/>
      <c r="AG365" s="60">
        <f t="shared" si="1132"/>
        <v>0</v>
      </c>
      <c r="AH365" s="60">
        <f t="shared" si="1077"/>
        <v>0</v>
      </c>
      <c r="AI365" s="60">
        <f t="shared" si="1078"/>
        <v>0</v>
      </c>
      <c r="AJ365" s="60">
        <f t="shared" si="1079"/>
        <v>0</v>
      </c>
      <c r="AK365" s="60"/>
      <c r="AL365" s="60"/>
      <c r="AM365" s="60">
        <f t="shared" si="1133"/>
        <v>0</v>
      </c>
      <c r="AN365" s="60"/>
      <c r="AO365" s="60"/>
      <c r="AP365" s="60">
        <f t="shared" si="1134"/>
        <v>0</v>
      </c>
      <c r="AQ365" s="60"/>
      <c r="AR365" s="60"/>
      <c r="AS365" s="60">
        <f t="shared" si="1135"/>
        <v>0</v>
      </c>
      <c r="AT365" s="60">
        <f t="shared" si="1083"/>
        <v>0</v>
      </c>
      <c r="AU365" s="60">
        <f t="shared" si="1084"/>
        <v>0</v>
      </c>
      <c r="AV365" s="60">
        <f t="shared" si="1085"/>
        <v>0</v>
      </c>
      <c r="AW365" s="60"/>
      <c r="AX365" s="60"/>
      <c r="AY365" s="60">
        <f t="shared" si="1136"/>
        <v>0</v>
      </c>
      <c r="AZ365" s="60"/>
      <c r="BA365" s="60"/>
      <c r="BB365" s="60">
        <f t="shared" si="1137"/>
        <v>0</v>
      </c>
      <c r="BC365" s="60"/>
      <c r="BD365" s="60"/>
      <c r="BE365" s="60">
        <f t="shared" si="1138"/>
        <v>0</v>
      </c>
      <c r="BF365" s="60">
        <f t="shared" si="1089"/>
        <v>0</v>
      </c>
      <c r="BG365" s="60">
        <f t="shared" si="1090"/>
        <v>0</v>
      </c>
      <c r="BH365" s="60">
        <f t="shared" si="1091"/>
        <v>0</v>
      </c>
      <c r="BI365" s="508"/>
      <c r="BJ365" s="488" t="str">
        <f t="shared" si="1110"/>
        <v>Lò</v>
      </c>
      <c r="BK365" s="523">
        <f t="shared" si="1092"/>
        <v>0</v>
      </c>
      <c r="BL365" s="523">
        <f t="shared" si="1093"/>
        <v>0</v>
      </c>
      <c r="BM365" s="523">
        <f t="shared" si="1094"/>
        <v>0</v>
      </c>
      <c r="BN365" s="523">
        <f t="shared" si="1095"/>
        <v>0</v>
      </c>
      <c r="BO365" s="523">
        <f t="shared" si="1096"/>
        <v>0</v>
      </c>
      <c r="BP365" s="523">
        <f t="shared" si="1097"/>
        <v>0</v>
      </c>
      <c r="BQ365" s="523">
        <f t="shared" si="1098"/>
        <v>0</v>
      </c>
      <c r="BR365" s="523">
        <f t="shared" si="1099"/>
        <v>0</v>
      </c>
      <c r="BS365" s="523">
        <f t="shared" si="1100"/>
        <v>0</v>
      </c>
      <c r="BT365" s="523">
        <f t="shared" si="1101"/>
        <v>0</v>
      </c>
      <c r="BU365" s="523">
        <f t="shared" si="1102"/>
        <v>0</v>
      </c>
      <c r="BV365" s="523">
        <f t="shared" si="1103"/>
        <v>0</v>
      </c>
      <c r="BW365" s="523">
        <f t="shared" si="1104"/>
        <v>0</v>
      </c>
      <c r="BX365" s="523">
        <f t="shared" si="1105"/>
        <v>0</v>
      </c>
      <c r="BY365" s="523">
        <f t="shared" si="1106"/>
        <v>0</v>
      </c>
      <c r="BZ365" s="523">
        <f t="shared" si="1107"/>
        <v>0</v>
      </c>
      <c r="CA365" s="354"/>
      <c r="CB365" s="510" t="b">
        <f t="shared" si="1108"/>
        <v>0</v>
      </c>
      <c r="CC365" s="509" t="str">
        <f t="shared" si="956"/>
        <v>XLM.</v>
      </c>
      <c r="CD365" s="509" t="str">
        <f t="shared" si="1109"/>
        <v>XLM.17,9</v>
      </c>
      <c r="CE365" s="351" t="str">
        <f t="shared" si="1111"/>
        <v>Lò</v>
      </c>
      <c r="CF365" s="509" t="str">
        <f t="shared" si="957"/>
        <v>XLM.Lò</v>
      </c>
      <c r="CG365" s="509"/>
      <c r="CH365" s="509"/>
    </row>
    <row r="366" spans="1:86" ht="24" customHeight="1" x14ac:dyDescent="0.25">
      <c r="A366" s="354" t="e">
        <f>#REF!</f>
        <v>#REF!</v>
      </c>
      <c r="B366" s="518"/>
      <c r="C366" s="519" t="s">
        <v>222</v>
      </c>
      <c r="D366" s="447" t="s">
        <v>14</v>
      </c>
      <c r="E366" s="447" t="s">
        <v>873</v>
      </c>
      <c r="F366" s="447"/>
      <c r="G366" s="520">
        <v>22</v>
      </c>
      <c r="H366" s="521">
        <v>0.7</v>
      </c>
      <c r="I366" s="522">
        <f t="shared" si="1064"/>
        <v>0</v>
      </c>
      <c r="J366" s="522">
        <f t="shared" si="1065"/>
        <v>0</v>
      </c>
      <c r="K366" s="522">
        <f t="shared" si="1066"/>
        <v>0</v>
      </c>
      <c r="L366" s="57">
        <f t="shared" si="1067"/>
        <v>0</v>
      </c>
      <c r="M366" s="60"/>
      <c r="N366" s="60"/>
      <c r="O366" s="60">
        <f t="shared" si="1124"/>
        <v>0</v>
      </c>
      <c r="P366" s="60"/>
      <c r="Q366" s="60"/>
      <c r="R366" s="60">
        <f t="shared" si="1125"/>
        <v>0</v>
      </c>
      <c r="S366" s="824"/>
      <c r="T366" s="60"/>
      <c r="U366" s="60">
        <f t="shared" si="1126"/>
        <v>0</v>
      </c>
      <c r="V366" s="60">
        <f t="shared" si="1127"/>
        <v>0</v>
      </c>
      <c r="W366" s="60">
        <f t="shared" si="1128"/>
        <v>0</v>
      </c>
      <c r="X366" s="60">
        <f t="shared" si="1129"/>
        <v>0</v>
      </c>
      <c r="Y366" s="60"/>
      <c r="Z366" s="60"/>
      <c r="AA366" s="60">
        <f t="shared" si="1130"/>
        <v>0</v>
      </c>
      <c r="AB366" s="60"/>
      <c r="AC366" s="60"/>
      <c r="AD366" s="60">
        <f t="shared" si="1131"/>
        <v>0</v>
      </c>
      <c r="AE366" s="60"/>
      <c r="AF366" s="60"/>
      <c r="AG366" s="60">
        <f t="shared" si="1132"/>
        <v>0</v>
      </c>
      <c r="AH366" s="60">
        <f t="shared" si="1077"/>
        <v>0</v>
      </c>
      <c r="AI366" s="60">
        <f t="shared" si="1078"/>
        <v>0</v>
      </c>
      <c r="AJ366" s="60">
        <f t="shared" si="1079"/>
        <v>0</v>
      </c>
      <c r="AK366" s="60"/>
      <c r="AL366" s="60"/>
      <c r="AM366" s="60">
        <f t="shared" si="1133"/>
        <v>0</v>
      </c>
      <c r="AN366" s="60"/>
      <c r="AO366" s="60"/>
      <c r="AP366" s="60">
        <f t="shared" si="1134"/>
        <v>0</v>
      </c>
      <c r="AQ366" s="60"/>
      <c r="AR366" s="60"/>
      <c r="AS366" s="60">
        <f t="shared" si="1135"/>
        <v>0</v>
      </c>
      <c r="AT366" s="60">
        <f t="shared" si="1083"/>
        <v>0</v>
      </c>
      <c r="AU366" s="60">
        <f t="shared" si="1084"/>
        <v>0</v>
      </c>
      <c r="AV366" s="60">
        <f t="shared" si="1085"/>
        <v>0</v>
      </c>
      <c r="AW366" s="60"/>
      <c r="AX366" s="60"/>
      <c r="AY366" s="60">
        <f t="shared" si="1136"/>
        <v>0</v>
      </c>
      <c r="AZ366" s="60"/>
      <c r="BA366" s="60"/>
      <c r="BB366" s="60">
        <f t="shared" si="1137"/>
        <v>0</v>
      </c>
      <c r="BC366" s="60"/>
      <c r="BD366" s="60"/>
      <c r="BE366" s="60">
        <f t="shared" si="1138"/>
        <v>0</v>
      </c>
      <c r="BF366" s="60">
        <f t="shared" si="1089"/>
        <v>0</v>
      </c>
      <c r="BG366" s="60">
        <f t="shared" si="1090"/>
        <v>0</v>
      </c>
      <c r="BH366" s="60">
        <f t="shared" si="1091"/>
        <v>0</v>
      </c>
      <c r="BI366" s="508"/>
      <c r="BJ366" s="488" t="str">
        <f t="shared" si="1110"/>
        <v>Lò</v>
      </c>
      <c r="BK366" s="523">
        <f t="shared" si="1092"/>
        <v>0</v>
      </c>
      <c r="BL366" s="523">
        <f t="shared" si="1093"/>
        <v>0</v>
      </c>
      <c r="BM366" s="523">
        <f t="shared" si="1094"/>
        <v>0</v>
      </c>
      <c r="BN366" s="523">
        <f t="shared" si="1095"/>
        <v>0</v>
      </c>
      <c r="BO366" s="523">
        <f t="shared" si="1096"/>
        <v>0</v>
      </c>
      <c r="BP366" s="523">
        <f t="shared" si="1097"/>
        <v>0</v>
      </c>
      <c r="BQ366" s="523">
        <f t="shared" si="1098"/>
        <v>0</v>
      </c>
      <c r="BR366" s="523">
        <f t="shared" si="1099"/>
        <v>0</v>
      </c>
      <c r="BS366" s="523">
        <f t="shared" si="1100"/>
        <v>0</v>
      </c>
      <c r="BT366" s="523">
        <f t="shared" si="1101"/>
        <v>0</v>
      </c>
      <c r="BU366" s="523">
        <f t="shared" si="1102"/>
        <v>0</v>
      </c>
      <c r="BV366" s="523">
        <f t="shared" si="1103"/>
        <v>0</v>
      </c>
      <c r="BW366" s="523">
        <f t="shared" si="1104"/>
        <v>0</v>
      </c>
      <c r="BX366" s="523">
        <f t="shared" si="1105"/>
        <v>0</v>
      </c>
      <c r="BY366" s="523">
        <f t="shared" si="1106"/>
        <v>0</v>
      </c>
      <c r="BZ366" s="523">
        <f t="shared" si="1107"/>
        <v>0</v>
      </c>
      <c r="CA366" s="354"/>
      <c r="CB366" s="510" t="b">
        <f t="shared" si="1108"/>
        <v>0</v>
      </c>
      <c r="CC366" s="509" t="str">
        <f t="shared" si="956"/>
        <v>XLM.</v>
      </c>
      <c r="CD366" s="509" t="str">
        <f t="shared" si="1109"/>
        <v>XLM.22</v>
      </c>
      <c r="CE366" s="351" t="str">
        <f t="shared" si="1111"/>
        <v>Lò</v>
      </c>
      <c r="CF366" s="509" t="str">
        <f t="shared" si="957"/>
        <v>XLM.Lò</v>
      </c>
      <c r="CG366" s="509"/>
      <c r="CH366" s="509"/>
    </row>
    <row r="367" spans="1:86" ht="24" customHeight="1" x14ac:dyDescent="0.25">
      <c r="A367" s="354" t="e">
        <f t="shared" si="1060"/>
        <v>#REF!</v>
      </c>
      <c r="B367" s="518"/>
      <c r="C367" s="519" t="s">
        <v>209</v>
      </c>
      <c r="D367" s="447" t="s">
        <v>14</v>
      </c>
      <c r="E367" s="447"/>
      <c r="F367" s="447"/>
      <c r="G367" s="520">
        <v>11.2</v>
      </c>
      <c r="H367" s="521">
        <v>0.7</v>
      </c>
      <c r="I367" s="522">
        <f t="shared" si="1064"/>
        <v>0</v>
      </c>
      <c r="J367" s="522">
        <f t="shared" si="1065"/>
        <v>0</v>
      </c>
      <c r="K367" s="522">
        <f t="shared" si="1066"/>
        <v>0</v>
      </c>
      <c r="L367" s="57">
        <f t="shared" si="1067"/>
        <v>0</v>
      </c>
      <c r="M367" s="60"/>
      <c r="N367" s="60"/>
      <c r="O367" s="60">
        <f t="shared" si="1124"/>
        <v>0</v>
      </c>
      <c r="P367" s="60"/>
      <c r="Q367" s="60"/>
      <c r="R367" s="60">
        <f t="shared" si="1125"/>
        <v>0</v>
      </c>
      <c r="S367" s="824"/>
      <c r="T367" s="60"/>
      <c r="U367" s="60">
        <f t="shared" si="1126"/>
        <v>0</v>
      </c>
      <c r="V367" s="60">
        <f t="shared" si="1127"/>
        <v>0</v>
      </c>
      <c r="W367" s="60">
        <f t="shared" si="1128"/>
        <v>0</v>
      </c>
      <c r="X367" s="60">
        <f t="shared" si="1129"/>
        <v>0</v>
      </c>
      <c r="Y367" s="60"/>
      <c r="Z367" s="60"/>
      <c r="AA367" s="60">
        <f t="shared" si="1130"/>
        <v>0</v>
      </c>
      <c r="AB367" s="60"/>
      <c r="AC367" s="60"/>
      <c r="AD367" s="60">
        <f t="shared" si="1131"/>
        <v>0</v>
      </c>
      <c r="AE367" s="60"/>
      <c r="AF367" s="60"/>
      <c r="AG367" s="60">
        <f t="shared" si="1132"/>
        <v>0</v>
      </c>
      <c r="AH367" s="60">
        <f t="shared" si="1077"/>
        <v>0</v>
      </c>
      <c r="AI367" s="60">
        <f t="shared" si="1078"/>
        <v>0</v>
      </c>
      <c r="AJ367" s="60">
        <f t="shared" si="1079"/>
        <v>0</v>
      </c>
      <c r="AK367" s="60"/>
      <c r="AL367" s="60"/>
      <c r="AM367" s="60">
        <f t="shared" si="1133"/>
        <v>0</v>
      </c>
      <c r="AN367" s="60"/>
      <c r="AO367" s="60"/>
      <c r="AP367" s="60">
        <f t="shared" si="1134"/>
        <v>0</v>
      </c>
      <c r="AQ367" s="60"/>
      <c r="AR367" s="60"/>
      <c r="AS367" s="60">
        <f t="shared" si="1135"/>
        <v>0</v>
      </c>
      <c r="AT367" s="60">
        <f t="shared" si="1083"/>
        <v>0</v>
      </c>
      <c r="AU367" s="60">
        <f t="shared" si="1084"/>
        <v>0</v>
      </c>
      <c r="AV367" s="60">
        <f t="shared" si="1085"/>
        <v>0</v>
      </c>
      <c r="AW367" s="60"/>
      <c r="AX367" s="60"/>
      <c r="AY367" s="60">
        <f t="shared" si="1136"/>
        <v>0</v>
      </c>
      <c r="AZ367" s="60"/>
      <c r="BA367" s="60"/>
      <c r="BB367" s="60">
        <f t="shared" si="1137"/>
        <v>0</v>
      </c>
      <c r="BC367" s="60"/>
      <c r="BD367" s="60"/>
      <c r="BE367" s="60">
        <f t="shared" si="1138"/>
        <v>0</v>
      </c>
      <c r="BF367" s="60">
        <f t="shared" si="1089"/>
        <v>0</v>
      </c>
      <c r="BG367" s="60">
        <f t="shared" si="1090"/>
        <v>0</v>
      </c>
      <c r="BH367" s="60">
        <f t="shared" si="1091"/>
        <v>0</v>
      </c>
      <c r="BI367" s="508"/>
      <c r="BJ367" s="488" t="str">
        <f t="shared" si="1110"/>
        <v>Lò</v>
      </c>
      <c r="BK367" s="523">
        <f t="shared" si="1092"/>
        <v>0</v>
      </c>
      <c r="BL367" s="523">
        <f t="shared" si="1093"/>
        <v>0</v>
      </c>
      <c r="BM367" s="523">
        <f t="shared" si="1094"/>
        <v>0</v>
      </c>
      <c r="BN367" s="523">
        <f t="shared" si="1095"/>
        <v>0</v>
      </c>
      <c r="BO367" s="523">
        <f t="shared" si="1096"/>
        <v>0</v>
      </c>
      <c r="BP367" s="523">
        <f t="shared" si="1097"/>
        <v>0</v>
      </c>
      <c r="BQ367" s="523">
        <f t="shared" si="1098"/>
        <v>0</v>
      </c>
      <c r="BR367" s="523">
        <f t="shared" si="1099"/>
        <v>0</v>
      </c>
      <c r="BS367" s="523">
        <f t="shared" si="1100"/>
        <v>0</v>
      </c>
      <c r="BT367" s="523">
        <f t="shared" si="1101"/>
        <v>0</v>
      </c>
      <c r="BU367" s="523">
        <f t="shared" si="1102"/>
        <v>0</v>
      </c>
      <c r="BV367" s="523">
        <f t="shared" si="1103"/>
        <v>0</v>
      </c>
      <c r="BW367" s="523">
        <f t="shared" si="1104"/>
        <v>0</v>
      </c>
      <c r="BX367" s="523">
        <f t="shared" si="1105"/>
        <v>0</v>
      </c>
      <c r="BY367" s="523">
        <f t="shared" si="1106"/>
        <v>0</v>
      </c>
      <c r="BZ367" s="523">
        <f t="shared" si="1107"/>
        <v>0</v>
      </c>
      <c r="CA367" s="354"/>
      <c r="CB367" s="510" t="b">
        <f t="shared" si="1108"/>
        <v>0</v>
      </c>
      <c r="CC367" s="509" t="str">
        <f t="shared" si="956"/>
        <v>XLM.</v>
      </c>
      <c r="CD367" s="509" t="str">
        <f t="shared" si="1109"/>
        <v>XLM.11,2</v>
      </c>
      <c r="CE367" s="351" t="str">
        <f t="shared" si="1111"/>
        <v>Lò</v>
      </c>
      <c r="CF367" s="509" t="str">
        <f t="shared" si="957"/>
        <v>XLM.Lò</v>
      </c>
      <c r="CG367" s="509"/>
      <c r="CH367" s="509"/>
    </row>
    <row r="368" spans="1:86" ht="24" customHeight="1" x14ac:dyDescent="0.25">
      <c r="A368" s="354" t="e">
        <f t="shared" si="1060"/>
        <v>#REF!</v>
      </c>
      <c r="B368" s="518"/>
      <c r="C368" s="519" t="s">
        <v>209</v>
      </c>
      <c r="D368" s="447" t="s">
        <v>14</v>
      </c>
      <c r="E368" s="447"/>
      <c r="F368" s="447"/>
      <c r="G368" s="520">
        <v>11.2</v>
      </c>
      <c r="H368" s="521">
        <v>0.7</v>
      </c>
      <c r="I368" s="522">
        <f t="shared" si="1064"/>
        <v>0</v>
      </c>
      <c r="J368" s="522">
        <f t="shared" si="1065"/>
        <v>0</v>
      </c>
      <c r="K368" s="522">
        <f t="shared" si="1066"/>
        <v>0</v>
      </c>
      <c r="L368" s="57">
        <f t="shared" si="1067"/>
        <v>0</v>
      </c>
      <c r="M368" s="60"/>
      <c r="N368" s="60"/>
      <c r="O368" s="60">
        <f t="shared" si="1124"/>
        <v>0</v>
      </c>
      <c r="P368" s="60"/>
      <c r="Q368" s="60"/>
      <c r="R368" s="60">
        <f t="shared" si="1125"/>
        <v>0</v>
      </c>
      <c r="S368" s="824"/>
      <c r="T368" s="60"/>
      <c r="U368" s="60">
        <f t="shared" si="1126"/>
        <v>0</v>
      </c>
      <c r="V368" s="60">
        <f t="shared" si="1127"/>
        <v>0</v>
      </c>
      <c r="W368" s="60">
        <f t="shared" si="1128"/>
        <v>0</v>
      </c>
      <c r="X368" s="60">
        <f t="shared" si="1129"/>
        <v>0</v>
      </c>
      <c r="Y368" s="60"/>
      <c r="Z368" s="60"/>
      <c r="AA368" s="60">
        <f t="shared" si="1130"/>
        <v>0</v>
      </c>
      <c r="AB368" s="60"/>
      <c r="AC368" s="60"/>
      <c r="AD368" s="60">
        <f t="shared" si="1131"/>
        <v>0</v>
      </c>
      <c r="AE368" s="60"/>
      <c r="AF368" s="60"/>
      <c r="AG368" s="60">
        <f t="shared" si="1132"/>
        <v>0</v>
      </c>
      <c r="AH368" s="60">
        <f t="shared" si="1077"/>
        <v>0</v>
      </c>
      <c r="AI368" s="60">
        <f t="shared" si="1078"/>
        <v>0</v>
      </c>
      <c r="AJ368" s="60">
        <f t="shared" si="1079"/>
        <v>0</v>
      </c>
      <c r="AK368" s="60"/>
      <c r="AL368" s="60"/>
      <c r="AM368" s="60">
        <f t="shared" si="1133"/>
        <v>0</v>
      </c>
      <c r="AN368" s="60"/>
      <c r="AO368" s="60"/>
      <c r="AP368" s="60">
        <f t="shared" si="1134"/>
        <v>0</v>
      </c>
      <c r="AQ368" s="60"/>
      <c r="AR368" s="60"/>
      <c r="AS368" s="60">
        <f t="shared" si="1135"/>
        <v>0</v>
      </c>
      <c r="AT368" s="60">
        <f t="shared" si="1083"/>
        <v>0</v>
      </c>
      <c r="AU368" s="60">
        <f t="shared" si="1084"/>
        <v>0</v>
      </c>
      <c r="AV368" s="60">
        <f t="shared" si="1085"/>
        <v>0</v>
      </c>
      <c r="AW368" s="60"/>
      <c r="AX368" s="60"/>
      <c r="AY368" s="60">
        <f t="shared" si="1136"/>
        <v>0</v>
      </c>
      <c r="AZ368" s="60"/>
      <c r="BA368" s="60"/>
      <c r="BB368" s="60">
        <f t="shared" si="1137"/>
        <v>0</v>
      </c>
      <c r="BC368" s="60"/>
      <c r="BD368" s="60"/>
      <c r="BE368" s="60">
        <f t="shared" si="1138"/>
        <v>0</v>
      </c>
      <c r="BF368" s="60">
        <f t="shared" si="1089"/>
        <v>0</v>
      </c>
      <c r="BG368" s="60">
        <f t="shared" si="1090"/>
        <v>0</v>
      </c>
      <c r="BH368" s="60">
        <f t="shared" si="1091"/>
        <v>0</v>
      </c>
      <c r="BI368" s="508"/>
      <c r="BJ368" s="488" t="str">
        <f t="shared" si="1110"/>
        <v>Lò</v>
      </c>
      <c r="BK368" s="523">
        <f t="shared" si="1092"/>
        <v>0</v>
      </c>
      <c r="BL368" s="523">
        <f t="shared" si="1093"/>
        <v>0</v>
      </c>
      <c r="BM368" s="523">
        <f t="shared" si="1094"/>
        <v>0</v>
      </c>
      <c r="BN368" s="523">
        <f t="shared" si="1095"/>
        <v>0</v>
      </c>
      <c r="BO368" s="523">
        <f t="shared" si="1096"/>
        <v>0</v>
      </c>
      <c r="BP368" s="523">
        <f t="shared" si="1097"/>
        <v>0</v>
      </c>
      <c r="BQ368" s="523">
        <f t="shared" si="1098"/>
        <v>0</v>
      </c>
      <c r="BR368" s="523">
        <f t="shared" si="1099"/>
        <v>0</v>
      </c>
      <c r="BS368" s="523">
        <f t="shared" si="1100"/>
        <v>0</v>
      </c>
      <c r="BT368" s="523">
        <f t="shared" si="1101"/>
        <v>0</v>
      </c>
      <c r="BU368" s="523">
        <f t="shared" si="1102"/>
        <v>0</v>
      </c>
      <c r="BV368" s="523">
        <f t="shared" si="1103"/>
        <v>0</v>
      </c>
      <c r="BW368" s="523">
        <f t="shared" si="1104"/>
        <v>0</v>
      </c>
      <c r="BX368" s="523">
        <f t="shared" si="1105"/>
        <v>0</v>
      </c>
      <c r="BY368" s="523">
        <f t="shared" si="1106"/>
        <v>0</v>
      </c>
      <c r="BZ368" s="523">
        <f t="shared" si="1107"/>
        <v>0</v>
      </c>
      <c r="CA368" s="354"/>
      <c r="CB368" s="510" t="b">
        <f t="shared" si="1108"/>
        <v>0</v>
      </c>
      <c r="CC368" s="509" t="str">
        <f t="shared" si="956"/>
        <v>XLM.</v>
      </c>
      <c r="CD368" s="509" t="str">
        <f t="shared" si="1109"/>
        <v>XLM.11,2</v>
      </c>
      <c r="CE368" s="351" t="str">
        <f t="shared" si="1111"/>
        <v>Lò</v>
      </c>
      <c r="CF368" s="509" t="str">
        <f t="shared" si="957"/>
        <v>XLM.Lò</v>
      </c>
      <c r="CG368" s="509"/>
      <c r="CH368" s="509"/>
    </row>
    <row r="369" spans="1:86" s="359" customFormat="1" ht="21.75" customHeight="1" x14ac:dyDescent="0.3">
      <c r="A369" s="354" t="e">
        <f t="shared" si="1060"/>
        <v>#REF!</v>
      </c>
      <c r="B369" s="525" t="s">
        <v>37</v>
      </c>
      <c r="C369" s="526" t="s">
        <v>178</v>
      </c>
      <c r="D369" s="527"/>
      <c r="E369" s="527"/>
      <c r="F369" s="527"/>
      <c r="G369" s="528"/>
      <c r="H369" s="529"/>
      <c r="I369" s="70">
        <f t="shared" ref="I369:AN369" si="1139">SUM(I370:I378)</f>
        <v>133</v>
      </c>
      <c r="J369" s="70">
        <f t="shared" si="1139"/>
        <v>128</v>
      </c>
      <c r="K369" s="70">
        <f t="shared" si="1139"/>
        <v>5</v>
      </c>
      <c r="L369" s="70">
        <f t="shared" si="1139"/>
        <v>0</v>
      </c>
      <c r="M369" s="210">
        <f t="shared" si="1139"/>
        <v>45</v>
      </c>
      <c r="N369" s="210">
        <f t="shared" si="1139"/>
        <v>40</v>
      </c>
      <c r="O369" s="210">
        <f t="shared" si="1139"/>
        <v>5</v>
      </c>
      <c r="P369" s="210">
        <f t="shared" si="1139"/>
        <v>30</v>
      </c>
      <c r="Q369" s="210">
        <f t="shared" si="1139"/>
        <v>30</v>
      </c>
      <c r="R369" s="210">
        <f t="shared" si="1139"/>
        <v>0</v>
      </c>
      <c r="S369" s="829">
        <f t="shared" si="1139"/>
        <v>45</v>
      </c>
      <c r="T369" s="210">
        <f t="shared" si="1139"/>
        <v>45</v>
      </c>
      <c r="U369" s="210">
        <f t="shared" si="1139"/>
        <v>0</v>
      </c>
      <c r="V369" s="224">
        <f t="shared" si="1139"/>
        <v>120</v>
      </c>
      <c r="W369" s="224">
        <f t="shared" si="1139"/>
        <v>115</v>
      </c>
      <c r="X369" s="224">
        <f t="shared" si="1139"/>
        <v>5</v>
      </c>
      <c r="Y369" s="210">
        <f t="shared" si="1139"/>
        <v>13</v>
      </c>
      <c r="Z369" s="210">
        <f t="shared" si="1139"/>
        <v>13</v>
      </c>
      <c r="AA369" s="210">
        <f t="shared" si="1139"/>
        <v>0</v>
      </c>
      <c r="AB369" s="210">
        <f t="shared" si="1139"/>
        <v>0</v>
      </c>
      <c r="AC369" s="210">
        <f t="shared" si="1139"/>
        <v>0</v>
      </c>
      <c r="AD369" s="210">
        <f t="shared" si="1139"/>
        <v>0</v>
      </c>
      <c r="AE369" s="210">
        <f t="shared" si="1139"/>
        <v>0</v>
      </c>
      <c r="AF369" s="210">
        <f t="shared" si="1139"/>
        <v>0</v>
      </c>
      <c r="AG369" s="210">
        <f t="shared" si="1139"/>
        <v>0</v>
      </c>
      <c r="AH369" s="224">
        <f t="shared" si="1139"/>
        <v>13</v>
      </c>
      <c r="AI369" s="224">
        <f t="shared" si="1139"/>
        <v>13</v>
      </c>
      <c r="AJ369" s="224">
        <f t="shared" si="1139"/>
        <v>0</v>
      </c>
      <c r="AK369" s="210">
        <f t="shared" si="1139"/>
        <v>0</v>
      </c>
      <c r="AL369" s="210">
        <f t="shared" si="1139"/>
        <v>0</v>
      </c>
      <c r="AM369" s="210">
        <f t="shared" si="1139"/>
        <v>0</v>
      </c>
      <c r="AN369" s="210">
        <f t="shared" si="1139"/>
        <v>0</v>
      </c>
      <c r="AO369" s="210">
        <f t="shared" ref="AO369:BH369" si="1140">SUM(AO370:AO378)</f>
        <v>0</v>
      </c>
      <c r="AP369" s="210">
        <f t="shared" si="1140"/>
        <v>0</v>
      </c>
      <c r="AQ369" s="210">
        <f t="shared" si="1140"/>
        <v>0</v>
      </c>
      <c r="AR369" s="210">
        <f t="shared" si="1140"/>
        <v>0</v>
      </c>
      <c r="AS369" s="210">
        <f t="shared" si="1140"/>
        <v>0</v>
      </c>
      <c r="AT369" s="224">
        <f t="shared" si="1140"/>
        <v>0</v>
      </c>
      <c r="AU369" s="224">
        <f t="shared" si="1140"/>
        <v>0</v>
      </c>
      <c r="AV369" s="224">
        <f t="shared" si="1140"/>
        <v>0</v>
      </c>
      <c r="AW369" s="210">
        <f t="shared" si="1140"/>
        <v>0</v>
      </c>
      <c r="AX369" s="210">
        <f t="shared" si="1140"/>
        <v>0</v>
      </c>
      <c r="AY369" s="210">
        <f t="shared" si="1140"/>
        <v>0</v>
      </c>
      <c r="AZ369" s="210">
        <f t="shared" si="1140"/>
        <v>0</v>
      </c>
      <c r="BA369" s="210">
        <f t="shared" si="1140"/>
        <v>0</v>
      </c>
      <c r="BB369" s="210">
        <f t="shared" si="1140"/>
        <v>0</v>
      </c>
      <c r="BC369" s="210">
        <f t="shared" si="1140"/>
        <v>0</v>
      </c>
      <c r="BD369" s="210">
        <f t="shared" si="1140"/>
        <v>0</v>
      </c>
      <c r="BE369" s="210">
        <f t="shared" si="1140"/>
        <v>0</v>
      </c>
      <c r="BF369" s="224">
        <f t="shared" si="1140"/>
        <v>0</v>
      </c>
      <c r="BG369" s="224">
        <f t="shared" si="1140"/>
        <v>0</v>
      </c>
      <c r="BH369" s="224">
        <f t="shared" si="1140"/>
        <v>0</v>
      </c>
      <c r="BI369" s="530"/>
      <c r="BJ369" s="488" t="str">
        <f t="shared" si="1110"/>
        <v>XL</v>
      </c>
      <c r="BK369" s="225">
        <f>SUM(BK370:BK378)</f>
        <v>0</v>
      </c>
      <c r="BL369" s="225">
        <f t="shared" ref="BL369:BZ369" si="1141">SUM(BL370:BL378)</f>
        <v>0</v>
      </c>
      <c r="BM369" s="225">
        <f t="shared" si="1141"/>
        <v>0</v>
      </c>
      <c r="BN369" s="225">
        <f t="shared" si="1141"/>
        <v>0</v>
      </c>
      <c r="BO369" s="225">
        <f t="shared" si="1141"/>
        <v>0</v>
      </c>
      <c r="BP369" s="225">
        <f t="shared" si="1141"/>
        <v>0</v>
      </c>
      <c r="BQ369" s="225">
        <f t="shared" si="1141"/>
        <v>0</v>
      </c>
      <c r="BR369" s="225">
        <f t="shared" si="1141"/>
        <v>0</v>
      </c>
      <c r="BS369" s="225">
        <f t="shared" si="1141"/>
        <v>0</v>
      </c>
      <c r="BT369" s="225">
        <f t="shared" si="1141"/>
        <v>0</v>
      </c>
      <c r="BU369" s="225">
        <f t="shared" si="1141"/>
        <v>0</v>
      </c>
      <c r="BV369" s="225">
        <f t="shared" si="1141"/>
        <v>0</v>
      </c>
      <c r="BW369" s="225">
        <f t="shared" si="1141"/>
        <v>0</v>
      </c>
      <c r="BX369" s="225">
        <f t="shared" si="1141"/>
        <v>0</v>
      </c>
      <c r="BY369" s="225">
        <f t="shared" si="1141"/>
        <v>0</v>
      </c>
      <c r="BZ369" s="225">
        <f t="shared" si="1141"/>
        <v>0</v>
      </c>
      <c r="CA369" s="510"/>
      <c r="CB369" s="510" t="str">
        <f t="shared" si="1108"/>
        <v>X</v>
      </c>
      <c r="CC369" s="509" t="str">
        <f t="shared" si="956"/>
        <v>XLM.</v>
      </c>
      <c r="CD369" s="509" t="str">
        <f t="shared" si="1109"/>
        <v>XLM.</v>
      </c>
      <c r="CE369" s="351" t="str">
        <f t="shared" si="1111"/>
        <v>XL</v>
      </c>
      <c r="CF369" s="509" t="str">
        <f t="shared" si="957"/>
        <v>XLM.XL</v>
      </c>
      <c r="CG369" s="509"/>
      <c r="CH369" s="509"/>
    </row>
    <row r="370" spans="1:86" ht="24.75" customHeight="1" x14ac:dyDescent="0.25">
      <c r="A370" s="354" t="e">
        <f t="shared" si="1060"/>
        <v>#REF!</v>
      </c>
      <c r="B370" s="484"/>
      <c r="C370" s="531" t="s">
        <v>771</v>
      </c>
      <c r="D370" s="447" t="s">
        <v>14</v>
      </c>
      <c r="E370" s="447"/>
      <c r="F370" s="447"/>
      <c r="G370" s="520">
        <v>16.100000000000001</v>
      </c>
      <c r="H370" s="521">
        <v>0.7</v>
      </c>
      <c r="I370" s="522">
        <f t="shared" ref="I370:I378" si="1142">V370+AH370+AT370+BF370</f>
        <v>133</v>
      </c>
      <c r="J370" s="522">
        <f t="shared" ref="J370:J378" si="1143">W370+AI370+AU370+BG370</f>
        <v>128</v>
      </c>
      <c r="K370" s="522">
        <f t="shared" ref="K370:K378" si="1144">X370+AJ370+AV370+BH370</f>
        <v>5</v>
      </c>
      <c r="L370" s="57">
        <f t="shared" ref="L370:L378" si="1145">BN370+BR370+BV370+BZ370</f>
        <v>0</v>
      </c>
      <c r="M370" s="60">
        <v>45</v>
      </c>
      <c r="N370" s="60">
        <v>40</v>
      </c>
      <c r="O370" s="60">
        <f t="shared" ref="O370:O378" si="1146">M370-N370</f>
        <v>5</v>
      </c>
      <c r="P370" s="60">
        <v>30</v>
      </c>
      <c r="Q370" s="60">
        <v>30</v>
      </c>
      <c r="R370" s="60">
        <f t="shared" ref="R370:R378" si="1147">P370-Q370</f>
        <v>0</v>
      </c>
      <c r="S370" s="824">
        <v>45</v>
      </c>
      <c r="T370" s="60">
        <v>45</v>
      </c>
      <c r="U370" s="60">
        <f t="shared" ref="U370:U378" si="1148">S370-T370</f>
        <v>0</v>
      </c>
      <c r="V370" s="60">
        <f t="shared" ref="V370:V378" si="1149">M370+P370+S370</f>
        <v>120</v>
      </c>
      <c r="W370" s="60">
        <f t="shared" ref="W370:W378" si="1150">N370+Q370+T370</f>
        <v>115</v>
      </c>
      <c r="X370" s="60">
        <f t="shared" ref="X370:X378" si="1151">O370+R370+U370</f>
        <v>5</v>
      </c>
      <c r="Y370" s="60">
        <v>13</v>
      </c>
      <c r="Z370" s="60">
        <v>13</v>
      </c>
      <c r="AA370" s="60">
        <f t="shared" ref="AA370:AA378" si="1152">Y370-Z370</f>
        <v>0</v>
      </c>
      <c r="AB370" s="60"/>
      <c r="AC370" s="60"/>
      <c r="AD370" s="60">
        <f t="shared" ref="AD370:AD378" si="1153">AB370-AC370</f>
        <v>0</v>
      </c>
      <c r="AE370" s="60"/>
      <c r="AF370" s="60"/>
      <c r="AG370" s="60">
        <f t="shared" ref="AG370:AG378" si="1154">AE370-AF370</f>
        <v>0</v>
      </c>
      <c r="AH370" s="60">
        <f t="shared" ref="AH370:AH378" si="1155">Y370+AB370+AE370</f>
        <v>13</v>
      </c>
      <c r="AI370" s="60">
        <f t="shared" ref="AI370:AI378" si="1156">Z370+AC370+AF370</f>
        <v>13</v>
      </c>
      <c r="AJ370" s="60">
        <f t="shared" ref="AJ370:AJ378" si="1157">AA370+AD370+AG370</f>
        <v>0</v>
      </c>
      <c r="AK370" s="60"/>
      <c r="AL370" s="60"/>
      <c r="AM370" s="60">
        <f t="shared" ref="AM370:AM378" si="1158">AK370-AL370</f>
        <v>0</v>
      </c>
      <c r="AN370" s="60"/>
      <c r="AO370" s="60"/>
      <c r="AP370" s="60">
        <f t="shared" ref="AP370:AP378" si="1159">AN370-AO370</f>
        <v>0</v>
      </c>
      <c r="AQ370" s="60"/>
      <c r="AR370" s="60"/>
      <c r="AS370" s="60">
        <f t="shared" ref="AS370:AS378" si="1160">AQ370-AR370</f>
        <v>0</v>
      </c>
      <c r="AT370" s="60">
        <f t="shared" ref="AT370:AT378" si="1161">AK370+AN370+AQ370</f>
        <v>0</v>
      </c>
      <c r="AU370" s="60">
        <f t="shared" ref="AU370:AU378" si="1162">AL370+AO370+AR370</f>
        <v>0</v>
      </c>
      <c r="AV370" s="60">
        <f t="shared" ref="AV370:AV378" si="1163">AM370+AP370+AS370</f>
        <v>0</v>
      </c>
      <c r="AW370" s="60"/>
      <c r="AX370" s="60"/>
      <c r="AY370" s="60">
        <f t="shared" ref="AY370:AY378" si="1164">AW370-AX370</f>
        <v>0</v>
      </c>
      <c r="AZ370" s="60"/>
      <c r="BA370" s="60"/>
      <c r="BB370" s="60">
        <f t="shared" ref="BB370:BB378" si="1165">AZ370-BA370</f>
        <v>0</v>
      </c>
      <c r="BC370" s="60"/>
      <c r="BD370" s="60"/>
      <c r="BE370" s="60">
        <f t="shared" ref="BE370:BE378" si="1166">BC370-BD370</f>
        <v>0</v>
      </c>
      <c r="BF370" s="60">
        <f t="shared" ref="BF370:BF378" si="1167">AW370+AZ370+BC370</f>
        <v>0</v>
      </c>
      <c r="BG370" s="60">
        <f t="shared" ref="BG370:BG378" si="1168">AX370+BA370+BD370</f>
        <v>0</v>
      </c>
      <c r="BH370" s="60">
        <f t="shared" ref="BH370:BH378" si="1169">AY370+BB370+BE370</f>
        <v>0</v>
      </c>
      <c r="BI370" s="508"/>
      <c r="BJ370" s="488" t="str">
        <f t="shared" si="1110"/>
        <v>Xé</v>
      </c>
      <c r="BK370" s="523">
        <f t="shared" ref="BK370:BK378" si="1170">ROUND(O370*G370*$B$6,-2)</f>
        <v>0</v>
      </c>
      <c r="BL370" s="523">
        <f t="shared" ref="BL370:BL378" si="1171">ROUND(R370*G370*$B$6,-2)</f>
        <v>0</v>
      </c>
      <c r="BM370" s="523">
        <f t="shared" ref="BM370:BM378" si="1172">ROUND(U370*G370*$B$6,-2)</f>
        <v>0</v>
      </c>
      <c r="BN370" s="523">
        <f t="shared" ref="BN370:BN378" si="1173">ROUND(X370*G370*$B$6,-2)</f>
        <v>0</v>
      </c>
      <c r="BO370" s="523">
        <f t="shared" ref="BO370:BO378" si="1174">ROUND(AA370*G370*$B$6,-2)</f>
        <v>0</v>
      </c>
      <c r="BP370" s="523">
        <f t="shared" ref="BP370:BP378" si="1175">ROUND(AD370*G370*$B$6,-2)</f>
        <v>0</v>
      </c>
      <c r="BQ370" s="523">
        <f t="shared" ref="BQ370:BQ378" si="1176">ROUND(AG370*G370*$B$6,-2)</f>
        <v>0</v>
      </c>
      <c r="BR370" s="523">
        <f t="shared" ref="BR370:BR378" si="1177">ROUND(AJ370*G370*$B$6,-2)</f>
        <v>0</v>
      </c>
      <c r="BS370" s="523">
        <f t="shared" ref="BS370:BS378" si="1178">ROUND(AM370*G370*$B$6,-2)</f>
        <v>0</v>
      </c>
      <c r="BT370" s="523">
        <f t="shared" ref="BT370:BT378" si="1179">ROUND(AP370*G370*$B$6,-2)</f>
        <v>0</v>
      </c>
      <c r="BU370" s="523">
        <f t="shared" ref="BU370:BU378" si="1180">ROUND(AS370*G370*$B$6,-2)</f>
        <v>0</v>
      </c>
      <c r="BV370" s="523">
        <f t="shared" ref="BV370:BV378" si="1181">ROUND(AV370*G370*$B$6,-2)</f>
        <v>0</v>
      </c>
      <c r="BW370" s="523">
        <f t="shared" ref="BW370:BW378" si="1182">ROUND(AY370*G370*$B$6,-2)</f>
        <v>0</v>
      </c>
      <c r="BX370" s="523">
        <f t="shared" ref="BX370:BX378" si="1183">ROUND(BB370*G370*$B$6,-2)</f>
        <v>0</v>
      </c>
      <c r="BY370" s="523">
        <f t="shared" ref="BY370:BY378" si="1184">ROUND(BE370*G370*$B$6,-2)</f>
        <v>0</v>
      </c>
      <c r="BZ370" s="523">
        <f t="shared" ref="BZ370:BZ378" si="1185">ROUND(BH370*G370*$B$6,-2)</f>
        <v>0</v>
      </c>
      <c r="CA370" s="354"/>
      <c r="CB370" s="510" t="str">
        <f t="shared" si="1108"/>
        <v>X</v>
      </c>
      <c r="CC370" s="509" t="str">
        <f t="shared" si="956"/>
        <v>XLM.</v>
      </c>
      <c r="CD370" s="509" t="str">
        <f t="shared" si="1109"/>
        <v>XLM.16,1</v>
      </c>
      <c r="CE370" s="351" t="str">
        <f t="shared" si="1111"/>
        <v>Xé</v>
      </c>
      <c r="CF370" s="509" t="str">
        <f t="shared" si="957"/>
        <v>XLM.Xé</v>
      </c>
      <c r="CG370" s="509"/>
      <c r="CH370" s="509"/>
    </row>
    <row r="371" spans="1:86" ht="20.25" customHeight="1" x14ac:dyDescent="0.25">
      <c r="A371" s="354" t="e">
        <f t="shared" si="1060"/>
        <v>#REF!</v>
      </c>
      <c r="B371" s="484"/>
      <c r="C371" s="519" t="s">
        <v>513</v>
      </c>
      <c r="D371" s="447" t="s">
        <v>14</v>
      </c>
      <c r="E371" s="447"/>
      <c r="F371" s="447"/>
      <c r="G371" s="520">
        <v>24.9</v>
      </c>
      <c r="H371" s="521">
        <v>0.7</v>
      </c>
      <c r="I371" s="522">
        <f t="shared" si="1142"/>
        <v>0</v>
      </c>
      <c r="J371" s="522">
        <f t="shared" si="1143"/>
        <v>0</v>
      </c>
      <c r="K371" s="522">
        <f t="shared" si="1144"/>
        <v>0</v>
      </c>
      <c r="L371" s="57">
        <f t="shared" si="1145"/>
        <v>0</v>
      </c>
      <c r="M371" s="60"/>
      <c r="N371" s="60"/>
      <c r="O371" s="60">
        <f t="shared" si="1146"/>
        <v>0</v>
      </c>
      <c r="P371" s="60"/>
      <c r="Q371" s="60"/>
      <c r="R371" s="60">
        <f t="shared" si="1147"/>
        <v>0</v>
      </c>
      <c r="S371" s="824"/>
      <c r="T371" s="60"/>
      <c r="U371" s="60">
        <f t="shared" si="1148"/>
        <v>0</v>
      </c>
      <c r="V371" s="60">
        <f t="shared" si="1149"/>
        <v>0</v>
      </c>
      <c r="W371" s="60">
        <f t="shared" si="1150"/>
        <v>0</v>
      </c>
      <c r="X371" s="60">
        <f t="shared" si="1151"/>
        <v>0</v>
      </c>
      <c r="Y371" s="60"/>
      <c r="Z371" s="60"/>
      <c r="AA371" s="60">
        <f t="shared" si="1152"/>
        <v>0</v>
      </c>
      <c r="AB371" s="60"/>
      <c r="AC371" s="60"/>
      <c r="AD371" s="60">
        <f t="shared" si="1153"/>
        <v>0</v>
      </c>
      <c r="AE371" s="60"/>
      <c r="AF371" s="60"/>
      <c r="AG371" s="60">
        <f t="shared" si="1154"/>
        <v>0</v>
      </c>
      <c r="AH371" s="60">
        <f t="shared" si="1155"/>
        <v>0</v>
      </c>
      <c r="AI371" s="60">
        <f t="shared" si="1156"/>
        <v>0</v>
      </c>
      <c r="AJ371" s="60">
        <f t="shared" si="1157"/>
        <v>0</v>
      </c>
      <c r="AK371" s="60"/>
      <c r="AL371" s="60"/>
      <c r="AM371" s="60">
        <f t="shared" si="1158"/>
        <v>0</v>
      </c>
      <c r="AN371" s="60"/>
      <c r="AO371" s="60"/>
      <c r="AP371" s="60">
        <f t="shared" si="1159"/>
        <v>0</v>
      </c>
      <c r="AQ371" s="60"/>
      <c r="AR371" s="60"/>
      <c r="AS371" s="60">
        <f t="shared" si="1160"/>
        <v>0</v>
      </c>
      <c r="AT371" s="60">
        <f t="shared" si="1161"/>
        <v>0</v>
      </c>
      <c r="AU371" s="60">
        <f t="shared" si="1162"/>
        <v>0</v>
      </c>
      <c r="AV371" s="60">
        <f t="shared" si="1163"/>
        <v>0</v>
      </c>
      <c r="AW371" s="60"/>
      <c r="AX371" s="60"/>
      <c r="AY371" s="60">
        <f t="shared" si="1164"/>
        <v>0</v>
      </c>
      <c r="AZ371" s="60"/>
      <c r="BA371" s="60"/>
      <c r="BB371" s="60">
        <f t="shared" si="1165"/>
        <v>0</v>
      </c>
      <c r="BC371" s="60"/>
      <c r="BD371" s="60"/>
      <c r="BE371" s="60">
        <f t="shared" si="1166"/>
        <v>0</v>
      </c>
      <c r="BF371" s="60">
        <f t="shared" si="1167"/>
        <v>0</v>
      </c>
      <c r="BG371" s="60">
        <f t="shared" si="1168"/>
        <v>0</v>
      </c>
      <c r="BH371" s="60">
        <f t="shared" si="1169"/>
        <v>0</v>
      </c>
      <c r="BI371" s="508"/>
      <c r="BJ371" s="488" t="str">
        <f t="shared" si="1110"/>
        <v>Xé</v>
      </c>
      <c r="BK371" s="523">
        <f t="shared" si="1170"/>
        <v>0</v>
      </c>
      <c r="BL371" s="523">
        <f t="shared" si="1171"/>
        <v>0</v>
      </c>
      <c r="BM371" s="523">
        <f t="shared" si="1172"/>
        <v>0</v>
      </c>
      <c r="BN371" s="523">
        <f t="shared" si="1173"/>
        <v>0</v>
      </c>
      <c r="BO371" s="523">
        <f t="shared" si="1174"/>
        <v>0</v>
      </c>
      <c r="BP371" s="523">
        <f t="shared" si="1175"/>
        <v>0</v>
      </c>
      <c r="BQ371" s="523">
        <f t="shared" si="1176"/>
        <v>0</v>
      </c>
      <c r="BR371" s="523">
        <f t="shared" si="1177"/>
        <v>0</v>
      </c>
      <c r="BS371" s="523">
        <f t="shared" si="1178"/>
        <v>0</v>
      </c>
      <c r="BT371" s="523">
        <f t="shared" si="1179"/>
        <v>0</v>
      </c>
      <c r="BU371" s="523">
        <f t="shared" si="1180"/>
        <v>0</v>
      </c>
      <c r="BV371" s="523">
        <f t="shared" si="1181"/>
        <v>0</v>
      </c>
      <c r="BW371" s="523">
        <f t="shared" si="1182"/>
        <v>0</v>
      </c>
      <c r="BX371" s="523">
        <f t="shared" si="1183"/>
        <v>0</v>
      </c>
      <c r="BY371" s="523">
        <f t="shared" si="1184"/>
        <v>0</v>
      </c>
      <c r="BZ371" s="523">
        <f t="shared" si="1185"/>
        <v>0</v>
      </c>
      <c r="CA371" s="354"/>
      <c r="CB371" s="510" t="b">
        <f t="shared" si="1108"/>
        <v>0</v>
      </c>
      <c r="CC371" s="509" t="str">
        <f t="shared" si="956"/>
        <v>XLM.</v>
      </c>
      <c r="CD371" s="509" t="str">
        <f t="shared" si="1109"/>
        <v>XLM.24,9</v>
      </c>
      <c r="CE371" s="351" t="str">
        <f t="shared" si="1111"/>
        <v>Xé</v>
      </c>
      <c r="CF371" s="509" t="str">
        <f t="shared" si="957"/>
        <v>XLM.Xé</v>
      </c>
      <c r="CG371" s="509" t="e">
        <f>#REF!</f>
        <v>#REF!</v>
      </c>
      <c r="CH371" s="509" t="e">
        <f>#REF!</f>
        <v>#REF!</v>
      </c>
    </row>
    <row r="372" spans="1:86" ht="24.75" customHeight="1" x14ac:dyDescent="0.25">
      <c r="A372" s="354" t="e">
        <f>A338</f>
        <v>#REF!</v>
      </c>
      <c r="B372" s="484"/>
      <c r="C372" s="531" t="s">
        <v>514</v>
      </c>
      <c r="D372" s="447" t="s">
        <v>14</v>
      </c>
      <c r="E372" s="447"/>
      <c r="F372" s="447"/>
      <c r="G372" s="520">
        <v>24.9</v>
      </c>
      <c r="H372" s="521">
        <v>0.7</v>
      </c>
      <c r="I372" s="522">
        <f t="shared" si="1142"/>
        <v>0</v>
      </c>
      <c r="J372" s="522">
        <f t="shared" si="1143"/>
        <v>0</v>
      </c>
      <c r="K372" s="522">
        <f t="shared" si="1144"/>
        <v>0</v>
      </c>
      <c r="L372" s="57">
        <f t="shared" si="1145"/>
        <v>0</v>
      </c>
      <c r="M372" s="60"/>
      <c r="N372" s="60"/>
      <c r="O372" s="60">
        <f t="shared" si="1146"/>
        <v>0</v>
      </c>
      <c r="P372" s="60"/>
      <c r="Q372" s="60"/>
      <c r="R372" s="60">
        <f t="shared" si="1147"/>
        <v>0</v>
      </c>
      <c r="S372" s="824"/>
      <c r="T372" s="60"/>
      <c r="U372" s="60">
        <f t="shared" si="1148"/>
        <v>0</v>
      </c>
      <c r="V372" s="60">
        <f t="shared" si="1149"/>
        <v>0</v>
      </c>
      <c r="W372" s="60">
        <f t="shared" si="1150"/>
        <v>0</v>
      </c>
      <c r="X372" s="60">
        <f t="shared" si="1151"/>
        <v>0</v>
      </c>
      <c r="Y372" s="60"/>
      <c r="Z372" s="60"/>
      <c r="AA372" s="60">
        <f t="shared" si="1152"/>
        <v>0</v>
      </c>
      <c r="AB372" s="60"/>
      <c r="AC372" s="60"/>
      <c r="AD372" s="60">
        <f t="shared" si="1153"/>
        <v>0</v>
      </c>
      <c r="AE372" s="60"/>
      <c r="AF372" s="60"/>
      <c r="AG372" s="60">
        <f t="shared" si="1154"/>
        <v>0</v>
      </c>
      <c r="AH372" s="60">
        <f t="shared" si="1155"/>
        <v>0</v>
      </c>
      <c r="AI372" s="60">
        <f t="shared" si="1156"/>
        <v>0</v>
      </c>
      <c r="AJ372" s="60">
        <f t="shared" si="1157"/>
        <v>0</v>
      </c>
      <c r="AK372" s="60"/>
      <c r="AL372" s="60"/>
      <c r="AM372" s="60">
        <f t="shared" si="1158"/>
        <v>0</v>
      </c>
      <c r="AN372" s="60"/>
      <c r="AO372" s="60"/>
      <c r="AP372" s="60">
        <f t="shared" si="1159"/>
        <v>0</v>
      </c>
      <c r="AQ372" s="60"/>
      <c r="AR372" s="60"/>
      <c r="AS372" s="60">
        <f t="shared" si="1160"/>
        <v>0</v>
      </c>
      <c r="AT372" s="60">
        <f t="shared" si="1161"/>
        <v>0</v>
      </c>
      <c r="AU372" s="60">
        <f t="shared" si="1162"/>
        <v>0</v>
      </c>
      <c r="AV372" s="60">
        <f t="shared" si="1163"/>
        <v>0</v>
      </c>
      <c r="AW372" s="60"/>
      <c r="AX372" s="60"/>
      <c r="AY372" s="60">
        <f t="shared" si="1164"/>
        <v>0</v>
      </c>
      <c r="AZ372" s="60"/>
      <c r="BA372" s="60"/>
      <c r="BB372" s="60">
        <f t="shared" si="1165"/>
        <v>0</v>
      </c>
      <c r="BC372" s="60"/>
      <c r="BD372" s="60"/>
      <c r="BE372" s="60">
        <f t="shared" si="1166"/>
        <v>0</v>
      </c>
      <c r="BF372" s="60">
        <f t="shared" si="1167"/>
        <v>0</v>
      </c>
      <c r="BG372" s="60">
        <f t="shared" si="1168"/>
        <v>0</v>
      </c>
      <c r="BH372" s="60">
        <f t="shared" si="1169"/>
        <v>0</v>
      </c>
      <c r="BI372" s="508"/>
      <c r="BJ372" s="488" t="str">
        <f t="shared" si="1110"/>
        <v>Xé</v>
      </c>
      <c r="BK372" s="523">
        <f t="shared" si="1170"/>
        <v>0</v>
      </c>
      <c r="BL372" s="523">
        <f t="shared" si="1171"/>
        <v>0</v>
      </c>
      <c r="BM372" s="523">
        <f t="shared" si="1172"/>
        <v>0</v>
      </c>
      <c r="BN372" s="523">
        <f t="shared" si="1173"/>
        <v>0</v>
      </c>
      <c r="BO372" s="523">
        <f t="shared" si="1174"/>
        <v>0</v>
      </c>
      <c r="BP372" s="523">
        <f t="shared" si="1175"/>
        <v>0</v>
      </c>
      <c r="BQ372" s="523">
        <f t="shared" si="1176"/>
        <v>0</v>
      </c>
      <c r="BR372" s="523">
        <f t="shared" si="1177"/>
        <v>0</v>
      </c>
      <c r="BS372" s="523">
        <f t="shared" si="1178"/>
        <v>0</v>
      </c>
      <c r="BT372" s="523">
        <f t="shared" si="1179"/>
        <v>0</v>
      </c>
      <c r="BU372" s="523">
        <f t="shared" si="1180"/>
        <v>0</v>
      </c>
      <c r="BV372" s="523">
        <f t="shared" si="1181"/>
        <v>0</v>
      </c>
      <c r="BW372" s="523">
        <f t="shared" si="1182"/>
        <v>0</v>
      </c>
      <c r="BX372" s="523">
        <f t="shared" si="1183"/>
        <v>0</v>
      </c>
      <c r="BY372" s="523">
        <f t="shared" si="1184"/>
        <v>0</v>
      </c>
      <c r="BZ372" s="523">
        <f t="shared" si="1185"/>
        <v>0</v>
      </c>
      <c r="CA372" s="354"/>
      <c r="CB372" s="510" t="b">
        <f t="shared" si="1108"/>
        <v>0</v>
      </c>
      <c r="CC372" s="509" t="str">
        <f t="shared" si="956"/>
        <v>XLM.</v>
      </c>
      <c r="CD372" s="509" t="str">
        <f t="shared" si="1109"/>
        <v>XLM.24,9</v>
      </c>
      <c r="CE372" s="351" t="str">
        <f t="shared" si="1111"/>
        <v>Xé</v>
      </c>
      <c r="CF372" s="509" t="str">
        <f t="shared" si="957"/>
        <v>XLM.Xé</v>
      </c>
      <c r="CG372" s="509" t="e">
        <f>#REF!</f>
        <v>#REF!</v>
      </c>
      <c r="CH372" s="509" t="e">
        <f>#REF!</f>
        <v>#REF!</v>
      </c>
    </row>
    <row r="373" spans="1:86" ht="24.75" customHeight="1" x14ac:dyDescent="0.25">
      <c r="A373" s="354" t="e">
        <f>A350</f>
        <v>#REF!</v>
      </c>
      <c r="B373" s="484"/>
      <c r="C373" s="531" t="s">
        <v>515</v>
      </c>
      <c r="D373" s="447" t="s">
        <v>14</v>
      </c>
      <c r="E373" s="447"/>
      <c r="F373" s="447"/>
      <c r="G373" s="520">
        <v>13.1</v>
      </c>
      <c r="H373" s="521">
        <v>0.7</v>
      </c>
      <c r="I373" s="522">
        <f t="shared" si="1142"/>
        <v>0</v>
      </c>
      <c r="J373" s="522">
        <f t="shared" si="1143"/>
        <v>0</v>
      </c>
      <c r="K373" s="522">
        <f t="shared" si="1144"/>
        <v>0</v>
      </c>
      <c r="L373" s="57">
        <f t="shared" si="1145"/>
        <v>0</v>
      </c>
      <c r="M373" s="60"/>
      <c r="N373" s="60"/>
      <c r="O373" s="60">
        <f t="shared" si="1146"/>
        <v>0</v>
      </c>
      <c r="P373" s="60"/>
      <c r="Q373" s="60"/>
      <c r="R373" s="60">
        <f t="shared" si="1147"/>
        <v>0</v>
      </c>
      <c r="S373" s="824"/>
      <c r="T373" s="60"/>
      <c r="U373" s="60">
        <f t="shared" si="1148"/>
        <v>0</v>
      </c>
      <c r="V373" s="60">
        <f t="shared" si="1149"/>
        <v>0</v>
      </c>
      <c r="W373" s="60">
        <f t="shared" si="1150"/>
        <v>0</v>
      </c>
      <c r="X373" s="60">
        <f t="shared" si="1151"/>
        <v>0</v>
      </c>
      <c r="Y373" s="60"/>
      <c r="Z373" s="60"/>
      <c r="AA373" s="60">
        <f t="shared" si="1152"/>
        <v>0</v>
      </c>
      <c r="AB373" s="60"/>
      <c r="AC373" s="60"/>
      <c r="AD373" s="60">
        <f t="shared" si="1153"/>
        <v>0</v>
      </c>
      <c r="AE373" s="60"/>
      <c r="AF373" s="60"/>
      <c r="AG373" s="60">
        <f t="shared" si="1154"/>
        <v>0</v>
      </c>
      <c r="AH373" s="60">
        <f t="shared" si="1155"/>
        <v>0</v>
      </c>
      <c r="AI373" s="60">
        <f t="shared" si="1156"/>
        <v>0</v>
      </c>
      <c r="AJ373" s="60">
        <f t="shared" si="1157"/>
        <v>0</v>
      </c>
      <c r="AK373" s="60"/>
      <c r="AL373" s="60"/>
      <c r="AM373" s="60">
        <f t="shared" si="1158"/>
        <v>0</v>
      </c>
      <c r="AN373" s="60"/>
      <c r="AO373" s="60"/>
      <c r="AP373" s="60">
        <f t="shared" si="1159"/>
        <v>0</v>
      </c>
      <c r="AQ373" s="60"/>
      <c r="AR373" s="60"/>
      <c r="AS373" s="60">
        <f t="shared" si="1160"/>
        <v>0</v>
      </c>
      <c r="AT373" s="60">
        <f t="shared" si="1161"/>
        <v>0</v>
      </c>
      <c r="AU373" s="60">
        <f t="shared" si="1162"/>
        <v>0</v>
      </c>
      <c r="AV373" s="60">
        <f t="shared" si="1163"/>
        <v>0</v>
      </c>
      <c r="AW373" s="60"/>
      <c r="AX373" s="60"/>
      <c r="AY373" s="60">
        <f t="shared" si="1164"/>
        <v>0</v>
      </c>
      <c r="AZ373" s="60"/>
      <c r="BA373" s="60"/>
      <c r="BB373" s="60">
        <f t="shared" si="1165"/>
        <v>0</v>
      </c>
      <c r="BC373" s="60"/>
      <c r="BD373" s="60"/>
      <c r="BE373" s="60">
        <f t="shared" si="1166"/>
        <v>0</v>
      </c>
      <c r="BF373" s="60">
        <f t="shared" si="1167"/>
        <v>0</v>
      </c>
      <c r="BG373" s="60">
        <f t="shared" si="1168"/>
        <v>0</v>
      </c>
      <c r="BH373" s="60">
        <f t="shared" si="1169"/>
        <v>0</v>
      </c>
      <c r="BI373" s="508"/>
      <c r="BJ373" s="488" t="str">
        <f t="shared" si="1110"/>
        <v>Xé</v>
      </c>
      <c r="BK373" s="523">
        <f t="shared" si="1170"/>
        <v>0</v>
      </c>
      <c r="BL373" s="523">
        <f t="shared" si="1171"/>
        <v>0</v>
      </c>
      <c r="BM373" s="523">
        <f t="shared" si="1172"/>
        <v>0</v>
      </c>
      <c r="BN373" s="523">
        <f t="shared" si="1173"/>
        <v>0</v>
      </c>
      <c r="BO373" s="523">
        <f t="shared" si="1174"/>
        <v>0</v>
      </c>
      <c r="BP373" s="523">
        <f t="shared" si="1175"/>
        <v>0</v>
      </c>
      <c r="BQ373" s="523">
        <f t="shared" si="1176"/>
        <v>0</v>
      </c>
      <c r="BR373" s="523">
        <f t="shared" si="1177"/>
        <v>0</v>
      </c>
      <c r="BS373" s="523">
        <f t="shared" si="1178"/>
        <v>0</v>
      </c>
      <c r="BT373" s="523">
        <f t="shared" si="1179"/>
        <v>0</v>
      </c>
      <c r="BU373" s="523">
        <f t="shared" si="1180"/>
        <v>0</v>
      </c>
      <c r="BV373" s="523">
        <f t="shared" si="1181"/>
        <v>0</v>
      </c>
      <c r="BW373" s="523">
        <f t="shared" si="1182"/>
        <v>0</v>
      </c>
      <c r="BX373" s="523">
        <f t="shared" si="1183"/>
        <v>0</v>
      </c>
      <c r="BY373" s="523">
        <f t="shared" si="1184"/>
        <v>0</v>
      </c>
      <c r="BZ373" s="523">
        <f t="shared" si="1185"/>
        <v>0</v>
      </c>
      <c r="CA373" s="354"/>
      <c r="CB373" s="510" t="b">
        <f t="shared" si="1108"/>
        <v>0</v>
      </c>
      <c r="CC373" s="509" t="str">
        <f t="shared" si="956"/>
        <v>XLM.</v>
      </c>
      <c r="CD373" s="509" t="str">
        <f t="shared" si="1109"/>
        <v>XLM.13,1</v>
      </c>
      <c r="CE373" s="351" t="str">
        <f t="shared" si="1111"/>
        <v>Xé</v>
      </c>
      <c r="CF373" s="509" t="str">
        <f t="shared" si="957"/>
        <v>XLM.Xé</v>
      </c>
      <c r="CG373" s="509" t="e">
        <f>#REF!</f>
        <v>#REF!</v>
      </c>
      <c r="CH373" s="509" t="e">
        <f>#REF!</f>
        <v>#REF!</v>
      </c>
    </row>
    <row r="374" spans="1:86" ht="24.75" customHeight="1" x14ac:dyDescent="0.25">
      <c r="A374" s="354" t="e">
        <f>A366</f>
        <v>#REF!</v>
      </c>
      <c r="B374" s="484"/>
      <c r="C374" s="531" t="s">
        <v>20</v>
      </c>
      <c r="D374" s="447" t="s">
        <v>14</v>
      </c>
      <c r="E374" s="447"/>
      <c r="F374" s="447"/>
      <c r="G374" s="520">
        <v>13.1</v>
      </c>
      <c r="H374" s="521">
        <v>0.7</v>
      </c>
      <c r="I374" s="522">
        <f t="shared" si="1142"/>
        <v>0</v>
      </c>
      <c r="J374" s="522">
        <f t="shared" si="1143"/>
        <v>0</v>
      </c>
      <c r="K374" s="522">
        <f t="shared" si="1144"/>
        <v>0</v>
      </c>
      <c r="L374" s="57">
        <f t="shared" si="1145"/>
        <v>0</v>
      </c>
      <c r="M374" s="60"/>
      <c r="N374" s="60"/>
      <c r="O374" s="60">
        <f t="shared" si="1146"/>
        <v>0</v>
      </c>
      <c r="P374" s="60"/>
      <c r="Q374" s="60"/>
      <c r="R374" s="60">
        <f t="shared" si="1147"/>
        <v>0</v>
      </c>
      <c r="S374" s="824"/>
      <c r="T374" s="60"/>
      <c r="U374" s="60">
        <f t="shared" si="1148"/>
        <v>0</v>
      </c>
      <c r="V374" s="60">
        <f t="shared" si="1149"/>
        <v>0</v>
      </c>
      <c r="W374" s="60">
        <f t="shared" si="1150"/>
        <v>0</v>
      </c>
      <c r="X374" s="60">
        <f t="shared" si="1151"/>
        <v>0</v>
      </c>
      <c r="Y374" s="60"/>
      <c r="Z374" s="60"/>
      <c r="AA374" s="60">
        <f t="shared" si="1152"/>
        <v>0</v>
      </c>
      <c r="AB374" s="60"/>
      <c r="AC374" s="60"/>
      <c r="AD374" s="60">
        <f t="shared" si="1153"/>
        <v>0</v>
      </c>
      <c r="AE374" s="60"/>
      <c r="AF374" s="60"/>
      <c r="AG374" s="60">
        <f t="shared" si="1154"/>
        <v>0</v>
      </c>
      <c r="AH374" s="60">
        <f t="shared" si="1155"/>
        <v>0</v>
      </c>
      <c r="AI374" s="60">
        <f t="shared" si="1156"/>
        <v>0</v>
      </c>
      <c r="AJ374" s="60">
        <f t="shared" si="1157"/>
        <v>0</v>
      </c>
      <c r="AK374" s="60"/>
      <c r="AL374" s="60"/>
      <c r="AM374" s="60">
        <f t="shared" si="1158"/>
        <v>0</v>
      </c>
      <c r="AN374" s="60"/>
      <c r="AO374" s="60"/>
      <c r="AP374" s="60">
        <f t="shared" si="1159"/>
        <v>0</v>
      </c>
      <c r="AQ374" s="60"/>
      <c r="AR374" s="60"/>
      <c r="AS374" s="60">
        <f t="shared" si="1160"/>
        <v>0</v>
      </c>
      <c r="AT374" s="60">
        <f t="shared" si="1161"/>
        <v>0</v>
      </c>
      <c r="AU374" s="60">
        <f t="shared" si="1162"/>
        <v>0</v>
      </c>
      <c r="AV374" s="60">
        <f t="shared" si="1163"/>
        <v>0</v>
      </c>
      <c r="AW374" s="60"/>
      <c r="AX374" s="60"/>
      <c r="AY374" s="60">
        <f t="shared" si="1164"/>
        <v>0</v>
      </c>
      <c r="AZ374" s="60"/>
      <c r="BA374" s="60"/>
      <c r="BB374" s="60">
        <f t="shared" si="1165"/>
        <v>0</v>
      </c>
      <c r="BC374" s="60"/>
      <c r="BD374" s="60"/>
      <c r="BE374" s="60">
        <f t="shared" si="1166"/>
        <v>0</v>
      </c>
      <c r="BF374" s="60">
        <f t="shared" si="1167"/>
        <v>0</v>
      </c>
      <c r="BG374" s="60">
        <f t="shared" si="1168"/>
        <v>0</v>
      </c>
      <c r="BH374" s="60">
        <f t="shared" si="1169"/>
        <v>0</v>
      </c>
      <c r="BI374" s="508"/>
      <c r="BJ374" s="488" t="str">
        <f t="shared" si="1110"/>
        <v>Xé</v>
      </c>
      <c r="BK374" s="523">
        <f t="shared" si="1170"/>
        <v>0</v>
      </c>
      <c r="BL374" s="523">
        <f t="shared" si="1171"/>
        <v>0</v>
      </c>
      <c r="BM374" s="523">
        <f t="shared" si="1172"/>
        <v>0</v>
      </c>
      <c r="BN374" s="523">
        <f t="shared" si="1173"/>
        <v>0</v>
      </c>
      <c r="BO374" s="523">
        <f t="shared" si="1174"/>
        <v>0</v>
      </c>
      <c r="BP374" s="523">
        <f t="shared" si="1175"/>
        <v>0</v>
      </c>
      <c r="BQ374" s="523">
        <f t="shared" si="1176"/>
        <v>0</v>
      </c>
      <c r="BR374" s="523">
        <f t="shared" si="1177"/>
        <v>0</v>
      </c>
      <c r="BS374" s="523">
        <f t="shared" si="1178"/>
        <v>0</v>
      </c>
      <c r="BT374" s="523">
        <f t="shared" si="1179"/>
        <v>0</v>
      </c>
      <c r="BU374" s="523">
        <f t="shared" si="1180"/>
        <v>0</v>
      </c>
      <c r="BV374" s="523">
        <f t="shared" si="1181"/>
        <v>0</v>
      </c>
      <c r="BW374" s="523">
        <f t="shared" si="1182"/>
        <v>0</v>
      </c>
      <c r="BX374" s="523">
        <f t="shared" si="1183"/>
        <v>0</v>
      </c>
      <c r="BY374" s="523">
        <f t="shared" si="1184"/>
        <v>0</v>
      </c>
      <c r="BZ374" s="523">
        <f t="shared" si="1185"/>
        <v>0</v>
      </c>
      <c r="CA374" s="354"/>
      <c r="CB374" s="510" t="b">
        <f t="shared" si="1108"/>
        <v>0</v>
      </c>
      <c r="CC374" s="509" t="str">
        <f t="shared" si="956"/>
        <v>XLM.</v>
      </c>
      <c r="CD374" s="509" t="str">
        <f t="shared" si="1109"/>
        <v>XLM.13,1</v>
      </c>
      <c r="CE374" s="351" t="str">
        <f t="shared" si="1111"/>
        <v>Xé</v>
      </c>
      <c r="CF374" s="509" t="str">
        <f t="shared" si="957"/>
        <v>XLM.Xé</v>
      </c>
      <c r="CG374" s="509"/>
      <c r="CH374" s="509"/>
    </row>
    <row r="375" spans="1:86" ht="24.75" customHeight="1" x14ac:dyDescent="0.25">
      <c r="A375" s="354" t="e">
        <f>A367</f>
        <v>#REF!</v>
      </c>
      <c r="B375" s="484"/>
      <c r="C375" s="531" t="s">
        <v>20</v>
      </c>
      <c r="D375" s="447" t="s">
        <v>14</v>
      </c>
      <c r="E375" s="447"/>
      <c r="F375" s="447"/>
      <c r="G375" s="520">
        <v>13.1</v>
      </c>
      <c r="H375" s="521">
        <v>0.7</v>
      </c>
      <c r="I375" s="522">
        <f t="shared" si="1142"/>
        <v>0</v>
      </c>
      <c r="J375" s="522">
        <f t="shared" si="1143"/>
        <v>0</v>
      </c>
      <c r="K375" s="522">
        <f t="shared" si="1144"/>
        <v>0</v>
      </c>
      <c r="L375" s="57">
        <f t="shared" si="1145"/>
        <v>0</v>
      </c>
      <c r="M375" s="60"/>
      <c r="N375" s="60"/>
      <c r="O375" s="60">
        <f t="shared" si="1146"/>
        <v>0</v>
      </c>
      <c r="P375" s="60"/>
      <c r="Q375" s="60"/>
      <c r="R375" s="60">
        <f t="shared" si="1147"/>
        <v>0</v>
      </c>
      <c r="S375" s="824"/>
      <c r="T375" s="60"/>
      <c r="U375" s="60">
        <f t="shared" si="1148"/>
        <v>0</v>
      </c>
      <c r="V375" s="60">
        <f t="shared" si="1149"/>
        <v>0</v>
      </c>
      <c r="W375" s="60">
        <f t="shared" si="1150"/>
        <v>0</v>
      </c>
      <c r="X375" s="60">
        <f t="shared" si="1151"/>
        <v>0</v>
      </c>
      <c r="Y375" s="60"/>
      <c r="Z375" s="60"/>
      <c r="AA375" s="60">
        <f t="shared" si="1152"/>
        <v>0</v>
      </c>
      <c r="AB375" s="60"/>
      <c r="AC375" s="60"/>
      <c r="AD375" s="60">
        <f t="shared" si="1153"/>
        <v>0</v>
      </c>
      <c r="AE375" s="60"/>
      <c r="AF375" s="60"/>
      <c r="AG375" s="60">
        <f t="shared" si="1154"/>
        <v>0</v>
      </c>
      <c r="AH375" s="60">
        <f t="shared" si="1155"/>
        <v>0</v>
      </c>
      <c r="AI375" s="60">
        <f t="shared" si="1156"/>
        <v>0</v>
      </c>
      <c r="AJ375" s="60">
        <f t="shared" si="1157"/>
        <v>0</v>
      </c>
      <c r="AK375" s="60"/>
      <c r="AL375" s="60"/>
      <c r="AM375" s="60">
        <f t="shared" si="1158"/>
        <v>0</v>
      </c>
      <c r="AN375" s="60"/>
      <c r="AO375" s="60"/>
      <c r="AP375" s="60">
        <f t="shared" si="1159"/>
        <v>0</v>
      </c>
      <c r="AQ375" s="60"/>
      <c r="AR375" s="60"/>
      <c r="AS375" s="60">
        <f t="shared" si="1160"/>
        <v>0</v>
      </c>
      <c r="AT375" s="60">
        <f t="shared" si="1161"/>
        <v>0</v>
      </c>
      <c r="AU375" s="60">
        <f t="shared" si="1162"/>
        <v>0</v>
      </c>
      <c r="AV375" s="60">
        <f t="shared" si="1163"/>
        <v>0</v>
      </c>
      <c r="AW375" s="60"/>
      <c r="AX375" s="60"/>
      <c r="AY375" s="60">
        <f t="shared" si="1164"/>
        <v>0</v>
      </c>
      <c r="AZ375" s="60"/>
      <c r="BA375" s="60"/>
      <c r="BB375" s="60">
        <f t="shared" si="1165"/>
        <v>0</v>
      </c>
      <c r="BC375" s="60"/>
      <c r="BD375" s="60"/>
      <c r="BE375" s="60">
        <f t="shared" si="1166"/>
        <v>0</v>
      </c>
      <c r="BF375" s="60">
        <f t="shared" si="1167"/>
        <v>0</v>
      </c>
      <c r="BG375" s="60">
        <f t="shared" si="1168"/>
        <v>0</v>
      </c>
      <c r="BH375" s="60">
        <f t="shared" si="1169"/>
        <v>0</v>
      </c>
      <c r="BI375" s="508"/>
      <c r="BJ375" s="488" t="str">
        <f t="shared" si="1110"/>
        <v>Xé</v>
      </c>
      <c r="BK375" s="523">
        <f t="shared" si="1170"/>
        <v>0</v>
      </c>
      <c r="BL375" s="523">
        <f t="shared" si="1171"/>
        <v>0</v>
      </c>
      <c r="BM375" s="523">
        <f t="shared" si="1172"/>
        <v>0</v>
      </c>
      <c r="BN375" s="523">
        <f t="shared" si="1173"/>
        <v>0</v>
      </c>
      <c r="BO375" s="523">
        <f t="shared" si="1174"/>
        <v>0</v>
      </c>
      <c r="BP375" s="523">
        <f t="shared" si="1175"/>
        <v>0</v>
      </c>
      <c r="BQ375" s="523">
        <f t="shared" si="1176"/>
        <v>0</v>
      </c>
      <c r="BR375" s="523">
        <f t="shared" si="1177"/>
        <v>0</v>
      </c>
      <c r="BS375" s="523">
        <f t="shared" si="1178"/>
        <v>0</v>
      </c>
      <c r="BT375" s="523">
        <f t="shared" si="1179"/>
        <v>0</v>
      </c>
      <c r="BU375" s="523">
        <f t="shared" si="1180"/>
        <v>0</v>
      </c>
      <c r="BV375" s="523">
        <f t="shared" si="1181"/>
        <v>0</v>
      </c>
      <c r="BW375" s="523">
        <f t="shared" si="1182"/>
        <v>0</v>
      </c>
      <c r="BX375" s="523">
        <f t="shared" si="1183"/>
        <v>0</v>
      </c>
      <c r="BY375" s="523">
        <f t="shared" si="1184"/>
        <v>0</v>
      </c>
      <c r="BZ375" s="523">
        <f t="shared" si="1185"/>
        <v>0</v>
      </c>
      <c r="CA375" s="354"/>
      <c r="CB375" s="510" t="b">
        <f t="shared" si="1108"/>
        <v>0</v>
      </c>
      <c r="CC375" s="509" t="str">
        <f t="shared" si="956"/>
        <v>XLM.</v>
      </c>
      <c r="CD375" s="509" t="str">
        <f t="shared" si="1109"/>
        <v>XLM.13,1</v>
      </c>
      <c r="CE375" s="351" t="str">
        <f t="shared" si="1111"/>
        <v>Xé</v>
      </c>
      <c r="CF375" s="509" t="str">
        <f t="shared" si="957"/>
        <v>XLM.Xé</v>
      </c>
      <c r="CG375" s="509"/>
      <c r="CH375" s="509"/>
    </row>
    <row r="376" spans="1:86" ht="24.75" customHeight="1" x14ac:dyDescent="0.25">
      <c r="A376" s="354" t="e">
        <f>A368</f>
        <v>#REF!</v>
      </c>
      <c r="B376" s="484"/>
      <c r="C376" s="531" t="s">
        <v>20</v>
      </c>
      <c r="D376" s="447" t="s">
        <v>14</v>
      </c>
      <c r="E376" s="447"/>
      <c r="F376" s="447"/>
      <c r="G376" s="520">
        <v>13.1</v>
      </c>
      <c r="H376" s="521">
        <v>0.7</v>
      </c>
      <c r="I376" s="522">
        <f t="shared" si="1142"/>
        <v>0</v>
      </c>
      <c r="J376" s="522">
        <f t="shared" si="1143"/>
        <v>0</v>
      </c>
      <c r="K376" s="522">
        <f t="shared" si="1144"/>
        <v>0</v>
      </c>
      <c r="L376" s="57">
        <f t="shared" si="1145"/>
        <v>0</v>
      </c>
      <c r="M376" s="60"/>
      <c r="N376" s="60"/>
      <c r="O376" s="60">
        <f t="shared" si="1146"/>
        <v>0</v>
      </c>
      <c r="P376" s="60"/>
      <c r="Q376" s="60"/>
      <c r="R376" s="60">
        <f t="shared" si="1147"/>
        <v>0</v>
      </c>
      <c r="S376" s="824"/>
      <c r="T376" s="60"/>
      <c r="U376" s="60">
        <f t="shared" si="1148"/>
        <v>0</v>
      </c>
      <c r="V376" s="60">
        <f t="shared" si="1149"/>
        <v>0</v>
      </c>
      <c r="W376" s="60">
        <f t="shared" si="1150"/>
        <v>0</v>
      </c>
      <c r="X376" s="60">
        <f t="shared" si="1151"/>
        <v>0</v>
      </c>
      <c r="Y376" s="60"/>
      <c r="Z376" s="60"/>
      <c r="AA376" s="60">
        <f t="shared" si="1152"/>
        <v>0</v>
      </c>
      <c r="AB376" s="60"/>
      <c r="AC376" s="60"/>
      <c r="AD376" s="60">
        <f t="shared" si="1153"/>
        <v>0</v>
      </c>
      <c r="AE376" s="60"/>
      <c r="AF376" s="60"/>
      <c r="AG376" s="60">
        <f t="shared" si="1154"/>
        <v>0</v>
      </c>
      <c r="AH376" s="60">
        <f t="shared" si="1155"/>
        <v>0</v>
      </c>
      <c r="AI376" s="60">
        <f t="shared" si="1156"/>
        <v>0</v>
      </c>
      <c r="AJ376" s="60">
        <f t="shared" si="1157"/>
        <v>0</v>
      </c>
      <c r="AK376" s="60"/>
      <c r="AL376" s="60"/>
      <c r="AM376" s="60">
        <f t="shared" si="1158"/>
        <v>0</v>
      </c>
      <c r="AN376" s="60"/>
      <c r="AO376" s="60"/>
      <c r="AP376" s="60">
        <f t="shared" si="1159"/>
        <v>0</v>
      </c>
      <c r="AQ376" s="60"/>
      <c r="AR376" s="60"/>
      <c r="AS376" s="60">
        <f t="shared" si="1160"/>
        <v>0</v>
      </c>
      <c r="AT376" s="60">
        <f t="shared" si="1161"/>
        <v>0</v>
      </c>
      <c r="AU376" s="60">
        <f t="shared" si="1162"/>
        <v>0</v>
      </c>
      <c r="AV376" s="60">
        <f t="shared" si="1163"/>
        <v>0</v>
      </c>
      <c r="AW376" s="60"/>
      <c r="AX376" s="60"/>
      <c r="AY376" s="60">
        <f t="shared" si="1164"/>
        <v>0</v>
      </c>
      <c r="AZ376" s="60"/>
      <c r="BA376" s="60"/>
      <c r="BB376" s="60">
        <f t="shared" si="1165"/>
        <v>0</v>
      </c>
      <c r="BC376" s="60"/>
      <c r="BD376" s="60"/>
      <c r="BE376" s="60">
        <f t="shared" si="1166"/>
        <v>0</v>
      </c>
      <c r="BF376" s="60">
        <f t="shared" si="1167"/>
        <v>0</v>
      </c>
      <c r="BG376" s="60">
        <f t="shared" si="1168"/>
        <v>0</v>
      </c>
      <c r="BH376" s="60">
        <f t="shared" si="1169"/>
        <v>0</v>
      </c>
      <c r="BI376" s="508"/>
      <c r="BJ376" s="488" t="str">
        <f t="shared" si="1110"/>
        <v>Xé</v>
      </c>
      <c r="BK376" s="523">
        <f t="shared" si="1170"/>
        <v>0</v>
      </c>
      <c r="BL376" s="523">
        <f t="shared" si="1171"/>
        <v>0</v>
      </c>
      <c r="BM376" s="523">
        <f t="shared" si="1172"/>
        <v>0</v>
      </c>
      <c r="BN376" s="523">
        <f t="shared" si="1173"/>
        <v>0</v>
      </c>
      <c r="BO376" s="523">
        <f t="shared" si="1174"/>
        <v>0</v>
      </c>
      <c r="BP376" s="523">
        <f t="shared" si="1175"/>
        <v>0</v>
      </c>
      <c r="BQ376" s="523">
        <f t="shared" si="1176"/>
        <v>0</v>
      </c>
      <c r="BR376" s="523">
        <f t="shared" si="1177"/>
        <v>0</v>
      </c>
      <c r="BS376" s="523">
        <f t="shared" si="1178"/>
        <v>0</v>
      </c>
      <c r="BT376" s="523">
        <f t="shared" si="1179"/>
        <v>0</v>
      </c>
      <c r="BU376" s="523">
        <f t="shared" si="1180"/>
        <v>0</v>
      </c>
      <c r="BV376" s="523">
        <f t="shared" si="1181"/>
        <v>0</v>
      </c>
      <c r="BW376" s="523">
        <f t="shared" si="1182"/>
        <v>0</v>
      </c>
      <c r="BX376" s="523">
        <f t="shared" si="1183"/>
        <v>0</v>
      </c>
      <c r="BY376" s="523">
        <f t="shared" si="1184"/>
        <v>0</v>
      </c>
      <c r="BZ376" s="523">
        <f t="shared" si="1185"/>
        <v>0</v>
      </c>
      <c r="CA376" s="354"/>
      <c r="CB376" s="510" t="b">
        <f t="shared" si="1108"/>
        <v>0</v>
      </c>
      <c r="CC376" s="509" t="str">
        <f t="shared" si="956"/>
        <v>XLM.</v>
      </c>
      <c r="CD376" s="509" t="str">
        <f t="shared" si="1109"/>
        <v>XLM.13,1</v>
      </c>
      <c r="CE376" s="351" t="str">
        <f t="shared" si="1111"/>
        <v>Xé</v>
      </c>
      <c r="CF376" s="509" t="str">
        <f t="shared" si="957"/>
        <v>XLM.Xé</v>
      </c>
      <c r="CG376" s="509"/>
      <c r="CH376" s="509"/>
    </row>
    <row r="377" spans="1:86" ht="24.75" customHeight="1" x14ac:dyDescent="0.25">
      <c r="A377" s="354" t="e">
        <f>A369</f>
        <v>#REF!</v>
      </c>
      <c r="B377" s="484"/>
      <c r="C377" s="531" t="s">
        <v>20</v>
      </c>
      <c r="D377" s="447" t="s">
        <v>14</v>
      </c>
      <c r="E377" s="447"/>
      <c r="F377" s="447"/>
      <c r="G377" s="520">
        <v>13.1</v>
      </c>
      <c r="H377" s="521">
        <v>0.7</v>
      </c>
      <c r="I377" s="522">
        <f t="shared" si="1142"/>
        <v>0</v>
      </c>
      <c r="J377" s="522">
        <f t="shared" si="1143"/>
        <v>0</v>
      </c>
      <c r="K377" s="522">
        <f t="shared" si="1144"/>
        <v>0</v>
      </c>
      <c r="L377" s="57">
        <f t="shared" si="1145"/>
        <v>0</v>
      </c>
      <c r="M377" s="60"/>
      <c r="N377" s="60"/>
      <c r="O377" s="60">
        <f t="shared" si="1146"/>
        <v>0</v>
      </c>
      <c r="P377" s="60"/>
      <c r="Q377" s="60"/>
      <c r="R377" s="60">
        <f t="shared" si="1147"/>
        <v>0</v>
      </c>
      <c r="S377" s="824"/>
      <c r="T377" s="60"/>
      <c r="U377" s="60">
        <f t="shared" si="1148"/>
        <v>0</v>
      </c>
      <c r="V377" s="60">
        <f t="shared" si="1149"/>
        <v>0</v>
      </c>
      <c r="W377" s="60">
        <f t="shared" si="1150"/>
        <v>0</v>
      </c>
      <c r="X377" s="60">
        <f t="shared" si="1151"/>
        <v>0</v>
      </c>
      <c r="Y377" s="60"/>
      <c r="Z377" s="60"/>
      <c r="AA377" s="60">
        <f t="shared" si="1152"/>
        <v>0</v>
      </c>
      <c r="AB377" s="60"/>
      <c r="AC377" s="60"/>
      <c r="AD377" s="60">
        <f t="shared" si="1153"/>
        <v>0</v>
      </c>
      <c r="AE377" s="60"/>
      <c r="AF377" s="60"/>
      <c r="AG377" s="60">
        <f t="shared" si="1154"/>
        <v>0</v>
      </c>
      <c r="AH377" s="60">
        <f t="shared" si="1155"/>
        <v>0</v>
      </c>
      <c r="AI377" s="60">
        <f t="shared" si="1156"/>
        <v>0</v>
      </c>
      <c r="AJ377" s="60">
        <f t="shared" si="1157"/>
        <v>0</v>
      </c>
      <c r="AK377" s="60"/>
      <c r="AL377" s="60"/>
      <c r="AM377" s="60">
        <f t="shared" si="1158"/>
        <v>0</v>
      </c>
      <c r="AN377" s="60"/>
      <c r="AO377" s="60"/>
      <c r="AP377" s="60">
        <f t="shared" si="1159"/>
        <v>0</v>
      </c>
      <c r="AQ377" s="60"/>
      <c r="AR377" s="60"/>
      <c r="AS377" s="60">
        <f t="shared" si="1160"/>
        <v>0</v>
      </c>
      <c r="AT377" s="60">
        <f t="shared" si="1161"/>
        <v>0</v>
      </c>
      <c r="AU377" s="60">
        <f t="shared" si="1162"/>
        <v>0</v>
      </c>
      <c r="AV377" s="60">
        <f t="shared" si="1163"/>
        <v>0</v>
      </c>
      <c r="AW377" s="60"/>
      <c r="AX377" s="60"/>
      <c r="AY377" s="60">
        <f t="shared" si="1164"/>
        <v>0</v>
      </c>
      <c r="AZ377" s="60"/>
      <c r="BA377" s="60"/>
      <c r="BB377" s="60">
        <f t="shared" si="1165"/>
        <v>0</v>
      </c>
      <c r="BC377" s="60"/>
      <c r="BD377" s="60"/>
      <c r="BE377" s="60">
        <f t="shared" si="1166"/>
        <v>0</v>
      </c>
      <c r="BF377" s="60">
        <f t="shared" si="1167"/>
        <v>0</v>
      </c>
      <c r="BG377" s="60">
        <f t="shared" si="1168"/>
        <v>0</v>
      </c>
      <c r="BH377" s="60">
        <f t="shared" si="1169"/>
        <v>0</v>
      </c>
      <c r="BI377" s="508"/>
      <c r="BJ377" s="488" t="str">
        <f t="shared" si="1110"/>
        <v>Xé</v>
      </c>
      <c r="BK377" s="523">
        <f t="shared" si="1170"/>
        <v>0</v>
      </c>
      <c r="BL377" s="523">
        <f t="shared" si="1171"/>
        <v>0</v>
      </c>
      <c r="BM377" s="523">
        <f t="shared" si="1172"/>
        <v>0</v>
      </c>
      <c r="BN377" s="523">
        <f t="shared" si="1173"/>
        <v>0</v>
      </c>
      <c r="BO377" s="523">
        <f t="shared" si="1174"/>
        <v>0</v>
      </c>
      <c r="BP377" s="523">
        <f t="shared" si="1175"/>
        <v>0</v>
      </c>
      <c r="BQ377" s="523">
        <f t="shared" si="1176"/>
        <v>0</v>
      </c>
      <c r="BR377" s="523">
        <f t="shared" si="1177"/>
        <v>0</v>
      </c>
      <c r="BS377" s="523">
        <f t="shared" si="1178"/>
        <v>0</v>
      </c>
      <c r="BT377" s="523">
        <f t="shared" si="1179"/>
        <v>0</v>
      </c>
      <c r="BU377" s="523">
        <f t="shared" si="1180"/>
        <v>0</v>
      </c>
      <c r="BV377" s="523">
        <f t="shared" si="1181"/>
        <v>0</v>
      </c>
      <c r="BW377" s="523">
        <f t="shared" si="1182"/>
        <v>0</v>
      </c>
      <c r="BX377" s="523">
        <f t="shared" si="1183"/>
        <v>0</v>
      </c>
      <c r="BY377" s="523">
        <f t="shared" si="1184"/>
        <v>0</v>
      </c>
      <c r="BZ377" s="523">
        <f t="shared" si="1185"/>
        <v>0</v>
      </c>
      <c r="CA377" s="354"/>
      <c r="CB377" s="510" t="b">
        <f t="shared" si="1108"/>
        <v>0</v>
      </c>
      <c r="CC377" s="509" t="str">
        <f t="shared" si="956"/>
        <v>XLM.</v>
      </c>
      <c r="CD377" s="509" t="str">
        <f t="shared" si="1109"/>
        <v>XLM.13,1</v>
      </c>
      <c r="CE377" s="351" t="str">
        <f t="shared" si="1111"/>
        <v>Xé</v>
      </c>
      <c r="CF377" s="509" t="str">
        <f t="shared" si="957"/>
        <v>XLM.Xé</v>
      </c>
      <c r="CG377" s="509"/>
      <c r="CH377" s="509"/>
    </row>
    <row r="378" spans="1:86" ht="24.75" customHeight="1" x14ac:dyDescent="0.25">
      <c r="A378" s="354" t="e">
        <f>A370</f>
        <v>#REF!</v>
      </c>
      <c r="B378" s="484"/>
      <c r="C378" s="531" t="s">
        <v>20</v>
      </c>
      <c r="D378" s="447" t="s">
        <v>14</v>
      </c>
      <c r="E378" s="447"/>
      <c r="F378" s="447"/>
      <c r="G378" s="520">
        <v>13.1</v>
      </c>
      <c r="H378" s="521">
        <v>0.7</v>
      </c>
      <c r="I378" s="522">
        <f t="shared" si="1142"/>
        <v>0</v>
      </c>
      <c r="J378" s="522">
        <f t="shared" si="1143"/>
        <v>0</v>
      </c>
      <c r="K378" s="522">
        <f t="shared" si="1144"/>
        <v>0</v>
      </c>
      <c r="L378" s="57">
        <f t="shared" si="1145"/>
        <v>0</v>
      </c>
      <c r="M378" s="60"/>
      <c r="N378" s="60"/>
      <c r="O378" s="60">
        <f t="shared" si="1146"/>
        <v>0</v>
      </c>
      <c r="P378" s="60"/>
      <c r="Q378" s="60"/>
      <c r="R378" s="60">
        <f t="shared" si="1147"/>
        <v>0</v>
      </c>
      <c r="S378" s="824"/>
      <c r="T378" s="60"/>
      <c r="U378" s="60">
        <f t="shared" si="1148"/>
        <v>0</v>
      </c>
      <c r="V378" s="60">
        <f t="shared" si="1149"/>
        <v>0</v>
      </c>
      <c r="W378" s="60">
        <f t="shared" si="1150"/>
        <v>0</v>
      </c>
      <c r="X378" s="60">
        <f t="shared" si="1151"/>
        <v>0</v>
      </c>
      <c r="Y378" s="60"/>
      <c r="Z378" s="60"/>
      <c r="AA378" s="60">
        <f t="shared" si="1152"/>
        <v>0</v>
      </c>
      <c r="AB378" s="60"/>
      <c r="AC378" s="60"/>
      <c r="AD378" s="60">
        <f t="shared" si="1153"/>
        <v>0</v>
      </c>
      <c r="AE378" s="60"/>
      <c r="AF378" s="60"/>
      <c r="AG378" s="60">
        <f t="shared" si="1154"/>
        <v>0</v>
      </c>
      <c r="AH378" s="60">
        <f t="shared" si="1155"/>
        <v>0</v>
      </c>
      <c r="AI378" s="60">
        <f t="shared" si="1156"/>
        <v>0</v>
      </c>
      <c r="AJ378" s="60">
        <f t="shared" si="1157"/>
        <v>0</v>
      </c>
      <c r="AK378" s="60"/>
      <c r="AL378" s="60"/>
      <c r="AM378" s="60">
        <f t="shared" si="1158"/>
        <v>0</v>
      </c>
      <c r="AN378" s="60"/>
      <c r="AO378" s="60"/>
      <c r="AP378" s="60">
        <f t="shared" si="1159"/>
        <v>0</v>
      </c>
      <c r="AQ378" s="60"/>
      <c r="AR378" s="60"/>
      <c r="AS378" s="60">
        <f t="shared" si="1160"/>
        <v>0</v>
      </c>
      <c r="AT378" s="60">
        <f t="shared" si="1161"/>
        <v>0</v>
      </c>
      <c r="AU378" s="60">
        <f t="shared" si="1162"/>
        <v>0</v>
      </c>
      <c r="AV378" s="60">
        <f t="shared" si="1163"/>
        <v>0</v>
      </c>
      <c r="AW378" s="60"/>
      <c r="AX378" s="60"/>
      <c r="AY378" s="60">
        <f t="shared" si="1164"/>
        <v>0</v>
      </c>
      <c r="AZ378" s="60"/>
      <c r="BA378" s="60"/>
      <c r="BB378" s="60">
        <f t="shared" si="1165"/>
        <v>0</v>
      </c>
      <c r="BC378" s="60"/>
      <c r="BD378" s="60"/>
      <c r="BE378" s="60">
        <f t="shared" si="1166"/>
        <v>0</v>
      </c>
      <c r="BF378" s="60">
        <f t="shared" si="1167"/>
        <v>0</v>
      </c>
      <c r="BG378" s="60">
        <f t="shared" si="1168"/>
        <v>0</v>
      </c>
      <c r="BH378" s="60">
        <f t="shared" si="1169"/>
        <v>0</v>
      </c>
      <c r="BI378" s="508"/>
      <c r="BJ378" s="488" t="str">
        <f t="shared" si="1110"/>
        <v>Xé</v>
      </c>
      <c r="BK378" s="523">
        <f t="shared" si="1170"/>
        <v>0</v>
      </c>
      <c r="BL378" s="523">
        <f t="shared" si="1171"/>
        <v>0</v>
      </c>
      <c r="BM378" s="523">
        <f t="shared" si="1172"/>
        <v>0</v>
      </c>
      <c r="BN378" s="523">
        <f t="shared" si="1173"/>
        <v>0</v>
      </c>
      <c r="BO378" s="523">
        <f t="shared" si="1174"/>
        <v>0</v>
      </c>
      <c r="BP378" s="523">
        <f t="shared" si="1175"/>
        <v>0</v>
      </c>
      <c r="BQ378" s="523">
        <f t="shared" si="1176"/>
        <v>0</v>
      </c>
      <c r="BR378" s="523">
        <f t="shared" si="1177"/>
        <v>0</v>
      </c>
      <c r="BS378" s="523">
        <f t="shared" si="1178"/>
        <v>0</v>
      </c>
      <c r="BT378" s="523">
        <f t="shared" si="1179"/>
        <v>0</v>
      </c>
      <c r="BU378" s="523">
        <f t="shared" si="1180"/>
        <v>0</v>
      </c>
      <c r="BV378" s="523">
        <f t="shared" si="1181"/>
        <v>0</v>
      </c>
      <c r="BW378" s="523">
        <f t="shared" si="1182"/>
        <v>0</v>
      </c>
      <c r="BX378" s="523">
        <f t="shared" si="1183"/>
        <v>0</v>
      </c>
      <c r="BY378" s="523">
        <f t="shared" si="1184"/>
        <v>0</v>
      </c>
      <c r="BZ378" s="523">
        <f t="shared" si="1185"/>
        <v>0</v>
      </c>
      <c r="CA378" s="354"/>
      <c r="CB378" s="510" t="b">
        <f t="shared" si="1108"/>
        <v>0</v>
      </c>
      <c r="CC378" s="509" t="str">
        <f t="shared" si="956"/>
        <v>XLM.</v>
      </c>
      <c r="CD378" s="509" t="str">
        <f t="shared" si="1109"/>
        <v>XLM.13,1</v>
      </c>
      <c r="CE378" s="351" t="str">
        <f t="shared" si="1111"/>
        <v>Xé</v>
      </c>
      <c r="CF378" s="509" t="str">
        <f t="shared" si="957"/>
        <v>XLM.Xé</v>
      </c>
      <c r="CG378" s="509"/>
      <c r="CH378" s="509"/>
    </row>
    <row r="379" spans="1:86" ht="17.25" x14ac:dyDescent="0.3">
      <c r="A379" s="354" t="e">
        <f>#REF!</f>
        <v>#REF!</v>
      </c>
      <c r="B379" s="503" t="s">
        <v>42</v>
      </c>
      <c r="C379" s="547" t="s">
        <v>170</v>
      </c>
      <c r="D379" s="548"/>
      <c r="E379" s="548"/>
      <c r="F379" s="548"/>
      <c r="G379" s="520"/>
      <c r="H379" s="520"/>
      <c r="I379" s="63">
        <f>SUM(I380:I411)/2</f>
        <v>6367</v>
      </c>
      <c r="J379" s="63">
        <f>SUM(J380:J411)/2</f>
        <v>2551</v>
      </c>
      <c r="K379" s="63">
        <f>SUM(K380:K411)/2</f>
        <v>3816</v>
      </c>
      <c r="L379" s="63">
        <f>SUM(L380:L411)/2</f>
        <v>36600</v>
      </c>
      <c r="M379" s="209">
        <f t="shared" ref="M379:AN379" si="1186">SUM(M380:M401)/2</f>
        <v>195.5</v>
      </c>
      <c r="N379" s="209">
        <f t="shared" si="1186"/>
        <v>80</v>
      </c>
      <c r="O379" s="209">
        <f t="shared" si="1186"/>
        <v>115.5</v>
      </c>
      <c r="P379" s="209">
        <f t="shared" si="1186"/>
        <v>227.5</v>
      </c>
      <c r="Q379" s="209">
        <f t="shared" si="1186"/>
        <v>92.5</v>
      </c>
      <c r="R379" s="209">
        <f t="shared" si="1186"/>
        <v>135</v>
      </c>
      <c r="S379" s="822">
        <f t="shared" si="1186"/>
        <v>400</v>
      </c>
      <c r="T379" s="209">
        <f t="shared" si="1186"/>
        <v>170</v>
      </c>
      <c r="U379" s="209">
        <f t="shared" si="1186"/>
        <v>230</v>
      </c>
      <c r="V379" s="209">
        <f t="shared" si="1186"/>
        <v>823</v>
      </c>
      <c r="W379" s="209">
        <f t="shared" si="1186"/>
        <v>342.5</v>
      </c>
      <c r="X379" s="209">
        <f t="shared" si="1186"/>
        <v>480.5</v>
      </c>
      <c r="Y379" s="209">
        <f t="shared" si="1186"/>
        <v>642.5</v>
      </c>
      <c r="Z379" s="209">
        <f t="shared" si="1186"/>
        <v>230</v>
      </c>
      <c r="AA379" s="209">
        <f t="shared" si="1186"/>
        <v>412.5</v>
      </c>
      <c r="AB379" s="209">
        <f t="shared" si="1186"/>
        <v>640</v>
      </c>
      <c r="AC379" s="209">
        <f t="shared" si="1186"/>
        <v>250.5</v>
      </c>
      <c r="AD379" s="209">
        <f t="shared" si="1186"/>
        <v>389.5</v>
      </c>
      <c r="AE379" s="209">
        <f t="shared" si="1186"/>
        <v>670</v>
      </c>
      <c r="AF379" s="209">
        <f t="shared" si="1186"/>
        <v>285</v>
      </c>
      <c r="AG379" s="209">
        <f t="shared" si="1186"/>
        <v>385</v>
      </c>
      <c r="AH379" s="209">
        <f t="shared" si="1186"/>
        <v>1952.5</v>
      </c>
      <c r="AI379" s="209">
        <f t="shared" si="1186"/>
        <v>775.5</v>
      </c>
      <c r="AJ379" s="209">
        <f t="shared" si="1186"/>
        <v>1177</v>
      </c>
      <c r="AK379" s="209">
        <f t="shared" si="1186"/>
        <v>672.5</v>
      </c>
      <c r="AL379" s="209">
        <f t="shared" si="1186"/>
        <v>242.5</v>
      </c>
      <c r="AM379" s="209">
        <f t="shared" si="1186"/>
        <v>430</v>
      </c>
      <c r="AN379" s="209">
        <f t="shared" si="1186"/>
        <v>627.5</v>
      </c>
      <c r="AO379" s="209">
        <f t="shared" ref="AO379:BH379" si="1187">SUM(AO380:AO401)/2</f>
        <v>205</v>
      </c>
      <c r="AP379" s="209">
        <f t="shared" si="1187"/>
        <v>422.5</v>
      </c>
      <c r="AQ379" s="209">
        <f t="shared" si="1187"/>
        <v>573.5</v>
      </c>
      <c r="AR379" s="209">
        <f t="shared" si="1187"/>
        <v>207.5</v>
      </c>
      <c r="AS379" s="209">
        <f t="shared" si="1187"/>
        <v>366</v>
      </c>
      <c r="AT379" s="209">
        <f t="shared" si="1187"/>
        <v>1873.5</v>
      </c>
      <c r="AU379" s="209">
        <f t="shared" si="1187"/>
        <v>655</v>
      </c>
      <c r="AV379" s="209">
        <f t="shared" si="1187"/>
        <v>1218.5</v>
      </c>
      <c r="AW379" s="209">
        <f t="shared" si="1187"/>
        <v>337.5</v>
      </c>
      <c r="AX379" s="209">
        <f t="shared" si="1187"/>
        <v>137.5</v>
      </c>
      <c r="AY379" s="209">
        <f t="shared" si="1187"/>
        <v>200</v>
      </c>
      <c r="AZ379" s="209">
        <f t="shared" si="1187"/>
        <v>312.5</v>
      </c>
      <c r="BA379" s="209">
        <f t="shared" si="1187"/>
        <v>132.5</v>
      </c>
      <c r="BB379" s="209">
        <f t="shared" si="1187"/>
        <v>180</v>
      </c>
      <c r="BC379" s="209">
        <f t="shared" si="1187"/>
        <v>222.5</v>
      </c>
      <c r="BD379" s="209">
        <f t="shared" si="1187"/>
        <v>77.5</v>
      </c>
      <c r="BE379" s="209">
        <f t="shared" si="1187"/>
        <v>145</v>
      </c>
      <c r="BF379" s="209">
        <f t="shared" si="1187"/>
        <v>872.5</v>
      </c>
      <c r="BG379" s="209">
        <f t="shared" si="1187"/>
        <v>347.5</v>
      </c>
      <c r="BH379" s="209">
        <f t="shared" si="1187"/>
        <v>525</v>
      </c>
      <c r="BI379" s="508"/>
      <c r="BJ379" s="488" t="str">
        <f t="shared" si="1110"/>
        <v>PX</v>
      </c>
      <c r="BK379" s="209">
        <f>SUM(BK380:BK411)/2</f>
        <v>700</v>
      </c>
      <c r="BL379" s="209">
        <f t="shared" ref="BL379:BZ379" si="1188">SUM(BL380:BL411)/2</f>
        <v>1000</v>
      </c>
      <c r="BM379" s="209">
        <f t="shared" si="1188"/>
        <v>1900</v>
      </c>
      <c r="BN379" s="209">
        <f t="shared" si="1188"/>
        <v>3600</v>
      </c>
      <c r="BO379" s="209">
        <f t="shared" si="1188"/>
        <v>4800</v>
      </c>
      <c r="BP379" s="209">
        <f t="shared" si="1188"/>
        <v>4400</v>
      </c>
      <c r="BQ379" s="209">
        <f t="shared" si="1188"/>
        <v>4300</v>
      </c>
      <c r="BR379" s="209">
        <f t="shared" si="1188"/>
        <v>13300</v>
      </c>
      <c r="BS379" s="209">
        <f t="shared" si="1188"/>
        <v>5100</v>
      </c>
      <c r="BT379" s="209">
        <f t="shared" si="1188"/>
        <v>5100</v>
      </c>
      <c r="BU379" s="209">
        <f t="shared" si="1188"/>
        <v>3700</v>
      </c>
      <c r="BV379" s="209">
        <f t="shared" si="1188"/>
        <v>13500</v>
      </c>
      <c r="BW379" s="209">
        <f t="shared" si="1188"/>
        <v>2500</v>
      </c>
      <c r="BX379" s="209">
        <f t="shared" si="1188"/>
        <v>2300</v>
      </c>
      <c r="BY379" s="209">
        <f t="shared" si="1188"/>
        <v>1700</v>
      </c>
      <c r="BZ379" s="209">
        <f t="shared" si="1188"/>
        <v>6200</v>
      </c>
      <c r="CA379" s="354"/>
      <c r="CB379" s="354" t="str">
        <f t="shared" ref="CB379:CB432" si="1189">IF(SUM(I379:L379)&lt;&gt;0,"X")</f>
        <v>X</v>
      </c>
      <c r="CC379" s="534" t="s">
        <v>300</v>
      </c>
      <c r="CD379" s="509" t="str">
        <f t="shared" ref="CD379:CD413" si="1190">CC379&amp;G379</f>
        <v>TN.</v>
      </c>
      <c r="CE379" s="351" t="str">
        <f t="shared" si="1111"/>
        <v>PX</v>
      </c>
      <c r="CF379" s="509" t="str">
        <f t="shared" si="957"/>
        <v>TN.PX</v>
      </c>
      <c r="CG379" s="509"/>
      <c r="CH379" s="509"/>
    </row>
    <row r="380" spans="1:86" s="358" customFormat="1" ht="19.5" customHeight="1" x14ac:dyDescent="0.25">
      <c r="A380" s="354" t="e">
        <f t="shared" si="1060"/>
        <v>#REF!</v>
      </c>
      <c r="B380" s="511" t="s">
        <v>8</v>
      </c>
      <c r="C380" s="512" t="s">
        <v>177</v>
      </c>
      <c r="D380" s="513"/>
      <c r="E380" s="513"/>
      <c r="F380" s="513"/>
      <c r="G380" s="514"/>
      <c r="H380" s="515"/>
      <c r="I380" s="211">
        <f>SUM(I381:I396)</f>
        <v>3500</v>
      </c>
      <c r="J380" s="211">
        <f t="shared" ref="J380:BH380" si="1191">SUM(J381:J396)</f>
        <v>1250</v>
      </c>
      <c r="K380" s="211">
        <f t="shared" si="1191"/>
        <v>2250</v>
      </c>
      <c r="L380" s="211">
        <f t="shared" si="1191"/>
        <v>31600</v>
      </c>
      <c r="M380" s="211">
        <f t="shared" si="1191"/>
        <v>70</v>
      </c>
      <c r="N380" s="211">
        <f t="shared" si="1191"/>
        <v>40</v>
      </c>
      <c r="O380" s="211">
        <f t="shared" si="1191"/>
        <v>30</v>
      </c>
      <c r="P380" s="211">
        <f t="shared" si="1191"/>
        <v>50</v>
      </c>
      <c r="Q380" s="211">
        <f t="shared" si="1191"/>
        <v>20</v>
      </c>
      <c r="R380" s="211">
        <f t="shared" si="1191"/>
        <v>30</v>
      </c>
      <c r="S380" s="823">
        <f t="shared" si="1191"/>
        <v>125</v>
      </c>
      <c r="T380" s="211">
        <f t="shared" si="1191"/>
        <v>40</v>
      </c>
      <c r="U380" s="211">
        <f t="shared" si="1191"/>
        <v>85</v>
      </c>
      <c r="V380" s="211">
        <f t="shared" si="1191"/>
        <v>245</v>
      </c>
      <c r="W380" s="211">
        <f t="shared" si="1191"/>
        <v>100</v>
      </c>
      <c r="X380" s="211">
        <f t="shared" si="1191"/>
        <v>145</v>
      </c>
      <c r="Y380" s="211">
        <f t="shared" si="1191"/>
        <v>365</v>
      </c>
      <c r="Z380" s="211">
        <f t="shared" si="1191"/>
        <v>95</v>
      </c>
      <c r="AA380" s="211">
        <f t="shared" si="1191"/>
        <v>270</v>
      </c>
      <c r="AB380" s="211">
        <f t="shared" si="1191"/>
        <v>365</v>
      </c>
      <c r="AC380" s="211">
        <f t="shared" si="1191"/>
        <v>125</v>
      </c>
      <c r="AD380" s="211">
        <f t="shared" si="1191"/>
        <v>240</v>
      </c>
      <c r="AE380" s="211">
        <f t="shared" si="1191"/>
        <v>450</v>
      </c>
      <c r="AF380" s="211">
        <f t="shared" si="1191"/>
        <v>185</v>
      </c>
      <c r="AG380" s="211">
        <f t="shared" si="1191"/>
        <v>265</v>
      </c>
      <c r="AH380" s="211">
        <f t="shared" si="1191"/>
        <v>1180</v>
      </c>
      <c r="AI380" s="211">
        <f t="shared" si="1191"/>
        <v>415</v>
      </c>
      <c r="AJ380" s="211">
        <f t="shared" si="1191"/>
        <v>765</v>
      </c>
      <c r="AK380" s="211">
        <f t="shared" si="1191"/>
        <v>475</v>
      </c>
      <c r="AL380" s="211">
        <f t="shared" si="1191"/>
        <v>175</v>
      </c>
      <c r="AM380" s="211">
        <f t="shared" si="1191"/>
        <v>300</v>
      </c>
      <c r="AN380" s="211">
        <f t="shared" si="1191"/>
        <v>470</v>
      </c>
      <c r="AO380" s="211">
        <f t="shared" si="1191"/>
        <v>165</v>
      </c>
      <c r="AP380" s="211">
        <f t="shared" si="1191"/>
        <v>305</v>
      </c>
      <c r="AQ380" s="211">
        <f t="shared" si="1191"/>
        <v>385</v>
      </c>
      <c r="AR380" s="211">
        <f t="shared" si="1191"/>
        <v>130</v>
      </c>
      <c r="AS380" s="211">
        <f t="shared" si="1191"/>
        <v>255</v>
      </c>
      <c r="AT380" s="211">
        <f t="shared" si="1191"/>
        <v>1330</v>
      </c>
      <c r="AU380" s="211">
        <f t="shared" si="1191"/>
        <v>470</v>
      </c>
      <c r="AV380" s="211">
        <f t="shared" si="1191"/>
        <v>860</v>
      </c>
      <c r="AW380" s="211">
        <f t="shared" si="1191"/>
        <v>275</v>
      </c>
      <c r="AX380" s="211">
        <f t="shared" si="1191"/>
        <v>90</v>
      </c>
      <c r="AY380" s="211">
        <f t="shared" si="1191"/>
        <v>185</v>
      </c>
      <c r="AZ380" s="211">
        <f t="shared" si="1191"/>
        <v>270</v>
      </c>
      <c r="BA380" s="211">
        <f t="shared" si="1191"/>
        <v>105</v>
      </c>
      <c r="BB380" s="211">
        <f t="shared" si="1191"/>
        <v>165</v>
      </c>
      <c r="BC380" s="211">
        <f t="shared" si="1191"/>
        <v>200</v>
      </c>
      <c r="BD380" s="211">
        <f t="shared" si="1191"/>
        <v>70</v>
      </c>
      <c r="BE380" s="211">
        <f t="shared" si="1191"/>
        <v>130</v>
      </c>
      <c r="BF380" s="211">
        <f t="shared" si="1191"/>
        <v>745</v>
      </c>
      <c r="BG380" s="211">
        <f t="shared" si="1191"/>
        <v>265</v>
      </c>
      <c r="BH380" s="211">
        <f t="shared" si="1191"/>
        <v>480</v>
      </c>
      <c r="BI380" s="516"/>
      <c r="BJ380" s="488" t="str">
        <f t="shared" si="1110"/>
        <v>ĐL</v>
      </c>
      <c r="BK380" s="57">
        <f>SUM(BK381:BK396)</f>
        <v>400</v>
      </c>
      <c r="BL380" s="57">
        <f t="shared" ref="BL380:BZ380" si="1192">SUM(BL381:BL396)</f>
        <v>400</v>
      </c>
      <c r="BM380" s="57">
        <f t="shared" si="1192"/>
        <v>1300</v>
      </c>
      <c r="BN380" s="57">
        <f t="shared" si="1192"/>
        <v>2100</v>
      </c>
      <c r="BO380" s="57">
        <f t="shared" si="1192"/>
        <v>4200</v>
      </c>
      <c r="BP380" s="57">
        <f t="shared" si="1192"/>
        <v>3700</v>
      </c>
      <c r="BQ380" s="57">
        <f t="shared" si="1192"/>
        <v>3900</v>
      </c>
      <c r="BR380" s="57">
        <f t="shared" si="1192"/>
        <v>11500</v>
      </c>
      <c r="BS380" s="57">
        <f t="shared" si="1192"/>
        <v>4400</v>
      </c>
      <c r="BT380" s="57">
        <f t="shared" si="1192"/>
        <v>4500</v>
      </c>
      <c r="BU380" s="57">
        <f t="shared" si="1192"/>
        <v>3200</v>
      </c>
      <c r="BV380" s="57">
        <f t="shared" si="1192"/>
        <v>12000</v>
      </c>
      <c r="BW380" s="57">
        <f t="shared" si="1192"/>
        <v>2400</v>
      </c>
      <c r="BX380" s="57">
        <f t="shared" si="1192"/>
        <v>2200</v>
      </c>
      <c r="BY380" s="57">
        <f t="shared" si="1192"/>
        <v>1600</v>
      </c>
      <c r="BZ380" s="57">
        <f t="shared" si="1192"/>
        <v>6000</v>
      </c>
      <c r="CA380" s="510"/>
      <c r="CB380" s="510" t="str">
        <f t="shared" si="1189"/>
        <v>X</v>
      </c>
      <c r="CC380" s="509" t="str">
        <f t="shared" si="956"/>
        <v>TN.</v>
      </c>
      <c r="CD380" s="509" t="str">
        <f t="shared" si="1190"/>
        <v>TN.</v>
      </c>
      <c r="CE380" s="351" t="str">
        <f t="shared" si="1111"/>
        <v>ĐL</v>
      </c>
      <c r="CF380" s="509" t="str">
        <f t="shared" si="957"/>
        <v>TN.ĐL</v>
      </c>
      <c r="CG380" s="509"/>
      <c r="CH380" s="509"/>
    </row>
    <row r="381" spans="1:86" ht="24" customHeight="1" x14ac:dyDescent="0.25">
      <c r="A381" s="354" t="e">
        <f t="shared" si="1060"/>
        <v>#REF!</v>
      </c>
      <c r="B381" s="518" t="s">
        <v>777</v>
      </c>
      <c r="C381" s="519" t="s">
        <v>831</v>
      </c>
      <c r="D381" s="447" t="s">
        <v>14</v>
      </c>
      <c r="E381" s="447"/>
      <c r="F381" s="447"/>
      <c r="G381" s="520">
        <v>16.100000000000001</v>
      </c>
      <c r="H381" s="521">
        <v>0.7</v>
      </c>
      <c r="I381" s="522">
        <f t="shared" ref="I381:I387" si="1193">V381+AH381+AT381+BF381</f>
        <v>395</v>
      </c>
      <c r="J381" s="522">
        <f t="shared" ref="J381:J387" si="1194">W381+AI381+AU381+BG381</f>
        <v>95</v>
      </c>
      <c r="K381" s="522">
        <f t="shared" ref="K381:K387" si="1195">X381+AJ381+AV381+BH381</f>
        <v>300</v>
      </c>
      <c r="L381" s="57">
        <f t="shared" ref="L381:L387" si="1196">BN381+BR381+BV381+BZ381</f>
        <v>5800</v>
      </c>
      <c r="M381" s="60"/>
      <c r="N381" s="60"/>
      <c r="O381" s="60">
        <f t="shared" ref="O381:O387" si="1197">M381-N381</f>
        <v>0</v>
      </c>
      <c r="P381" s="60"/>
      <c r="Q381" s="60"/>
      <c r="R381" s="60">
        <f t="shared" ref="R381:R387" si="1198">P381-Q381</f>
        <v>0</v>
      </c>
      <c r="S381" s="824">
        <v>35</v>
      </c>
      <c r="T381" s="60">
        <v>10</v>
      </c>
      <c r="U381" s="60">
        <f t="shared" ref="U381:U387" si="1199">S381-T381</f>
        <v>25</v>
      </c>
      <c r="V381" s="60">
        <f>M381+P381+S381</f>
        <v>35</v>
      </c>
      <c r="W381" s="60">
        <f>N381+Q381+T381</f>
        <v>10</v>
      </c>
      <c r="X381" s="60">
        <f>O381+R381+U381</f>
        <v>25</v>
      </c>
      <c r="Y381" s="60">
        <v>70</v>
      </c>
      <c r="Z381" s="60">
        <v>20</v>
      </c>
      <c r="AA381" s="60">
        <f t="shared" ref="AA381:AA387" si="1200">Y381-Z381</f>
        <v>50</v>
      </c>
      <c r="AB381" s="60">
        <v>70</v>
      </c>
      <c r="AC381" s="60">
        <v>20</v>
      </c>
      <c r="AD381" s="60">
        <f t="shared" ref="AD381:AD387" si="1201">AB381-AC381</f>
        <v>50</v>
      </c>
      <c r="AE381" s="60">
        <v>70</v>
      </c>
      <c r="AF381" s="60">
        <v>20</v>
      </c>
      <c r="AG381" s="60">
        <f t="shared" ref="AG381:AG387" si="1202">AE381-AF381</f>
        <v>50</v>
      </c>
      <c r="AH381" s="60">
        <f>Y381+AB381+AE381</f>
        <v>210</v>
      </c>
      <c r="AI381" s="60">
        <f>Z381+AC381+AF381</f>
        <v>60</v>
      </c>
      <c r="AJ381" s="60">
        <f>AH381-AI381</f>
        <v>150</v>
      </c>
      <c r="AK381" s="60">
        <v>75</v>
      </c>
      <c r="AL381" s="60">
        <v>15</v>
      </c>
      <c r="AM381" s="60">
        <f t="shared" ref="AM381:AM387" si="1203">AK381-AL381</f>
        <v>60</v>
      </c>
      <c r="AN381" s="60">
        <v>75</v>
      </c>
      <c r="AO381" s="60">
        <v>10</v>
      </c>
      <c r="AP381" s="60">
        <f t="shared" ref="AP381:AP387" si="1204">AN381-AO381</f>
        <v>65</v>
      </c>
      <c r="AQ381" s="60"/>
      <c r="AR381" s="60"/>
      <c r="AS381" s="60">
        <f t="shared" ref="AS381:AS387" si="1205">AQ381-AR381</f>
        <v>0</v>
      </c>
      <c r="AT381" s="60">
        <f t="shared" ref="AT381:AT391" si="1206">AK381+AN381+AQ381</f>
        <v>150</v>
      </c>
      <c r="AU381" s="60">
        <f t="shared" ref="AU381:AU391" si="1207">AL381+AO381+AR381</f>
        <v>25</v>
      </c>
      <c r="AV381" s="60">
        <f t="shared" ref="AV381:AV391" si="1208">AM381+AP381+AS381</f>
        <v>125</v>
      </c>
      <c r="AW381" s="60"/>
      <c r="AX381" s="60"/>
      <c r="AY381" s="60">
        <f t="shared" ref="AY381:AY387" si="1209">AW381-AX381</f>
        <v>0</v>
      </c>
      <c r="AZ381" s="60"/>
      <c r="BA381" s="60"/>
      <c r="BB381" s="60">
        <f t="shared" ref="BB381:BB387" si="1210">AZ381-BA381</f>
        <v>0</v>
      </c>
      <c r="BC381" s="60"/>
      <c r="BD381" s="60"/>
      <c r="BE381" s="60">
        <f t="shared" ref="BE381:BE387" si="1211">BC381-BD381</f>
        <v>0</v>
      </c>
      <c r="BF381" s="60">
        <f t="shared" ref="BF381:BG388" si="1212">AW381+AZ381+BC381</f>
        <v>0</v>
      </c>
      <c r="BG381" s="60">
        <f t="shared" si="1212"/>
        <v>0</v>
      </c>
      <c r="BH381" s="60">
        <f>BF381-BG381</f>
        <v>0</v>
      </c>
      <c r="BI381" s="508"/>
      <c r="BJ381" s="488" t="str">
        <f t="shared" si="1110"/>
        <v>Lò</v>
      </c>
      <c r="BK381" s="523">
        <f t="shared" ref="BK381:BK387" si="1213">ROUND(O381*G381*$C$3*$B$5,-2)</f>
        <v>0</v>
      </c>
      <c r="BL381" s="523">
        <f t="shared" ref="BL381:BL387" si="1214">ROUND(R381*G381*$C$3*$B$5,-2)</f>
        <v>0</v>
      </c>
      <c r="BM381" s="523">
        <f t="shared" ref="BM381:BM387" si="1215">ROUND(U381*G381*$C$3*$B$5,-2)</f>
        <v>500</v>
      </c>
      <c r="BN381" s="523">
        <f t="shared" ref="BN381:BN387" si="1216">ROUND(X381*G381*$C$3*$B$5,-2)</f>
        <v>500</v>
      </c>
      <c r="BO381" s="523">
        <f t="shared" ref="BO381:BO387" si="1217">ROUND(AA381*G381*$C$3*$B$5,-2)</f>
        <v>1000</v>
      </c>
      <c r="BP381" s="523">
        <f t="shared" ref="BP381:BP387" si="1218">ROUND(AD381*G381*$C$3*$B$5,-2)</f>
        <v>1000</v>
      </c>
      <c r="BQ381" s="523">
        <f t="shared" ref="BQ381:BQ387" si="1219">ROUND(AG381*G381*$C$3*$B$5,-2)</f>
        <v>1000</v>
      </c>
      <c r="BR381" s="523">
        <f t="shared" ref="BR381:BR387" si="1220">ROUND(AJ381*G381*$B$5*$C$3,-2)</f>
        <v>2900</v>
      </c>
      <c r="BS381" s="523">
        <f t="shared" ref="BS381:BS387" si="1221">ROUND(AM381*G381*$C$3*$B$5,-2)</f>
        <v>1200</v>
      </c>
      <c r="BT381" s="523">
        <f t="shared" ref="BT381:BT387" si="1222">ROUND(AP381*G381*$C$3*$B$5,-2)</f>
        <v>1300</v>
      </c>
      <c r="BU381" s="523">
        <f t="shared" ref="BU381:BU387" si="1223">ROUND(AS381*G381*$C$3*$B$5,-2)</f>
        <v>0</v>
      </c>
      <c r="BV381" s="523">
        <f t="shared" ref="BV381:BV387" si="1224">ROUND(AV381*G381*$C$3*$B$5,-2)</f>
        <v>2400</v>
      </c>
      <c r="BW381" s="523">
        <f t="shared" ref="BW381:BW387" si="1225">ROUND(AY381*G381*$C$3*$B$5,-2)</f>
        <v>0</v>
      </c>
      <c r="BX381" s="523">
        <f t="shared" ref="BX381:BX387" si="1226">ROUND(BB381*G381*$C$3*$B$5,-2)</f>
        <v>0</v>
      </c>
      <c r="BY381" s="523">
        <f t="shared" ref="BY381:BY387" si="1227">ROUND(BE381*G381*$C$3*$B$5,-2)</f>
        <v>0</v>
      </c>
      <c r="BZ381" s="523">
        <f t="shared" ref="BZ381:BZ387" si="1228">ROUND(BH381*G381*$C$3*$B$5,-2)</f>
        <v>0</v>
      </c>
      <c r="CA381" s="354"/>
      <c r="CB381" s="354" t="str">
        <f t="shared" si="1189"/>
        <v>X</v>
      </c>
      <c r="CC381" s="509" t="str">
        <f t="shared" si="956"/>
        <v>TN.</v>
      </c>
      <c r="CD381" s="509" t="str">
        <f t="shared" si="1190"/>
        <v>TN.16,1</v>
      </c>
      <c r="CE381" s="351" t="str">
        <f t="shared" si="1111"/>
        <v>Lò</v>
      </c>
      <c r="CF381" s="509" t="str">
        <f t="shared" si="957"/>
        <v>TN.Lò</v>
      </c>
      <c r="CG381" s="509"/>
      <c r="CH381" s="509"/>
    </row>
    <row r="382" spans="1:86" ht="24" customHeight="1" x14ac:dyDescent="0.25">
      <c r="A382" s="354" t="e">
        <f>A379</f>
        <v>#REF!</v>
      </c>
      <c r="B382" s="518" t="s">
        <v>777</v>
      </c>
      <c r="C382" s="519" t="s">
        <v>691</v>
      </c>
      <c r="D382" s="447" t="s">
        <v>14</v>
      </c>
      <c r="E382" s="447"/>
      <c r="F382" s="447"/>
      <c r="G382" s="520">
        <v>8.5</v>
      </c>
      <c r="H382" s="521">
        <v>0.7</v>
      </c>
      <c r="I382" s="522">
        <f t="shared" si="1193"/>
        <v>110</v>
      </c>
      <c r="J382" s="522">
        <f t="shared" si="1194"/>
        <v>0</v>
      </c>
      <c r="K382" s="522">
        <f t="shared" si="1195"/>
        <v>110</v>
      </c>
      <c r="L382" s="57">
        <f t="shared" si="1196"/>
        <v>1200</v>
      </c>
      <c r="M382" s="60"/>
      <c r="N382" s="60"/>
      <c r="O382" s="60">
        <f t="shared" si="1197"/>
        <v>0</v>
      </c>
      <c r="P382" s="60"/>
      <c r="Q382" s="60"/>
      <c r="R382" s="60">
        <f t="shared" si="1198"/>
        <v>0</v>
      </c>
      <c r="S382" s="824"/>
      <c r="T382" s="60"/>
      <c r="U382" s="60">
        <f t="shared" si="1199"/>
        <v>0</v>
      </c>
      <c r="V382" s="60">
        <f t="shared" ref="V382:X387" si="1229">M382+P382+S382</f>
        <v>0</v>
      </c>
      <c r="W382" s="60">
        <f t="shared" si="1229"/>
        <v>0</v>
      </c>
      <c r="X382" s="60">
        <f t="shared" si="1229"/>
        <v>0</v>
      </c>
      <c r="Y382" s="60"/>
      <c r="Z382" s="60"/>
      <c r="AA382" s="60">
        <f t="shared" si="1200"/>
        <v>0</v>
      </c>
      <c r="AB382" s="60"/>
      <c r="AC382" s="60"/>
      <c r="AD382" s="60">
        <f t="shared" si="1201"/>
        <v>0</v>
      </c>
      <c r="AE382" s="60"/>
      <c r="AF382" s="60"/>
      <c r="AG382" s="60">
        <f t="shared" si="1202"/>
        <v>0</v>
      </c>
      <c r="AH382" s="60">
        <f>Y382+AB382+AE382</f>
        <v>0</v>
      </c>
      <c r="AI382" s="60">
        <f>Z382+AC382+AF382</f>
        <v>0</v>
      </c>
      <c r="AJ382" s="60">
        <f>AA382+AD382+AG382</f>
        <v>0</v>
      </c>
      <c r="AK382" s="60"/>
      <c r="AL382" s="60"/>
      <c r="AM382" s="60">
        <f t="shared" si="1203"/>
        <v>0</v>
      </c>
      <c r="AN382" s="60"/>
      <c r="AO382" s="60"/>
      <c r="AP382" s="60">
        <f t="shared" si="1204"/>
        <v>0</v>
      </c>
      <c r="AQ382" s="60">
        <v>55</v>
      </c>
      <c r="AR382" s="60"/>
      <c r="AS382" s="60">
        <f t="shared" si="1205"/>
        <v>55</v>
      </c>
      <c r="AT382" s="60">
        <f t="shared" si="1206"/>
        <v>55</v>
      </c>
      <c r="AU382" s="60">
        <f t="shared" si="1207"/>
        <v>0</v>
      </c>
      <c r="AV382" s="60">
        <f t="shared" si="1208"/>
        <v>55</v>
      </c>
      <c r="AW382" s="60">
        <v>55</v>
      </c>
      <c r="AX382" s="60"/>
      <c r="AY382" s="60">
        <f t="shared" si="1209"/>
        <v>55</v>
      </c>
      <c r="AZ382" s="60"/>
      <c r="BA382" s="60"/>
      <c r="BB382" s="60">
        <f t="shared" si="1210"/>
        <v>0</v>
      </c>
      <c r="BC382" s="60"/>
      <c r="BD382" s="60"/>
      <c r="BE382" s="60">
        <f t="shared" si="1211"/>
        <v>0</v>
      </c>
      <c r="BF382" s="60">
        <f t="shared" si="1212"/>
        <v>55</v>
      </c>
      <c r="BG382" s="60">
        <f t="shared" si="1212"/>
        <v>0</v>
      </c>
      <c r="BH382" s="60">
        <f>BF382-BG382</f>
        <v>55</v>
      </c>
      <c r="BI382" s="508"/>
      <c r="BJ382" s="488" t="str">
        <f t="shared" si="1110"/>
        <v>Lò</v>
      </c>
      <c r="BK382" s="523">
        <f t="shared" si="1213"/>
        <v>0</v>
      </c>
      <c r="BL382" s="523">
        <f t="shared" si="1214"/>
        <v>0</v>
      </c>
      <c r="BM382" s="523">
        <f t="shared" si="1215"/>
        <v>0</v>
      </c>
      <c r="BN382" s="523">
        <f t="shared" si="1216"/>
        <v>0</v>
      </c>
      <c r="BO382" s="523">
        <f t="shared" si="1217"/>
        <v>0</v>
      </c>
      <c r="BP382" s="523">
        <f t="shared" si="1218"/>
        <v>0</v>
      </c>
      <c r="BQ382" s="523">
        <f t="shared" si="1219"/>
        <v>0</v>
      </c>
      <c r="BR382" s="523">
        <f t="shared" si="1220"/>
        <v>0</v>
      </c>
      <c r="BS382" s="523">
        <f t="shared" si="1221"/>
        <v>0</v>
      </c>
      <c r="BT382" s="523">
        <f t="shared" si="1222"/>
        <v>0</v>
      </c>
      <c r="BU382" s="523">
        <f t="shared" si="1223"/>
        <v>600</v>
      </c>
      <c r="BV382" s="523">
        <f t="shared" si="1224"/>
        <v>600</v>
      </c>
      <c r="BW382" s="523">
        <f t="shared" si="1225"/>
        <v>600</v>
      </c>
      <c r="BX382" s="523">
        <f t="shared" si="1226"/>
        <v>0</v>
      </c>
      <c r="BY382" s="523">
        <f t="shared" si="1227"/>
        <v>0</v>
      </c>
      <c r="BZ382" s="523">
        <f t="shared" si="1228"/>
        <v>600</v>
      </c>
      <c r="CA382" s="354"/>
      <c r="CB382" s="354" t="str">
        <f t="shared" si="1189"/>
        <v>X</v>
      </c>
      <c r="CC382" s="509" t="str">
        <f t="shared" si="956"/>
        <v>TN.</v>
      </c>
      <c r="CD382" s="509" t="str">
        <f t="shared" si="1190"/>
        <v>TN.8,5</v>
      </c>
      <c r="CE382" s="351" t="str">
        <f t="shared" si="1111"/>
        <v>Lò</v>
      </c>
      <c r="CF382" s="509" t="str">
        <f t="shared" si="957"/>
        <v>TN.Lò</v>
      </c>
      <c r="CG382" s="509"/>
      <c r="CH382" s="509"/>
    </row>
    <row r="383" spans="1:86" ht="24" customHeight="1" x14ac:dyDescent="0.25">
      <c r="A383" s="354"/>
      <c r="B383" s="518"/>
      <c r="C383" s="519" t="s">
        <v>813</v>
      </c>
      <c r="D383" s="447" t="s">
        <v>14</v>
      </c>
      <c r="E383" s="447"/>
      <c r="F383" s="447"/>
      <c r="G383" s="520">
        <v>16.100000000000001</v>
      </c>
      <c r="H383" s="521">
        <v>0.7</v>
      </c>
      <c r="I383" s="522">
        <f>V383+AH383+AT383+BF383</f>
        <v>50</v>
      </c>
      <c r="J383" s="522">
        <f>W383+AI383+AU383+BG383</f>
        <v>50</v>
      </c>
      <c r="K383" s="522">
        <f>X383+AJ383+AV383+BH383</f>
        <v>0</v>
      </c>
      <c r="L383" s="57"/>
      <c r="M383" s="60">
        <v>20</v>
      </c>
      <c r="N383" s="60">
        <v>20</v>
      </c>
      <c r="O383" s="60"/>
      <c r="P383" s="60">
        <v>10</v>
      </c>
      <c r="Q383" s="60">
        <v>10</v>
      </c>
      <c r="R383" s="60"/>
      <c r="S383" s="824">
        <v>20</v>
      </c>
      <c r="T383" s="60">
        <v>20</v>
      </c>
      <c r="U383" s="60"/>
      <c r="V383" s="60">
        <f>M383+P383+S383</f>
        <v>50</v>
      </c>
      <c r="W383" s="60">
        <f>N383+Q383+T383</f>
        <v>50</v>
      </c>
      <c r="X383" s="60">
        <f>O383+R383+U383</f>
        <v>0</v>
      </c>
      <c r="Y383" s="60"/>
      <c r="Z383" s="60"/>
      <c r="AA383" s="60"/>
      <c r="AB383" s="60"/>
      <c r="AC383" s="60"/>
      <c r="AD383" s="60"/>
      <c r="AE383" s="60"/>
      <c r="AF383" s="60"/>
      <c r="AG383" s="60"/>
      <c r="AH383" s="60"/>
      <c r="AI383" s="60"/>
      <c r="AJ383" s="60"/>
      <c r="AK383" s="60"/>
      <c r="AL383" s="60"/>
      <c r="AM383" s="60">
        <f t="shared" si="1203"/>
        <v>0</v>
      </c>
      <c r="AN383" s="60"/>
      <c r="AO383" s="60"/>
      <c r="AP383" s="60">
        <f t="shared" si="1204"/>
        <v>0</v>
      </c>
      <c r="AQ383" s="60"/>
      <c r="AR383" s="60"/>
      <c r="AS383" s="60">
        <f t="shared" si="1205"/>
        <v>0</v>
      </c>
      <c r="AT383" s="60">
        <f t="shared" si="1206"/>
        <v>0</v>
      </c>
      <c r="AU383" s="60">
        <f t="shared" si="1207"/>
        <v>0</v>
      </c>
      <c r="AV383" s="60">
        <f t="shared" si="1208"/>
        <v>0</v>
      </c>
      <c r="AW383" s="60"/>
      <c r="AX383" s="60"/>
      <c r="AY383" s="60"/>
      <c r="AZ383" s="60"/>
      <c r="BA383" s="60"/>
      <c r="BB383" s="60"/>
      <c r="BC383" s="60"/>
      <c r="BD383" s="60"/>
      <c r="BE383" s="60"/>
      <c r="BF383" s="60">
        <f>AW383+AZ383+BC383</f>
        <v>0</v>
      </c>
      <c r="BG383" s="60">
        <f>AX383+BA383+BD383</f>
        <v>0</v>
      </c>
      <c r="BH383" s="60">
        <f>BF383-BG383</f>
        <v>0</v>
      </c>
      <c r="BI383" s="508"/>
      <c r="BJ383" s="488" t="str">
        <f t="shared" si="1110"/>
        <v>Lò</v>
      </c>
      <c r="BK383" s="523">
        <f>ROUND(O383*G383*$C$3*$B$5,-2)</f>
        <v>0</v>
      </c>
      <c r="BL383" s="523">
        <f>ROUND(R383*G383*$C$3*$B$5,-2)</f>
        <v>0</v>
      </c>
      <c r="BM383" s="523">
        <f>ROUND(U383*G383*$C$3*$B$5,-2)</f>
        <v>0</v>
      </c>
      <c r="BN383" s="523">
        <f>ROUND(X383*G383*$C$3*$B$5,-2)</f>
        <v>0</v>
      </c>
      <c r="BO383" s="523">
        <f>ROUND(AA383*G383*$C$3*$B$5,-2)</f>
        <v>0</v>
      </c>
      <c r="BP383" s="523">
        <f>ROUND(AD383*G383*$C$3*$B$5,-2)</f>
        <v>0</v>
      </c>
      <c r="BQ383" s="523">
        <f>ROUND(AG383*G383*$C$3*$B$5,-2)</f>
        <v>0</v>
      </c>
      <c r="BR383" s="523">
        <f>ROUND(AJ383*G383*$B$5*$C$3,-2)</f>
        <v>0</v>
      </c>
      <c r="BS383" s="523">
        <f>ROUND(AM383*G383*$C$3*$B$5,-2)</f>
        <v>0</v>
      </c>
      <c r="BT383" s="523">
        <f>ROUND(AP383*G383*$C$3*$B$5,-2)</f>
        <v>0</v>
      </c>
      <c r="BU383" s="523">
        <f>ROUND(AS383*G383*$C$3*$B$5,-2)</f>
        <v>0</v>
      </c>
      <c r="BV383" s="523">
        <f>ROUND(AV383*G383*$C$3*$B$5,-2)</f>
        <v>0</v>
      </c>
      <c r="BW383" s="523">
        <f>ROUND(AY383*G383*$C$3*$B$5,-2)</f>
        <v>0</v>
      </c>
      <c r="BX383" s="523">
        <f>ROUND(BB383*G383*$C$3*$B$5,-2)</f>
        <v>0</v>
      </c>
      <c r="BY383" s="523">
        <f>ROUND(BE383*G383*$C$3*$B$5,-2)</f>
        <v>0</v>
      </c>
      <c r="BZ383" s="523">
        <f>ROUND(BH383*G383*$C$3*$B$5,-2)</f>
        <v>0</v>
      </c>
      <c r="CA383" s="354"/>
      <c r="CB383" s="354" t="str">
        <f>IF(SUM(I383:L383)&lt;&gt;0,"X")</f>
        <v>X</v>
      </c>
      <c r="CC383" s="509" t="str">
        <f t="shared" si="956"/>
        <v>TN.</v>
      </c>
      <c r="CD383" s="509" t="str">
        <f t="shared" si="1190"/>
        <v>TN.16,1</v>
      </c>
      <c r="CE383" s="351" t="str">
        <f t="shared" si="1111"/>
        <v>Lò</v>
      </c>
      <c r="CF383" s="509" t="str">
        <f>CC383&amp;CE383</f>
        <v>TN.Lò</v>
      </c>
      <c r="CG383" s="509"/>
      <c r="CH383" s="509"/>
    </row>
    <row r="384" spans="1:86" ht="24" customHeight="1" x14ac:dyDescent="0.25">
      <c r="A384" s="354" t="e">
        <f>A382</f>
        <v>#REF!</v>
      </c>
      <c r="B384" s="518"/>
      <c r="C384" s="519" t="s">
        <v>778</v>
      </c>
      <c r="D384" s="447" t="s">
        <v>14</v>
      </c>
      <c r="E384" s="447"/>
      <c r="F384" s="447"/>
      <c r="G384" s="520">
        <v>11.2</v>
      </c>
      <c r="H384" s="521">
        <v>0.7</v>
      </c>
      <c r="I384" s="522">
        <f t="shared" si="1193"/>
        <v>600</v>
      </c>
      <c r="J384" s="522">
        <f t="shared" si="1194"/>
        <v>165</v>
      </c>
      <c r="K384" s="522">
        <f t="shared" si="1195"/>
        <v>435</v>
      </c>
      <c r="L384" s="57">
        <f t="shared" si="1196"/>
        <v>5800</v>
      </c>
      <c r="M384" s="60"/>
      <c r="N384" s="60"/>
      <c r="O384" s="60">
        <f t="shared" si="1197"/>
        <v>0</v>
      </c>
      <c r="P384" s="60"/>
      <c r="Q384" s="60"/>
      <c r="R384" s="60">
        <f t="shared" si="1198"/>
        <v>0</v>
      </c>
      <c r="S384" s="824">
        <v>30</v>
      </c>
      <c r="T384" s="60">
        <v>10</v>
      </c>
      <c r="U384" s="60">
        <f t="shared" si="1199"/>
        <v>20</v>
      </c>
      <c r="V384" s="60">
        <f t="shared" si="1229"/>
        <v>30</v>
      </c>
      <c r="W384" s="60">
        <f t="shared" si="1229"/>
        <v>10</v>
      </c>
      <c r="X384" s="60">
        <f t="shared" si="1229"/>
        <v>20</v>
      </c>
      <c r="Y384" s="60">
        <v>70</v>
      </c>
      <c r="Z384" s="60">
        <v>20</v>
      </c>
      <c r="AA384" s="60">
        <f t="shared" si="1200"/>
        <v>50</v>
      </c>
      <c r="AB384" s="60">
        <v>70</v>
      </c>
      <c r="AC384" s="60">
        <v>20</v>
      </c>
      <c r="AD384" s="60">
        <f t="shared" si="1201"/>
        <v>50</v>
      </c>
      <c r="AE384" s="60">
        <v>70</v>
      </c>
      <c r="AF384" s="60">
        <v>25</v>
      </c>
      <c r="AG384" s="60">
        <f t="shared" si="1202"/>
        <v>45</v>
      </c>
      <c r="AH384" s="60">
        <f>Y384+AB384+AE384</f>
        <v>210</v>
      </c>
      <c r="AI384" s="60">
        <f>Z384+AC384+AF384</f>
        <v>65</v>
      </c>
      <c r="AJ384" s="60">
        <f>AA384+AD384+AG384</f>
        <v>145</v>
      </c>
      <c r="AK384" s="60">
        <v>70</v>
      </c>
      <c r="AL384" s="60">
        <v>20</v>
      </c>
      <c r="AM384" s="60">
        <f t="shared" si="1203"/>
        <v>50</v>
      </c>
      <c r="AN384" s="60">
        <v>70</v>
      </c>
      <c r="AO384" s="60">
        <v>10</v>
      </c>
      <c r="AP384" s="60">
        <f t="shared" si="1204"/>
        <v>60</v>
      </c>
      <c r="AQ384" s="60">
        <v>70</v>
      </c>
      <c r="AR384" s="60">
        <v>15</v>
      </c>
      <c r="AS384" s="60">
        <f t="shared" si="1205"/>
        <v>55</v>
      </c>
      <c r="AT384" s="60">
        <f t="shared" si="1206"/>
        <v>210</v>
      </c>
      <c r="AU384" s="60">
        <f t="shared" si="1207"/>
        <v>45</v>
      </c>
      <c r="AV384" s="60">
        <f t="shared" si="1208"/>
        <v>165</v>
      </c>
      <c r="AW384" s="60">
        <v>50</v>
      </c>
      <c r="AX384" s="60">
        <v>15</v>
      </c>
      <c r="AY384" s="60">
        <f t="shared" si="1209"/>
        <v>35</v>
      </c>
      <c r="AZ384" s="60">
        <v>50</v>
      </c>
      <c r="BA384" s="60">
        <v>15</v>
      </c>
      <c r="BB384" s="60">
        <f t="shared" si="1210"/>
        <v>35</v>
      </c>
      <c r="BC384" s="60">
        <v>50</v>
      </c>
      <c r="BD384" s="60">
        <v>15</v>
      </c>
      <c r="BE384" s="60">
        <f t="shared" si="1211"/>
        <v>35</v>
      </c>
      <c r="BF384" s="60">
        <f t="shared" si="1212"/>
        <v>150</v>
      </c>
      <c r="BG384" s="60">
        <f t="shared" si="1212"/>
        <v>45</v>
      </c>
      <c r="BH384" s="60">
        <f>BF384-BG384</f>
        <v>105</v>
      </c>
      <c r="BI384" s="508"/>
      <c r="BJ384" s="488" t="str">
        <f t="shared" si="1110"/>
        <v>Lò</v>
      </c>
      <c r="BK384" s="523">
        <f t="shared" si="1213"/>
        <v>0</v>
      </c>
      <c r="BL384" s="523">
        <f t="shared" si="1214"/>
        <v>0</v>
      </c>
      <c r="BM384" s="523">
        <f t="shared" si="1215"/>
        <v>300</v>
      </c>
      <c r="BN384" s="523">
        <f t="shared" si="1216"/>
        <v>300</v>
      </c>
      <c r="BO384" s="523">
        <f t="shared" si="1217"/>
        <v>700</v>
      </c>
      <c r="BP384" s="523">
        <f t="shared" si="1218"/>
        <v>700</v>
      </c>
      <c r="BQ384" s="523">
        <f t="shared" si="1219"/>
        <v>600</v>
      </c>
      <c r="BR384" s="523">
        <f t="shared" si="1220"/>
        <v>1900</v>
      </c>
      <c r="BS384" s="523">
        <f t="shared" si="1221"/>
        <v>700</v>
      </c>
      <c r="BT384" s="523">
        <f t="shared" si="1222"/>
        <v>800</v>
      </c>
      <c r="BU384" s="523">
        <f t="shared" si="1223"/>
        <v>700</v>
      </c>
      <c r="BV384" s="523">
        <f t="shared" si="1224"/>
        <v>2200</v>
      </c>
      <c r="BW384" s="523">
        <f t="shared" si="1225"/>
        <v>500</v>
      </c>
      <c r="BX384" s="523">
        <f t="shared" si="1226"/>
        <v>500</v>
      </c>
      <c r="BY384" s="523">
        <f t="shared" si="1227"/>
        <v>500</v>
      </c>
      <c r="BZ384" s="523">
        <f t="shared" si="1228"/>
        <v>1400</v>
      </c>
      <c r="CA384" s="354"/>
      <c r="CB384" s="354" t="str">
        <f t="shared" si="1189"/>
        <v>X</v>
      </c>
      <c r="CC384" s="509" t="str">
        <f>CC382</f>
        <v>TN.</v>
      </c>
      <c r="CD384" s="509" t="str">
        <f t="shared" si="1190"/>
        <v>TN.11,2</v>
      </c>
      <c r="CE384" s="351" t="str">
        <f t="shared" si="1111"/>
        <v>Lò</v>
      </c>
      <c r="CF384" s="509" t="str">
        <f t="shared" si="957"/>
        <v>TN.Lò</v>
      </c>
      <c r="CG384" s="509"/>
      <c r="CH384" s="509"/>
    </row>
    <row r="385" spans="1:86" ht="16.5" x14ac:dyDescent="0.25">
      <c r="A385" s="354" t="e">
        <f>A381</f>
        <v>#REF!</v>
      </c>
      <c r="B385" s="518"/>
      <c r="C385" s="519" t="s">
        <v>779</v>
      </c>
      <c r="D385" s="447" t="s">
        <v>14</v>
      </c>
      <c r="E385" s="447"/>
      <c r="F385" s="447"/>
      <c r="G385" s="520">
        <v>13.1</v>
      </c>
      <c r="H385" s="521">
        <v>0.7</v>
      </c>
      <c r="I385" s="522">
        <f t="shared" si="1193"/>
        <v>545</v>
      </c>
      <c r="J385" s="522">
        <f t="shared" si="1194"/>
        <v>165</v>
      </c>
      <c r="K385" s="522">
        <f t="shared" si="1195"/>
        <v>380</v>
      </c>
      <c r="L385" s="57">
        <f t="shared" si="1196"/>
        <v>6000</v>
      </c>
      <c r="M385" s="60"/>
      <c r="N385" s="60"/>
      <c r="O385" s="60">
        <f t="shared" si="1197"/>
        <v>0</v>
      </c>
      <c r="P385" s="60"/>
      <c r="Q385" s="60"/>
      <c r="R385" s="60">
        <f t="shared" si="1198"/>
        <v>0</v>
      </c>
      <c r="S385" s="824"/>
      <c r="T385" s="60"/>
      <c r="U385" s="60">
        <f t="shared" si="1199"/>
        <v>0</v>
      </c>
      <c r="V385" s="60">
        <f>M385+P385+S385</f>
        <v>0</v>
      </c>
      <c r="W385" s="60">
        <f>N385+Q385+T385</f>
        <v>0</v>
      </c>
      <c r="X385" s="60">
        <f>O385+R385+U385</f>
        <v>0</v>
      </c>
      <c r="Y385" s="60">
        <v>70</v>
      </c>
      <c r="Z385" s="60">
        <v>20</v>
      </c>
      <c r="AA385" s="60">
        <f t="shared" si="1200"/>
        <v>50</v>
      </c>
      <c r="AB385" s="60">
        <v>70</v>
      </c>
      <c r="AC385" s="60">
        <v>20</v>
      </c>
      <c r="AD385" s="60">
        <f t="shared" si="1201"/>
        <v>50</v>
      </c>
      <c r="AE385" s="60">
        <v>70</v>
      </c>
      <c r="AF385" s="60">
        <v>20</v>
      </c>
      <c r="AG385" s="60">
        <f t="shared" si="1202"/>
        <v>50</v>
      </c>
      <c r="AH385" s="60">
        <f t="shared" ref="AH385:AH391" si="1230">Y385+AB385+AE385</f>
        <v>210</v>
      </c>
      <c r="AI385" s="60">
        <v>70</v>
      </c>
      <c r="AJ385" s="60">
        <f>AH385-AI385</f>
        <v>140</v>
      </c>
      <c r="AK385" s="60">
        <v>70</v>
      </c>
      <c r="AL385" s="60">
        <v>20</v>
      </c>
      <c r="AM385" s="60">
        <f t="shared" si="1203"/>
        <v>50</v>
      </c>
      <c r="AN385" s="60">
        <v>70</v>
      </c>
      <c r="AO385" s="60">
        <v>20</v>
      </c>
      <c r="AP385" s="60">
        <f t="shared" si="1204"/>
        <v>50</v>
      </c>
      <c r="AQ385" s="60">
        <v>70</v>
      </c>
      <c r="AR385" s="60">
        <v>20</v>
      </c>
      <c r="AS385" s="60">
        <f t="shared" si="1205"/>
        <v>50</v>
      </c>
      <c r="AT385" s="60">
        <f t="shared" si="1206"/>
        <v>210</v>
      </c>
      <c r="AU385" s="60">
        <f t="shared" si="1207"/>
        <v>60</v>
      </c>
      <c r="AV385" s="60">
        <f t="shared" si="1208"/>
        <v>150</v>
      </c>
      <c r="AW385" s="60">
        <v>70</v>
      </c>
      <c r="AX385" s="60">
        <v>25</v>
      </c>
      <c r="AY385" s="60">
        <f t="shared" si="1209"/>
        <v>45</v>
      </c>
      <c r="AZ385" s="60">
        <v>55</v>
      </c>
      <c r="BA385" s="60">
        <v>10</v>
      </c>
      <c r="BB385" s="60">
        <f t="shared" si="1210"/>
        <v>45</v>
      </c>
      <c r="BC385" s="60"/>
      <c r="BD385" s="60"/>
      <c r="BE385" s="60">
        <f t="shared" si="1211"/>
        <v>0</v>
      </c>
      <c r="BF385" s="60">
        <f t="shared" si="1212"/>
        <v>125</v>
      </c>
      <c r="BG385" s="60">
        <f t="shared" si="1212"/>
        <v>35</v>
      </c>
      <c r="BH385" s="60">
        <f>AY385+BB385+BE385</f>
        <v>90</v>
      </c>
      <c r="BI385" s="508"/>
      <c r="BJ385" s="488" t="str">
        <f t="shared" si="1110"/>
        <v>Lò</v>
      </c>
      <c r="BK385" s="523">
        <f t="shared" si="1213"/>
        <v>0</v>
      </c>
      <c r="BL385" s="523">
        <f t="shared" si="1214"/>
        <v>0</v>
      </c>
      <c r="BM385" s="523">
        <f t="shared" si="1215"/>
        <v>0</v>
      </c>
      <c r="BN385" s="523">
        <f t="shared" si="1216"/>
        <v>0</v>
      </c>
      <c r="BO385" s="523">
        <f t="shared" si="1217"/>
        <v>800</v>
      </c>
      <c r="BP385" s="523">
        <f t="shared" si="1218"/>
        <v>800</v>
      </c>
      <c r="BQ385" s="523">
        <f t="shared" si="1219"/>
        <v>800</v>
      </c>
      <c r="BR385" s="523">
        <f t="shared" si="1220"/>
        <v>2200</v>
      </c>
      <c r="BS385" s="523">
        <f t="shared" si="1221"/>
        <v>800</v>
      </c>
      <c r="BT385" s="523">
        <f t="shared" si="1222"/>
        <v>800</v>
      </c>
      <c r="BU385" s="523">
        <f t="shared" si="1223"/>
        <v>800</v>
      </c>
      <c r="BV385" s="523">
        <f t="shared" si="1224"/>
        <v>2400</v>
      </c>
      <c r="BW385" s="523">
        <f t="shared" si="1225"/>
        <v>700</v>
      </c>
      <c r="BX385" s="523">
        <f t="shared" si="1226"/>
        <v>700</v>
      </c>
      <c r="BY385" s="523">
        <f t="shared" si="1227"/>
        <v>0</v>
      </c>
      <c r="BZ385" s="523">
        <f t="shared" si="1228"/>
        <v>1400</v>
      </c>
      <c r="CA385" s="354"/>
      <c r="CB385" s="354" t="str">
        <f t="shared" si="1189"/>
        <v>X</v>
      </c>
      <c r="CC385" s="509" t="str">
        <f t="shared" si="956"/>
        <v>TN.</v>
      </c>
      <c r="CD385" s="509" t="str">
        <f t="shared" si="1190"/>
        <v>TN.13,1</v>
      </c>
      <c r="CE385" s="351" t="str">
        <f t="shared" si="1111"/>
        <v>Lò</v>
      </c>
      <c r="CF385" s="509" t="str">
        <f t="shared" si="957"/>
        <v>TN.Lò</v>
      </c>
      <c r="CG385" s="509"/>
      <c r="CH385" s="509"/>
    </row>
    <row r="386" spans="1:86" ht="19.5" customHeight="1" x14ac:dyDescent="0.25">
      <c r="A386" s="354" t="e">
        <f t="shared" si="1060"/>
        <v>#REF!</v>
      </c>
      <c r="B386" s="518"/>
      <c r="C386" s="519" t="s">
        <v>780</v>
      </c>
      <c r="D386" s="447" t="s">
        <v>14</v>
      </c>
      <c r="E386" s="447"/>
      <c r="F386" s="447"/>
      <c r="G386" s="520">
        <v>9.5</v>
      </c>
      <c r="H386" s="521">
        <v>0.7</v>
      </c>
      <c r="I386" s="522">
        <f t="shared" si="1193"/>
        <v>120</v>
      </c>
      <c r="J386" s="522">
        <f t="shared" si="1194"/>
        <v>40</v>
      </c>
      <c r="K386" s="522">
        <f t="shared" si="1195"/>
        <v>80</v>
      </c>
      <c r="L386" s="57">
        <f t="shared" si="1196"/>
        <v>900</v>
      </c>
      <c r="M386" s="60"/>
      <c r="N386" s="60"/>
      <c r="O386" s="60">
        <f t="shared" si="1197"/>
        <v>0</v>
      </c>
      <c r="P386" s="60"/>
      <c r="Q386" s="60"/>
      <c r="R386" s="60">
        <f t="shared" si="1198"/>
        <v>0</v>
      </c>
      <c r="S386" s="824"/>
      <c r="T386" s="60"/>
      <c r="U386" s="60">
        <f t="shared" si="1199"/>
        <v>0</v>
      </c>
      <c r="V386" s="60">
        <f t="shared" si="1229"/>
        <v>0</v>
      </c>
      <c r="W386" s="60">
        <f t="shared" si="1229"/>
        <v>0</v>
      </c>
      <c r="X386" s="60">
        <f t="shared" si="1229"/>
        <v>0</v>
      </c>
      <c r="Y386" s="60"/>
      <c r="Z386" s="60"/>
      <c r="AA386" s="60">
        <f t="shared" si="1200"/>
        <v>0</v>
      </c>
      <c r="AB386" s="60"/>
      <c r="AC386" s="60"/>
      <c r="AD386" s="60">
        <f t="shared" si="1201"/>
        <v>0</v>
      </c>
      <c r="AE386" s="60"/>
      <c r="AF386" s="60"/>
      <c r="AG386" s="60">
        <f t="shared" si="1202"/>
        <v>0</v>
      </c>
      <c r="AH386" s="60">
        <f t="shared" si="1230"/>
        <v>0</v>
      </c>
      <c r="AI386" s="60">
        <f t="shared" ref="AI386:AI391" si="1231">Z386+AC386+AF386</f>
        <v>0</v>
      </c>
      <c r="AJ386" s="60">
        <f>AA386+AD386+AG386</f>
        <v>0</v>
      </c>
      <c r="AK386" s="60"/>
      <c r="AL386" s="60"/>
      <c r="AM386" s="60">
        <f t="shared" si="1203"/>
        <v>0</v>
      </c>
      <c r="AN386" s="60"/>
      <c r="AO386" s="60"/>
      <c r="AP386" s="60">
        <f t="shared" si="1204"/>
        <v>0</v>
      </c>
      <c r="AQ386" s="60"/>
      <c r="AR386" s="60"/>
      <c r="AS386" s="60">
        <f t="shared" si="1205"/>
        <v>0</v>
      </c>
      <c r="AT386" s="60">
        <f t="shared" si="1206"/>
        <v>0</v>
      </c>
      <c r="AU386" s="60">
        <f t="shared" si="1207"/>
        <v>0</v>
      </c>
      <c r="AV386" s="60">
        <f t="shared" si="1208"/>
        <v>0</v>
      </c>
      <c r="AW386" s="60"/>
      <c r="AX386" s="60"/>
      <c r="AY386" s="60">
        <f t="shared" si="1209"/>
        <v>0</v>
      </c>
      <c r="AZ386" s="60">
        <v>25</v>
      </c>
      <c r="BA386" s="60">
        <v>5</v>
      </c>
      <c r="BB386" s="60">
        <f t="shared" si="1210"/>
        <v>20</v>
      </c>
      <c r="BC386" s="60">
        <v>95</v>
      </c>
      <c r="BD386" s="60">
        <v>35</v>
      </c>
      <c r="BE386" s="60">
        <f t="shared" si="1211"/>
        <v>60</v>
      </c>
      <c r="BF386" s="60">
        <f t="shared" si="1212"/>
        <v>120</v>
      </c>
      <c r="BG386" s="60">
        <f t="shared" si="1212"/>
        <v>40</v>
      </c>
      <c r="BH386" s="60">
        <f>AY386+BB386+BE386</f>
        <v>80</v>
      </c>
      <c r="BI386" s="508"/>
      <c r="BJ386" s="488" t="str">
        <f t="shared" si="1110"/>
        <v>Lò</v>
      </c>
      <c r="BK386" s="523">
        <f t="shared" si="1213"/>
        <v>0</v>
      </c>
      <c r="BL386" s="523">
        <f t="shared" si="1214"/>
        <v>0</v>
      </c>
      <c r="BM386" s="523">
        <f t="shared" si="1215"/>
        <v>0</v>
      </c>
      <c r="BN386" s="523">
        <f t="shared" si="1216"/>
        <v>0</v>
      </c>
      <c r="BO386" s="523">
        <f t="shared" si="1217"/>
        <v>0</v>
      </c>
      <c r="BP386" s="523">
        <f t="shared" si="1218"/>
        <v>0</v>
      </c>
      <c r="BQ386" s="523">
        <f t="shared" si="1219"/>
        <v>0</v>
      </c>
      <c r="BR386" s="523">
        <f t="shared" si="1220"/>
        <v>0</v>
      </c>
      <c r="BS386" s="523">
        <f t="shared" si="1221"/>
        <v>0</v>
      </c>
      <c r="BT386" s="523">
        <f t="shared" si="1222"/>
        <v>0</v>
      </c>
      <c r="BU386" s="523">
        <f t="shared" si="1223"/>
        <v>0</v>
      </c>
      <c r="BV386" s="523">
        <f t="shared" si="1224"/>
        <v>0</v>
      </c>
      <c r="BW386" s="523">
        <f t="shared" si="1225"/>
        <v>0</v>
      </c>
      <c r="BX386" s="523">
        <f t="shared" si="1226"/>
        <v>200</v>
      </c>
      <c r="BY386" s="523">
        <f t="shared" si="1227"/>
        <v>700</v>
      </c>
      <c r="BZ386" s="523">
        <f t="shared" si="1228"/>
        <v>900</v>
      </c>
      <c r="CA386" s="354"/>
      <c r="CB386" s="354" t="str">
        <f t="shared" si="1189"/>
        <v>X</v>
      </c>
      <c r="CC386" s="509" t="str">
        <f t="shared" si="956"/>
        <v>TN.</v>
      </c>
      <c r="CD386" s="509" t="str">
        <f t="shared" si="1190"/>
        <v>TN.9,5</v>
      </c>
      <c r="CE386" s="351" t="str">
        <f t="shared" si="1111"/>
        <v>Lò</v>
      </c>
      <c r="CF386" s="509" t="str">
        <f t="shared" si="957"/>
        <v>TN.Lò</v>
      </c>
      <c r="CG386" s="509"/>
      <c r="CH386" s="509"/>
    </row>
    <row r="387" spans="1:86" ht="16.5" x14ac:dyDescent="0.25">
      <c r="A387" s="354" t="e">
        <f t="shared" si="1060"/>
        <v>#REF!</v>
      </c>
      <c r="B387" s="518"/>
      <c r="C387" s="519" t="s">
        <v>832</v>
      </c>
      <c r="D387" s="447" t="s">
        <v>14</v>
      </c>
      <c r="E387" s="447" t="s">
        <v>873</v>
      </c>
      <c r="F387" s="447"/>
      <c r="G387" s="520">
        <v>16.100000000000001</v>
      </c>
      <c r="H387" s="521">
        <v>0.7</v>
      </c>
      <c r="I387" s="522">
        <f t="shared" si="1193"/>
        <v>250</v>
      </c>
      <c r="J387" s="522">
        <f t="shared" si="1194"/>
        <v>250</v>
      </c>
      <c r="K387" s="522">
        <f t="shared" si="1195"/>
        <v>0</v>
      </c>
      <c r="L387" s="57">
        <f t="shared" si="1196"/>
        <v>0</v>
      </c>
      <c r="M387" s="60"/>
      <c r="N387" s="60"/>
      <c r="O387" s="60">
        <f t="shared" si="1197"/>
        <v>0</v>
      </c>
      <c r="P387" s="60"/>
      <c r="Q387" s="60"/>
      <c r="R387" s="60">
        <f t="shared" si="1198"/>
        <v>0</v>
      </c>
      <c r="S387" s="824"/>
      <c r="T387" s="60"/>
      <c r="U387" s="60">
        <f t="shared" si="1199"/>
        <v>0</v>
      </c>
      <c r="V387" s="60">
        <f t="shared" si="1229"/>
        <v>0</v>
      </c>
      <c r="W387" s="60">
        <f t="shared" si="1229"/>
        <v>0</v>
      </c>
      <c r="X387" s="60">
        <f t="shared" si="1229"/>
        <v>0</v>
      </c>
      <c r="Y387" s="60"/>
      <c r="Z387" s="60"/>
      <c r="AA387" s="60">
        <f t="shared" si="1200"/>
        <v>0</v>
      </c>
      <c r="AB387" s="60"/>
      <c r="AC387" s="60"/>
      <c r="AD387" s="60">
        <f t="shared" si="1201"/>
        <v>0</v>
      </c>
      <c r="AE387" s="60">
        <v>40</v>
      </c>
      <c r="AF387" s="60">
        <v>40</v>
      </c>
      <c r="AG387" s="60">
        <f t="shared" si="1202"/>
        <v>0</v>
      </c>
      <c r="AH387" s="60">
        <f t="shared" si="1230"/>
        <v>40</v>
      </c>
      <c r="AI387" s="60">
        <f t="shared" si="1231"/>
        <v>40</v>
      </c>
      <c r="AJ387" s="60">
        <f>AA387+AD387+AG387</f>
        <v>0</v>
      </c>
      <c r="AK387" s="60">
        <v>40</v>
      </c>
      <c r="AL387" s="60">
        <v>40</v>
      </c>
      <c r="AM387" s="60">
        <f t="shared" si="1203"/>
        <v>0</v>
      </c>
      <c r="AN387" s="60">
        <v>40</v>
      </c>
      <c r="AO387" s="60">
        <v>40</v>
      </c>
      <c r="AP387" s="60">
        <f t="shared" si="1204"/>
        <v>0</v>
      </c>
      <c r="AQ387" s="60">
        <v>40</v>
      </c>
      <c r="AR387" s="60">
        <v>40</v>
      </c>
      <c r="AS387" s="60">
        <f t="shared" si="1205"/>
        <v>0</v>
      </c>
      <c r="AT387" s="60">
        <f t="shared" si="1206"/>
        <v>120</v>
      </c>
      <c r="AU387" s="60">
        <f t="shared" si="1207"/>
        <v>120</v>
      </c>
      <c r="AV387" s="60">
        <f t="shared" si="1208"/>
        <v>0</v>
      </c>
      <c r="AW387" s="60">
        <v>40</v>
      </c>
      <c r="AX387" s="60">
        <v>40</v>
      </c>
      <c r="AY387" s="60">
        <f t="shared" si="1209"/>
        <v>0</v>
      </c>
      <c r="AZ387" s="60">
        <v>40</v>
      </c>
      <c r="BA387" s="60">
        <v>40</v>
      </c>
      <c r="BB387" s="60">
        <f t="shared" si="1210"/>
        <v>0</v>
      </c>
      <c r="BC387" s="60">
        <v>10</v>
      </c>
      <c r="BD387" s="60">
        <v>10</v>
      </c>
      <c r="BE387" s="60">
        <f t="shared" si="1211"/>
        <v>0</v>
      </c>
      <c r="BF387" s="60">
        <f t="shared" si="1212"/>
        <v>90</v>
      </c>
      <c r="BG387" s="60">
        <f t="shared" si="1212"/>
        <v>90</v>
      </c>
      <c r="BH387" s="60">
        <f>AY387+BB387+BE387</f>
        <v>0</v>
      </c>
      <c r="BI387" s="508"/>
      <c r="BJ387" s="488" t="str">
        <f t="shared" si="1110"/>
        <v>Lò</v>
      </c>
      <c r="BK387" s="523">
        <f t="shared" si="1213"/>
        <v>0</v>
      </c>
      <c r="BL387" s="523">
        <f t="shared" si="1214"/>
        <v>0</v>
      </c>
      <c r="BM387" s="523">
        <f t="shared" si="1215"/>
        <v>0</v>
      </c>
      <c r="BN387" s="523">
        <f t="shared" si="1216"/>
        <v>0</v>
      </c>
      <c r="BO387" s="523">
        <f t="shared" si="1217"/>
        <v>0</v>
      </c>
      <c r="BP387" s="523">
        <f t="shared" si="1218"/>
        <v>0</v>
      </c>
      <c r="BQ387" s="523">
        <f t="shared" si="1219"/>
        <v>0</v>
      </c>
      <c r="BR387" s="523">
        <f t="shared" si="1220"/>
        <v>0</v>
      </c>
      <c r="BS387" s="523">
        <f t="shared" si="1221"/>
        <v>0</v>
      </c>
      <c r="BT387" s="523">
        <f t="shared" si="1222"/>
        <v>0</v>
      </c>
      <c r="BU387" s="523">
        <f t="shared" si="1223"/>
        <v>0</v>
      </c>
      <c r="BV387" s="523">
        <f t="shared" si="1224"/>
        <v>0</v>
      </c>
      <c r="BW387" s="523">
        <f t="shared" si="1225"/>
        <v>0</v>
      </c>
      <c r="BX387" s="523">
        <f t="shared" si="1226"/>
        <v>0</v>
      </c>
      <c r="BY387" s="523">
        <f t="shared" si="1227"/>
        <v>0</v>
      </c>
      <c r="BZ387" s="523">
        <f t="shared" si="1228"/>
        <v>0</v>
      </c>
      <c r="CA387" s="354"/>
      <c r="CB387" s="354" t="str">
        <f t="shared" si="1189"/>
        <v>X</v>
      </c>
      <c r="CC387" s="509" t="str">
        <f t="shared" si="956"/>
        <v>TN.</v>
      </c>
      <c r="CD387" s="509" t="str">
        <f t="shared" si="1190"/>
        <v>TN.16,1</v>
      </c>
      <c r="CE387" s="351" t="str">
        <f t="shared" si="1111"/>
        <v>Lò</v>
      </c>
      <c r="CF387" s="509" t="str">
        <f t="shared" si="957"/>
        <v>TN.Lò</v>
      </c>
      <c r="CG387" s="509"/>
      <c r="CH387" s="509"/>
    </row>
    <row r="388" spans="1:86" ht="24" customHeight="1" x14ac:dyDescent="0.25">
      <c r="A388" s="354" t="e">
        <f t="shared" si="1060"/>
        <v>#REF!</v>
      </c>
      <c r="B388" s="518"/>
      <c r="C388" s="519" t="s">
        <v>828</v>
      </c>
      <c r="D388" s="447" t="s">
        <v>14</v>
      </c>
      <c r="E388" s="447"/>
      <c r="F388" s="447"/>
      <c r="G388" s="520">
        <v>11.2</v>
      </c>
      <c r="H388" s="521">
        <v>0.7</v>
      </c>
      <c r="I388" s="522">
        <f t="shared" ref="I388:I396" si="1232">V388+AH388+AT388+BF388</f>
        <v>500</v>
      </c>
      <c r="J388" s="522">
        <f t="shared" ref="J388:J396" si="1233">W388+AI388+AU388+BG388</f>
        <v>125</v>
      </c>
      <c r="K388" s="522">
        <f t="shared" ref="K388:K396" si="1234">X388+AJ388+AV388+BH388</f>
        <v>375</v>
      </c>
      <c r="L388" s="57">
        <f t="shared" ref="L388:L396" si="1235">BN388+BR388+BV388+BZ388</f>
        <v>5000</v>
      </c>
      <c r="M388" s="60"/>
      <c r="N388" s="60"/>
      <c r="O388" s="60">
        <f t="shared" ref="O388:O396" si="1236">M388-N388</f>
        <v>0</v>
      </c>
      <c r="P388" s="60"/>
      <c r="Q388" s="60"/>
      <c r="R388" s="60">
        <f t="shared" ref="R388:R396" si="1237">P388-Q388</f>
        <v>0</v>
      </c>
      <c r="S388" s="824"/>
      <c r="T388" s="60"/>
      <c r="U388" s="60">
        <f t="shared" ref="U388:U396" si="1238">S388-T388</f>
        <v>0</v>
      </c>
      <c r="V388" s="60">
        <f t="shared" ref="V388:V396" si="1239">M388+P388+S388</f>
        <v>0</v>
      </c>
      <c r="W388" s="60">
        <f t="shared" ref="W388:W396" si="1240">N388+Q388+T388</f>
        <v>0</v>
      </c>
      <c r="X388" s="60">
        <f t="shared" ref="X388:X396" si="1241">O388+R388+U388</f>
        <v>0</v>
      </c>
      <c r="Y388" s="60">
        <v>75</v>
      </c>
      <c r="Z388" s="60">
        <v>15</v>
      </c>
      <c r="AA388" s="60">
        <f t="shared" ref="AA388:AA396" si="1242">Y388-Z388</f>
        <v>60</v>
      </c>
      <c r="AB388" s="60">
        <v>75</v>
      </c>
      <c r="AC388" s="60">
        <v>20</v>
      </c>
      <c r="AD388" s="60">
        <f t="shared" ref="AD388:AD396" si="1243">AB388-AC388</f>
        <v>55</v>
      </c>
      <c r="AE388" s="60">
        <v>75</v>
      </c>
      <c r="AF388" s="60">
        <v>20</v>
      </c>
      <c r="AG388" s="60">
        <f t="shared" ref="AG388:AG396" si="1244">AE388-AF388</f>
        <v>55</v>
      </c>
      <c r="AH388" s="60">
        <f t="shared" si="1230"/>
        <v>225</v>
      </c>
      <c r="AI388" s="60">
        <f t="shared" si="1231"/>
        <v>55</v>
      </c>
      <c r="AJ388" s="60">
        <f>AH388-AI388</f>
        <v>170</v>
      </c>
      <c r="AK388" s="60">
        <v>75</v>
      </c>
      <c r="AL388" s="60">
        <v>20</v>
      </c>
      <c r="AM388" s="60">
        <f t="shared" ref="AM388:AM396" si="1245">AK388-AL388</f>
        <v>55</v>
      </c>
      <c r="AN388" s="60">
        <v>75</v>
      </c>
      <c r="AO388" s="60">
        <v>20</v>
      </c>
      <c r="AP388" s="60">
        <f t="shared" ref="AP388:AP396" si="1246">AN388-AO388</f>
        <v>55</v>
      </c>
      <c r="AQ388" s="60">
        <v>75</v>
      </c>
      <c r="AR388" s="60">
        <v>20</v>
      </c>
      <c r="AS388" s="60">
        <f t="shared" ref="AS388:AS396" si="1247">AQ388-AR388</f>
        <v>55</v>
      </c>
      <c r="AT388" s="60">
        <f t="shared" si="1206"/>
        <v>225</v>
      </c>
      <c r="AU388" s="60">
        <f t="shared" si="1207"/>
        <v>60</v>
      </c>
      <c r="AV388" s="60">
        <f t="shared" si="1208"/>
        <v>165</v>
      </c>
      <c r="AW388" s="60">
        <v>50</v>
      </c>
      <c r="AX388" s="60">
        <v>10</v>
      </c>
      <c r="AY388" s="60">
        <f t="shared" ref="AY388:AY396" si="1248">AW388-AX388</f>
        <v>40</v>
      </c>
      <c r="AZ388" s="60"/>
      <c r="BA388" s="60"/>
      <c r="BB388" s="60">
        <f t="shared" ref="BB388:BB396" si="1249">AZ388-BA388</f>
        <v>0</v>
      </c>
      <c r="BC388" s="60"/>
      <c r="BD388" s="60"/>
      <c r="BE388" s="60">
        <f t="shared" ref="BE388:BE396" si="1250">BC388-BD388</f>
        <v>0</v>
      </c>
      <c r="BF388" s="60">
        <f t="shared" si="1212"/>
        <v>50</v>
      </c>
      <c r="BG388" s="60">
        <f t="shared" si="1212"/>
        <v>10</v>
      </c>
      <c r="BH388" s="60">
        <f>BF388-BG388</f>
        <v>40</v>
      </c>
      <c r="BI388" s="508"/>
      <c r="BJ388" s="488" t="str">
        <f t="shared" si="1110"/>
        <v>Lò</v>
      </c>
      <c r="BK388" s="523">
        <f t="shared" ref="BK388:BK396" si="1251">ROUND(O388*G388*$C$3*$B$5,-2)</f>
        <v>0</v>
      </c>
      <c r="BL388" s="523">
        <f t="shared" ref="BL388:BL396" si="1252">ROUND(R388*G388*$C$3*$B$5,-2)</f>
        <v>0</v>
      </c>
      <c r="BM388" s="523">
        <f t="shared" ref="BM388:BM396" si="1253">ROUND(U388*G388*$C$3*$B$5,-2)</f>
        <v>0</v>
      </c>
      <c r="BN388" s="523">
        <f t="shared" ref="BN388:BN396" si="1254">ROUND(X388*G388*$C$3*$B$5,-2)</f>
        <v>0</v>
      </c>
      <c r="BO388" s="523">
        <f t="shared" ref="BO388:BO396" si="1255">ROUND(AA388*G388*$C$3*$B$5,-2)</f>
        <v>800</v>
      </c>
      <c r="BP388" s="523">
        <f t="shared" ref="BP388:BP396" si="1256">ROUND(AD388*G388*$C$3*$B$5,-2)</f>
        <v>700</v>
      </c>
      <c r="BQ388" s="523">
        <f t="shared" ref="BQ388:BQ396" si="1257">ROUND(AG388*G388*$C$3*$B$5,-2)</f>
        <v>700</v>
      </c>
      <c r="BR388" s="523">
        <f t="shared" ref="BR388:BR396" si="1258">ROUND(AJ388*G388*$B$5*$C$3,-2)</f>
        <v>2300</v>
      </c>
      <c r="BS388" s="523">
        <f t="shared" ref="BS388:BS396" si="1259">ROUND(AM388*G388*$C$3*$B$5,-2)</f>
        <v>700</v>
      </c>
      <c r="BT388" s="523">
        <f t="shared" ref="BT388:BT396" si="1260">ROUND(AP388*G388*$C$3*$B$5,-2)</f>
        <v>700</v>
      </c>
      <c r="BU388" s="523">
        <f t="shared" ref="BU388:BU396" si="1261">ROUND(AS388*G388*$C$3*$B$5,-2)</f>
        <v>700</v>
      </c>
      <c r="BV388" s="523">
        <f t="shared" ref="BV388:BV396" si="1262">ROUND(AV388*G388*$C$3*$B$5,-2)</f>
        <v>2200</v>
      </c>
      <c r="BW388" s="523">
        <f t="shared" ref="BW388:BW396" si="1263">ROUND(AY388*G388*$C$3*$B$5,-2)</f>
        <v>500</v>
      </c>
      <c r="BX388" s="523">
        <f t="shared" ref="BX388:BX396" si="1264">ROUND(BB388*G388*$C$3*$B$5,-2)</f>
        <v>0</v>
      </c>
      <c r="BY388" s="523">
        <f t="shared" ref="BY388:BY396" si="1265">ROUND(BE388*G388*$C$3*$B$5,-2)</f>
        <v>0</v>
      </c>
      <c r="BZ388" s="523">
        <f t="shared" ref="BZ388:BZ396" si="1266">ROUND(BH388*G388*$C$3*$B$5,-2)</f>
        <v>500</v>
      </c>
      <c r="CA388" s="354"/>
      <c r="CB388" s="354" t="str">
        <f t="shared" ref="CB388:CB396" si="1267">IF(SUM(I388:L388)&lt;&gt;0,"X")</f>
        <v>X</v>
      </c>
      <c r="CC388" s="509" t="str">
        <f t="shared" si="956"/>
        <v>TN.</v>
      </c>
      <c r="CD388" s="509" t="str">
        <f t="shared" si="1190"/>
        <v>TN.11,2</v>
      </c>
      <c r="CE388" s="351" t="str">
        <f t="shared" si="1111"/>
        <v>Lò</v>
      </c>
      <c r="CF388" s="509" t="str">
        <f t="shared" ref="CF388:CF396" si="1268">CC388&amp;CE388</f>
        <v>TN.Lò</v>
      </c>
      <c r="CG388" s="509"/>
      <c r="CH388" s="509"/>
    </row>
    <row r="389" spans="1:86" ht="16.5" x14ac:dyDescent="0.25">
      <c r="A389" s="354" t="e">
        <f>A386</f>
        <v>#REF!</v>
      </c>
      <c r="B389" s="518"/>
      <c r="C389" s="519" t="s">
        <v>829</v>
      </c>
      <c r="D389" s="447" t="s">
        <v>14</v>
      </c>
      <c r="E389" s="447"/>
      <c r="F389" s="447"/>
      <c r="G389" s="520">
        <v>8.5</v>
      </c>
      <c r="H389" s="521">
        <v>0.7</v>
      </c>
      <c r="I389" s="522">
        <f t="shared" si="1232"/>
        <v>100</v>
      </c>
      <c r="J389" s="522">
        <f t="shared" si="1233"/>
        <v>20</v>
      </c>
      <c r="K389" s="522">
        <f t="shared" si="1234"/>
        <v>80</v>
      </c>
      <c r="L389" s="57">
        <f t="shared" si="1235"/>
        <v>800</v>
      </c>
      <c r="M389" s="60"/>
      <c r="N389" s="60"/>
      <c r="O389" s="60">
        <f t="shared" si="1236"/>
        <v>0</v>
      </c>
      <c r="P389" s="60"/>
      <c r="Q389" s="60"/>
      <c r="R389" s="60">
        <f t="shared" si="1237"/>
        <v>0</v>
      </c>
      <c r="S389" s="824"/>
      <c r="T389" s="60"/>
      <c r="U389" s="60">
        <f t="shared" si="1238"/>
        <v>0</v>
      </c>
      <c r="V389" s="60">
        <f t="shared" si="1239"/>
        <v>0</v>
      </c>
      <c r="W389" s="60">
        <f t="shared" si="1240"/>
        <v>0</v>
      </c>
      <c r="X389" s="60">
        <f t="shared" si="1241"/>
        <v>0</v>
      </c>
      <c r="Y389" s="60"/>
      <c r="Z389" s="60"/>
      <c r="AA389" s="60">
        <f t="shared" si="1242"/>
        <v>0</v>
      </c>
      <c r="AB389" s="60"/>
      <c r="AC389" s="60"/>
      <c r="AD389" s="60">
        <f t="shared" si="1243"/>
        <v>0</v>
      </c>
      <c r="AE389" s="60"/>
      <c r="AF389" s="60"/>
      <c r="AG389" s="60">
        <f t="shared" si="1244"/>
        <v>0</v>
      </c>
      <c r="AH389" s="60">
        <f t="shared" si="1230"/>
        <v>0</v>
      </c>
      <c r="AI389" s="60">
        <f t="shared" si="1231"/>
        <v>0</v>
      </c>
      <c r="AJ389" s="60">
        <f>AH389-AI389</f>
        <v>0</v>
      </c>
      <c r="AK389" s="60"/>
      <c r="AL389" s="60"/>
      <c r="AM389" s="60">
        <f t="shared" si="1245"/>
        <v>0</v>
      </c>
      <c r="AN389" s="60"/>
      <c r="AO389" s="60"/>
      <c r="AP389" s="60">
        <f t="shared" si="1246"/>
        <v>0</v>
      </c>
      <c r="AQ389" s="60"/>
      <c r="AR389" s="60"/>
      <c r="AS389" s="60">
        <f t="shared" si="1247"/>
        <v>0</v>
      </c>
      <c r="AT389" s="60">
        <f t="shared" si="1206"/>
        <v>0</v>
      </c>
      <c r="AU389" s="60">
        <f t="shared" si="1207"/>
        <v>0</v>
      </c>
      <c r="AV389" s="60">
        <f t="shared" si="1208"/>
        <v>0</v>
      </c>
      <c r="AW389" s="60">
        <v>10</v>
      </c>
      <c r="AX389" s="60"/>
      <c r="AY389" s="60">
        <f t="shared" si="1248"/>
        <v>10</v>
      </c>
      <c r="AZ389" s="60">
        <v>45</v>
      </c>
      <c r="BA389" s="60">
        <v>10</v>
      </c>
      <c r="BB389" s="60">
        <f t="shared" si="1249"/>
        <v>35</v>
      </c>
      <c r="BC389" s="60">
        <v>45</v>
      </c>
      <c r="BD389" s="60">
        <v>10</v>
      </c>
      <c r="BE389" s="60">
        <f t="shared" si="1250"/>
        <v>35</v>
      </c>
      <c r="BF389" s="60">
        <f t="shared" ref="BF389:BF396" si="1269">AW389+AZ389+BC389</f>
        <v>100</v>
      </c>
      <c r="BG389" s="60">
        <f t="shared" ref="BG389:BG396" si="1270">AX389+BA389+BD389</f>
        <v>20</v>
      </c>
      <c r="BH389" s="60">
        <f t="shared" ref="BH389:BH396" si="1271">BF389-BG389</f>
        <v>80</v>
      </c>
      <c r="BI389" s="508"/>
      <c r="BJ389" s="488" t="str">
        <f t="shared" ref="BJ389:BJ417" si="1272">LEFT(C389,2)</f>
        <v>Lò</v>
      </c>
      <c r="BK389" s="523">
        <f t="shared" si="1251"/>
        <v>0</v>
      </c>
      <c r="BL389" s="523">
        <f t="shared" si="1252"/>
        <v>0</v>
      </c>
      <c r="BM389" s="523">
        <f t="shared" si="1253"/>
        <v>0</v>
      </c>
      <c r="BN389" s="523">
        <f t="shared" si="1254"/>
        <v>0</v>
      </c>
      <c r="BO389" s="523">
        <f t="shared" si="1255"/>
        <v>0</v>
      </c>
      <c r="BP389" s="523">
        <f t="shared" si="1256"/>
        <v>0</v>
      </c>
      <c r="BQ389" s="523">
        <f t="shared" si="1257"/>
        <v>0</v>
      </c>
      <c r="BR389" s="523">
        <f t="shared" si="1258"/>
        <v>0</v>
      </c>
      <c r="BS389" s="523">
        <f t="shared" si="1259"/>
        <v>0</v>
      </c>
      <c r="BT389" s="523">
        <f t="shared" si="1260"/>
        <v>0</v>
      </c>
      <c r="BU389" s="523">
        <f t="shared" si="1261"/>
        <v>0</v>
      </c>
      <c r="BV389" s="523">
        <f t="shared" si="1262"/>
        <v>0</v>
      </c>
      <c r="BW389" s="523">
        <f t="shared" si="1263"/>
        <v>100</v>
      </c>
      <c r="BX389" s="523">
        <f t="shared" si="1264"/>
        <v>400</v>
      </c>
      <c r="BY389" s="523">
        <f t="shared" si="1265"/>
        <v>400</v>
      </c>
      <c r="BZ389" s="523">
        <f t="shared" si="1266"/>
        <v>800</v>
      </c>
      <c r="CA389" s="354"/>
      <c r="CB389" s="354" t="str">
        <f t="shared" si="1267"/>
        <v>X</v>
      </c>
      <c r="CC389" s="509" t="str">
        <f t="shared" si="956"/>
        <v>TN.</v>
      </c>
      <c r="CD389" s="509" t="str">
        <f t="shared" si="1190"/>
        <v>TN.8,5</v>
      </c>
      <c r="CE389" s="351" t="str">
        <f t="shared" ref="CE389:CE413" si="1273">LEFT(C389,2)</f>
        <v>Lò</v>
      </c>
      <c r="CF389" s="509" t="str">
        <f t="shared" si="1268"/>
        <v>TN.Lò</v>
      </c>
      <c r="CG389" s="509"/>
      <c r="CH389" s="509"/>
    </row>
    <row r="390" spans="1:86" ht="19.5" customHeight="1" x14ac:dyDescent="0.25">
      <c r="A390" s="354" t="e">
        <f t="shared" si="1060"/>
        <v>#REF!</v>
      </c>
      <c r="B390" s="518"/>
      <c r="C390" s="519" t="s">
        <v>781</v>
      </c>
      <c r="D390" s="447" t="s">
        <v>14</v>
      </c>
      <c r="E390" s="447"/>
      <c r="F390" s="447"/>
      <c r="G390" s="520">
        <v>11.2</v>
      </c>
      <c r="H390" s="521">
        <v>0.5</v>
      </c>
      <c r="I390" s="522">
        <f t="shared" si="1232"/>
        <v>160</v>
      </c>
      <c r="J390" s="522">
        <f t="shared" si="1233"/>
        <v>50</v>
      </c>
      <c r="K390" s="522">
        <f t="shared" si="1234"/>
        <v>110</v>
      </c>
      <c r="L390" s="57">
        <f t="shared" si="1235"/>
        <v>1400</v>
      </c>
      <c r="M390" s="60"/>
      <c r="N390" s="60"/>
      <c r="O390" s="60">
        <f t="shared" si="1236"/>
        <v>0</v>
      </c>
      <c r="P390" s="60"/>
      <c r="Q390" s="60"/>
      <c r="R390" s="60">
        <f t="shared" si="1237"/>
        <v>0</v>
      </c>
      <c r="S390" s="824"/>
      <c r="T390" s="60"/>
      <c r="U390" s="60">
        <f t="shared" si="1238"/>
        <v>0</v>
      </c>
      <c r="V390" s="60">
        <f t="shared" si="1239"/>
        <v>0</v>
      </c>
      <c r="W390" s="60">
        <f t="shared" si="1240"/>
        <v>0</v>
      </c>
      <c r="X390" s="60">
        <f t="shared" si="1241"/>
        <v>0</v>
      </c>
      <c r="Y390" s="60"/>
      <c r="Z390" s="60"/>
      <c r="AA390" s="60">
        <f t="shared" si="1242"/>
        <v>0</v>
      </c>
      <c r="AB390" s="60"/>
      <c r="AC390" s="60"/>
      <c r="AD390" s="60">
        <f t="shared" si="1243"/>
        <v>0</v>
      </c>
      <c r="AE390" s="60">
        <v>55</v>
      </c>
      <c r="AF390" s="60">
        <v>15</v>
      </c>
      <c r="AG390" s="60">
        <f t="shared" si="1244"/>
        <v>40</v>
      </c>
      <c r="AH390" s="60">
        <f t="shared" si="1230"/>
        <v>55</v>
      </c>
      <c r="AI390" s="60">
        <f t="shared" si="1231"/>
        <v>15</v>
      </c>
      <c r="AJ390" s="60">
        <f t="shared" ref="AJ390:AJ396" si="1274">AA390+AD390+AG390</f>
        <v>40</v>
      </c>
      <c r="AK390" s="60">
        <v>55</v>
      </c>
      <c r="AL390" s="60">
        <v>15</v>
      </c>
      <c r="AM390" s="60">
        <f t="shared" si="1245"/>
        <v>40</v>
      </c>
      <c r="AN390" s="60">
        <v>50</v>
      </c>
      <c r="AO390" s="60">
        <v>20</v>
      </c>
      <c r="AP390" s="60">
        <f t="shared" si="1246"/>
        <v>30</v>
      </c>
      <c r="AQ390" s="60"/>
      <c r="AR390" s="60"/>
      <c r="AS390" s="60">
        <f t="shared" si="1247"/>
        <v>0</v>
      </c>
      <c r="AT390" s="60">
        <f t="shared" si="1206"/>
        <v>105</v>
      </c>
      <c r="AU390" s="60">
        <f t="shared" si="1207"/>
        <v>35</v>
      </c>
      <c r="AV390" s="60">
        <f t="shared" si="1208"/>
        <v>70</v>
      </c>
      <c r="AW390" s="60"/>
      <c r="AX390" s="60"/>
      <c r="AY390" s="60">
        <f t="shared" si="1248"/>
        <v>0</v>
      </c>
      <c r="AZ390" s="60"/>
      <c r="BA390" s="60"/>
      <c r="BB390" s="60">
        <f t="shared" si="1249"/>
        <v>0</v>
      </c>
      <c r="BC390" s="60"/>
      <c r="BD390" s="60"/>
      <c r="BE390" s="60">
        <f t="shared" si="1250"/>
        <v>0</v>
      </c>
      <c r="BF390" s="60">
        <f t="shared" si="1269"/>
        <v>0</v>
      </c>
      <c r="BG390" s="60">
        <f t="shared" si="1270"/>
        <v>0</v>
      </c>
      <c r="BH390" s="60">
        <f t="shared" si="1271"/>
        <v>0</v>
      </c>
      <c r="BI390" s="508"/>
      <c r="BJ390" s="488" t="str">
        <f t="shared" si="1272"/>
        <v>Lò</v>
      </c>
      <c r="BK390" s="523">
        <f t="shared" si="1251"/>
        <v>0</v>
      </c>
      <c r="BL390" s="523">
        <f t="shared" si="1252"/>
        <v>0</v>
      </c>
      <c r="BM390" s="523">
        <f t="shared" si="1253"/>
        <v>0</v>
      </c>
      <c r="BN390" s="523">
        <f t="shared" si="1254"/>
        <v>0</v>
      </c>
      <c r="BO390" s="523">
        <f t="shared" si="1255"/>
        <v>0</v>
      </c>
      <c r="BP390" s="523">
        <f t="shared" si="1256"/>
        <v>0</v>
      </c>
      <c r="BQ390" s="523">
        <f t="shared" si="1257"/>
        <v>500</v>
      </c>
      <c r="BR390" s="523">
        <f t="shared" si="1258"/>
        <v>500</v>
      </c>
      <c r="BS390" s="523">
        <f t="shared" si="1259"/>
        <v>500</v>
      </c>
      <c r="BT390" s="523">
        <f t="shared" si="1260"/>
        <v>400</v>
      </c>
      <c r="BU390" s="523">
        <f t="shared" si="1261"/>
        <v>0</v>
      </c>
      <c r="BV390" s="523">
        <f t="shared" si="1262"/>
        <v>900</v>
      </c>
      <c r="BW390" s="523">
        <f t="shared" si="1263"/>
        <v>0</v>
      </c>
      <c r="BX390" s="523">
        <f t="shared" si="1264"/>
        <v>0</v>
      </c>
      <c r="BY390" s="523">
        <f t="shared" si="1265"/>
        <v>0</v>
      </c>
      <c r="BZ390" s="523">
        <f t="shared" si="1266"/>
        <v>0</v>
      </c>
      <c r="CA390" s="354"/>
      <c r="CB390" s="354" t="str">
        <f t="shared" si="1267"/>
        <v>X</v>
      </c>
      <c r="CC390" s="509" t="str">
        <f t="shared" si="956"/>
        <v>TN.</v>
      </c>
      <c r="CD390" s="509" t="str">
        <f t="shared" si="1190"/>
        <v>TN.11,2</v>
      </c>
      <c r="CE390" s="351" t="str">
        <f t="shared" si="1273"/>
        <v>Lò</v>
      </c>
      <c r="CF390" s="509" t="str">
        <f t="shared" si="1268"/>
        <v>TN.Lò</v>
      </c>
      <c r="CG390" s="509"/>
      <c r="CH390" s="509"/>
    </row>
    <row r="391" spans="1:86" ht="16.5" x14ac:dyDescent="0.25">
      <c r="A391" s="354" t="e">
        <f t="shared" si="1060"/>
        <v>#REF!</v>
      </c>
      <c r="B391" s="518"/>
      <c r="C391" s="519" t="s">
        <v>782</v>
      </c>
      <c r="D391" s="447" t="s">
        <v>14</v>
      </c>
      <c r="E391" s="447"/>
      <c r="F391" s="447"/>
      <c r="G391" s="520">
        <v>11.2</v>
      </c>
      <c r="H391" s="521">
        <v>0.7</v>
      </c>
      <c r="I391" s="522">
        <f t="shared" si="1232"/>
        <v>55</v>
      </c>
      <c r="J391" s="522">
        <f t="shared" si="1233"/>
        <v>25</v>
      </c>
      <c r="K391" s="522">
        <f t="shared" si="1234"/>
        <v>30</v>
      </c>
      <c r="L391" s="57">
        <f t="shared" si="1235"/>
        <v>400</v>
      </c>
      <c r="M391" s="60"/>
      <c r="N391" s="60"/>
      <c r="O391" s="60">
        <f t="shared" si="1236"/>
        <v>0</v>
      </c>
      <c r="P391" s="60"/>
      <c r="Q391" s="60"/>
      <c r="R391" s="60">
        <f t="shared" si="1237"/>
        <v>0</v>
      </c>
      <c r="S391" s="824"/>
      <c r="T391" s="60"/>
      <c r="U391" s="60">
        <f t="shared" si="1238"/>
        <v>0</v>
      </c>
      <c r="V391" s="60">
        <f t="shared" si="1239"/>
        <v>0</v>
      </c>
      <c r="W391" s="60">
        <f t="shared" si="1240"/>
        <v>0</v>
      </c>
      <c r="X391" s="60">
        <f t="shared" si="1241"/>
        <v>0</v>
      </c>
      <c r="Y391" s="60"/>
      <c r="Z391" s="60"/>
      <c r="AA391" s="60">
        <f t="shared" si="1242"/>
        <v>0</v>
      </c>
      <c r="AB391" s="60"/>
      <c r="AC391" s="60"/>
      <c r="AD391" s="60">
        <f t="shared" si="1243"/>
        <v>0</v>
      </c>
      <c r="AE391" s="60"/>
      <c r="AF391" s="60"/>
      <c r="AG391" s="60">
        <f t="shared" si="1244"/>
        <v>0</v>
      </c>
      <c r="AH391" s="60">
        <f t="shared" si="1230"/>
        <v>0</v>
      </c>
      <c r="AI391" s="60">
        <f t="shared" si="1231"/>
        <v>0</v>
      </c>
      <c r="AJ391" s="60">
        <f t="shared" si="1274"/>
        <v>0</v>
      </c>
      <c r="AK391" s="60"/>
      <c r="AL391" s="60"/>
      <c r="AM391" s="60">
        <f t="shared" si="1245"/>
        <v>0</v>
      </c>
      <c r="AN391" s="60"/>
      <c r="AO391" s="60"/>
      <c r="AP391" s="60">
        <f t="shared" si="1246"/>
        <v>0</v>
      </c>
      <c r="AQ391" s="60"/>
      <c r="AR391" s="60"/>
      <c r="AS391" s="60">
        <f t="shared" si="1247"/>
        <v>0</v>
      </c>
      <c r="AT391" s="60">
        <f t="shared" si="1206"/>
        <v>0</v>
      </c>
      <c r="AU391" s="60">
        <f t="shared" si="1207"/>
        <v>0</v>
      </c>
      <c r="AV391" s="60">
        <f t="shared" si="1208"/>
        <v>0</v>
      </c>
      <c r="AW391" s="60"/>
      <c r="AX391" s="60"/>
      <c r="AY391" s="60">
        <f t="shared" si="1248"/>
        <v>0</v>
      </c>
      <c r="AZ391" s="60">
        <v>55</v>
      </c>
      <c r="BA391" s="60">
        <v>25</v>
      </c>
      <c r="BB391" s="60">
        <f t="shared" si="1249"/>
        <v>30</v>
      </c>
      <c r="BC391" s="60"/>
      <c r="BD391" s="60"/>
      <c r="BE391" s="60">
        <f t="shared" si="1250"/>
        <v>0</v>
      </c>
      <c r="BF391" s="60">
        <f t="shared" ref="BF391:BG393" si="1275">AW391+AZ391+BC391</f>
        <v>55</v>
      </c>
      <c r="BG391" s="60">
        <f t="shared" si="1275"/>
        <v>25</v>
      </c>
      <c r="BH391" s="60">
        <f>BF391-BG391</f>
        <v>30</v>
      </c>
      <c r="BI391" s="508"/>
      <c r="BJ391" s="488" t="str">
        <f t="shared" si="1272"/>
        <v>Lò</v>
      </c>
      <c r="BK391" s="523">
        <f t="shared" si="1251"/>
        <v>0</v>
      </c>
      <c r="BL391" s="523">
        <f t="shared" si="1252"/>
        <v>0</v>
      </c>
      <c r="BM391" s="523">
        <f t="shared" si="1253"/>
        <v>0</v>
      </c>
      <c r="BN391" s="523">
        <f t="shared" si="1254"/>
        <v>0</v>
      </c>
      <c r="BO391" s="523">
        <f t="shared" si="1255"/>
        <v>0</v>
      </c>
      <c r="BP391" s="523">
        <f t="shared" si="1256"/>
        <v>0</v>
      </c>
      <c r="BQ391" s="523">
        <f t="shared" si="1257"/>
        <v>0</v>
      </c>
      <c r="BR391" s="523">
        <f t="shared" si="1258"/>
        <v>0</v>
      </c>
      <c r="BS391" s="523">
        <f t="shared" si="1259"/>
        <v>0</v>
      </c>
      <c r="BT391" s="523">
        <f t="shared" si="1260"/>
        <v>0</v>
      </c>
      <c r="BU391" s="523">
        <f t="shared" si="1261"/>
        <v>0</v>
      </c>
      <c r="BV391" s="523">
        <f t="shared" si="1262"/>
        <v>0</v>
      </c>
      <c r="BW391" s="523">
        <f t="shared" si="1263"/>
        <v>0</v>
      </c>
      <c r="BX391" s="523">
        <f t="shared" si="1264"/>
        <v>400</v>
      </c>
      <c r="BY391" s="523">
        <f t="shared" si="1265"/>
        <v>0</v>
      </c>
      <c r="BZ391" s="523">
        <f t="shared" si="1266"/>
        <v>400</v>
      </c>
      <c r="CA391" s="354"/>
      <c r="CB391" s="354" t="str">
        <f t="shared" si="1267"/>
        <v>X</v>
      </c>
      <c r="CC391" s="509" t="str">
        <f t="shared" si="956"/>
        <v>TN.</v>
      </c>
      <c r="CD391" s="509" t="str">
        <f t="shared" si="1190"/>
        <v>TN.11,2</v>
      </c>
      <c r="CE391" s="351" t="str">
        <f t="shared" si="1273"/>
        <v>Lò</v>
      </c>
      <c r="CF391" s="509" t="str">
        <f t="shared" si="1268"/>
        <v>TN.Lò</v>
      </c>
      <c r="CG391" s="509"/>
      <c r="CH391" s="509"/>
    </row>
    <row r="392" spans="1:86" ht="24" customHeight="1" x14ac:dyDescent="0.25">
      <c r="A392" s="354" t="e">
        <f t="shared" si="1060"/>
        <v>#REF!</v>
      </c>
      <c r="B392" s="518"/>
      <c r="C392" s="519" t="s">
        <v>830</v>
      </c>
      <c r="D392" s="447" t="s">
        <v>14</v>
      </c>
      <c r="E392" s="447"/>
      <c r="F392" s="447"/>
      <c r="G392" s="520">
        <v>13.1</v>
      </c>
      <c r="H392" s="521">
        <v>0.7</v>
      </c>
      <c r="I392" s="522">
        <f t="shared" si="1232"/>
        <v>0</v>
      </c>
      <c r="J392" s="522">
        <f t="shared" si="1233"/>
        <v>0</v>
      </c>
      <c r="K392" s="522">
        <f t="shared" si="1234"/>
        <v>0</v>
      </c>
      <c r="L392" s="57">
        <f t="shared" si="1235"/>
        <v>0</v>
      </c>
      <c r="M392" s="60"/>
      <c r="N392" s="60"/>
      <c r="O392" s="60">
        <f t="shared" si="1236"/>
        <v>0</v>
      </c>
      <c r="P392" s="60"/>
      <c r="Q392" s="60"/>
      <c r="R392" s="60">
        <f t="shared" si="1237"/>
        <v>0</v>
      </c>
      <c r="S392" s="824"/>
      <c r="T392" s="60"/>
      <c r="U392" s="60">
        <f t="shared" si="1238"/>
        <v>0</v>
      </c>
      <c r="V392" s="60">
        <f t="shared" si="1239"/>
        <v>0</v>
      </c>
      <c r="W392" s="60">
        <f t="shared" si="1240"/>
        <v>0</v>
      </c>
      <c r="X392" s="60">
        <f t="shared" si="1241"/>
        <v>0</v>
      </c>
      <c r="Y392" s="60"/>
      <c r="Z392" s="60"/>
      <c r="AA392" s="60">
        <f t="shared" si="1242"/>
        <v>0</v>
      </c>
      <c r="AB392" s="60"/>
      <c r="AC392" s="60"/>
      <c r="AD392" s="60">
        <f t="shared" si="1243"/>
        <v>0</v>
      </c>
      <c r="AE392" s="60"/>
      <c r="AF392" s="60"/>
      <c r="AG392" s="60">
        <f t="shared" si="1244"/>
        <v>0</v>
      </c>
      <c r="AH392" s="60">
        <f t="shared" ref="AH392:AI396" si="1276">Y392+AB392+AE392</f>
        <v>0</v>
      </c>
      <c r="AI392" s="60">
        <f t="shared" si="1276"/>
        <v>0</v>
      </c>
      <c r="AJ392" s="60">
        <f t="shared" si="1274"/>
        <v>0</v>
      </c>
      <c r="AK392" s="60"/>
      <c r="AL392" s="60"/>
      <c r="AM392" s="60">
        <f t="shared" si="1245"/>
        <v>0</v>
      </c>
      <c r="AN392" s="60"/>
      <c r="AO392" s="60"/>
      <c r="AP392" s="60">
        <f t="shared" si="1246"/>
        <v>0</v>
      </c>
      <c r="AQ392" s="60"/>
      <c r="AR392" s="60"/>
      <c r="AS392" s="60">
        <f t="shared" si="1247"/>
        <v>0</v>
      </c>
      <c r="AT392" s="60">
        <f t="shared" ref="AT392:AV396" si="1277">AK392+AN392+AQ392</f>
        <v>0</v>
      </c>
      <c r="AU392" s="60">
        <f t="shared" si="1277"/>
        <v>0</v>
      </c>
      <c r="AV392" s="60">
        <f t="shared" si="1277"/>
        <v>0</v>
      </c>
      <c r="AW392" s="60"/>
      <c r="AX392" s="60"/>
      <c r="AY392" s="60">
        <f t="shared" si="1248"/>
        <v>0</v>
      </c>
      <c r="AZ392" s="60"/>
      <c r="BA392" s="60"/>
      <c r="BB392" s="60">
        <f t="shared" si="1249"/>
        <v>0</v>
      </c>
      <c r="BC392" s="60"/>
      <c r="BD392" s="60"/>
      <c r="BE392" s="60">
        <f t="shared" si="1250"/>
        <v>0</v>
      </c>
      <c r="BF392" s="60">
        <f t="shared" si="1275"/>
        <v>0</v>
      </c>
      <c r="BG392" s="60">
        <f t="shared" si="1275"/>
        <v>0</v>
      </c>
      <c r="BH392" s="60">
        <f>BF392-BG392</f>
        <v>0</v>
      </c>
      <c r="BI392" s="508"/>
      <c r="BJ392" s="488" t="str">
        <f t="shared" si="1272"/>
        <v>Lò</v>
      </c>
      <c r="BK392" s="523">
        <f t="shared" si="1251"/>
        <v>0</v>
      </c>
      <c r="BL392" s="523">
        <f t="shared" si="1252"/>
        <v>0</v>
      </c>
      <c r="BM392" s="523">
        <f t="shared" si="1253"/>
        <v>0</v>
      </c>
      <c r="BN392" s="523">
        <f t="shared" si="1254"/>
        <v>0</v>
      </c>
      <c r="BO392" s="523">
        <f t="shared" si="1255"/>
        <v>0</v>
      </c>
      <c r="BP392" s="523">
        <f t="shared" si="1256"/>
        <v>0</v>
      </c>
      <c r="BQ392" s="523">
        <f t="shared" si="1257"/>
        <v>0</v>
      </c>
      <c r="BR392" s="523">
        <f t="shared" si="1258"/>
        <v>0</v>
      </c>
      <c r="BS392" s="523">
        <f t="shared" si="1259"/>
        <v>0</v>
      </c>
      <c r="BT392" s="523">
        <f t="shared" si="1260"/>
        <v>0</v>
      </c>
      <c r="BU392" s="523">
        <f t="shared" si="1261"/>
        <v>0</v>
      </c>
      <c r="BV392" s="523">
        <f t="shared" si="1262"/>
        <v>0</v>
      </c>
      <c r="BW392" s="523">
        <f t="shared" si="1263"/>
        <v>0</v>
      </c>
      <c r="BX392" s="523">
        <f t="shared" si="1264"/>
        <v>0</v>
      </c>
      <c r="BY392" s="523">
        <f t="shared" si="1265"/>
        <v>0</v>
      </c>
      <c r="BZ392" s="523">
        <f t="shared" si="1266"/>
        <v>0</v>
      </c>
      <c r="CA392" s="354"/>
      <c r="CB392" s="354" t="b">
        <f t="shared" si="1267"/>
        <v>0</v>
      </c>
      <c r="CC392" s="509" t="str">
        <f t="shared" si="956"/>
        <v>TN.</v>
      </c>
      <c r="CD392" s="509" t="str">
        <f t="shared" si="1190"/>
        <v>TN.13,1</v>
      </c>
      <c r="CE392" s="351" t="str">
        <f t="shared" si="1273"/>
        <v>Lò</v>
      </c>
      <c r="CF392" s="509" t="str">
        <f t="shared" si="1268"/>
        <v>TN.Lò</v>
      </c>
      <c r="CG392" s="509"/>
      <c r="CH392" s="509"/>
    </row>
    <row r="393" spans="1:86" ht="24" customHeight="1" x14ac:dyDescent="0.25">
      <c r="A393" s="354" t="e">
        <f t="shared" si="1060"/>
        <v>#REF!</v>
      </c>
      <c r="B393" s="518"/>
      <c r="C393" s="519" t="s">
        <v>827</v>
      </c>
      <c r="D393" s="447" t="s">
        <v>14</v>
      </c>
      <c r="E393" s="447"/>
      <c r="F393" s="447"/>
      <c r="G393" s="520">
        <v>8.5</v>
      </c>
      <c r="H393" s="521">
        <v>0.7</v>
      </c>
      <c r="I393" s="522">
        <f t="shared" si="1232"/>
        <v>155</v>
      </c>
      <c r="J393" s="522">
        <f t="shared" si="1233"/>
        <v>25</v>
      </c>
      <c r="K393" s="522">
        <f t="shared" si="1234"/>
        <v>130</v>
      </c>
      <c r="L393" s="57">
        <f t="shared" si="1235"/>
        <v>1300</v>
      </c>
      <c r="M393" s="60"/>
      <c r="N393" s="60"/>
      <c r="O393" s="60">
        <f t="shared" si="1236"/>
        <v>0</v>
      </c>
      <c r="P393" s="60"/>
      <c r="Q393" s="60"/>
      <c r="R393" s="60">
        <f t="shared" si="1237"/>
        <v>0</v>
      </c>
      <c r="S393" s="824"/>
      <c r="T393" s="60"/>
      <c r="U393" s="60">
        <f t="shared" si="1238"/>
        <v>0</v>
      </c>
      <c r="V393" s="60">
        <f t="shared" si="1239"/>
        <v>0</v>
      </c>
      <c r="W393" s="60">
        <f t="shared" si="1240"/>
        <v>0</v>
      </c>
      <c r="X393" s="60">
        <f t="shared" si="1241"/>
        <v>0</v>
      </c>
      <c r="Y393" s="60"/>
      <c r="Z393" s="60"/>
      <c r="AA393" s="60">
        <f t="shared" si="1242"/>
        <v>0</v>
      </c>
      <c r="AB393" s="60"/>
      <c r="AC393" s="60"/>
      <c r="AD393" s="60">
        <f t="shared" si="1243"/>
        <v>0</v>
      </c>
      <c r="AE393" s="60"/>
      <c r="AF393" s="60"/>
      <c r="AG393" s="60">
        <f t="shared" si="1244"/>
        <v>0</v>
      </c>
      <c r="AH393" s="60">
        <f t="shared" si="1276"/>
        <v>0</v>
      </c>
      <c r="AI393" s="60">
        <f t="shared" si="1276"/>
        <v>0</v>
      </c>
      <c r="AJ393" s="60">
        <f t="shared" si="1274"/>
        <v>0</v>
      </c>
      <c r="AK393" s="60">
        <v>55</v>
      </c>
      <c r="AL393" s="60">
        <v>10</v>
      </c>
      <c r="AM393" s="60">
        <f t="shared" si="1245"/>
        <v>45</v>
      </c>
      <c r="AN393" s="60">
        <v>55</v>
      </c>
      <c r="AO393" s="60">
        <v>10</v>
      </c>
      <c r="AP393" s="60">
        <f t="shared" si="1246"/>
        <v>45</v>
      </c>
      <c r="AQ393" s="60">
        <v>45</v>
      </c>
      <c r="AR393" s="60">
        <v>5</v>
      </c>
      <c r="AS393" s="60">
        <f t="shared" si="1247"/>
        <v>40</v>
      </c>
      <c r="AT393" s="60">
        <f t="shared" si="1277"/>
        <v>155</v>
      </c>
      <c r="AU393" s="60">
        <f t="shared" si="1277"/>
        <v>25</v>
      </c>
      <c r="AV393" s="60">
        <f t="shared" si="1277"/>
        <v>130</v>
      </c>
      <c r="AW393" s="60"/>
      <c r="AX393" s="60"/>
      <c r="AY393" s="60">
        <f t="shared" si="1248"/>
        <v>0</v>
      </c>
      <c r="AZ393" s="60"/>
      <c r="BA393" s="60"/>
      <c r="BB393" s="60">
        <f t="shared" si="1249"/>
        <v>0</v>
      </c>
      <c r="BC393" s="60"/>
      <c r="BD393" s="60"/>
      <c r="BE393" s="60">
        <f t="shared" si="1250"/>
        <v>0</v>
      </c>
      <c r="BF393" s="60">
        <f t="shared" si="1275"/>
        <v>0</v>
      </c>
      <c r="BG393" s="60">
        <f t="shared" si="1275"/>
        <v>0</v>
      </c>
      <c r="BH393" s="60">
        <f>BF393-BG393</f>
        <v>0</v>
      </c>
      <c r="BI393" s="508"/>
      <c r="BJ393" s="488" t="str">
        <f t="shared" si="1272"/>
        <v>Lò</v>
      </c>
      <c r="BK393" s="523">
        <f t="shared" si="1251"/>
        <v>0</v>
      </c>
      <c r="BL393" s="523">
        <f t="shared" si="1252"/>
        <v>0</v>
      </c>
      <c r="BM393" s="523">
        <f t="shared" si="1253"/>
        <v>0</v>
      </c>
      <c r="BN393" s="523">
        <f t="shared" si="1254"/>
        <v>0</v>
      </c>
      <c r="BO393" s="523">
        <f t="shared" si="1255"/>
        <v>0</v>
      </c>
      <c r="BP393" s="523">
        <f t="shared" si="1256"/>
        <v>0</v>
      </c>
      <c r="BQ393" s="523">
        <f t="shared" si="1257"/>
        <v>0</v>
      </c>
      <c r="BR393" s="523">
        <f t="shared" si="1258"/>
        <v>0</v>
      </c>
      <c r="BS393" s="523">
        <f t="shared" si="1259"/>
        <v>500</v>
      </c>
      <c r="BT393" s="523">
        <f t="shared" si="1260"/>
        <v>500</v>
      </c>
      <c r="BU393" s="523">
        <f t="shared" si="1261"/>
        <v>400</v>
      </c>
      <c r="BV393" s="523">
        <f t="shared" si="1262"/>
        <v>1300</v>
      </c>
      <c r="BW393" s="523">
        <f t="shared" si="1263"/>
        <v>0</v>
      </c>
      <c r="BX393" s="523">
        <f t="shared" si="1264"/>
        <v>0</v>
      </c>
      <c r="BY393" s="523">
        <f t="shared" si="1265"/>
        <v>0</v>
      </c>
      <c r="BZ393" s="523">
        <f t="shared" si="1266"/>
        <v>0</v>
      </c>
      <c r="CA393" s="354"/>
      <c r="CB393" s="354" t="str">
        <f t="shared" si="1267"/>
        <v>X</v>
      </c>
      <c r="CC393" s="509" t="str">
        <f t="shared" si="956"/>
        <v>TN.</v>
      </c>
      <c r="CD393" s="509" t="str">
        <f t="shared" si="1190"/>
        <v>TN.8,5</v>
      </c>
      <c r="CE393" s="351" t="str">
        <f t="shared" si="1273"/>
        <v>Lò</v>
      </c>
      <c r="CF393" s="509" t="str">
        <f t="shared" si="1268"/>
        <v>TN.Lò</v>
      </c>
      <c r="CG393" s="509"/>
      <c r="CH393" s="509"/>
    </row>
    <row r="394" spans="1:86" ht="16.5" x14ac:dyDescent="0.25">
      <c r="A394" s="354" t="e">
        <f>A390</f>
        <v>#REF!</v>
      </c>
      <c r="B394" s="518"/>
      <c r="C394" s="519" t="s">
        <v>825</v>
      </c>
      <c r="D394" s="447" t="s">
        <v>14</v>
      </c>
      <c r="E394" s="447"/>
      <c r="F394" s="447"/>
      <c r="G394" s="520">
        <v>13.1</v>
      </c>
      <c r="H394" s="521">
        <v>0.7</v>
      </c>
      <c r="I394" s="522">
        <f t="shared" si="1232"/>
        <v>205</v>
      </c>
      <c r="J394" s="522">
        <f t="shared" si="1233"/>
        <v>180</v>
      </c>
      <c r="K394" s="522">
        <f t="shared" si="1234"/>
        <v>25</v>
      </c>
      <c r="L394" s="57">
        <f t="shared" si="1235"/>
        <v>400</v>
      </c>
      <c r="M394" s="60"/>
      <c r="N394" s="60"/>
      <c r="O394" s="60">
        <f t="shared" si="1236"/>
        <v>0</v>
      </c>
      <c r="P394" s="60"/>
      <c r="Q394" s="60"/>
      <c r="R394" s="60">
        <f t="shared" si="1237"/>
        <v>0</v>
      </c>
      <c r="S394" s="824"/>
      <c r="T394" s="60"/>
      <c r="U394" s="60">
        <f t="shared" si="1238"/>
        <v>0</v>
      </c>
      <c r="V394" s="60">
        <f t="shared" si="1239"/>
        <v>0</v>
      </c>
      <c r="W394" s="60">
        <f t="shared" si="1240"/>
        <v>0</v>
      </c>
      <c r="X394" s="60">
        <f t="shared" si="1241"/>
        <v>0</v>
      </c>
      <c r="Y394" s="60">
        <v>35</v>
      </c>
      <c r="Z394" s="60">
        <v>10</v>
      </c>
      <c r="AA394" s="60">
        <f t="shared" si="1242"/>
        <v>25</v>
      </c>
      <c r="AB394" s="60">
        <v>35</v>
      </c>
      <c r="AC394" s="60">
        <v>35</v>
      </c>
      <c r="AD394" s="60">
        <f t="shared" si="1243"/>
        <v>0</v>
      </c>
      <c r="AE394" s="60">
        <v>35</v>
      </c>
      <c r="AF394" s="60">
        <v>35</v>
      </c>
      <c r="AG394" s="60">
        <f t="shared" si="1244"/>
        <v>0</v>
      </c>
      <c r="AH394" s="60">
        <f t="shared" si="1276"/>
        <v>105</v>
      </c>
      <c r="AI394" s="60">
        <f t="shared" si="1276"/>
        <v>80</v>
      </c>
      <c r="AJ394" s="60">
        <f t="shared" si="1274"/>
        <v>25</v>
      </c>
      <c r="AK394" s="60">
        <v>35</v>
      </c>
      <c r="AL394" s="60">
        <v>35</v>
      </c>
      <c r="AM394" s="60">
        <f t="shared" si="1245"/>
        <v>0</v>
      </c>
      <c r="AN394" s="60">
        <v>35</v>
      </c>
      <c r="AO394" s="60">
        <v>35</v>
      </c>
      <c r="AP394" s="60">
        <f t="shared" si="1246"/>
        <v>0</v>
      </c>
      <c r="AQ394" s="60">
        <v>30</v>
      </c>
      <c r="AR394" s="60">
        <v>30</v>
      </c>
      <c r="AS394" s="60">
        <f t="shared" si="1247"/>
        <v>0</v>
      </c>
      <c r="AT394" s="60">
        <f t="shared" si="1277"/>
        <v>100</v>
      </c>
      <c r="AU394" s="60">
        <f t="shared" si="1277"/>
        <v>100</v>
      </c>
      <c r="AV394" s="60">
        <f t="shared" si="1277"/>
        <v>0</v>
      </c>
      <c r="AW394" s="60"/>
      <c r="AX394" s="60"/>
      <c r="AY394" s="60">
        <f t="shared" si="1248"/>
        <v>0</v>
      </c>
      <c r="AZ394" s="60"/>
      <c r="BA394" s="60"/>
      <c r="BB394" s="60">
        <f t="shared" si="1249"/>
        <v>0</v>
      </c>
      <c r="BC394" s="60"/>
      <c r="BD394" s="60"/>
      <c r="BE394" s="60">
        <f t="shared" si="1250"/>
        <v>0</v>
      </c>
      <c r="BF394" s="60">
        <f t="shared" si="1269"/>
        <v>0</v>
      </c>
      <c r="BG394" s="60">
        <f t="shared" si="1270"/>
        <v>0</v>
      </c>
      <c r="BH394" s="60">
        <f t="shared" si="1271"/>
        <v>0</v>
      </c>
      <c r="BI394" s="508"/>
      <c r="BJ394" s="488" t="str">
        <f t="shared" si="1272"/>
        <v>Lò</v>
      </c>
      <c r="BK394" s="523">
        <f t="shared" si="1251"/>
        <v>0</v>
      </c>
      <c r="BL394" s="523">
        <f t="shared" si="1252"/>
        <v>0</v>
      </c>
      <c r="BM394" s="523">
        <f t="shared" si="1253"/>
        <v>0</v>
      </c>
      <c r="BN394" s="523">
        <f t="shared" si="1254"/>
        <v>0</v>
      </c>
      <c r="BO394" s="523">
        <f t="shared" si="1255"/>
        <v>400</v>
      </c>
      <c r="BP394" s="523">
        <f t="shared" si="1256"/>
        <v>0</v>
      </c>
      <c r="BQ394" s="523">
        <f t="shared" si="1257"/>
        <v>0</v>
      </c>
      <c r="BR394" s="523">
        <f t="shared" si="1258"/>
        <v>400</v>
      </c>
      <c r="BS394" s="523">
        <f t="shared" si="1259"/>
        <v>0</v>
      </c>
      <c r="BT394" s="523">
        <f t="shared" si="1260"/>
        <v>0</v>
      </c>
      <c r="BU394" s="523">
        <f t="shared" si="1261"/>
        <v>0</v>
      </c>
      <c r="BV394" s="523">
        <f t="shared" si="1262"/>
        <v>0</v>
      </c>
      <c r="BW394" s="523">
        <f t="shared" si="1263"/>
        <v>0</v>
      </c>
      <c r="BX394" s="523">
        <f t="shared" si="1264"/>
        <v>0</v>
      </c>
      <c r="BY394" s="523">
        <f t="shared" si="1265"/>
        <v>0</v>
      </c>
      <c r="BZ394" s="523">
        <f t="shared" si="1266"/>
        <v>0</v>
      </c>
      <c r="CA394" s="354"/>
      <c r="CB394" s="354" t="str">
        <f t="shared" si="1267"/>
        <v>X</v>
      </c>
      <c r="CC394" s="509" t="str">
        <f>CC392</f>
        <v>TN.</v>
      </c>
      <c r="CD394" s="509" t="str">
        <f t="shared" si="1190"/>
        <v>TN.13,1</v>
      </c>
      <c r="CE394" s="351" t="str">
        <f t="shared" si="1273"/>
        <v>Lò</v>
      </c>
      <c r="CF394" s="509" t="str">
        <f t="shared" si="1268"/>
        <v>TN.Lò</v>
      </c>
      <c r="CG394" s="509"/>
      <c r="CH394" s="509"/>
    </row>
    <row r="395" spans="1:86" ht="19.5" customHeight="1" x14ac:dyDescent="0.25">
      <c r="A395" s="354" t="e">
        <f t="shared" si="1060"/>
        <v>#REF!</v>
      </c>
      <c r="B395" s="518"/>
      <c r="C395" s="519" t="s">
        <v>783</v>
      </c>
      <c r="D395" s="447" t="s">
        <v>14</v>
      </c>
      <c r="E395" s="447"/>
      <c r="F395" s="447"/>
      <c r="G395" s="520">
        <v>11.2</v>
      </c>
      <c r="H395" s="521">
        <v>0.7</v>
      </c>
      <c r="I395" s="522">
        <f t="shared" si="1232"/>
        <v>120</v>
      </c>
      <c r="J395" s="522">
        <f t="shared" si="1233"/>
        <v>30</v>
      </c>
      <c r="K395" s="522">
        <f t="shared" si="1234"/>
        <v>90</v>
      </c>
      <c r="L395" s="57">
        <f t="shared" si="1235"/>
        <v>1200</v>
      </c>
      <c r="M395" s="60">
        <v>50</v>
      </c>
      <c r="N395" s="60">
        <v>20</v>
      </c>
      <c r="O395" s="60">
        <f t="shared" si="1236"/>
        <v>30</v>
      </c>
      <c r="P395" s="60">
        <v>40</v>
      </c>
      <c r="Q395" s="60">
        <v>10</v>
      </c>
      <c r="R395" s="60">
        <f t="shared" si="1237"/>
        <v>30</v>
      </c>
      <c r="S395" s="824">
        <v>30</v>
      </c>
      <c r="T395" s="60"/>
      <c r="U395" s="60">
        <f t="shared" si="1238"/>
        <v>30</v>
      </c>
      <c r="V395" s="60">
        <f t="shared" si="1239"/>
        <v>120</v>
      </c>
      <c r="W395" s="60">
        <f t="shared" si="1240"/>
        <v>30</v>
      </c>
      <c r="X395" s="60">
        <f t="shared" si="1241"/>
        <v>90</v>
      </c>
      <c r="Y395" s="60"/>
      <c r="Z395" s="60"/>
      <c r="AA395" s="60">
        <f t="shared" si="1242"/>
        <v>0</v>
      </c>
      <c r="AB395" s="60"/>
      <c r="AC395" s="60"/>
      <c r="AD395" s="60">
        <f t="shared" si="1243"/>
        <v>0</v>
      </c>
      <c r="AE395" s="60"/>
      <c r="AF395" s="60"/>
      <c r="AG395" s="60">
        <f t="shared" si="1244"/>
        <v>0</v>
      </c>
      <c r="AH395" s="60">
        <f t="shared" si="1276"/>
        <v>0</v>
      </c>
      <c r="AI395" s="60">
        <f t="shared" si="1276"/>
        <v>0</v>
      </c>
      <c r="AJ395" s="60">
        <f t="shared" si="1274"/>
        <v>0</v>
      </c>
      <c r="AK395" s="60"/>
      <c r="AL395" s="60"/>
      <c r="AM395" s="60">
        <f t="shared" si="1245"/>
        <v>0</v>
      </c>
      <c r="AN395" s="60"/>
      <c r="AO395" s="60"/>
      <c r="AP395" s="60">
        <f t="shared" si="1246"/>
        <v>0</v>
      </c>
      <c r="AQ395" s="60"/>
      <c r="AR395" s="60"/>
      <c r="AS395" s="60">
        <f t="shared" si="1247"/>
        <v>0</v>
      </c>
      <c r="AT395" s="60">
        <f t="shared" si="1277"/>
        <v>0</v>
      </c>
      <c r="AU395" s="60">
        <f t="shared" si="1277"/>
        <v>0</v>
      </c>
      <c r="AV395" s="60">
        <f t="shared" si="1277"/>
        <v>0</v>
      </c>
      <c r="AW395" s="60"/>
      <c r="AX395" s="60"/>
      <c r="AY395" s="60">
        <f t="shared" si="1248"/>
        <v>0</v>
      </c>
      <c r="AZ395" s="60"/>
      <c r="BA395" s="60"/>
      <c r="BB395" s="60">
        <f t="shared" si="1249"/>
        <v>0</v>
      </c>
      <c r="BC395" s="60"/>
      <c r="BD395" s="60"/>
      <c r="BE395" s="60">
        <f t="shared" si="1250"/>
        <v>0</v>
      </c>
      <c r="BF395" s="60">
        <f t="shared" si="1269"/>
        <v>0</v>
      </c>
      <c r="BG395" s="60">
        <f t="shared" si="1270"/>
        <v>0</v>
      </c>
      <c r="BH395" s="60">
        <f t="shared" si="1271"/>
        <v>0</v>
      </c>
      <c r="BI395" s="508"/>
      <c r="BJ395" s="488" t="str">
        <f t="shared" si="1272"/>
        <v>Lò</v>
      </c>
      <c r="BK395" s="523">
        <f t="shared" si="1251"/>
        <v>400</v>
      </c>
      <c r="BL395" s="523">
        <f t="shared" si="1252"/>
        <v>400</v>
      </c>
      <c r="BM395" s="523">
        <f t="shared" si="1253"/>
        <v>400</v>
      </c>
      <c r="BN395" s="523">
        <f t="shared" si="1254"/>
        <v>1200</v>
      </c>
      <c r="BO395" s="523">
        <f t="shared" si="1255"/>
        <v>0</v>
      </c>
      <c r="BP395" s="523">
        <f t="shared" si="1256"/>
        <v>0</v>
      </c>
      <c r="BQ395" s="523">
        <f t="shared" si="1257"/>
        <v>0</v>
      </c>
      <c r="BR395" s="523">
        <f t="shared" si="1258"/>
        <v>0</v>
      </c>
      <c r="BS395" s="523">
        <f t="shared" si="1259"/>
        <v>0</v>
      </c>
      <c r="BT395" s="523">
        <f t="shared" si="1260"/>
        <v>0</v>
      </c>
      <c r="BU395" s="523">
        <f t="shared" si="1261"/>
        <v>0</v>
      </c>
      <c r="BV395" s="523">
        <f t="shared" si="1262"/>
        <v>0</v>
      </c>
      <c r="BW395" s="523">
        <f t="shared" si="1263"/>
        <v>0</v>
      </c>
      <c r="BX395" s="523">
        <f t="shared" si="1264"/>
        <v>0</v>
      </c>
      <c r="BY395" s="523">
        <f t="shared" si="1265"/>
        <v>0</v>
      </c>
      <c r="BZ395" s="523">
        <f t="shared" si="1266"/>
        <v>0</v>
      </c>
      <c r="CA395" s="354"/>
      <c r="CB395" s="354" t="str">
        <f t="shared" si="1267"/>
        <v>X</v>
      </c>
      <c r="CC395" s="509" t="str">
        <f t="shared" si="956"/>
        <v>TN.</v>
      </c>
      <c r="CD395" s="509" t="str">
        <f t="shared" si="1190"/>
        <v>TN.11,2</v>
      </c>
      <c r="CE395" s="351" t="str">
        <f t="shared" si="1273"/>
        <v>Lò</v>
      </c>
      <c r="CF395" s="509" t="str">
        <f t="shared" si="1268"/>
        <v>TN.Lò</v>
      </c>
      <c r="CG395" s="509"/>
      <c r="CH395" s="509"/>
    </row>
    <row r="396" spans="1:86" ht="16.5" x14ac:dyDescent="0.25">
      <c r="A396" s="354" t="e">
        <f t="shared" si="1060"/>
        <v>#REF!</v>
      </c>
      <c r="B396" s="518"/>
      <c r="C396" s="519" t="s">
        <v>784</v>
      </c>
      <c r="D396" s="447" t="s">
        <v>14</v>
      </c>
      <c r="E396" s="447"/>
      <c r="F396" s="447"/>
      <c r="G396" s="520">
        <v>11.2</v>
      </c>
      <c r="H396" s="521">
        <v>0.7</v>
      </c>
      <c r="I396" s="522">
        <f t="shared" si="1232"/>
        <v>135</v>
      </c>
      <c r="J396" s="522">
        <f t="shared" si="1233"/>
        <v>30</v>
      </c>
      <c r="K396" s="522">
        <f t="shared" si="1234"/>
        <v>105</v>
      </c>
      <c r="L396" s="57">
        <f t="shared" si="1235"/>
        <v>1400</v>
      </c>
      <c r="M396" s="60"/>
      <c r="N396" s="60"/>
      <c r="O396" s="60">
        <f t="shared" si="1236"/>
        <v>0</v>
      </c>
      <c r="P396" s="60"/>
      <c r="Q396" s="60"/>
      <c r="R396" s="60">
        <f t="shared" si="1237"/>
        <v>0</v>
      </c>
      <c r="S396" s="824">
        <v>10</v>
      </c>
      <c r="T396" s="60">
        <v>0</v>
      </c>
      <c r="U396" s="60">
        <f t="shared" si="1238"/>
        <v>10</v>
      </c>
      <c r="V396" s="60">
        <f t="shared" si="1239"/>
        <v>10</v>
      </c>
      <c r="W396" s="60">
        <f t="shared" si="1240"/>
        <v>0</v>
      </c>
      <c r="X396" s="60">
        <f t="shared" si="1241"/>
        <v>10</v>
      </c>
      <c r="Y396" s="60">
        <v>45</v>
      </c>
      <c r="Z396" s="60">
        <v>10</v>
      </c>
      <c r="AA396" s="60">
        <f t="shared" si="1242"/>
        <v>35</v>
      </c>
      <c r="AB396" s="60">
        <v>45</v>
      </c>
      <c r="AC396" s="60">
        <v>10</v>
      </c>
      <c r="AD396" s="60">
        <f t="shared" si="1243"/>
        <v>35</v>
      </c>
      <c r="AE396" s="60">
        <v>35</v>
      </c>
      <c r="AF396" s="60">
        <v>10</v>
      </c>
      <c r="AG396" s="60">
        <f t="shared" si="1244"/>
        <v>25</v>
      </c>
      <c r="AH396" s="60">
        <f t="shared" si="1276"/>
        <v>125</v>
      </c>
      <c r="AI396" s="60">
        <f t="shared" si="1276"/>
        <v>30</v>
      </c>
      <c r="AJ396" s="60">
        <f t="shared" si="1274"/>
        <v>95</v>
      </c>
      <c r="AK396" s="60"/>
      <c r="AL396" s="60"/>
      <c r="AM396" s="60">
        <f t="shared" si="1245"/>
        <v>0</v>
      </c>
      <c r="AN396" s="60"/>
      <c r="AO396" s="60"/>
      <c r="AP396" s="60">
        <f t="shared" si="1246"/>
        <v>0</v>
      </c>
      <c r="AQ396" s="60"/>
      <c r="AR396" s="60"/>
      <c r="AS396" s="60">
        <f t="shared" si="1247"/>
        <v>0</v>
      </c>
      <c r="AT396" s="60">
        <f t="shared" si="1277"/>
        <v>0</v>
      </c>
      <c r="AU396" s="60">
        <f t="shared" si="1277"/>
        <v>0</v>
      </c>
      <c r="AV396" s="60">
        <f t="shared" si="1277"/>
        <v>0</v>
      </c>
      <c r="AW396" s="60"/>
      <c r="AX396" s="60"/>
      <c r="AY396" s="60">
        <f t="shared" si="1248"/>
        <v>0</v>
      </c>
      <c r="AZ396" s="60"/>
      <c r="BA396" s="60"/>
      <c r="BB396" s="60">
        <f t="shared" si="1249"/>
        <v>0</v>
      </c>
      <c r="BC396" s="60"/>
      <c r="BD396" s="60"/>
      <c r="BE396" s="60">
        <f t="shared" si="1250"/>
        <v>0</v>
      </c>
      <c r="BF396" s="60">
        <f t="shared" si="1269"/>
        <v>0</v>
      </c>
      <c r="BG396" s="60">
        <f t="shared" si="1270"/>
        <v>0</v>
      </c>
      <c r="BH396" s="60">
        <f t="shared" si="1271"/>
        <v>0</v>
      </c>
      <c r="BI396" s="508"/>
      <c r="BJ396" s="488" t="str">
        <f t="shared" si="1272"/>
        <v>Lò</v>
      </c>
      <c r="BK396" s="523">
        <f t="shared" si="1251"/>
        <v>0</v>
      </c>
      <c r="BL396" s="523">
        <f t="shared" si="1252"/>
        <v>0</v>
      </c>
      <c r="BM396" s="523">
        <f t="shared" si="1253"/>
        <v>100</v>
      </c>
      <c r="BN396" s="523">
        <f t="shared" si="1254"/>
        <v>100</v>
      </c>
      <c r="BO396" s="523">
        <f t="shared" si="1255"/>
        <v>500</v>
      </c>
      <c r="BP396" s="523">
        <f t="shared" si="1256"/>
        <v>500</v>
      </c>
      <c r="BQ396" s="523">
        <f t="shared" si="1257"/>
        <v>300</v>
      </c>
      <c r="BR396" s="523">
        <f t="shared" si="1258"/>
        <v>1300</v>
      </c>
      <c r="BS396" s="523">
        <f t="shared" si="1259"/>
        <v>0</v>
      </c>
      <c r="BT396" s="523">
        <f t="shared" si="1260"/>
        <v>0</v>
      </c>
      <c r="BU396" s="523">
        <f t="shared" si="1261"/>
        <v>0</v>
      </c>
      <c r="BV396" s="523">
        <f t="shared" si="1262"/>
        <v>0</v>
      </c>
      <c r="BW396" s="523">
        <f t="shared" si="1263"/>
        <v>0</v>
      </c>
      <c r="BX396" s="523">
        <f t="shared" si="1264"/>
        <v>0</v>
      </c>
      <c r="BY396" s="523">
        <f t="shared" si="1265"/>
        <v>0</v>
      </c>
      <c r="BZ396" s="523">
        <f t="shared" si="1266"/>
        <v>0</v>
      </c>
      <c r="CA396" s="354"/>
      <c r="CB396" s="354" t="str">
        <f t="shared" si="1267"/>
        <v>X</v>
      </c>
      <c r="CC396" s="509" t="str">
        <f t="shared" si="956"/>
        <v>TN.</v>
      </c>
      <c r="CD396" s="509" t="str">
        <f t="shared" si="1190"/>
        <v>TN.11,2</v>
      </c>
      <c r="CE396" s="351" t="str">
        <f t="shared" si="1273"/>
        <v>Lò</v>
      </c>
      <c r="CF396" s="509" t="str">
        <f t="shared" si="1268"/>
        <v>TN.Lò</v>
      </c>
      <c r="CG396" s="509"/>
      <c r="CH396" s="509"/>
    </row>
    <row r="397" spans="1:86" s="359" customFormat="1" ht="17.25" x14ac:dyDescent="0.3">
      <c r="A397" s="354" t="e">
        <f>A387</f>
        <v>#REF!</v>
      </c>
      <c r="B397" s="525" t="s">
        <v>37</v>
      </c>
      <c r="C397" s="526" t="s">
        <v>178</v>
      </c>
      <c r="D397" s="527"/>
      <c r="E397" s="527"/>
      <c r="F397" s="527"/>
      <c r="G397" s="528"/>
      <c r="H397" s="529"/>
      <c r="I397" s="70">
        <f>SUM(I398:I411)</f>
        <v>2867</v>
      </c>
      <c r="J397" s="70">
        <f t="shared" ref="J397:BH397" si="1278">SUM(J398:J411)</f>
        <v>1301</v>
      </c>
      <c r="K397" s="70">
        <f t="shared" si="1278"/>
        <v>1566</v>
      </c>
      <c r="L397" s="70">
        <f t="shared" si="1278"/>
        <v>5000</v>
      </c>
      <c r="M397" s="70">
        <f t="shared" si="1278"/>
        <v>146</v>
      </c>
      <c r="N397" s="70">
        <f t="shared" si="1278"/>
        <v>45</v>
      </c>
      <c r="O397" s="70">
        <f t="shared" si="1278"/>
        <v>101</v>
      </c>
      <c r="P397" s="70">
        <f t="shared" si="1278"/>
        <v>260</v>
      </c>
      <c r="Q397" s="70">
        <f t="shared" si="1278"/>
        <v>105</v>
      </c>
      <c r="R397" s="70">
        <f t="shared" si="1278"/>
        <v>155</v>
      </c>
      <c r="S397" s="827">
        <f t="shared" si="1278"/>
        <v>405</v>
      </c>
      <c r="T397" s="70">
        <f t="shared" si="1278"/>
        <v>210</v>
      </c>
      <c r="U397" s="70">
        <f t="shared" si="1278"/>
        <v>195</v>
      </c>
      <c r="V397" s="70">
        <f t="shared" si="1278"/>
        <v>811</v>
      </c>
      <c r="W397" s="70">
        <f t="shared" si="1278"/>
        <v>360</v>
      </c>
      <c r="X397" s="70">
        <f t="shared" si="1278"/>
        <v>451</v>
      </c>
      <c r="Y397" s="70">
        <f t="shared" si="1278"/>
        <v>410</v>
      </c>
      <c r="Z397" s="70">
        <f t="shared" si="1278"/>
        <v>210</v>
      </c>
      <c r="AA397" s="70">
        <f t="shared" si="1278"/>
        <v>200</v>
      </c>
      <c r="AB397" s="70">
        <f t="shared" si="1278"/>
        <v>405</v>
      </c>
      <c r="AC397" s="70">
        <f t="shared" si="1278"/>
        <v>206</v>
      </c>
      <c r="AD397" s="70">
        <f t="shared" si="1278"/>
        <v>199</v>
      </c>
      <c r="AE397" s="70">
        <f t="shared" si="1278"/>
        <v>325</v>
      </c>
      <c r="AF397" s="70">
        <f t="shared" si="1278"/>
        <v>165</v>
      </c>
      <c r="AG397" s="70">
        <f t="shared" si="1278"/>
        <v>160</v>
      </c>
      <c r="AH397" s="70">
        <f t="shared" si="1278"/>
        <v>1140</v>
      </c>
      <c r="AI397" s="70">
        <f t="shared" si="1278"/>
        <v>581</v>
      </c>
      <c r="AJ397" s="70">
        <f t="shared" si="1278"/>
        <v>559</v>
      </c>
      <c r="AK397" s="70">
        <f t="shared" si="1278"/>
        <v>285</v>
      </c>
      <c r="AL397" s="70">
        <f t="shared" si="1278"/>
        <v>110</v>
      </c>
      <c r="AM397" s="70">
        <f t="shared" si="1278"/>
        <v>175</v>
      </c>
      <c r="AN397" s="70">
        <f t="shared" si="1278"/>
        <v>205</v>
      </c>
      <c r="AO397" s="70">
        <f t="shared" si="1278"/>
        <v>55</v>
      </c>
      <c r="AP397" s="70">
        <f t="shared" si="1278"/>
        <v>150</v>
      </c>
      <c r="AQ397" s="70">
        <f t="shared" si="1278"/>
        <v>231</v>
      </c>
      <c r="AR397" s="70">
        <f t="shared" si="1278"/>
        <v>90</v>
      </c>
      <c r="AS397" s="70">
        <f t="shared" si="1278"/>
        <v>141</v>
      </c>
      <c r="AT397" s="70">
        <f t="shared" si="1278"/>
        <v>721</v>
      </c>
      <c r="AU397" s="70">
        <f t="shared" si="1278"/>
        <v>255</v>
      </c>
      <c r="AV397" s="70">
        <f t="shared" si="1278"/>
        <v>466</v>
      </c>
      <c r="AW397" s="70">
        <f t="shared" si="1278"/>
        <v>85</v>
      </c>
      <c r="AX397" s="70">
        <f t="shared" si="1278"/>
        <v>55</v>
      </c>
      <c r="AY397" s="70">
        <f t="shared" si="1278"/>
        <v>30</v>
      </c>
      <c r="AZ397" s="70">
        <f t="shared" si="1278"/>
        <v>65</v>
      </c>
      <c r="BA397" s="70">
        <f t="shared" si="1278"/>
        <v>35</v>
      </c>
      <c r="BB397" s="70">
        <f t="shared" si="1278"/>
        <v>30</v>
      </c>
      <c r="BC397" s="70">
        <f t="shared" si="1278"/>
        <v>45</v>
      </c>
      <c r="BD397" s="70">
        <f t="shared" si="1278"/>
        <v>15</v>
      </c>
      <c r="BE397" s="70">
        <f t="shared" si="1278"/>
        <v>30</v>
      </c>
      <c r="BF397" s="70">
        <f t="shared" si="1278"/>
        <v>195</v>
      </c>
      <c r="BG397" s="70">
        <f t="shared" si="1278"/>
        <v>105</v>
      </c>
      <c r="BH397" s="70">
        <f t="shared" si="1278"/>
        <v>90</v>
      </c>
      <c r="BI397" s="530"/>
      <c r="BJ397" s="488" t="str">
        <f t="shared" si="1272"/>
        <v>XL</v>
      </c>
      <c r="BK397" s="225">
        <f>SUM(BK398:BK412)</f>
        <v>300</v>
      </c>
      <c r="BL397" s="225">
        <f t="shared" ref="BL397:BZ397" si="1279">SUM(BL398:BL412)</f>
        <v>600</v>
      </c>
      <c r="BM397" s="225">
        <f t="shared" si="1279"/>
        <v>600</v>
      </c>
      <c r="BN397" s="225">
        <f t="shared" si="1279"/>
        <v>1500</v>
      </c>
      <c r="BO397" s="225">
        <f t="shared" si="1279"/>
        <v>600</v>
      </c>
      <c r="BP397" s="225">
        <f t="shared" si="1279"/>
        <v>700</v>
      </c>
      <c r="BQ397" s="225">
        <f t="shared" si="1279"/>
        <v>400</v>
      </c>
      <c r="BR397" s="225">
        <f t="shared" si="1279"/>
        <v>1800</v>
      </c>
      <c r="BS397" s="225">
        <f t="shared" si="1279"/>
        <v>700</v>
      </c>
      <c r="BT397" s="225">
        <f t="shared" si="1279"/>
        <v>600</v>
      </c>
      <c r="BU397" s="225">
        <f t="shared" si="1279"/>
        <v>500</v>
      </c>
      <c r="BV397" s="225">
        <f t="shared" si="1279"/>
        <v>1500</v>
      </c>
      <c r="BW397" s="225">
        <f t="shared" si="1279"/>
        <v>100</v>
      </c>
      <c r="BX397" s="225">
        <f t="shared" si="1279"/>
        <v>100</v>
      </c>
      <c r="BY397" s="225">
        <f t="shared" si="1279"/>
        <v>100</v>
      </c>
      <c r="BZ397" s="225">
        <f t="shared" si="1279"/>
        <v>200</v>
      </c>
      <c r="CA397" s="510"/>
      <c r="CB397" s="510" t="str">
        <f t="shared" si="1189"/>
        <v>X</v>
      </c>
      <c r="CC397" s="509" t="str">
        <f>CC387</f>
        <v>TN.</v>
      </c>
      <c r="CD397" s="509" t="str">
        <f t="shared" si="1190"/>
        <v>TN.</v>
      </c>
      <c r="CE397" s="351" t="str">
        <f t="shared" si="1273"/>
        <v>XL</v>
      </c>
      <c r="CF397" s="509" t="str">
        <f t="shared" si="957"/>
        <v>TN.XL</v>
      </c>
      <c r="CG397" s="509"/>
      <c r="CH397" s="509"/>
    </row>
    <row r="398" spans="1:86" ht="24.75" customHeight="1" x14ac:dyDescent="0.25">
      <c r="A398" s="354" t="e">
        <f t="shared" si="1060"/>
        <v>#REF!</v>
      </c>
      <c r="B398" s="484"/>
      <c r="C398" s="531" t="s">
        <v>785</v>
      </c>
      <c r="D398" s="447" t="s">
        <v>14</v>
      </c>
      <c r="E398" s="447"/>
      <c r="F398" s="447"/>
      <c r="G398" s="520">
        <v>16.100000000000001</v>
      </c>
      <c r="H398" s="521">
        <v>0.7</v>
      </c>
      <c r="I398" s="522">
        <f t="shared" ref="I398:K401" si="1280">V398+AH398+AT398+BF398</f>
        <v>455</v>
      </c>
      <c r="J398" s="522">
        <f t="shared" si="1280"/>
        <v>125</v>
      </c>
      <c r="K398" s="522">
        <f t="shared" si="1280"/>
        <v>330</v>
      </c>
      <c r="L398" s="57">
        <f t="shared" ref="L398:L411" si="1281">BN398+BR398+BV398+BZ398</f>
        <v>1200</v>
      </c>
      <c r="M398" s="60">
        <v>35</v>
      </c>
      <c r="N398" s="60">
        <v>15</v>
      </c>
      <c r="O398" s="60">
        <f t="shared" ref="O398:O411" si="1282">M398-N398</f>
        <v>20</v>
      </c>
      <c r="P398" s="60">
        <v>35</v>
      </c>
      <c r="Q398" s="60">
        <v>15</v>
      </c>
      <c r="R398" s="60">
        <f t="shared" ref="R398:R411" si="1283">P398-Q398</f>
        <v>20</v>
      </c>
      <c r="S398" s="824">
        <v>55</v>
      </c>
      <c r="T398" s="60">
        <v>20</v>
      </c>
      <c r="U398" s="60">
        <f t="shared" ref="U398:U411" si="1284">S398-T398</f>
        <v>35</v>
      </c>
      <c r="V398" s="60">
        <f t="shared" ref="V398:V411" si="1285">M398+P398+S398</f>
        <v>125</v>
      </c>
      <c r="W398" s="60">
        <f t="shared" ref="W398:W411" si="1286">N398+Q398+T398</f>
        <v>50</v>
      </c>
      <c r="X398" s="60">
        <f t="shared" ref="X398:X411" si="1287">V398-W398</f>
        <v>75</v>
      </c>
      <c r="Y398" s="60">
        <v>55</v>
      </c>
      <c r="Z398" s="60">
        <v>15</v>
      </c>
      <c r="AA398" s="60">
        <f t="shared" ref="AA398:AA411" si="1288">Y398-Z398</f>
        <v>40</v>
      </c>
      <c r="AB398" s="60">
        <v>55</v>
      </c>
      <c r="AC398" s="60">
        <v>15</v>
      </c>
      <c r="AD398" s="60">
        <f t="shared" ref="AD398:AD411" si="1289">AB398-AC398</f>
        <v>40</v>
      </c>
      <c r="AE398" s="60">
        <v>55</v>
      </c>
      <c r="AF398" s="60">
        <v>15</v>
      </c>
      <c r="AG398" s="60">
        <f t="shared" ref="AG398:AG411" si="1290">AE398-AF398</f>
        <v>40</v>
      </c>
      <c r="AH398" s="60">
        <f t="shared" ref="AH398:AH411" si="1291">Y398+AB398+AE398</f>
        <v>165</v>
      </c>
      <c r="AI398" s="60">
        <f t="shared" ref="AI398:AI411" si="1292">Z398+AC398+AF398</f>
        <v>45</v>
      </c>
      <c r="AJ398" s="60">
        <f t="shared" ref="AJ398:AJ411" si="1293">AA398+AD398+AG398</f>
        <v>120</v>
      </c>
      <c r="AK398" s="60">
        <v>55</v>
      </c>
      <c r="AL398" s="60">
        <v>10</v>
      </c>
      <c r="AM398" s="60">
        <f t="shared" ref="AM398:AM411" si="1294">AK398-AL398</f>
        <v>45</v>
      </c>
      <c r="AN398" s="60">
        <v>55</v>
      </c>
      <c r="AO398" s="60">
        <v>10</v>
      </c>
      <c r="AP398" s="60">
        <f t="shared" ref="AP398:AP411" si="1295">AN398-AO398</f>
        <v>45</v>
      </c>
      <c r="AQ398" s="60">
        <v>55</v>
      </c>
      <c r="AR398" s="60">
        <v>10</v>
      </c>
      <c r="AS398" s="60">
        <f t="shared" ref="AS398:AS411" si="1296">AQ398-AR398</f>
        <v>45</v>
      </c>
      <c r="AT398" s="60">
        <f t="shared" ref="AT398:AT411" si="1297">AK398+AN398+AQ398</f>
        <v>165</v>
      </c>
      <c r="AU398" s="60">
        <f t="shared" ref="AU398:AU411" si="1298">AL398+AO398+AR398</f>
        <v>30</v>
      </c>
      <c r="AV398" s="60">
        <f t="shared" ref="AV398:AV411" si="1299">AT398-AU398</f>
        <v>135</v>
      </c>
      <c r="AW398" s="60"/>
      <c r="AX398" s="60"/>
      <c r="AY398" s="60">
        <f t="shared" ref="AY398:AY411" si="1300">AW398-AX398</f>
        <v>0</v>
      </c>
      <c r="AZ398" s="60"/>
      <c r="BA398" s="60"/>
      <c r="BB398" s="60">
        <f t="shared" ref="BB398:BB411" si="1301">AZ398-BA398</f>
        <v>0</v>
      </c>
      <c r="BC398" s="60"/>
      <c r="BD398" s="60"/>
      <c r="BE398" s="60">
        <f t="shared" ref="BE398:BE411" si="1302">BC398-BD398</f>
        <v>0</v>
      </c>
      <c r="BF398" s="60">
        <f t="shared" ref="BF398:BF411" si="1303">AW398+AZ398+BC398</f>
        <v>0</v>
      </c>
      <c r="BG398" s="60">
        <f t="shared" ref="BG398:BG411" si="1304">AX398+BA398+BD398</f>
        <v>0</v>
      </c>
      <c r="BH398" s="60">
        <f t="shared" ref="BH398:BH411" si="1305">BF398-BG398</f>
        <v>0</v>
      </c>
      <c r="BI398" s="508"/>
      <c r="BJ398" s="488" t="str">
        <f t="shared" si="1272"/>
        <v>Xé</v>
      </c>
      <c r="BK398" s="523">
        <f t="shared" ref="BK398:BK411" si="1306">ROUND(O398*G398*$B$6,-2)</f>
        <v>100</v>
      </c>
      <c r="BL398" s="523">
        <f t="shared" ref="BL398:BL411" si="1307">ROUND(R398*G398*$B$6,-2)</f>
        <v>100</v>
      </c>
      <c r="BM398" s="523">
        <f t="shared" ref="BM398:BM411" si="1308">ROUND(U398*G398*$B$6,-2)</f>
        <v>100</v>
      </c>
      <c r="BN398" s="523">
        <f t="shared" ref="BN398:BN411" si="1309">ROUND(X398*G398*$B$6,-2)</f>
        <v>300</v>
      </c>
      <c r="BO398" s="523">
        <f t="shared" ref="BO398:BO411" si="1310">ROUND(AA398*G398*$B$6,-2)</f>
        <v>100</v>
      </c>
      <c r="BP398" s="523">
        <f t="shared" ref="BP398:BP411" si="1311">ROUND(AD398*G398*$B$6,-2)</f>
        <v>100</v>
      </c>
      <c r="BQ398" s="523">
        <f t="shared" ref="BQ398:BQ411" si="1312">ROUND(AG398*G398*$B$6,-2)</f>
        <v>100</v>
      </c>
      <c r="BR398" s="523">
        <f t="shared" ref="BR398:BR411" si="1313">ROUND(AJ398*G398*$B$6,-2)</f>
        <v>400</v>
      </c>
      <c r="BS398" s="523">
        <f t="shared" ref="BS398:BS411" si="1314">ROUND(AM398*G398*$B$6,-2)</f>
        <v>200</v>
      </c>
      <c r="BT398" s="523">
        <f t="shared" ref="BT398:BT411" si="1315">ROUND(AP398*G398*$B$6,-2)</f>
        <v>200</v>
      </c>
      <c r="BU398" s="523">
        <f t="shared" ref="BU398:BU411" si="1316">ROUND(AS398*G398*$B$6,-2)</f>
        <v>200</v>
      </c>
      <c r="BV398" s="523">
        <f t="shared" ref="BV398:BV411" si="1317">ROUND(AV398*G398*$B$6,-2)</f>
        <v>500</v>
      </c>
      <c r="BW398" s="523">
        <f t="shared" ref="BW398:BW411" si="1318">ROUND(AY398*G398*$B$6,-2)</f>
        <v>0</v>
      </c>
      <c r="BX398" s="523">
        <f t="shared" ref="BX398:BX411" si="1319">ROUND(BB398*G398*$B$6,-2)</f>
        <v>0</v>
      </c>
      <c r="BY398" s="523">
        <f t="shared" ref="BY398:BY411" si="1320">ROUND(BE398*G398*$B$6,-2)</f>
        <v>0</v>
      </c>
      <c r="BZ398" s="523">
        <f t="shared" ref="BZ398:BZ411" si="1321">ROUND(BH398*G398*$B$6,-2)</f>
        <v>0</v>
      </c>
      <c r="CA398" s="354"/>
      <c r="CB398" s="354" t="str">
        <f t="shared" si="1189"/>
        <v>X</v>
      </c>
      <c r="CC398" s="509" t="str">
        <f t="shared" si="956"/>
        <v>TN.</v>
      </c>
      <c r="CD398" s="509" t="str">
        <f t="shared" si="1190"/>
        <v>TN.16,1</v>
      </c>
      <c r="CE398" s="351" t="str">
        <f t="shared" si="1273"/>
        <v>Xé</v>
      </c>
      <c r="CF398" s="509" t="str">
        <f t="shared" si="957"/>
        <v>TN.Xé</v>
      </c>
      <c r="CG398" s="509"/>
      <c r="CH398" s="509"/>
    </row>
    <row r="399" spans="1:86" ht="24.75" customHeight="1" x14ac:dyDescent="0.25">
      <c r="A399" s="354" t="e">
        <f>A397</f>
        <v>#REF!</v>
      </c>
      <c r="B399" s="484"/>
      <c r="C399" s="531" t="s">
        <v>786</v>
      </c>
      <c r="D399" s="447" t="s">
        <v>14</v>
      </c>
      <c r="E399" s="447"/>
      <c r="F399" s="447"/>
      <c r="G399" s="520">
        <v>17.899999999999999</v>
      </c>
      <c r="H399" s="521">
        <v>0.5</v>
      </c>
      <c r="I399" s="522">
        <f t="shared" si="1280"/>
        <v>451</v>
      </c>
      <c r="J399" s="522">
        <f t="shared" si="1280"/>
        <v>150</v>
      </c>
      <c r="K399" s="522">
        <f t="shared" si="1280"/>
        <v>301</v>
      </c>
      <c r="L399" s="57">
        <f t="shared" si="1281"/>
        <v>1200</v>
      </c>
      <c r="M399" s="60">
        <v>35</v>
      </c>
      <c r="N399" s="60">
        <v>10</v>
      </c>
      <c r="O399" s="60">
        <f t="shared" si="1282"/>
        <v>25</v>
      </c>
      <c r="P399" s="60">
        <v>35</v>
      </c>
      <c r="Q399" s="60">
        <v>10</v>
      </c>
      <c r="R399" s="60">
        <f t="shared" si="1283"/>
        <v>25</v>
      </c>
      <c r="S399" s="824">
        <v>55</v>
      </c>
      <c r="T399" s="60">
        <v>20</v>
      </c>
      <c r="U399" s="60">
        <f t="shared" si="1284"/>
        <v>35</v>
      </c>
      <c r="V399" s="60">
        <f t="shared" si="1285"/>
        <v>125</v>
      </c>
      <c r="W399" s="60">
        <f t="shared" si="1286"/>
        <v>40</v>
      </c>
      <c r="X399" s="60">
        <f t="shared" si="1287"/>
        <v>85</v>
      </c>
      <c r="Y399" s="60">
        <v>55</v>
      </c>
      <c r="Z399" s="60">
        <v>25</v>
      </c>
      <c r="AA399" s="60">
        <f t="shared" si="1288"/>
        <v>30</v>
      </c>
      <c r="AB399" s="60">
        <v>55</v>
      </c>
      <c r="AC399" s="60">
        <v>20</v>
      </c>
      <c r="AD399" s="60">
        <f t="shared" si="1289"/>
        <v>35</v>
      </c>
      <c r="AE399" s="60">
        <v>55</v>
      </c>
      <c r="AF399" s="60">
        <v>20</v>
      </c>
      <c r="AG399" s="60">
        <f t="shared" si="1290"/>
        <v>35</v>
      </c>
      <c r="AH399" s="60">
        <f t="shared" si="1291"/>
        <v>165</v>
      </c>
      <c r="AI399" s="60">
        <f t="shared" si="1292"/>
        <v>65</v>
      </c>
      <c r="AJ399" s="60">
        <f t="shared" si="1293"/>
        <v>100</v>
      </c>
      <c r="AK399" s="60">
        <v>55</v>
      </c>
      <c r="AL399" s="60">
        <v>15</v>
      </c>
      <c r="AM399" s="60">
        <f t="shared" si="1294"/>
        <v>40</v>
      </c>
      <c r="AN399" s="60">
        <v>55</v>
      </c>
      <c r="AO399" s="60">
        <v>15</v>
      </c>
      <c r="AP399" s="60">
        <f t="shared" si="1295"/>
        <v>40</v>
      </c>
      <c r="AQ399" s="60">
        <v>51</v>
      </c>
      <c r="AR399" s="60">
        <v>15</v>
      </c>
      <c r="AS399" s="60">
        <f t="shared" si="1296"/>
        <v>36</v>
      </c>
      <c r="AT399" s="60">
        <f t="shared" si="1297"/>
        <v>161</v>
      </c>
      <c r="AU399" s="60">
        <f t="shared" si="1298"/>
        <v>45</v>
      </c>
      <c r="AV399" s="60">
        <f t="shared" si="1299"/>
        <v>116</v>
      </c>
      <c r="AW399" s="60"/>
      <c r="AX399" s="60"/>
      <c r="AY399" s="60">
        <f t="shared" si="1300"/>
        <v>0</v>
      </c>
      <c r="AZ399" s="60"/>
      <c r="BA399" s="60"/>
      <c r="BB399" s="60">
        <f t="shared" si="1301"/>
        <v>0</v>
      </c>
      <c r="BC399" s="60"/>
      <c r="BD399" s="60"/>
      <c r="BE399" s="60">
        <f t="shared" si="1302"/>
        <v>0</v>
      </c>
      <c r="BF399" s="60">
        <f t="shared" si="1303"/>
        <v>0</v>
      </c>
      <c r="BG399" s="60">
        <f t="shared" si="1304"/>
        <v>0</v>
      </c>
      <c r="BH399" s="60">
        <f t="shared" si="1305"/>
        <v>0</v>
      </c>
      <c r="BI399" s="508"/>
      <c r="BJ399" s="488" t="str">
        <f t="shared" si="1272"/>
        <v>Xé</v>
      </c>
      <c r="BK399" s="523">
        <f t="shared" si="1306"/>
        <v>100</v>
      </c>
      <c r="BL399" s="523">
        <f t="shared" si="1307"/>
        <v>100</v>
      </c>
      <c r="BM399" s="523">
        <f t="shared" si="1308"/>
        <v>100</v>
      </c>
      <c r="BN399" s="523">
        <f t="shared" si="1309"/>
        <v>300</v>
      </c>
      <c r="BO399" s="523">
        <f t="shared" si="1310"/>
        <v>100</v>
      </c>
      <c r="BP399" s="523">
        <f t="shared" si="1311"/>
        <v>100</v>
      </c>
      <c r="BQ399" s="523">
        <f t="shared" si="1312"/>
        <v>100</v>
      </c>
      <c r="BR399" s="523">
        <f t="shared" si="1313"/>
        <v>400</v>
      </c>
      <c r="BS399" s="523">
        <f t="shared" si="1314"/>
        <v>200</v>
      </c>
      <c r="BT399" s="523">
        <f t="shared" si="1315"/>
        <v>200</v>
      </c>
      <c r="BU399" s="523">
        <f t="shared" si="1316"/>
        <v>100</v>
      </c>
      <c r="BV399" s="523">
        <f t="shared" si="1317"/>
        <v>500</v>
      </c>
      <c r="BW399" s="523">
        <f t="shared" si="1318"/>
        <v>0</v>
      </c>
      <c r="BX399" s="523">
        <f t="shared" si="1319"/>
        <v>0</v>
      </c>
      <c r="BY399" s="523">
        <f t="shared" si="1320"/>
        <v>0</v>
      </c>
      <c r="BZ399" s="523">
        <f t="shared" si="1321"/>
        <v>0</v>
      </c>
      <c r="CA399" s="354"/>
      <c r="CB399" s="354" t="str">
        <f t="shared" si="1189"/>
        <v>X</v>
      </c>
      <c r="CC399" s="509" t="str">
        <f t="shared" si="956"/>
        <v>TN.</v>
      </c>
      <c r="CD399" s="509" t="str">
        <f t="shared" si="1190"/>
        <v>TN.17,9</v>
      </c>
      <c r="CE399" s="351" t="str">
        <f t="shared" si="1273"/>
        <v>Xé</v>
      </c>
      <c r="CF399" s="509" t="str">
        <f t="shared" si="957"/>
        <v>TN.Xé</v>
      </c>
      <c r="CG399" s="509"/>
      <c r="CH399" s="509"/>
    </row>
    <row r="400" spans="1:86" ht="24.75" customHeight="1" x14ac:dyDescent="0.25">
      <c r="A400" s="354" t="e">
        <f>A397</f>
        <v>#REF!</v>
      </c>
      <c r="B400" s="484" t="s">
        <v>435</v>
      </c>
      <c r="C400" s="531" t="s">
        <v>570</v>
      </c>
      <c r="D400" s="447" t="s">
        <v>14</v>
      </c>
      <c r="E400" s="447"/>
      <c r="F400" s="447"/>
      <c r="G400" s="520">
        <v>13.1</v>
      </c>
      <c r="H400" s="521">
        <v>0.7</v>
      </c>
      <c r="I400" s="522">
        <f t="shared" si="1280"/>
        <v>170</v>
      </c>
      <c r="J400" s="522">
        <f t="shared" si="1280"/>
        <v>65</v>
      </c>
      <c r="K400" s="522">
        <f t="shared" si="1280"/>
        <v>105</v>
      </c>
      <c r="L400" s="57">
        <f t="shared" si="1281"/>
        <v>300</v>
      </c>
      <c r="M400" s="60">
        <v>35</v>
      </c>
      <c r="N400" s="60">
        <v>10</v>
      </c>
      <c r="O400" s="60">
        <f t="shared" si="1282"/>
        <v>25</v>
      </c>
      <c r="P400" s="60">
        <v>25</v>
      </c>
      <c r="Q400" s="60">
        <v>15</v>
      </c>
      <c r="R400" s="60">
        <f t="shared" si="1283"/>
        <v>10</v>
      </c>
      <c r="S400" s="824">
        <v>35</v>
      </c>
      <c r="T400" s="60">
        <v>10</v>
      </c>
      <c r="U400" s="60">
        <f t="shared" si="1284"/>
        <v>25</v>
      </c>
      <c r="V400" s="60">
        <f t="shared" si="1285"/>
        <v>95</v>
      </c>
      <c r="W400" s="60">
        <f t="shared" si="1286"/>
        <v>35</v>
      </c>
      <c r="X400" s="60">
        <f t="shared" si="1287"/>
        <v>60</v>
      </c>
      <c r="Y400" s="60">
        <v>35</v>
      </c>
      <c r="Z400" s="60">
        <v>20</v>
      </c>
      <c r="AA400" s="60">
        <f t="shared" si="1288"/>
        <v>15</v>
      </c>
      <c r="AB400" s="60">
        <v>35</v>
      </c>
      <c r="AC400" s="60">
        <v>10</v>
      </c>
      <c r="AD400" s="60">
        <f t="shared" si="1289"/>
        <v>25</v>
      </c>
      <c r="AE400" s="60">
        <v>5</v>
      </c>
      <c r="AF400" s="60"/>
      <c r="AG400" s="60">
        <f t="shared" si="1290"/>
        <v>5</v>
      </c>
      <c r="AH400" s="60">
        <f t="shared" si="1291"/>
        <v>75</v>
      </c>
      <c r="AI400" s="60">
        <f t="shared" si="1292"/>
        <v>30</v>
      </c>
      <c r="AJ400" s="60">
        <f t="shared" si="1293"/>
        <v>45</v>
      </c>
      <c r="AK400" s="60"/>
      <c r="AL400" s="60"/>
      <c r="AM400" s="60">
        <f t="shared" si="1294"/>
        <v>0</v>
      </c>
      <c r="AN400" s="60"/>
      <c r="AO400" s="60"/>
      <c r="AP400" s="60">
        <f t="shared" si="1295"/>
        <v>0</v>
      </c>
      <c r="AQ400" s="60"/>
      <c r="AR400" s="60"/>
      <c r="AS400" s="60">
        <f t="shared" si="1296"/>
        <v>0</v>
      </c>
      <c r="AT400" s="60">
        <f t="shared" si="1297"/>
        <v>0</v>
      </c>
      <c r="AU400" s="60">
        <f t="shared" si="1298"/>
        <v>0</v>
      </c>
      <c r="AV400" s="60">
        <f t="shared" si="1299"/>
        <v>0</v>
      </c>
      <c r="AW400" s="60"/>
      <c r="AX400" s="60"/>
      <c r="AY400" s="60">
        <f t="shared" si="1300"/>
        <v>0</v>
      </c>
      <c r="AZ400" s="60"/>
      <c r="BA400" s="60"/>
      <c r="BB400" s="60">
        <f t="shared" si="1301"/>
        <v>0</v>
      </c>
      <c r="BC400" s="60"/>
      <c r="BD400" s="60"/>
      <c r="BE400" s="60">
        <f t="shared" si="1302"/>
        <v>0</v>
      </c>
      <c r="BF400" s="60">
        <f t="shared" si="1303"/>
        <v>0</v>
      </c>
      <c r="BG400" s="60">
        <f t="shared" si="1304"/>
        <v>0</v>
      </c>
      <c r="BH400" s="60">
        <f t="shared" si="1305"/>
        <v>0</v>
      </c>
      <c r="BI400" s="508"/>
      <c r="BJ400" s="488" t="str">
        <f t="shared" si="1272"/>
        <v>Xé</v>
      </c>
      <c r="BK400" s="523">
        <f t="shared" si="1306"/>
        <v>100</v>
      </c>
      <c r="BL400" s="523">
        <f t="shared" si="1307"/>
        <v>0</v>
      </c>
      <c r="BM400" s="523">
        <f t="shared" si="1308"/>
        <v>100</v>
      </c>
      <c r="BN400" s="523">
        <f t="shared" si="1309"/>
        <v>200</v>
      </c>
      <c r="BO400" s="523">
        <f t="shared" si="1310"/>
        <v>0</v>
      </c>
      <c r="BP400" s="523">
        <f t="shared" si="1311"/>
        <v>100</v>
      </c>
      <c r="BQ400" s="523">
        <f t="shared" si="1312"/>
        <v>0</v>
      </c>
      <c r="BR400" s="523">
        <f t="shared" si="1313"/>
        <v>100</v>
      </c>
      <c r="BS400" s="523">
        <f t="shared" si="1314"/>
        <v>0</v>
      </c>
      <c r="BT400" s="523">
        <f t="shared" si="1315"/>
        <v>0</v>
      </c>
      <c r="BU400" s="523">
        <f t="shared" si="1316"/>
        <v>0</v>
      </c>
      <c r="BV400" s="523">
        <f t="shared" si="1317"/>
        <v>0</v>
      </c>
      <c r="BW400" s="523">
        <f t="shared" si="1318"/>
        <v>0</v>
      </c>
      <c r="BX400" s="523">
        <f t="shared" si="1319"/>
        <v>0</v>
      </c>
      <c r="BY400" s="523">
        <f t="shared" si="1320"/>
        <v>0</v>
      </c>
      <c r="BZ400" s="523">
        <f t="shared" si="1321"/>
        <v>0</v>
      </c>
      <c r="CA400" s="354"/>
      <c r="CB400" s="354" t="str">
        <f t="shared" si="1189"/>
        <v>X</v>
      </c>
      <c r="CC400" s="509" t="str">
        <f>CC398</f>
        <v>TN.</v>
      </c>
      <c r="CD400" s="509" t="str">
        <f t="shared" si="1190"/>
        <v>TN.13,1</v>
      </c>
      <c r="CE400" s="351" t="str">
        <f t="shared" si="1273"/>
        <v>Xé</v>
      </c>
      <c r="CF400" s="509" t="str">
        <f>CC400&amp;CE400</f>
        <v>TN.Xé</v>
      </c>
      <c r="CG400" s="509"/>
      <c r="CH400" s="509"/>
    </row>
    <row r="401" spans="1:86" ht="24.75" customHeight="1" x14ac:dyDescent="0.25">
      <c r="A401" s="354" t="e">
        <f>A398</f>
        <v>#REF!</v>
      </c>
      <c r="B401" s="484"/>
      <c r="C401" s="531" t="s">
        <v>787</v>
      </c>
      <c r="D401" s="447" t="s">
        <v>14</v>
      </c>
      <c r="E401" s="447"/>
      <c r="F401" s="447"/>
      <c r="G401" s="520">
        <v>16.100000000000001</v>
      </c>
      <c r="H401" s="521">
        <v>0.7</v>
      </c>
      <c r="I401" s="522">
        <f t="shared" si="1280"/>
        <v>100</v>
      </c>
      <c r="J401" s="522">
        <f t="shared" si="1280"/>
        <v>100</v>
      </c>
      <c r="K401" s="522">
        <f t="shared" si="1280"/>
        <v>0</v>
      </c>
      <c r="L401" s="57">
        <f t="shared" si="1281"/>
        <v>0</v>
      </c>
      <c r="M401" s="60"/>
      <c r="N401" s="60"/>
      <c r="O401" s="60">
        <f t="shared" si="1282"/>
        <v>0</v>
      </c>
      <c r="P401" s="60"/>
      <c r="Q401" s="60"/>
      <c r="R401" s="60">
        <f t="shared" si="1283"/>
        <v>0</v>
      </c>
      <c r="S401" s="824"/>
      <c r="T401" s="60"/>
      <c r="U401" s="60">
        <f t="shared" si="1284"/>
        <v>0</v>
      </c>
      <c r="V401" s="60">
        <f t="shared" si="1285"/>
        <v>0</v>
      </c>
      <c r="W401" s="60">
        <f t="shared" si="1286"/>
        <v>0</v>
      </c>
      <c r="X401" s="60">
        <f t="shared" si="1287"/>
        <v>0</v>
      </c>
      <c r="Y401" s="60"/>
      <c r="Z401" s="60"/>
      <c r="AA401" s="60">
        <f t="shared" si="1288"/>
        <v>0</v>
      </c>
      <c r="AB401" s="60"/>
      <c r="AC401" s="60"/>
      <c r="AD401" s="60">
        <f t="shared" si="1289"/>
        <v>0</v>
      </c>
      <c r="AE401" s="60"/>
      <c r="AF401" s="60"/>
      <c r="AG401" s="60">
        <f t="shared" si="1290"/>
        <v>0</v>
      </c>
      <c r="AH401" s="60">
        <f t="shared" si="1291"/>
        <v>0</v>
      </c>
      <c r="AI401" s="60">
        <f t="shared" si="1292"/>
        <v>0</v>
      </c>
      <c r="AJ401" s="60">
        <f t="shared" si="1293"/>
        <v>0</v>
      </c>
      <c r="AK401" s="60"/>
      <c r="AL401" s="60"/>
      <c r="AM401" s="60">
        <f t="shared" si="1294"/>
        <v>0</v>
      </c>
      <c r="AN401" s="60"/>
      <c r="AO401" s="60"/>
      <c r="AP401" s="60">
        <f t="shared" si="1295"/>
        <v>0</v>
      </c>
      <c r="AQ401" s="60">
        <v>40</v>
      </c>
      <c r="AR401" s="60">
        <v>40</v>
      </c>
      <c r="AS401" s="60">
        <f t="shared" si="1296"/>
        <v>0</v>
      </c>
      <c r="AT401" s="60">
        <f t="shared" si="1297"/>
        <v>40</v>
      </c>
      <c r="AU401" s="60">
        <f t="shared" si="1298"/>
        <v>40</v>
      </c>
      <c r="AV401" s="60">
        <f t="shared" si="1299"/>
        <v>0</v>
      </c>
      <c r="AW401" s="60">
        <v>40</v>
      </c>
      <c r="AX401" s="60">
        <v>40</v>
      </c>
      <c r="AY401" s="60">
        <f t="shared" si="1300"/>
        <v>0</v>
      </c>
      <c r="AZ401" s="60">
        <v>20</v>
      </c>
      <c r="BA401" s="60">
        <v>20</v>
      </c>
      <c r="BB401" s="60">
        <f t="shared" si="1301"/>
        <v>0</v>
      </c>
      <c r="BC401" s="60"/>
      <c r="BD401" s="60"/>
      <c r="BE401" s="60">
        <f t="shared" si="1302"/>
        <v>0</v>
      </c>
      <c r="BF401" s="60">
        <f t="shared" si="1303"/>
        <v>60</v>
      </c>
      <c r="BG401" s="60">
        <f t="shared" si="1304"/>
        <v>60</v>
      </c>
      <c r="BH401" s="60">
        <f t="shared" si="1305"/>
        <v>0</v>
      </c>
      <c r="BI401" s="508"/>
      <c r="BJ401" s="488" t="str">
        <f t="shared" si="1272"/>
        <v>Xé</v>
      </c>
      <c r="BK401" s="523">
        <f t="shared" si="1306"/>
        <v>0</v>
      </c>
      <c r="BL401" s="523">
        <f t="shared" si="1307"/>
        <v>0</v>
      </c>
      <c r="BM401" s="523">
        <f t="shared" si="1308"/>
        <v>0</v>
      </c>
      <c r="BN401" s="523">
        <f t="shared" si="1309"/>
        <v>0</v>
      </c>
      <c r="BO401" s="523">
        <f t="shared" si="1310"/>
        <v>0</v>
      </c>
      <c r="BP401" s="523">
        <f t="shared" si="1311"/>
        <v>0</v>
      </c>
      <c r="BQ401" s="523">
        <f t="shared" si="1312"/>
        <v>0</v>
      </c>
      <c r="BR401" s="523">
        <f t="shared" si="1313"/>
        <v>0</v>
      </c>
      <c r="BS401" s="523">
        <f t="shared" si="1314"/>
        <v>0</v>
      </c>
      <c r="BT401" s="523">
        <f t="shared" si="1315"/>
        <v>0</v>
      </c>
      <c r="BU401" s="523">
        <f t="shared" si="1316"/>
        <v>0</v>
      </c>
      <c r="BV401" s="523">
        <f t="shared" si="1317"/>
        <v>0</v>
      </c>
      <c r="BW401" s="523">
        <f t="shared" si="1318"/>
        <v>0</v>
      </c>
      <c r="BX401" s="523">
        <f t="shared" si="1319"/>
        <v>0</v>
      </c>
      <c r="BY401" s="523">
        <f t="shared" si="1320"/>
        <v>0</v>
      </c>
      <c r="BZ401" s="523">
        <f t="shared" si="1321"/>
        <v>0</v>
      </c>
      <c r="CA401" s="354"/>
      <c r="CB401" s="354" t="str">
        <f t="shared" si="1189"/>
        <v>X</v>
      </c>
      <c r="CC401" s="509" t="str">
        <f>CC399</f>
        <v>TN.</v>
      </c>
      <c r="CD401" s="509" t="str">
        <f t="shared" si="1190"/>
        <v>TN.16,1</v>
      </c>
      <c r="CE401" s="351" t="str">
        <f t="shared" si="1273"/>
        <v>Xé</v>
      </c>
      <c r="CF401" s="509" t="str">
        <f t="shared" si="957"/>
        <v>TN.Xé</v>
      </c>
      <c r="CG401" s="509"/>
      <c r="CH401" s="509"/>
    </row>
    <row r="402" spans="1:86" ht="24.75" customHeight="1" x14ac:dyDescent="0.25">
      <c r="A402" s="354" t="e">
        <f t="shared" si="1060"/>
        <v>#REF!</v>
      </c>
      <c r="B402" s="484"/>
      <c r="C402" s="531" t="s">
        <v>788</v>
      </c>
      <c r="D402" s="447" t="s">
        <v>14</v>
      </c>
      <c r="E402" s="447"/>
      <c r="F402" s="447"/>
      <c r="G402" s="520">
        <v>16.100000000000001</v>
      </c>
      <c r="H402" s="521">
        <v>0.7</v>
      </c>
      <c r="I402" s="522">
        <f t="shared" ref="I402:I411" si="1322">V402+AH402+AT402+BF402</f>
        <v>130</v>
      </c>
      <c r="J402" s="522">
        <f t="shared" ref="J402:J411" si="1323">W402+AI402+AU402+BG402</f>
        <v>75</v>
      </c>
      <c r="K402" s="522">
        <f t="shared" ref="K402:K411" si="1324">X402+AJ402+AV402+BH402</f>
        <v>55</v>
      </c>
      <c r="L402" s="57">
        <f t="shared" si="1281"/>
        <v>200</v>
      </c>
      <c r="M402" s="60"/>
      <c r="N402" s="60"/>
      <c r="O402" s="60">
        <f t="shared" si="1282"/>
        <v>0</v>
      </c>
      <c r="P402" s="60">
        <v>30</v>
      </c>
      <c r="Q402" s="60">
        <v>5</v>
      </c>
      <c r="R402" s="60">
        <f t="shared" si="1283"/>
        <v>25</v>
      </c>
      <c r="S402" s="824">
        <v>40</v>
      </c>
      <c r="T402" s="60">
        <v>40</v>
      </c>
      <c r="U402" s="60">
        <f t="shared" si="1284"/>
        <v>0</v>
      </c>
      <c r="V402" s="60">
        <f t="shared" si="1285"/>
        <v>70</v>
      </c>
      <c r="W402" s="60">
        <f t="shared" si="1286"/>
        <v>45</v>
      </c>
      <c r="X402" s="60">
        <f t="shared" si="1287"/>
        <v>25</v>
      </c>
      <c r="Y402" s="60">
        <v>40</v>
      </c>
      <c r="Z402" s="60">
        <v>10</v>
      </c>
      <c r="AA402" s="60">
        <f t="shared" si="1288"/>
        <v>30</v>
      </c>
      <c r="AB402" s="60">
        <v>20</v>
      </c>
      <c r="AC402" s="60">
        <v>20</v>
      </c>
      <c r="AD402" s="60">
        <f t="shared" si="1289"/>
        <v>0</v>
      </c>
      <c r="AE402" s="60"/>
      <c r="AF402" s="60"/>
      <c r="AG402" s="60">
        <f t="shared" si="1290"/>
        <v>0</v>
      </c>
      <c r="AH402" s="60">
        <f t="shared" si="1291"/>
        <v>60</v>
      </c>
      <c r="AI402" s="60">
        <f t="shared" si="1292"/>
        <v>30</v>
      </c>
      <c r="AJ402" s="60">
        <f t="shared" si="1293"/>
        <v>30</v>
      </c>
      <c r="AK402" s="60"/>
      <c r="AL402" s="60"/>
      <c r="AM402" s="60">
        <f t="shared" si="1294"/>
        <v>0</v>
      </c>
      <c r="AN402" s="60"/>
      <c r="AO402" s="60"/>
      <c r="AP402" s="60">
        <f t="shared" si="1295"/>
        <v>0</v>
      </c>
      <c r="AQ402" s="60"/>
      <c r="AR402" s="60"/>
      <c r="AS402" s="60">
        <f t="shared" si="1296"/>
        <v>0</v>
      </c>
      <c r="AT402" s="60">
        <f t="shared" si="1297"/>
        <v>0</v>
      </c>
      <c r="AU402" s="60">
        <f t="shared" si="1298"/>
        <v>0</v>
      </c>
      <c r="AV402" s="60">
        <f t="shared" si="1299"/>
        <v>0</v>
      </c>
      <c r="AW402" s="60"/>
      <c r="AX402" s="60"/>
      <c r="AY402" s="60">
        <f t="shared" si="1300"/>
        <v>0</v>
      </c>
      <c r="AZ402" s="60"/>
      <c r="BA402" s="60"/>
      <c r="BB402" s="60">
        <f t="shared" si="1301"/>
        <v>0</v>
      </c>
      <c r="BC402" s="60"/>
      <c r="BD402" s="60"/>
      <c r="BE402" s="60">
        <f t="shared" si="1302"/>
        <v>0</v>
      </c>
      <c r="BF402" s="60">
        <f t="shared" si="1303"/>
        <v>0</v>
      </c>
      <c r="BG402" s="60">
        <f t="shared" si="1304"/>
        <v>0</v>
      </c>
      <c r="BH402" s="60">
        <f t="shared" si="1305"/>
        <v>0</v>
      </c>
      <c r="BI402" s="508"/>
      <c r="BJ402" s="488" t="str">
        <f t="shared" si="1272"/>
        <v>Xé</v>
      </c>
      <c r="BK402" s="523">
        <f t="shared" si="1306"/>
        <v>0</v>
      </c>
      <c r="BL402" s="523">
        <f t="shared" si="1307"/>
        <v>100</v>
      </c>
      <c r="BM402" s="523">
        <f t="shared" si="1308"/>
        <v>0</v>
      </c>
      <c r="BN402" s="523">
        <f t="shared" si="1309"/>
        <v>100</v>
      </c>
      <c r="BO402" s="523">
        <f t="shared" si="1310"/>
        <v>100</v>
      </c>
      <c r="BP402" s="523">
        <f t="shared" si="1311"/>
        <v>0</v>
      </c>
      <c r="BQ402" s="523">
        <f t="shared" si="1312"/>
        <v>0</v>
      </c>
      <c r="BR402" s="523">
        <f t="shared" si="1313"/>
        <v>100</v>
      </c>
      <c r="BS402" s="523">
        <f t="shared" si="1314"/>
        <v>0</v>
      </c>
      <c r="BT402" s="523">
        <f t="shared" si="1315"/>
        <v>0</v>
      </c>
      <c r="BU402" s="523">
        <f t="shared" si="1316"/>
        <v>0</v>
      </c>
      <c r="BV402" s="523">
        <f t="shared" si="1317"/>
        <v>0</v>
      </c>
      <c r="BW402" s="523">
        <f t="shared" si="1318"/>
        <v>0</v>
      </c>
      <c r="BX402" s="523">
        <f t="shared" si="1319"/>
        <v>0</v>
      </c>
      <c r="BY402" s="523">
        <f t="shared" si="1320"/>
        <v>0</v>
      </c>
      <c r="BZ402" s="523">
        <f t="shared" si="1321"/>
        <v>0</v>
      </c>
      <c r="CA402" s="354"/>
      <c r="CB402" s="354" t="str">
        <f t="shared" ref="CB402:CB411" si="1325">IF(SUM(I402:L402)&lt;&gt;0,"X")</f>
        <v>X</v>
      </c>
      <c r="CC402" s="509" t="str">
        <f t="shared" si="956"/>
        <v>TN.</v>
      </c>
      <c r="CD402" s="509" t="str">
        <f t="shared" si="1190"/>
        <v>TN.16,1</v>
      </c>
      <c r="CE402" s="351" t="str">
        <f t="shared" si="1273"/>
        <v>Xé</v>
      </c>
      <c r="CF402" s="509" t="str">
        <f t="shared" ref="CF402:CF411" si="1326">CC402&amp;CE402</f>
        <v>TN.Xé</v>
      </c>
      <c r="CG402" s="509"/>
      <c r="CH402" s="509"/>
    </row>
    <row r="403" spans="1:86" ht="24.75" customHeight="1" x14ac:dyDescent="0.25">
      <c r="A403" s="354" t="e">
        <f>A401</f>
        <v>#REF!</v>
      </c>
      <c r="B403" s="484"/>
      <c r="C403" s="531" t="s">
        <v>789</v>
      </c>
      <c r="D403" s="447" t="s">
        <v>14</v>
      </c>
      <c r="E403" s="447"/>
      <c r="F403" s="447"/>
      <c r="G403" s="520">
        <v>17.899999999999999</v>
      </c>
      <c r="H403" s="521">
        <v>0.5</v>
      </c>
      <c r="I403" s="522">
        <f t="shared" si="1322"/>
        <v>250</v>
      </c>
      <c r="J403" s="522">
        <f t="shared" si="1323"/>
        <v>250</v>
      </c>
      <c r="K403" s="522">
        <f t="shared" si="1324"/>
        <v>0</v>
      </c>
      <c r="L403" s="57">
        <f t="shared" si="1281"/>
        <v>0</v>
      </c>
      <c r="M403" s="60"/>
      <c r="N403" s="60"/>
      <c r="O403" s="60">
        <f t="shared" si="1282"/>
        <v>0</v>
      </c>
      <c r="P403" s="60">
        <v>30</v>
      </c>
      <c r="Q403" s="60">
        <v>30</v>
      </c>
      <c r="R403" s="60">
        <f t="shared" si="1283"/>
        <v>0</v>
      </c>
      <c r="S403" s="824">
        <v>40</v>
      </c>
      <c r="T403" s="60">
        <v>40</v>
      </c>
      <c r="U403" s="60">
        <f t="shared" si="1284"/>
        <v>0</v>
      </c>
      <c r="V403" s="60">
        <f t="shared" si="1285"/>
        <v>70</v>
      </c>
      <c r="W403" s="60">
        <f t="shared" si="1286"/>
        <v>70</v>
      </c>
      <c r="X403" s="60">
        <f t="shared" si="1287"/>
        <v>0</v>
      </c>
      <c r="Y403" s="60">
        <v>45</v>
      </c>
      <c r="Z403" s="60">
        <v>45</v>
      </c>
      <c r="AA403" s="60">
        <f t="shared" si="1288"/>
        <v>0</v>
      </c>
      <c r="AB403" s="60">
        <v>45</v>
      </c>
      <c r="AC403" s="60">
        <v>45</v>
      </c>
      <c r="AD403" s="60">
        <f t="shared" si="1289"/>
        <v>0</v>
      </c>
      <c r="AE403" s="60">
        <v>45</v>
      </c>
      <c r="AF403" s="60">
        <v>45</v>
      </c>
      <c r="AG403" s="60">
        <f t="shared" si="1290"/>
        <v>0</v>
      </c>
      <c r="AH403" s="60">
        <f t="shared" si="1291"/>
        <v>135</v>
      </c>
      <c r="AI403" s="60">
        <f t="shared" si="1292"/>
        <v>135</v>
      </c>
      <c r="AJ403" s="60">
        <f t="shared" si="1293"/>
        <v>0</v>
      </c>
      <c r="AK403" s="60">
        <v>45</v>
      </c>
      <c r="AL403" s="60">
        <v>45</v>
      </c>
      <c r="AM403" s="60">
        <f t="shared" si="1294"/>
        <v>0</v>
      </c>
      <c r="AN403" s="60"/>
      <c r="AO403" s="60"/>
      <c r="AP403" s="60">
        <f t="shared" si="1295"/>
        <v>0</v>
      </c>
      <c r="AQ403" s="60"/>
      <c r="AR403" s="60"/>
      <c r="AS403" s="60">
        <f t="shared" si="1296"/>
        <v>0</v>
      </c>
      <c r="AT403" s="60">
        <f t="shared" si="1297"/>
        <v>45</v>
      </c>
      <c r="AU403" s="60">
        <f t="shared" si="1298"/>
        <v>45</v>
      </c>
      <c r="AV403" s="60">
        <f t="shared" si="1299"/>
        <v>0</v>
      </c>
      <c r="AW403" s="60"/>
      <c r="AX403" s="60"/>
      <c r="AY403" s="60">
        <f t="shared" si="1300"/>
        <v>0</v>
      </c>
      <c r="AZ403" s="60"/>
      <c r="BA403" s="60"/>
      <c r="BB403" s="60">
        <f t="shared" si="1301"/>
        <v>0</v>
      </c>
      <c r="BC403" s="60"/>
      <c r="BD403" s="60"/>
      <c r="BE403" s="60">
        <f t="shared" si="1302"/>
        <v>0</v>
      </c>
      <c r="BF403" s="60">
        <f t="shared" si="1303"/>
        <v>0</v>
      </c>
      <c r="BG403" s="60">
        <f t="shared" si="1304"/>
        <v>0</v>
      </c>
      <c r="BH403" s="60">
        <f t="shared" si="1305"/>
        <v>0</v>
      </c>
      <c r="BI403" s="508"/>
      <c r="BJ403" s="488" t="str">
        <f t="shared" si="1272"/>
        <v>Xé</v>
      </c>
      <c r="BK403" s="523">
        <f t="shared" si="1306"/>
        <v>0</v>
      </c>
      <c r="BL403" s="523">
        <f t="shared" si="1307"/>
        <v>0</v>
      </c>
      <c r="BM403" s="523">
        <f t="shared" si="1308"/>
        <v>0</v>
      </c>
      <c r="BN403" s="523">
        <f t="shared" si="1309"/>
        <v>0</v>
      </c>
      <c r="BO403" s="523">
        <f t="shared" si="1310"/>
        <v>0</v>
      </c>
      <c r="BP403" s="523">
        <f t="shared" si="1311"/>
        <v>0</v>
      </c>
      <c r="BQ403" s="523">
        <f t="shared" si="1312"/>
        <v>0</v>
      </c>
      <c r="BR403" s="523">
        <f t="shared" si="1313"/>
        <v>0</v>
      </c>
      <c r="BS403" s="523">
        <f t="shared" si="1314"/>
        <v>0</v>
      </c>
      <c r="BT403" s="523">
        <f t="shared" si="1315"/>
        <v>0</v>
      </c>
      <c r="BU403" s="523">
        <f t="shared" si="1316"/>
        <v>0</v>
      </c>
      <c r="BV403" s="523">
        <f t="shared" si="1317"/>
        <v>0</v>
      </c>
      <c r="BW403" s="523">
        <f t="shared" si="1318"/>
        <v>0</v>
      </c>
      <c r="BX403" s="523">
        <f t="shared" si="1319"/>
        <v>0</v>
      </c>
      <c r="BY403" s="523">
        <f t="shared" si="1320"/>
        <v>0</v>
      </c>
      <c r="BZ403" s="523">
        <f t="shared" si="1321"/>
        <v>0</v>
      </c>
      <c r="CA403" s="354"/>
      <c r="CB403" s="354" t="str">
        <f t="shared" si="1325"/>
        <v>X</v>
      </c>
      <c r="CC403" s="509" t="str">
        <f t="shared" si="956"/>
        <v>TN.</v>
      </c>
      <c r="CD403" s="509" t="str">
        <f t="shared" si="1190"/>
        <v>TN.17,9</v>
      </c>
      <c r="CE403" s="351" t="str">
        <f t="shared" si="1273"/>
        <v>Xé</v>
      </c>
      <c r="CF403" s="509" t="str">
        <f t="shared" si="1326"/>
        <v>TN.Xé</v>
      </c>
      <c r="CG403" s="509"/>
      <c r="CH403" s="509"/>
    </row>
    <row r="404" spans="1:86" ht="24.75" customHeight="1" x14ac:dyDescent="0.25">
      <c r="A404" s="354" t="e">
        <f>A401</f>
        <v>#REF!</v>
      </c>
      <c r="B404" s="484" t="s">
        <v>435</v>
      </c>
      <c r="C404" s="531" t="s">
        <v>790</v>
      </c>
      <c r="D404" s="447" t="s">
        <v>14</v>
      </c>
      <c r="E404" s="447"/>
      <c r="F404" s="447"/>
      <c r="G404" s="520">
        <v>16.100000000000001</v>
      </c>
      <c r="H404" s="521">
        <v>0.7</v>
      </c>
      <c r="I404" s="522">
        <f t="shared" si="1322"/>
        <v>150</v>
      </c>
      <c r="J404" s="522">
        <f t="shared" si="1323"/>
        <v>150</v>
      </c>
      <c r="K404" s="522">
        <f t="shared" si="1324"/>
        <v>0</v>
      </c>
      <c r="L404" s="57">
        <f t="shared" si="1281"/>
        <v>0</v>
      </c>
      <c r="M404" s="60"/>
      <c r="N404" s="60"/>
      <c r="O404" s="60">
        <f t="shared" si="1282"/>
        <v>0</v>
      </c>
      <c r="P404" s="60"/>
      <c r="Q404" s="60"/>
      <c r="R404" s="60">
        <f t="shared" si="1283"/>
        <v>0</v>
      </c>
      <c r="S404" s="824">
        <v>45</v>
      </c>
      <c r="T404" s="60">
        <v>45</v>
      </c>
      <c r="U404" s="60">
        <f t="shared" si="1284"/>
        <v>0</v>
      </c>
      <c r="V404" s="60">
        <f t="shared" si="1285"/>
        <v>45</v>
      </c>
      <c r="W404" s="60">
        <f t="shared" si="1286"/>
        <v>45</v>
      </c>
      <c r="X404" s="60">
        <f t="shared" si="1287"/>
        <v>0</v>
      </c>
      <c r="Y404" s="60">
        <v>45</v>
      </c>
      <c r="Z404" s="60">
        <v>45</v>
      </c>
      <c r="AA404" s="60">
        <f t="shared" si="1288"/>
        <v>0</v>
      </c>
      <c r="AB404" s="60">
        <v>45</v>
      </c>
      <c r="AC404" s="60">
        <v>45</v>
      </c>
      <c r="AD404" s="60">
        <f t="shared" si="1289"/>
        <v>0</v>
      </c>
      <c r="AE404" s="60">
        <v>15</v>
      </c>
      <c r="AF404" s="60">
        <v>15</v>
      </c>
      <c r="AG404" s="60">
        <f t="shared" si="1290"/>
        <v>0</v>
      </c>
      <c r="AH404" s="60">
        <f t="shared" si="1291"/>
        <v>105</v>
      </c>
      <c r="AI404" s="60">
        <f t="shared" si="1292"/>
        <v>105</v>
      </c>
      <c r="AJ404" s="60">
        <f t="shared" si="1293"/>
        <v>0</v>
      </c>
      <c r="AK404" s="60"/>
      <c r="AL404" s="60"/>
      <c r="AM404" s="60">
        <f t="shared" si="1294"/>
        <v>0</v>
      </c>
      <c r="AN404" s="60"/>
      <c r="AO404" s="60"/>
      <c r="AP404" s="60">
        <f t="shared" si="1295"/>
        <v>0</v>
      </c>
      <c r="AQ404" s="60"/>
      <c r="AR404" s="60"/>
      <c r="AS404" s="60">
        <f t="shared" si="1296"/>
        <v>0</v>
      </c>
      <c r="AT404" s="60">
        <f t="shared" si="1297"/>
        <v>0</v>
      </c>
      <c r="AU404" s="60">
        <f t="shared" si="1298"/>
        <v>0</v>
      </c>
      <c r="AV404" s="60">
        <f t="shared" si="1299"/>
        <v>0</v>
      </c>
      <c r="AW404" s="60"/>
      <c r="AX404" s="60"/>
      <c r="AY404" s="60">
        <f t="shared" si="1300"/>
        <v>0</v>
      </c>
      <c r="AZ404" s="60"/>
      <c r="BA404" s="60"/>
      <c r="BB404" s="60">
        <f t="shared" si="1301"/>
        <v>0</v>
      </c>
      <c r="BC404" s="60"/>
      <c r="BD404" s="60"/>
      <c r="BE404" s="60">
        <f t="shared" si="1302"/>
        <v>0</v>
      </c>
      <c r="BF404" s="60">
        <f t="shared" si="1303"/>
        <v>0</v>
      </c>
      <c r="BG404" s="60">
        <f t="shared" si="1304"/>
        <v>0</v>
      </c>
      <c r="BH404" s="60">
        <f t="shared" si="1305"/>
        <v>0</v>
      </c>
      <c r="BI404" s="508"/>
      <c r="BJ404" s="488" t="str">
        <f t="shared" si="1272"/>
        <v>Xé</v>
      </c>
      <c r="BK404" s="523">
        <f t="shared" si="1306"/>
        <v>0</v>
      </c>
      <c r="BL404" s="523">
        <f t="shared" si="1307"/>
        <v>0</v>
      </c>
      <c r="BM404" s="523">
        <f t="shared" si="1308"/>
        <v>0</v>
      </c>
      <c r="BN404" s="523">
        <f t="shared" si="1309"/>
        <v>0</v>
      </c>
      <c r="BO404" s="523">
        <f t="shared" si="1310"/>
        <v>0</v>
      </c>
      <c r="BP404" s="523">
        <f t="shared" si="1311"/>
        <v>0</v>
      </c>
      <c r="BQ404" s="523">
        <f t="shared" si="1312"/>
        <v>0</v>
      </c>
      <c r="BR404" s="523">
        <f t="shared" si="1313"/>
        <v>0</v>
      </c>
      <c r="BS404" s="523">
        <f t="shared" si="1314"/>
        <v>0</v>
      </c>
      <c r="BT404" s="523">
        <f t="shared" si="1315"/>
        <v>0</v>
      </c>
      <c r="BU404" s="523">
        <f t="shared" si="1316"/>
        <v>0</v>
      </c>
      <c r="BV404" s="523">
        <f t="shared" si="1317"/>
        <v>0</v>
      </c>
      <c r="BW404" s="523">
        <f t="shared" si="1318"/>
        <v>0</v>
      </c>
      <c r="BX404" s="523">
        <f t="shared" si="1319"/>
        <v>0</v>
      </c>
      <c r="BY404" s="523">
        <f t="shared" si="1320"/>
        <v>0</v>
      </c>
      <c r="BZ404" s="523">
        <f t="shared" si="1321"/>
        <v>0</v>
      </c>
      <c r="CA404" s="354"/>
      <c r="CB404" s="354" t="str">
        <f t="shared" si="1325"/>
        <v>X</v>
      </c>
      <c r="CC404" s="509" t="str">
        <f>CC402</f>
        <v>TN.</v>
      </c>
      <c r="CD404" s="509" t="str">
        <f t="shared" si="1190"/>
        <v>TN.16,1</v>
      </c>
      <c r="CE404" s="351" t="str">
        <f t="shared" si="1273"/>
        <v>Xé</v>
      </c>
      <c r="CF404" s="509" t="str">
        <f t="shared" si="1326"/>
        <v>TN.Xé</v>
      </c>
      <c r="CG404" s="509"/>
      <c r="CH404" s="509"/>
    </row>
    <row r="405" spans="1:86" ht="24.75" customHeight="1" x14ac:dyDescent="0.25">
      <c r="A405" s="354" t="e">
        <f>A402</f>
        <v>#REF!</v>
      </c>
      <c r="B405" s="484"/>
      <c r="C405" s="531" t="s">
        <v>573</v>
      </c>
      <c r="D405" s="447" t="s">
        <v>14</v>
      </c>
      <c r="E405" s="447"/>
      <c r="F405" s="447"/>
      <c r="G405" s="520">
        <v>11.2</v>
      </c>
      <c r="H405" s="521">
        <v>0.7</v>
      </c>
      <c r="I405" s="522">
        <f t="shared" si="1322"/>
        <v>230</v>
      </c>
      <c r="J405" s="522">
        <f t="shared" si="1323"/>
        <v>65</v>
      </c>
      <c r="K405" s="522">
        <f t="shared" si="1324"/>
        <v>165</v>
      </c>
      <c r="L405" s="57">
        <f t="shared" si="1281"/>
        <v>400</v>
      </c>
      <c r="M405" s="60">
        <v>30</v>
      </c>
      <c r="N405" s="60">
        <v>10</v>
      </c>
      <c r="O405" s="60">
        <f t="shared" si="1282"/>
        <v>20</v>
      </c>
      <c r="P405" s="60">
        <v>45</v>
      </c>
      <c r="Q405" s="60">
        <v>15</v>
      </c>
      <c r="R405" s="60">
        <f t="shared" si="1283"/>
        <v>30</v>
      </c>
      <c r="S405" s="824">
        <v>45</v>
      </c>
      <c r="T405" s="60">
        <v>10</v>
      </c>
      <c r="U405" s="60">
        <f t="shared" si="1284"/>
        <v>35</v>
      </c>
      <c r="V405" s="60">
        <f t="shared" si="1285"/>
        <v>120</v>
      </c>
      <c r="W405" s="60">
        <f t="shared" si="1286"/>
        <v>35</v>
      </c>
      <c r="X405" s="60">
        <f t="shared" si="1287"/>
        <v>85</v>
      </c>
      <c r="Y405" s="60">
        <v>45</v>
      </c>
      <c r="Z405" s="60">
        <v>15</v>
      </c>
      <c r="AA405" s="60">
        <f t="shared" si="1288"/>
        <v>30</v>
      </c>
      <c r="AB405" s="60">
        <v>45</v>
      </c>
      <c r="AC405" s="60">
        <v>10</v>
      </c>
      <c r="AD405" s="60">
        <f t="shared" si="1289"/>
        <v>35</v>
      </c>
      <c r="AE405" s="60">
        <v>20</v>
      </c>
      <c r="AF405" s="60">
        <v>5</v>
      </c>
      <c r="AG405" s="60">
        <f t="shared" si="1290"/>
        <v>15</v>
      </c>
      <c r="AH405" s="60">
        <f t="shared" si="1291"/>
        <v>110</v>
      </c>
      <c r="AI405" s="60">
        <f t="shared" si="1292"/>
        <v>30</v>
      </c>
      <c r="AJ405" s="60">
        <f t="shared" si="1293"/>
        <v>80</v>
      </c>
      <c r="AK405" s="60"/>
      <c r="AL405" s="60"/>
      <c r="AM405" s="60">
        <f t="shared" si="1294"/>
        <v>0</v>
      </c>
      <c r="AN405" s="60"/>
      <c r="AO405" s="60"/>
      <c r="AP405" s="60">
        <f t="shared" si="1295"/>
        <v>0</v>
      </c>
      <c r="AQ405" s="60"/>
      <c r="AR405" s="60"/>
      <c r="AS405" s="60">
        <f t="shared" si="1296"/>
        <v>0</v>
      </c>
      <c r="AT405" s="60">
        <f t="shared" si="1297"/>
        <v>0</v>
      </c>
      <c r="AU405" s="60">
        <f t="shared" si="1298"/>
        <v>0</v>
      </c>
      <c r="AV405" s="60">
        <f t="shared" si="1299"/>
        <v>0</v>
      </c>
      <c r="AW405" s="60"/>
      <c r="AX405" s="60"/>
      <c r="AY405" s="60">
        <f t="shared" si="1300"/>
        <v>0</v>
      </c>
      <c r="AZ405" s="60"/>
      <c r="BA405" s="60"/>
      <c r="BB405" s="60">
        <f t="shared" si="1301"/>
        <v>0</v>
      </c>
      <c r="BC405" s="60"/>
      <c r="BD405" s="60"/>
      <c r="BE405" s="60">
        <f t="shared" si="1302"/>
        <v>0</v>
      </c>
      <c r="BF405" s="60">
        <f t="shared" si="1303"/>
        <v>0</v>
      </c>
      <c r="BG405" s="60">
        <f t="shared" si="1304"/>
        <v>0</v>
      </c>
      <c r="BH405" s="60">
        <f t="shared" si="1305"/>
        <v>0</v>
      </c>
      <c r="BI405" s="508"/>
      <c r="BJ405" s="488" t="str">
        <f t="shared" si="1272"/>
        <v>Xé</v>
      </c>
      <c r="BK405" s="523">
        <f t="shared" si="1306"/>
        <v>0</v>
      </c>
      <c r="BL405" s="523">
        <f t="shared" si="1307"/>
        <v>100</v>
      </c>
      <c r="BM405" s="523">
        <f t="shared" si="1308"/>
        <v>100</v>
      </c>
      <c r="BN405" s="523">
        <f t="shared" si="1309"/>
        <v>200</v>
      </c>
      <c r="BO405" s="523">
        <f t="shared" si="1310"/>
        <v>100</v>
      </c>
      <c r="BP405" s="523">
        <f t="shared" si="1311"/>
        <v>100</v>
      </c>
      <c r="BQ405" s="523">
        <f t="shared" si="1312"/>
        <v>0</v>
      </c>
      <c r="BR405" s="523">
        <f t="shared" si="1313"/>
        <v>200</v>
      </c>
      <c r="BS405" s="523">
        <f t="shared" si="1314"/>
        <v>0</v>
      </c>
      <c r="BT405" s="523">
        <f t="shared" si="1315"/>
        <v>0</v>
      </c>
      <c r="BU405" s="523">
        <f t="shared" si="1316"/>
        <v>0</v>
      </c>
      <c r="BV405" s="523">
        <f t="shared" si="1317"/>
        <v>0</v>
      </c>
      <c r="BW405" s="523">
        <f t="shared" si="1318"/>
        <v>0</v>
      </c>
      <c r="BX405" s="523">
        <f t="shared" si="1319"/>
        <v>0</v>
      </c>
      <c r="BY405" s="523">
        <f t="shared" si="1320"/>
        <v>0</v>
      </c>
      <c r="BZ405" s="523">
        <f t="shared" si="1321"/>
        <v>0</v>
      </c>
      <c r="CA405" s="354"/>
      <c r="CB405" s="354" t="str">
        <f t="shared" si="1325"/>
        <v>X</v>
      </c>
      <c r="CC405" s="509" t="str">
        <f>CC403</f>
        <v>TN.</v>
      </c>
      <c r="CD405" s="509" t="str">
        <f t="shared" si="1190"/>
        <v>TN.11,2</v>
      </c>
      <c r="CE405" s="351" t="str">
        <f t="shared" si="1273"/>
        <v>Xé</v>
      </c>
      <c r="CF405" s="509" t="str">
        <f t="shared" si="1326"/>
        <v>TN.Xé</v>
      </c>
      <c r="CG405" s="509"/>
      <c r="CH405" s="509"/>
    </row>
    <row r="406" spans="1:86" ht="24.75" customHeight="1" x14ac:dyDescent="0.25">
      <c r="A406" s="354" t="e">
        <f>A403</f>
        <v>#REF!</v>
      </c>
      <c r="B406" s="484"/>
      <c r="C406" s="531" t="s">
        <v>791</v>
      </c>
      <c r="D406" s="447" t="s">
        <v>14</v>
      </c>
      <c r="E406" s="447"/>
      <c r="F406" s="447"/>
      <c r="G406" s="520">
        <v>11.2</v>
      </c>
      <c r="H406" s="521">
        <v>0.7</v>
      </c>
      <c r="I406" s="522">
        <f t="shared" si="1322"/>
        <v>360</v>
      </c>
      <c r="J406" s="522">
        <f t="shared" si="1323"/>
        <v>120</v>
      </c>
      <c r="K406" s="522">
        <f t="shared" si="1324"/>
        <v>240</v>
      </c>
      <c r="L406" s="57">
        <f t="shared" si="1281"/>
        <v>500</v>
      </c>
      <c r="M406" s="60"/>
      <c r="N406" s="60"/>
      <c r="O406" s="60">
        <f t="shared" si="1282"/>
        <v>0</v>
      </c>
      <c r="P406" s="60"/>
      <c r="Q406" s="60"/>
      <c r="R406" s="60">
        <f t="shared" si="1283"/>
        <v>0</v>
      </c>
      <c r="S406" s="824"/>
      <c r="T406" s="60"/>
      <c r="U406" s="60">
        <f t="shared" si="1284"/>
        <v>0</v>
      </c>
      <c r="V406" s="60">
        <f t="shared" si="1285"/>
        <v>0</v>
      </c>
      <c r="W406" s="60">
        <f t="shared" si="1286"/>
        <v>0</v>
      </c>
      <c r="X406" s="60">
        <f t="shared" si="1287"/>
        <v>0</v>
      </c>
      <c r="Y406" s="60"/>
      <c r="Z406" s="60"/>
      <c r="AA406" s="60">
        <f t="shared" si="1288"/>
        <v>0</v>
      </c>
      <c r="AB406" s="60">
        <v>45</v>
      </c>
      <c r="AC406" s="60">
        <v>15</v>
      </c>
      <c r="AD406" s="60">
        <f t="shared" si="1289"/>
        <v>30</v>
      </c>
      <c r="AE406" s="60">
        <v>45</v>
      </c>
      <c r="AF406" s="60">
        <v>15</v>
      </c>
      <c r="AG406" s="60">
        <f t="shared" si="1290"/>
        <v>30</v>
      </c>
      <c r="AH406" s="60">
        <f t="shared" si="1291"/>
        <v>90</v>
      </c>
      <c r="AI406" s="60">
        <f t="shared" si="1292"/>
        <v>30</v>
      </c>
      <c r="AJ406" s="60">
        <f t="shared" si="1293"/>
        <v>60</v>
      </c>
      <c r="AK406" s="60">
        <v>45</v>
      </c>
      <c r="AL406" s="60">
        <v>15</v>
      </c>
      <c r="AM406" s="60">
        <f t="shared" si="1294"/>
        <v>30</v>
      </c>
      <c r="AN406" s="60">
        <v>45</v>
      </c>
      <c r="AO406" s="60">
        <v>15</v>
      </c>
      <c r="AP406" s="60">
        <f t="shared" si="1295"/>
        <v>30</v>
      </c>
      <c r="AQ406" s="60">
        <v>45</v>
      </c>
      <c r="AR406" s="60">
        <v>15</v>
      </c>
      <c r="AS406" s="60">
        <f t="shared" si="1296"/>
        <v>30</v>
      </c>
      <c r="AT406" s="60">
        <f t="shared" si="1297"/>
        <v>135</v>
      </c>
      <c r="AU406" s="60">
        <f t="shared" si="1298"/>
        <v>45</v>
      </c>
      <c r="AV406" s="60">
        <f t="shared" si="1299"/>
        <v>90</v>
      </c>
      <c r="AW406" s="60">
        <v>45</v>
      </c>
      <c r="AX406" s="60">
        <v>15</v>
      </c>
      <c r="AY406" s="60">
        <f t="shared" si="1300"/>
        <v>30</v>
      </c>
      <c r="AZ406" s="60">
        <v>45</v>
      </c>
      <c r="BA406" s="60">
        <v>15</v>
      </c>
      <c r="BB406" s="60">
        <f t="shared" si="1301"/>
        <v>30</v>
      </c>
      <c r="BC406" s="60">
        <v>45</v>
      </c>
      <c r="BD406" s="60">
        <v>15</v>
      </c>
      <c r="BE406" s="60">
        <f t="shared" si="1302"/>
        <v>30</v>
      </c>
      <c r="BF406" s="60">
        <f t="shared" si="1303"/>
        <v>135</v>
      </c>
      <c r="BG406" s="60">
        <f t="shared" si="1304"/>
        <v>45</v>
      </c>
      <c r="BH406" s="60">
        <f t="shared" si="1305"/>
        <v>90</v>
      </c>
      <c r="BI406" s="508"/>
      <c r="BJ406" s="488" t="str">
        <f t="shared" si="1272"/>
        <v>Xé</v>
      </c>
      <c r="BK406" s="523">
        <f t="shared" si="1306"/>
        <v>0</v>
      </c>
      <c r="BL406" s="523">
        <f t="shared" si="1307"/>
        <v>0</v>
      </c>
      <c r="BM406" s="523">
        <f t="shared" si="1308"/>
        <v>0</v>
      </c>
      <c r="BN406" s="523">
        <f t="shared" si="1309"/>
        <v>0</v>
      </c>
      <c r="BO406" s="523">
        <f t="shared" si="1310"/>
        <v>0</v>
      </c>
      <c r="BP406" s="523">
        <f t="shared" si="1311"/>
        <v>100</v>
      </c>
      <c r="BQ406" s="523">
        <f t="shared" si="1312"/>
        <v>100</v>
      </c>
      <c r="BR406" s="523">
        <f t="shared" si="1313"/>
        <v>100</v>
      </c>
      <c r="BS406" s="523">
        <f t="shared" si="1314"/>
        <v>100</v>
      </c>
      <c r="BT406" s="523">
        <f t="shared" si="1315"/>
        <v>100</v>
      </c>
      <c r="BU406" s="523">
        <f t="shared" si="1316"/>
        <v>100</v>
      </c>
      <c r="BV406" s="523">
        <f t="shared" si="1317"/>
        <v>200</v>
      </c>
      <c r="BW406" s="523">
        <f t="shared" si="1318"/>
        <v>100</v>
      </c>
      <c r="BX406" s="523">
        <f t="shared" si="1319"/>
        <v>100</v>
      </c>
      <c r="BY406" s="523">
        <f t="shared" si="1320"/>
        <v>100</v>
      </c>
      <c r="BZ406" s="523">
        <f t="shared" si="1321"/>
        <v>200</v>
      </c>
      <c r="CA406" s="354"/>
      <c r="CB406" s="354" t="str">
        <f t="shared" si="1325"/>
        <v>X</v>
      </c>
      <c r="CC406" s="509" t="str">
        <f>CC404</f>
        <v>TN.</v>
      </c>
      <c r="CD406" s="509" t="str">
        <f t="shared" si="1190"/>
        <v>TN.11,2</v>
      </c>
      <c r="CE406" s="351" t="str">
        <f t="shared" si="1273"/>
        <v>Xé</v>
      </c>
      <c r="CF406" s="509" t="str">
        <f t="shared" si="1326"/>
        <v>TN.Xé</v>
      </c>
      <c r="CG406" s="509"/>
      <c r="CH406" s="509"/>
    </row>
    <row r="407" spans="1:86" ht="24.75" customHeight="1" x14ac:dyDescent="0.25">
      <c r="A407" s="354" t="e">
        <f t="shared" si="1060"/>
        <v>#REF!</v>
      </c>
      <c r="B407" s="484"/>
      <c r="C407" s="531" t="s">
        <v>792</v>
      </c>
      <c r="D407" s="447" t="s">
        <v>14</v>
      </c>
      <c r="E407" s="447"/>
      <c r="F407" s="447"/>
      <c r="G407" s="520">
        <v>16.100000000000001</v>
      </c>
      <c r="H407" s="521">
        <v>0.5</v>
      </c>
      <c r="I407" s="522">
        <f t="shared" si="1322"/>
        <v>150</v>
      </c>
      <c r="J407" s="522">
        <f t="shared" si="1323"/>
        <v>45</v>
      </c>
      <c r="K407" s="522">
        <f t="shared" si="1324"/>
        <v>105</v>
      </c>
      <c r="L407" s="57">
        <f t="shared" si="1281"/>
        <v>400</v>
      </c>
      <c r="M407" s="60"/>
      <c r="N407" s="60"/>
      <c r="O407" s="60">
        <f t="shared" si="1282"/>
        <v>0</v>
      </c>
      <c r="P407" s="60">
        <v>30</v>
      </c>
      <c r="Q407" s="60">
        <v>5</v>
      </c>
      <c r="R407" s="60">
        <f t="shared" si="1283"/>
        <v>25</v>
      </c>
      <c r="S407" s="824">
        <v>45</v>
      </c>
      <c r="T407" s="60">
        <v>10</v>
      </c>
      <c r="U407" s="60">
        <f t="shared" si="1284"/>
        <v>35</v>
      </c>
      <c r="V407" s="60">
        <f t="shared" si="1285"/>
        <v>75</v>
      </c>
      <c r="W407" s="60">
        <f t="shared" si="1286"/>
        <v>15</v>
      </c>
      <c r="X407" s="60">
        <f t="shared" si="1287"/>
        <v>60</v>
      </c>
      <c r="Y407" s="60">
        <v>45</v>
      </c>
      <c r="Z407" s="60">
        <v>15</v>
      </c>
      <c r="AA407" s="60">
        <f t="shared" si="1288"/>
        <v>30</v>
      </c>
      <c r="AB407" s="60">
        <v>30</v>
      </c>
      <c r="AC407" s="60">
        <v>15</v>
      </c>
      <c r="AD407" s="60">
        <f t="shared" si="1289"/>
        <v>15</v>
      </c>
      <c r="AE407" s="60"/>
      <c r="AF407" s="60"/>
      <c r="AG407" s="60">
        <f t="shared" si="1290"/>
        <v>0</v>
      </c>
      <c r="AH407" s="60">
        <f t="shared" si="1291"/>
        <v>75</v>
      </c>
      <c r="AI407" s="60">
        <f t="shared" si="1292"/>
        <v>30</v>
      </c>
      <c r="AJ407" s="60">
        <f t="shared" si="1293"/>
        <v>45</v>
      </c>
      <c r="AK407" s="60"/>
      <c r="AL407" s="60"/>
      <c r="AM407" s="60">
        <f t="shared" si="1294"/>
        <v>0</v>
      </c>
      <c r="AN407" s="60"/>
      <c r="AO407" s="60"/>
      <c r="AP407" s="60">
        <f t="shared" si="1295"/>
        <v>0</v>
      </c>
      <c r="AQ407" s="60"/>
      <c r="AR407" s="60"/>
      <c r="AS407" s="60">
        <f t="shared" si="1296"/>
        <v>0</v>
      </c>
      <c r="AT407" s="60">
        <f t="shared" si="1297"/>
        <v>0</v>
      </c>
      <c r="AU407" s="60">
        <f t="shared" si="1298"/>
        <v>0</v>
      </c>
      <c r="AV407" s="60">
        <f t="shared" si="1299"/>
        <v>0</v>
      </c>
      <c r="AW407" s="60"/>
      <c r="AX407" s="60"/>
      <c r="AY407" s="60">
        <f t="shared" si="1300"/>
        <v>0</v>
      </c>
      <c r="AZ407" s="60"/>
      <c r="BA407" s="60"/>
      <c r="BB407" s="60">
        <f t="shared" si="1301"/>
        <v>0</v>
      </c>
      <c r="BC407" s="60"/>
      <c r="BD407" s="60"/>
      <c r="BE407" s="60">
        <f t="shared" si="1302"/>
        <v>0</v>
      </c>
      <c r="BF407" s="60">
        <f t="shared" si="1303"/>
        <v>0</v>
      </c>
      <c r="BG407" s="60">
        <f t="shared" si="1304"/>
        <v>0</v>
      </c>
      <c r="BH407" s="60">
        <f t="shared" si="1305"/>
        <v>0</v>
      </c>
      <c r="BI407" s="508"/>
      <c r="BJ407" s="488" t="str">
        <f t="shared" si="1272"/>
        <v>Xé</v>
      </c>
      <c r="BK407" s="523">
        <f t="shared" si="1306"/>
        <v>0</v>
      </c>
      <c r="BL407" s="523">
        <f t="shared" si="1307"/>
        <v>100</v>
      </c>
      <c r="BM407" s="523">
        <f t="shared" si="1308"/>
        <v>100</v>
      </c>
      <c r="BN407" s="523">
        <f t="shared" si="1309"/>
        <v>200</v>
      </c>
      <c r="BO407" s="523">
        <f t="shared" si="1310"/>
        <v>100</v>
      </c>
      <c r="BP407" s="523">
        <f t="shared" si="1311"/>
        <v>100</v>
      </c>
      <c r="BQ407" s="523">
        <f t="shared" si="1312"/>
        <v>0</v>
      </c>
      <c r="BR407" s="523">
        <f t="shared" si="1313"/>
        <v>200</v>
      </c>
      <c r="BS407" s="523">
        <f t="shared" si="1314"/>
        <v>0</v>
      </c>
      <c r="BT407" s="523">
        <f t="shared" si="1315"/>
        <v>0</v>
      </c>
      <c r="BU407" s="523">
        <f t="shared" si="1316"/>
        <v>0</v>
      </c>
      <c r="BV407" s="523">
        <f t="shared" si="1317"/>
        <v>0</v>
      </c>
      <c r="BW407" s="523">
        <f t="shared" si="1318"/>
        <v>0</v>
      </c>
      <c r="BX407" s="523">
        <f t="shared" si="1319"/>
        <v>0</v>
      </c>
      <c r="BY407" s="523">
        <f t="shared" si="1320"/>
        <v>0</v>
      </c>
      <c r="BZ407" s="523">
        <f t="shared" si="1321"/>
        <v>0</v>
      </c>
      <c r="CA407" s="354"/>
      <c r="CB407" s="354" t="str">
        <f t="shared" si="1325"/>
        <v>X</v>
      </c>
      <c r="CC407" s="509" t="str">
        <f t="shared" si="956"/>
        <v>TN.</v>
      </c>
      <c r="CD407" s="509" t="str">
        <f t="shared" si="1190"/>
        <v>TN.16,1</v>
      </c>
      <c r="CE407" s="351" t="str">
        <f t="shared" si="1273"/>
        <v>Xé</v>
      </c>
      <c r="CF407" s="509" t="str">
        <f t="shared" si="1326"/>
        <v>TN.Xé</v>
      </c>
      <c r="CG407" s="509"/>
      <c r="CH407" s="509"/>
    </row>
    <row r="408" spans="1:86" ht="24.75" customHeight="1" x14ac:dyDescent="0.25">
      <c r="A408" s="354" t="e">
        <f>A406</f>
        <v>#REF!</v>
      </c>
      <c r="B408" s="484"/>
      <c r="C408" s="531" t="s">
        <v>793</v>
      </c>
      <c r="D408" s="447" t="s">
        <v>14</v>
      </c>
      <c r="E408" s="447"/>
      <c r="F408" s="447"/>
      <c r="G408" s="520">
        <v>16.100000000000001</v>
      </c>
      <c r="H408" s="521">
        <v>0.5</v>
      </c>
      <c r="I408" s="522">
        <f t="shared" si="1322"/>
        <v>150</v>
      </c>
      <c r="J408" s="522">
        <f t="shared" si="1323"/>
        <v>56</v>
      </c>
      <c r="K408" s="522">
        <f t="shared" si="1324"/>
        <v>94</v>
      </c>
      <c r="L408" s="57">
        <f t="shared" si="1281"/>
        <v>400</v>
      </c>
      <c r="M408" s="60"/>
      <c r="N408" s="60"/>
      <c r="O408" s="60">
        <f t="shared" si="1282"/>
        <v>0</v>
      </c>
      <c r="P408" s="60">
        <v>30</v>
      </c>
      <c r="Q408" s="60">
        <v>10</v>
      </c>
      <c r="R408" s="60">
        <f t="shared" si="1283"/>
        <v>20</v>
      </c>
      <c r="S408" s="824">
        <v>45</v>
      </c>
      <c r="T408" s="60">
        <v>15</v>
      </c>
      <c r="U408" s="60">
        <f t="shared" si="1284"/>
        <v>30</v>
      </c>
      <c r="V408" s="60">
        <f t="shared" si="1285"/>
        <v>75</v>
      </c>
      <c r="W408" s="60">
        <f t="shared" si="1286"/>
        <v>25</v>
      </c>
      <c r="X408" s="60">
        <f t="shared" si="1287"/>
        <v>50</v>
      </c>
      <c r="Y408" s="60">
        <v>45</v>
      </c>
      <c r="Z408" s="60">
        <v>20</v>
      </c>
      <c r="AA408" s="60">
        <f t="shared" si="1288"/>
        <v>25</v>
      </c>
      <c r="AB408" s="60">
        <v>30</v>
      </c>
      <c r="AC408" s="60">
        <v>11</v>
      </c>
      <c r="AD408" s="60">
        <f t="shared" si="1289"/>
        <v>19</v>
      </c>
      <c r="AE408" s="60"/>
      <c r="AF408" s="60"/>
      <c r="AG408" s="60">
        <f t="shared" si="1290"/>
        <v>0</v>
      </c>
      <c r="AH408" s="60">
        <f t="shared" si="1291"/>
        <v>75</v>
      </c>
      <c r="AI408" s="60">
        <f t="shared" si="1292"/>
        <v>31</v>
      </c>
      <c r="AJ408" s="60">
        <f t="shared" si="1293"/>
        <v>44</v>
      </c>
      <c r="AK408" s="60"/>
      <c r="AL408" s="60"/>
      <c r="AM408" s="60">
        <f t="shared" si="1294"/>
        <v>0</v>
      </c>
      <c r="AN408" s="60"/>
      <c r="AO408" s="60"/>
      <c r="AP408" s="60">
        <f t="shared" si="1295"/>
        <v>0</v>
      </c>
      <c r="AQ408" s="60"/>
      <c r="AR408" s="60"/>
      <c r="AS408" s="60">
        <f t="shared" si="1296"/>
        <v>0</v>
      </c>
      <c r="AT408" s="60">
        <f t="shared" si="1297"/>
        <v>0</v>
      </c>
      <c r="AU408" s="60">
        <f t="shared" si="1298"/>
        <v>0</v>
      </c>
      <c r="AV408" s="60">
        <f t="shared" si="1299"/>
        <v>0</v>
      </c>
      <c r="AW408" s="60"/>
      <c r="AX408" s="60"/>
      <c r="AY408" s="60">
        <f t="shared" si="1300"/>
        <v>0</v>
      </c>
      <c r="AZ408" s="60"/>
      <c r="BA408" s="60"/>
      <c r="BB408" s="60">
        <f t="shared" si="1301"/>
        <v>0</v>
      </c>
      <c r="BC408" s="60"/>
      <c r="BD408" s="60"/>
      <c r="BE408" s="60">
        <f t="shared" si="1302"/>
        <v>0</v>
      </c>
      <c r="BF408" s="60">
        <f t="shared" si="1303"/>
        <v>0</v>
      </c>
      <c r="BG408" s="60">
        <f t="shared" si="1304"/>
        <v>0</v>
      </c>
      <c r="BH408" s="60">
        <f t="shared" si="1305"/>
        <v>0</v>
      </c>
      <c r="BI408" s="508"/>
      <c r="BJ408" s="488" t="str">
        <f t="shared" si="1272"/>
        <v>Xé</v>
      </c>
      <c r="BK408" s="523">
        <f t="shared" si="1306"/>
        <v>0</v>
      </c>
      <c r="BL408" s="523">
        <f t="shared" si="1307"/>
        <v>100</v>
      </c>
      <c r="BM408" s="523">
        <f t="shared" si="1308"/>
        <v>100</v>
      </c>
      <c r="BN408" s="523">
        <f t="shared" si="1309"/>
        <v>200</v>
      </c>
      <c r="BO408" s="523">
        <f t="shared" si="1310"/>
        <v>100</v>
      </c>
      <c r="BP408" s="523">
        <f t="shared" si="1311"/>
        <v>100</v>
      </c>
      <c r="BQ408" s="523">
        <f t="shared" si="1312"/>
        <v>0</v>
      </c>
      <c r="BR408" s="523">
        <f t="shared" si="1313"/>
        <v>200</v>
      </c>
      <c r="BS408" s="523">
        <f t="shared" si="1314"/>
        <v>0</v>
      </c>
      <c r="BT408" s="523">
        <f t="shared" si="1315"/>
        <v>0</v>
      </c>
      <c r="BU408" s="523">
        <f t="shared" si="1316"/>
        <v>0</v>
      </c>
      <c r="BV408" s="523">
        <f t="shared" si="1317"/>
        <v>0</v>
      </c>
      <c r="BW408" s="523">
        <f t="shared" si="1318"/>
        <v>0</v>
      </c>
      <c r="BX408" s="523">
        <f t="shared" si="1319"/>
        <v>0</v>
      </c>
      <c r="BY408" s="523">
        <f t="shared" si="1320"/>
        <v>0</v>
      </c>
      <c r="BZ408" s="523">
        <f t="shared" si="1321"/>
        <v>0</v>
      </c>
      <c r="CA408" s="354"/>
      <c r="CB408" s="354" t="str">
        <f t="shared" si="1325"/>
        <v>X</v>
      </c>
      <c r="CC408" s="509" t="str">
        <f t="shared" si="956"/>
        <v>TN.</v>
      </c>
      <c r="CD408" s="509" t="str">
        <f t="shared" si="1190"/>
        <v>TN.16,1</v>
      </c>
      <c r="CE408" s="351" t="str">
        <f t="shared" si="1273"/>
        <v>Xé</v>
      </c>
      <c r="CF408" s="509" t="str">
        <f t="shared" si="1326"/>
        <v>TN.Xé</v>
      </c>
      <c r="CG408" s="509"/>
      <c r="CH408" s="509"/>
    </row>
    <row r="409" spans="1:86" ht="24.75" customHeight="1" x14ac:dyDescent="0.25">
      <c r="A409" s="354" t="e">
        <f>A407</f>
        <v>#REF!</v>
      </c>
      <c r="B409" s="484"/>
      <c r="C409" s="531" t="s">
        <v>826</v>
      </c>
      <c r="D409" s="447" t="s">
        <v>14</v>
      </c>
      <c r="E409" s="447"/>
      <c r="F409" s="447"/>
      <c r="G409" s="520">
        <v>16.100000000000001</v>
      </c>
      <c r="H409" s="521">
        <v>0.7</v>
      </c>
      <c r="I409" s="522">
        <f t="shared" si="1322"/>
        <v>11</v>
      </c>
      <c r="J409" s="522">
        <f t="shared" si="1323"/>
        <v>0</v>
      </c>
      <c r="K409" s="522">
        <f t="shared" si="1324"/>
        <v>11</v>
      </c>
      <c r="L409" s="57">
        <f>BN409+BR409+BV409+BZ409</f>
        <v>0</v>
      </c>
      <c r="M409" s="60">
        <v>11</v>
      </c>
      <c r="N409" s="60"/>
      <c r="O409" s="60">
        <f>M409-N409</f>
        <v>11</v>
      </c>
      <c r="P409" s="60"/>
      <c r="Q409" s="60"/>
      <c r="R409" s="60">
        <f>P409-Q409</f>
        <v>0</v>
      </c>
      <c r="S409" s="824"/>
      <c r="T409" s="60"/>
      <c r="U409" s="60">
        <f>S409-T409</f>
        <v>0</v>
      </c>
      <c r="V409" s="60">
        <f>M409+P409+S409</f>
        <v>11</v>
      </c>
      <c r="W409" s="60">
        <f>N409+Q409+T409</f>
        <v>0</v>
      </c>
      <c r="X409" s="60">
        <f>V409-W409</f>
        <v>11</v>
      </c>
      <c r="Y409" s="60"/>
      <c r="Z409" s="60"/>
      <c r="AA409" s="60">
        <f>Y409-Z409</f>
        <v>0</v>
      </c>
      <c r="AB409" s="60"/>
      <c r="AC409" s="60"/>
      <c r="AD409" s="60">
        <f>AB409-AC409</f>
        <v>0</v>
      </c>
      <c r="AE409" s="60"/>
      <c r="AF409" s="60"/>
      <c r="AG409" s="60">
        <f>AE409-AF409</f>
        <v>0</v>
      </c>
      <c r="AH409" s="60">
        <f>Y409+AB409+AE409</f>
        <v>0</v>
      </c>
      <c r="AI409" s="60">
        <f>Z409+AC409+AF409</f>
        <v>0</v>
      </c>
      <c r="AJ409" s="60">
        <f>AA409+AD409+AG409</f>
        <v>0</v>
      </c>
      <c r="AK409" s="60"/>
      <c r="AL409" s="60"/>
      <c r="AM409" s="60">
        <f>AK409-AL409</f>
        <v>0</v>
      </c>
      <c r="AN409" s="60"/>
      <c r="AO409" s="60"/>
      <c r="AP409" s="60">
        <f>AN409-AO409</f>
        <v>0</v>
      </c>
      <c r="AQ409" s="60"/>
      <c r="AR409" s="60"/>
      <c r="AS409" s="60">
        <f>AQ409-AR409</f>
        <v>0</v>
      </c>
      <c r="AT409" s="60">
        <f t="shared" si="1297"/>
        <v>0</v>
      </c>
      <c r="AU409" s="60">
        <f t="shared" si="1298"/>
        <v>0</v>
      </c>
      <c r="AV409" s="60">
        <f t="shared" si="1299"/>
        <v>0</v>
      </c>
      <c r="AW409" s="60"/>
      <c r="AX409" s="60"/>
      <c r="AY409" s="60">
        <f>AW409-AX409</f>
        <v>0</v>
      </c>
      <c r="AZ409" s="60"/>
      <c r="BA409" s="60"/>
      <c r="BB409" s="60">
        <f>AZ409-BA409</f>
        <v>0</v>
      </c>
      <c r="BC409" s="60"/>
      <c r="BD409" s="60"/>
      <c r="BE409" s="60">
        <f>BC409-BD409</f>
        <v>0</v>
      </c>
      <c r="BF409" s="60">
        <f>AW409+AZ409+BC409</f>
        <v>0</v>
      </c>
      <c r="BG409" s="60">
        <f>AX409+BA409+BD409</f>
        <v>0</v>
      </c>
      <c r="BH409" s="60">
        <f>BF409-BG409</f>
        <v>0</v>
      </c>
      <c r="BI409" s="508"/>
      <c r="BJ409" s="488" t="str">
        <f t="shared" si="1272"/>
        <v>Xé</v>
      </c>
      <c r="BK409" s="523">
        <f>ROUND(O409*G409*$B$6,-2)</f>
        <v>0</v>
      </c>
      <c r="BL409" s="523">
        <f>ROUND(R409*G409*$B$6,-2)</f>
        <v>0</v>
      </c>
      <c r="BM409" s="523">
        <f>ROUND(U409*G409*$B$6,-2)</f>
        <v>0</v>
      </c>
      <c r="BN409" s="523">
        <f>ROUND(X409*G409*$B$6,-2)</f>
        <v>0</v>
      </c>
      <c r="BO409" s="523">
        <f>ROUND(AA409*G409*$B$6,-2)</f>
        <v>0</v>
      </c>
      <c r="BP409" s="523">
        <f>ROUND(AD409*G409*$B$6,-2)</f>
        <v>0</v>
      </c>
      <c r="BQ409" s="523">
        <f>ROUND(AG409*G409*$B$6,-2)</f>
        <v>0</v>
      </c>
      <c r="BR409" s="523">
        <f>ROUND(AJ409*G409*$B$6,-2)</f>
        <v>0</v>
      </c>
      <c r="BS409" s="523">
        <f>ROUND(AM409*G409*$B$6,-2)</f>
        <v>0</v>
      </c>
      <c r="BT409" s="523">
        <f>ROUND(AP409*G409*$B$6,-2)</f>
        <v>0</v>
      </c>
      <c r="BU409" s="523">
        <f>ROUND(AS409*G409*$B$6,-2)</f>
        <v>0</v>
      </c>
      <c r="BV409" s="523">
        <f>ROUND(AV409*G409*$B$6,-2)</f>
        <v>0</v>
      </c>
      <c r="BW409" s="523">
        <f>ROUND(AY409*G409*$B$6,-2)</f>
        <v>0</v>
      </c>
      <c r="BX409" s="523">
        <f>ROUND(BB409*G409*$B$6,-2)</f>
        <v>0</v>
      </c>
      <c r="BY409" s="523">
        <f>ROUND(BE409*G409*$B$6,-2)</f>
        <v>0</v>
      </c>
      <c r="BZ409" s="523">
        <f>ROUND(BH409*G409*$B$6,-2)</f>
        <v>0</v>
      </c>
      <c r="CA409" s="354"/>
      <c r="CB409" s="354" t="str">
        <f t="shared" si="1325"/>
        <v>X</v>
      </c>
      <c r="CC409" s="509" t="str">
        <f t="shared" si="956"/>
        <v>TN.</v>
      </c>
      <c r="CD409" s="509" t="str">
        <f t="shared" si="1190"/>
        <v>TN.16,1</v>
      </c>
      <c r="CE409" s="351" t="str">
        <f t="shared" si="1273"/>
        <v>Xé</v>
      </c>
      <c r="CF409" s="509" t="str">
        <f t="shared" si="1326"/>
        <v>TN.Xé</v>
      </c>
      <c r="CG409" s="509"/>
      <c r="CH409" s="509"/>
    </row>
    <row r="410" spans="1:86" ht="24.75" customHeight="1" x14ac:dyDescent="0.25">
      <c r="A410" s="354" t="e">
        <f>A406</f>
        <v>#REF!</v>
      </c>
      <c r="B410" s="484" t="s">
        <v>435</v>
      </c>
      <c r="C410" s="531" t="s">
        <v>794</v>
      </c>
      <c r="D410" s="447" t="s">
        <v>14</v>
      </c>
      <c r="E410" s="447"/>
      <c r="F410" s="447"/>
      <c r="G410" s="520">
        <v>11.2</v>
      </c>
      <c r="H410" s="521">
        <v>0.7</v>
      </c>
      <c r="I410" s="522">
        <f t="shared" si="1322"/>
        <v>100</v>
      </c>
      <c r="J410" s="522">
        <f t="shared" si="1323"/>
        <v>25</v>
      </c>
      <c r="K410" s="522">
        <f t="shared" si="1324"/>
        <v>75</v>
      </c>
      <c r="L410" s="57">
        <f t="shared" si="1281"/>
        <v>200</v>
      </c>
      <c r="M410" s="60"/>
      <c r="N410" s="60"/>
      <c r="O410" s="60">
        <f t="shared" si="1282"/>
        <v>0</v>
      </c>
      <c r="P410" s="60"/>
      <c r="Q410" s="60"/>
      <c r="R410" s="60">
        <f t="shared" si="1283"/>
        <v>0</v>
      </c>
      <c r="S410" s="824"/>
      <c r="T410" s="60"/>
      <c r="U410" s="60">
        <f t="shared" si="1284"/>
        <v>0</v>
      </c>
      <c r="V410" s="60">
        <f t="shared" si="1285"/>
        <v>0</v>
      </c>
      <c r="W410" s="60">
        <f t="shared" si="1286"/>
        <v>0</v>
      </c>
      <c r="X410" s="60">
        <f t="shared" si="1287"/>
        <v>0</v>
      </c>
      <c r="Y410" s="60"/>
      <c r="Z410" s="60"/>
      <c r="AA410" s="60">
        <f t="shared" si="1288"/>
        <v>0</v>
      </c>
      <c r="AB410" s="60"/>
      <c r="AC410" s="60"/>
      <c r="AD410" s="60">
        <f t="shared" si="1289"/>
        <v>0</v>
      </c>
      <c r="AE410" s="60">
        <v>45</v>
      </c>
      <c r="AF410" s="60">
        <v>10</v>
      </c>
      <c r="AG410" s="60">
        <f t="shared" si="1290"/>
        <v>35</v>
      </c>
      <c r="AH410" s="60">
        <f t="shared" si="1291"/>
        <v>45</v>
      </c>
      <c r="AI410" s="60">
        <f t="shared" si="1292"/>
        <v>10</v>
      </c>
      <c r="AJ410" s="60">
        <f t="shared" si="1293"/>
        <v>35</v>
      </c>
      <c r="AK410" s="60">
        <v>45</v>
      </c>
      <c r="AL410" s="60">
        <v>10</v>
      </c>
      <c r="AM410" s="60">
        <f t="shared" si="1294"/>
        <v>35</v>
      </c>
      <c r="AN410" s="60">
        <v>10</v>
      </c>
      <c r="AO410" s="60">
        <v>5</v>
      </c>
      <c r="AP410" s="60">
        <f t="shared" si="1295"/>
        <v>5</v>
      </c>
      <c r="AQ410" s="60"/>
      <c r="AR410" s="60"/>
      <c r="AS410" s="60">
        <f t="shared" si="1296"/>
        <v>0</v>
      </c>
      <c r="AT410" s="60">
        <f t="shared" si="1297"/>
        <v>55</v>
      </c>
      <c r="AU410" s="60">
        <f t="shared" si="1298"/>
        <v>15</v>
      </c>
      <c r="AV410" s="60">
        <f t="shared" si="1299"/>
        <v>40</v>
      </c>
      <c r="AW410" s="60"/>
      <c r="AX410" s="60"/>
      <c r="AY410" s="60">
        <f t="shared" si="1300"/>
        <v>0</v>
      </c>
      <c r="AZ410" s="60"/>
      <c r="BA410" s="60"/>
      <c r="BB410" s="60">
        <f t="shared" si="1301"/>
        <v>0</v>
      </c>
      <c r="BC410" s="60"/>
      <c r="BD410" s="60"/>
      <c r="BE410" s="60">
        <f t="shared" si="1302"/>
        <v>0</v>
      </c>
      <c r="BF410" s="60">
        <f t="shared" si="1303"/>
        <v>0</v>
      </c>
      <c r="BG410" s="60">
        <f t="shared" si="1304"/>
        <v>0</v>
      </c>
      <c r="BH410" s="60">
        <f t="shared" si="1305"/>
        <v>0</v>
      </c>
      <c r="BI410" s="508"/>
      <c r="BJ410" s="488" t="str">
        <f t="shared" si="1272"/>
        <v>Xé</v>
      </c>
      <c r="BK410" s="523">
        <f t="shared" si="1306"/>
        <v>0</v>
      </c>
      <c r="BL410" s="523">
        <f t="shared" si="1307"/>
        <v>0</v>
      </c>
      <c r="BM410" s="523">
        <f t="shared" si="1308"/>
        <v>0</v>
      </c>
      <c r="BN410" s="523">
        <f t="shared" si="1309"/>
        <v>0</v>
      </c>
      <c r="BO410" s="523">
        <f t="shared" si="1310"/>
        <v>0</v>
      </c>
      <c r="BP410" s="523">
        <f t="shared" si="1311"/>
        <v>0</v>
      </c>
      <c r="BQ410" s="523">
        <f t="shared" si="1312"/>
        <v>100</v>
      </c>
      <c r="BR410" s="523">
        <f t="shared" si="1313"/>
        <v>100</v>
      </c>
      <c r="BS410" s="523">
        <f t="shared" si="1314"/>
        <v>100</v>
      </c>
      <c r="BT410" s="523">
        <f t="shared" si="1315"/>
        <v>0</v>
      </c>
      <c r="BU410" s="523">
        <f t="shared" si="1316"/>
        <v>0</v>
      </c>
      <c r="BV410" s="523">
        <f t="shared" si="1317"/>
        <v>100</v>
      </c>
      <c r="BW410" s="523">
        <f t="shared" si="1318"/>
        <v>0</v>
      </c>
      <c r="BX410" s="523">
        <f t="shared" si="1319"/>
        <v>0</v>
      </c>
      <c r="BY410" s="523">
        <f t="shared" si="1320"/>
        <v>0</v>
      </c>
      <c r="BZ410" s="523">
        <f t="shared" si="1321"/>
        <v>0</v>
      </c>
      <c r="CA410" s="354"/>
      <c r="CB410" s="354" t="str">
        <f t="shared" si="1325"/>
        <v>X</v>
      </c>
      <c r="CC410" s="509" t="str">
        <f>CC407</f>
        <v>TN.</v>
      </c>
      <c r="CD410" s="509" t="str">
        <f t="shared" si="1190"/>
        <v>TN.11,2</v>
      </c>
      <c r="CE410" s="351" t="str">
        <f t="shared" si="1273"/>
        <v>Xé</v>
      </c>
      <c r="CF410" s="509" t="str">
        <f t="shared" si="1326"/>
        <v>TN.Xé</v>
      </c>
      <c r="CG410" s="509"/>
      <c r="CH410" s="509"/>
    </row>
    <row r="411" spans="1:86" ht="24.75" customHeight="1" x14ac:dyDescent="0.25">
      <c r="A411" s="354" t="e">
        <f>A407</f>
        <v>#REF!</v>
      </c>
      <c r="B411" s="484"/>
      <c r="C411" s="531" t="s">
        <v>795</v>
      </c>
      <c r="D411" s="447" t="s">
        <v>14</v>
      </c>
      <c r="E411" s="447"/>
      <c r="F411" s="447"/>
      <c r="G411" s="520">
        <v>11.2</v>
      </c>
      <c r="H411" s="521">
        <v>0.7</v>
      </c>
      <c r="I411" s="522">
        <f t="shared" si="1322"/>
        <v>160</v>
      </c>
      <c r="J411" s="522">
        <f t="shared" si="1323"/>
        <v>75</v>
      </c>
      <c r="K411" s="522">
        <f t="shared" si="1324"/>
        <v>85</v>
      </c>
      <c r="L411" s="57">
        <f t="shared" si="1281"/>
        <v>200</v>
      </c>
      <c r="M411" s="60"/>
      <c r="N411" s="60"/>
      <c r="O411" s="60">
        <f t="shared" si="1282"/>
        <v>0</v>
      </c>
      <c r="P411" s="60"/>
      <c r="Q411" s="60"/>
      <c r="R411" s="60">
        <f t="shared" si="1283"/>
        <v>0</v>
      </c>
      <c r="S411" s="824"/>
      <c r="T411" s="60"/>
      <c r="U411" s="60">
        <f t="shared" si="1284"/>
        <v>0</v>
      </c>
      <c r="V411" s="60">
        <f t="shared" si="1285"/>
        <v>0</v>
      </c>
      <c r="W411" s="60">
        <f t="shared" si="1286"/>
        <v>0</v>
      </c>
      <c r="X411" s="60">
        <f t="shared" si="1287"/>
        <v>0</v>
      </c>
      <c r="Y411" s="60"/>
      <c r="Z411" s="60"/>
      <c r="AA411" s="60">
        <f t="shared" si="1288"/>
        <v>0</v>
      </c>
      <c r="AB411" s="60"/>
      <c r="AC411" s="60"/>
      <c r="AD411" s="60">
        <f t="shared" si="1289"/>
        <v>0</v>
      </c>
      <c r="AE411" s="60">
        <v>40</v>
      </c>
      <c r="AF411" s="60">
        <v>40</v>
      </c>
      <c r="AG411" s="60">
        <f t="shared" si="1290"/>
        <v>0</v>
      </c>
      <c r="AH411" s="60">
        <f t="shared" si="1291"/>
        <v>40</v>
      </c>
      <c r="AI411" s="60">
        <f t="shared" si="1292"/>
        <v>40</v>
      </c>
      <c r="AJ411" s="60">
        <f t="shared" si="1293"/>
        <v>0</v>
      </c>
      <c r="AK411" s="60">
        <v>40</v>
      </c>
      <c r="AL411" s="60">
        <v>15</v>
      </c>
      <c r="AM411" s="60">
        <f t="shared" si="1294"/>
        <v>25</v>
      </c>
      <c r="AN411" s="60">
        <v>40</v>
      </c>
      <c r="AO411" s="60">
        <v>10</v>
      </c>
      <c r="AP411" s="60">
        <f t="shared" si="1295"/>
        <v>30</v>
      </c>
      <c r="AQ411" s="60">
        <v>40</v>
      </c>
      <c r="AR411" s="60">
        <v>10</v>
      </c>
      <c r="AS411" s="60">
        <f t="shared" si="1296"/>
        <v>30</v>
      </c>
      <c r="AT411" s="60">
        <f t="shared" si="1297"/>
        <v>120</v>
      </c>
      <c r="AU411" s="60">
        <f t="shared" si="1298"/>
        <v>35</v>
      </c>
      <c r="AV411" s="60">
        <f t="shared" si="1299"/>
        <v>85</v>
      </c>
      <c r="AW411" s="60"/>
      <c r="AX411" s="60"/>
      <c r="AY411" s="60">
        <f t="shared" si="1300"/>
        <v>0</v>
      </c>
      <c r="AZ411" s="60"/>
      <c r="BA411" s="60"/>
      <c r="BB411" s="60">
        <f t="shared" si="1301"/>
        <v>0</v>
      </c>
      <c r="BC411" s="60"/>
      <c r="BD411" s="60"/>
      <c r="BE411" s="60">
        <f t="shared" si="1302"/>
        <v>0</v>
      </c>
      <c r="BF411" s="60">
        <f t="shared" si="1303"/>
        <v>0</v>
      </c>
      <c r="BG411" s="60">
        <f t="shared" si="1304"/>
        <v>0</v>
      </c>
      <c r="BH411" s="60">
        <f t="shared" si="1305"/>
        <v>0</v>
      </c>
      <c r="BI411" s="508"/>
      <c r="BJ411" s="488" t="str">
        <f t="shared" si="1272"/>
        <v>Xé</v>
      </c>
      <c r="BK411" s="523">
        <f t="shared" si="1306"/>
        <v>0</v>
      </c>
      <c r="BL411" s="523">
        <f t="shared" si="1307"/>
        <v>0</v>
      </c>
      <c r="BM411" s="523">
        <f t="shared" si="1308"/>
        <v>0</v>
      </c>
      <c r="BN411" s="523">
        <f t="shared" si="1309"/>
        <v>0</v>
      </c>
      <c r="BO411" s="523">
        <f t="shared" si="1310"/>
        <v>0</v>
      </c>
      <c r="BP411" s="523">
        <f t="shared" si="1311"/>
        <v>0</v>
      </c>
      <c r="BQ411" s="523">
        <f t="shared" si="1312"/>
        <v>0</v>
      </c>
      <c r="BR411" s="523">
        <f t="shared" si="1313"/>
        <v>0</v>
      </c>
      <c r="BS411" s="523">
        <f t="shared" si="1314"/>
        <v>100</v>
      </c>
      <c r="BT411" s="523">
        <f t="shared" si="1315"/>
        <v>100</v>
      </c>
      <c r="BU411" s="523">
        <f t="shared" si="1316"/>
        <v>100</v>
      </c>
      <c r="BV411" s="523">
        <f t="shared" si="1317"/>
        <v>200</v>
      </c>
      <c r="BW411" s="523">
        <f t="shared" si="1318"/>
        <v>0</v>
      </c>
      <c r="BX411" s="523">
        <f t="shared" si="1319"/>
        <v>0</v>
      </c>
      <c r="BY411" s="523">
        <f t="shared" si="1320"/>
        <v>0</v>
      </c>
      <c r="BZ411" s="523">
        <f t="shared" si="1321"/>
        <v>0</v>
      </c>
      <c r="CA411" s="354"/>
      <c r="CB411" s="354" t="str">
        <f t="shared" si="1325"/>
        <v>X</v>
      </c>
      <c r="CC411" s="509" t="str">
        <f>CC408</f>
        <v>TN.</v>
      </c>
      <c r="CD411" s="509" t="str">
        <f t="shared" si="1190"/>
        <v>TN.11,2</v>
      </c>
      <c r="CE411" s="351" t="str">
        <f t="shared" si="1273"/>
        <v>Xé</v>
      </c>
      <c r="CF411" s="509" t="str">
        <f t="shared" si="1326"/>
        <v>TN.Xé</v>
      </c>
      <c r="CG411" s="509"/>
      <c r="CH411" s="509"/>
    </row>
    <row r="412" spans="1:86" ht="25.5" customHeight="1" thickBot="1" x14ac:dyDescent="0.3">
      <c r="A412" s="354" t="e">
        <f>#REF!</f>
        <v>#REF!</v>
      </c>
      <c r="B412" s="549"/>
      <c r="C412" s="550"/>
      <c r="D412" s="551"/>
      <c r="E412" s="551"/>
      <c r="F412" s="551"/>
      <c r="G412" s="552"/>
      <c r="H412" s="552"/>
      <c r="I412" s="553"/>
      <c r="J412" s="61"/>
      <c r="K412" s="62"/>
      <c r="L412" s="61"/>
      <c r="M412" s="61"/>
      <c r="N412" s="61"/>
      <c r="O412" s="61"/>
      <c r="P412" s="61"/>
      <c r="Q412" s="61"/>
      <c r="R412" s="61"/>
      <c r="S412" s="833"/>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554"/>
      <c r="BJ412" s="555" t="str">
        <f t="shared" si="1272"/>
        <v/>
      </c>
      <c r="BK412" s="490"/>
      <c r="BL412" s="490"/>
      <c r="BM412" s="490"/>
      <c r="BN412" s="490"/>
      <c r="BO412" s="490"/>
      <c r="BP412" s="490"/>
      <c r="BQ412" s="490"/>
      <c r="BR412" s="490"/>
      <c r="BS412" s="490"/>
      <c r="BT412" s="490"/>
      <c r="BU412" s="490"/>
      <c r="BV412" s="490"/>
      <c r="BW412" s="490"/>
      <c r="BX412" s="490"/>
      <c r="BY412" s="490"/>
      <c r="BZ412" s="490"/>
      <c r="CA412" s="354"/>
      <c r="CB412" s="354" t="b">
        <f t="shared" si="1189"/>
        <v>0</v>
      </c>
      <c r="CC412" s="509" t="str">
        <f>CC401</f>
        <v>TN.</v>
      </c>
      <c r="CD412" s="509" t="str">
        <f t="shared" si="1190"/>
        <v>TN.</v>
      </c>
      <c r="CE412" s="351" t="str">
        <f t="shared" si="1273"/>
        <v/>
      </c>
      <c r="CF412" s="509" t="str">
        <f t="shared" si="957"/>
        <v>TN.</v>
      </c>
      <c r="CG412" s="509"/>
      <c r="CH412" s="509"/>
    </row>
    <row r="413" spans="1:86" ht="13.5" customHeight="1" thickTop="1" x14ac:dyDescent="0.25">
      <c r="A413" s="354" t="e">
        <f t="shared" si="1060"/>
        <v>#REF!</v>
      </c>
      <c r="B413" s="556"/>
      <c r="C413" s="557"/>
      <c r="D413" s="457"/>
      <c r="E413" s="457"/>
      <c r="F413" s="457"/>
      <c r="G413" s="455"/>
      <c r="H413" s="455"/>
      <c r="I413" s="457"/>
      <c r="J413" s="457"/>
      <c r="K413" s="455"/>
      <c r="L413" s="457"/>
      <c r="M413" s="457"/>
      <c r="N413" s="457"/>
      <c r="O413" s="457"/>
      <c r="P413" s="457"/>
      <c r="Q413" s="457"/>
      <c r="R413" s="457"/>
      <c r="S413" s="834"/>
      <c r="T413" s="457"/>
      <c r="U413" s="457"/>
      <c r="V413" s="457"/>
      <c r="W413" s="457"/>
      <c r="X413" s="457"/>
      <c r="Y413" s="457"/>
      <c r="Z413" s="457"/>
      <c r="AA413" s="457"/>
      <c r="AB413" s="457"/>
      <c r="AC413" s="457"/>
      <c r="AD413" s="457"/>
      <c r="AE413" s="457"/>
      <c r="AF413" s="457"/>
      <c r="AG413" s="457"/>
      <c r="AH413" s="457"/>
      <c r="AI413" s="457"/>
      <c r="AJ413" s="457"/>
      <c r="AK413" s="457"/>
      <c r="AL413" s="457"/>
      <c r="AM413" s="457"/>
      <c r="AN413" s="457"/>
      <c r="AO413" s="457"/>
      <c r="AP413" s="457"/>
      <c r="AQ413" s="457"/>
      <c r="AR413" s="457"/>
      <c r="AS413" s="457"/>
      <c r="AT413" s="457"/>
      <c r="AU413" s="457"/>
      <c r="AV413" s="457"/>
      <c r="AW413" s="457"/>
      <c r="AX413" s="457"/>
      <c r="AY413" s="457"/>
      <c r="AZ413" s="457"/>
      <c r="BA413" s="457"/>
      <c r="BB413" s="457"/>
      <c r="BC413" s="457"/>
      <c r="BD413" s="457"/>
      <c r="BE413" s="457"/>
      <c r="BF413" s="457"/>
      <c r="BG413" s="457"/>
      <c r="BH413" s="457"/>
      <c r="BI413" s="8"/>
      <c r="BJ413" s="466" t="str">
        <f t="shared" si="1272"/>
        <v/>
      </c>
      <c r="BK413" s="354"/>
      <c r="BL413" s="354"/>
      <c r="BM413" s="354"/>
      <c r="BN413" s="354"/>
      <c r="BO413" s="354"/>
      <c r="BP413" s="354"/>
      <c r="BQ413" s="354"/>
      <c r="BR413" s="354"/>
      <c r="BS413" s="354"/>
      <c r="BT413" s="354"/>
      <c r="BU413" s="354"/>
      <c r="BV413" s="354"/>
      <c r="BW413" s="354"/>
      <c r="BX413" s="354"/>
      <c r="BY413" s="354"/>
      <c r="BZ413" s="354"/>
      <c r="CA413" s="354"/>
      <c r="CB413" s="354" t="b">
        <f t="shared" si="1189"/>
        <v>0</v>
      </c>
      <c r="CC413" s="509" t="str">
        <f t="shared" si="956"/>
        <v>TN.</v>
      </c>
      <c r="CD413" s="509" t="str">
        <f t="shared" si="1190"/>
        <v>TN.</v>
      </c>
      <c r="CE413" s="351" t="str">
        <f t="shared" si="1273"/>
        <v/>
      </c>
      <c r="CF413" s="509" t="str">
        <f t="shared" si="957"/>
        <v>TN.</v>
      </c>
      <c r="CG413" s="509"/>
      <c r="CH413" s="509"/>
    </row>
    <row r="414" spans="1:86" ht="20.25" customHeight="1" x14ac:dyDescent="0.25">
      <c r="A414" s="354" t="e">
        <f t="shared" si="1060"/>
        <v>#REF!</v>
      </c>
      <c r="B414" s="457"/>
      <c r="C414" s="455"/>
      <c r="D414" s="558"/>
      <c r="E414" s="558"/>
      <c r="F414" s="558"/>
      <c r="G414" s="559"/>
      <c r="H414" s="559"/>
      <c r="I414" s="467"/>
      <c r="J414" s="467"/>
      <c r="K414" s="559"/>
      <c r="L414" s="560"/>
      <c r="M414" s="560"/>
      <c r="N414" s="560"/>
      <c r="O414" s="560"/>
      <c r="P414" s="560"/>
      <c r="Q414" s="560"/>
      <c r="R414" s="560"/>
      <c r="S414" s="835"/>
      <c r="T414" s="560"/>
      <c r="U414" s="560"/>
      <c r="V414" s="560"/>
      <c r="W414" s="560"/>
      <c r="X414" s="560"/>
      <c r="Y414" s="560"/>
      <c r="Z414" s="560"/>
      <c r="AA414" s="560"/>
      <c r="AB414" s="560"/>
      <c r="AC414" s="560"/>
      <c r="AD414" s="560"/>
      <c r="AE414" s="560"/>
      <c r="AF414" s="560"/>
      <c r="AG414" s="560"/>
      <c r="AH414" s="560"/>
      <c r="AI414" s="560"/>
      <c r="AJ414" s="560"/>
      <c r="AK414" s="560"/>
      <c r="AL414" s="560"/>
      <c r="AM414" s="560"/>
      <c r="AN414" s="560"/>
      <c r="AO414" s="560"/>
      <c r="AP414" s="560"/>
      <c r="AQ414" s="560"/>
      <c r="AR414" s="560"/>
      <c r="AS414" s="560"/>
      <c r="AT414" s="560"/>
      <c r="AU414" s="560"/>
      <c r="AV414" s="560"/>
      <c r="AW414" s="560"/>
      <c r="AX414" s="560"/>
      <c r="AY414" s="560"/>
      <c r="AZ414" s="560"/>
      <c r="BA414" s="560"/>
      <c r="BB414" s="560"/>
      <c r="BC414" s="560"/>
      <c r="BD414" s="560"/>
      <c r="BE414" s="560"/>
      <c r="BF414" s="560"/>
      <c r="BG414" s="560"/>
      <c r="BH414" s="560"/>
      <c r="BI414" s="455"/>
      <c r="BJ414" s="466" t="str">
        <f t="shared" si="1272"/>
        <v/>
      </c>
      <c r="BK414" s="354"/>
      <c r="BL414" s="354"/>
      <c r="BM414" s="354"/>
      <c r="BN414" s="354"/>
      <c r="BO414" s="354"/>
      <c r="BP414" s="354"/>
      <c r="BQ414" s="354"/>
      <c r="BR414" s="354"/>
      <c r="BS414" s="354"/>
      <c r="BT414" s="354"/>
      <c r="BU414" s="354"/>
      <c r="BV414" s="354"/>
      <c r="BW414" s="354"/>
      <c r="BX414" s="354"/>
      <c r="BY414" s="354"/>
      <c r="BZ414" s="354"/>
      <c r="CA414" s="354"/>
      <c r="CB414" s="354" t="b">
        <f t="shared" si="1189"/>
        <v>0</v>
      </c>
      <c r="CG414" s="509"/>
      <c r="CH414" s="509"/>
    </row>
    <row r="415" spans="1:86" ht="20.25" customHeight="1" x14ac:dyDescent="0.25">
      <c r="A415" s="354" t="e">
        <f t="shared" si="1060"/>
        <v>#REF!</v>
      </c>
      <c r="B415" s="457"/>
      <c r="C415" s="561" t="s">
        <v>879</v>
      </c>
      <c r="D415" s="897" t="s">
        <v>491</v>
      </c>
      <c r="E415" s="898"/>
      <c r="F415" s="898"/>
      <c r="G415" s="898"/>
      <c r="H415" s="899"/>
      <c r="I415" s="483" t="s">
        <v>884</v>
      </c>
      <c r="J415" s="483"/>
      <c r="K415" s="562" t="s">
        <v>878</v>
      </c>
      <c r="L415" s="560"/>
      <c r="M415" s="560"/>
      <c r="N415" s="560"/>
      <c r="O415" s="560"/>
      <c r="P415" s="560"/>
      <c r="Q415" s="560"/>
      <c r="R415" s="560"/>
      <c r="S415" s="835"/>
      <c r="T415" s="560"/>
      <c r="U415" s="560"/>
      <c r="V415" s="560"/>
      <c r="W415" s="560"/>
      <c r="X415" s="560"/>
      <c r="Y415" s="560"/>
      <c r="Z415" s="560"/>
      <c r="AA415" s="560"/>
      <c r="AB415" s="560"/>
      <c r="AC415" s="560"/>
      <c r="AD415" s="560"/>
      <c r="AE415" s="560"/>
      <c r="AF415" s="560"/>
      <c r="AG415" s="560"/>
      <c r="AH415" s="560"/>
      <c r="AI415" s="560"/>
      <c r="AJ415" s="560"/>
      <c r="AK415" s="560"/>
      <c r="AL415" s="560"/>
      <c r="AM415" s="560"/>
      <c r="AN415" s="560"/>
      <c r="AO415" s="560"/>
      <c r="AP415" s="560"/>
      <c r="AQ415" s="560"/>
      <c r="AR415" s="560"/>
      <c r="AS415" s="560"/>
      <c r="AT415" s="560"/>
      <c r="AU415" s="560"/>
      <c r="AV415" s="560"/>
      <c r="AW415" s="560"/>
      <c r="AX415" s="560"/>
      <c r="AY415" s="560"/>
      <c r="AZ415" s="560"/>
      <c r="BA415" s="560"/>
      <c r="BB415" s="560"/>
      <c r="BC415" s="560"/>
      <c r="BD415" s="560"/>
      <c r="BE415" s="560"/>
      <c r="BF415" s="560"/>
      <c r="BG415" s="560"/>
      <c r="BH415" s="560"/>
      <c r="BI415" s="455"/>
      <c r="BJ415" s="466" t="str">
        <f t="shared" si="1272"/>
        <v>Cá</v>
      </c>
      <c r="BK415" s="354"/>
      <c r="BL415" s="354"/>
      <c r="BM415" s="354"/>
      <c r="BN415" s="354"/>
      <c r="BO415" s="354"/>
      <c r="BP415" s="354"/>
      <c r="BQ415" s="354"/>
      <c r="BR415" s="354"/>
      <c r="BS415" s="354"/>
      <c r="BT415" s="354"/>
      <c r="BU415" s="354"/>
      <c r="BV415" s="354"/>
      <c r="BW415" s="354"/>
      <c r="BX415" s="354"/>
      <c r="BY415" s="354"/>
      <c r="BZ415" s="354"/>
      <c r="CA415" s="354"/>
      <c r="CB415" s="354" t="b">
        <f t="shared" si="1189"/>
        <v>0</v>
      </c>
      <c r="CG415" s="509"/>
      <c r="CH415" s="509"/>
    </row>
    <row r="416" spans="1:86" ht="30.75" customHeight="1" x14ac:dyDescent="0.25">
      <c r="A416" s="354" t="e">
        <f t="shared" si="1060"/>
        <v>#REF!</v>
      </c>
      <c r="B416" s="457"/>
      <c r="C416" s="563" t="s">
        <v>869</v>
      </c>
      <c r="D416" s="900" t="s">
        <v>207</v>
      </c>
      <c r="E416" s="901"/>
      <c r="F416" s="901"/>
      <c r="G416" s="901"/>
      <c r="H416" s="902"/>
      <c r="I416" s="809">
        <f>SUMIF($E$18:$E$412,"Neo",I18:$I$412)-256</f>
        <v>1500</v>
      </c>
      <c r="J416" s="483"/>
      <c r="K416" s="562">
        <v>1300</v>
      </c>
      <c r="L416" s="560"/>
      <c r="M416" s="560"/>
      <c r="N416" s="560"/>
      <c r="O416" s="560"/>
      <c r="P416" s="560"/>
      <c r="Q416" s="560"/>
      <c r="R416" s="560"/>
      <c r="S416" s="835"/>
      <c r="T416" s="560"/>
      <c r="U416" s="560"/>
      <c r="V416" s="560"/>
      <c r="W416" s="560"/>
      <c r="X416" s="560"/>
      <c r="Y416" s="560"/>
      <c r="Z416" s="560"/>
      <c r="AA416" s="560"/>
      <c r="AB416" s="560"/>
      <c r="AC416" s="560"/>
      <c r="AD416" s="560"/>
      <c r="AE416" s="560"/>
      <c r="AF416" s="560"/>
      <c r="AG416" s="560"/>
      <c r="AH416" s="560"/>
      <c r="AI416" s="560"/>
      <c r="AJ416" s="560"/>
      <c r="AK416" s="560"/>
      <c r="AL416" s="560"/>
      <c r="AM416" s="560"/>
      <c r="AN416" s="560"/>
      <c r="AO416" s="560"/>
      <c r="AP416" s="560"/>
      <c r="AQ416" s="560"/>
      <c r="AR416" s="560"/>
      <c r="AS416" s="560"/>
      <c r="AT416" s="560"/>
      <c r="AU416" s="560"/>
      <c r="AV416" s="560"/>
      <c r="AW416" s="560"/>
      <c r="AX416" s="560"/>
      <c r="AY416" s="560"/>
      <c r="AZ416" s="560"/>
      <c r="BA416" s="560"/>
      <c r="BB416" s="560"/>
      <c r="BC416" s="560"/>
      <c r="BD416" s="560"/>
      <c r="BE416" s="560"/>
      <c r="BF416" s="560"/>
      <c r="BG416" s="560"/>
      <c r="BH416" s="560"/>
      <c r="BI416" s="455"/>
      <c r="BJ416" s="466" t="str">
        <f t="shared" si="1272"/>
        <v>Lò</v>
      </c>
      <c r="BK416" s="354"/>
      <c r="BL416" s="354"/>
      <c r="BM416" s="354"/>
      <c r="BN416" s="354"/>
      <c r="BO416" s="354"/>
      <c r="BP416" s="354"/>
      <c r="BQ416" s="354"/>
      <c r="BR416" s="354"/>
      <c r="BS416" s="354"/>
      <c r="BT416" s="354"/>
      <c r="BU416" s="354"/>
      <c r="BV416" s="354"/>
      <c r="BW416" s="354"/>
      <c r="BX416" s="354"/>
      <c r="BY416" s="354"/>
      <c r="BZ416" s="354"/>
      <c r="CA416" s="354"/>
      <c r="CB416" s="354" t="str">
        <f t="shared" si="1189"/>
        <v>X</v>
      </c>
      <c r="CG416" s="509"/>
      <c r="CH416" s="509"/>
    </row>
    <row r="417" spans="1:86" ht="30.75" customHeight="1" x14ac:dyDescent="0.25">
      <c r="A417" s="354" t="e">
        <f t="shared" si="1060"/>
        <v>#REF!</v>
      </c>
      <c r="B417" s="457"/>
      <c r="C417" s="563" t="s">
        <v>870</v>
      </c>
      <c r="D417" s="897" t="s">
        <v>868</v>
      </c>
      <c r="E417" s="898"/>
      <c r="F417" s="898"/>
      <c r="G417" s="898"/>
      <c r="H417" s="899"/>
      <c r="I417" s="810">
        <f>SUMIF($E$18:$E$412,"EBH",I18:$I$412)+20</f>
        <v>1500</v>
      </c>
      <c r="J417" s="893">
        <f>I417+I418</f>
        <v>3187</v>
      </c>
      <c r="K417" s="562">
        <v>1500</v>
      </c>
      <c r="L417" s="895" t="s">
        <v>880</v>
      </c>
      <c r="M417" s="896"/>
      <c r="N417" s="896"/>
      <c r="O417" s="896"/>
      <c r="P417" s="896"/>
      <c r="Q417" s="896"/>
      <c r="R417" s="896"/>
      <c r="S417" s="896"/>
      <c r="T417" s="896"/>
      <c r="U417" s="896"/>
      <c r="V417" s="896"/>
      <c r="W417" s="896"/>
      <c r="X417" s="896"/>
      <c r="Y417" s="896"/>
      <c r="Z417" s="896"/>
      <c r="AA417" s="896"/>
      <c r="AB417" s="896"/>
      <c r="AC417" s="896"/>
      <c r="AD417" s="896"/>
      <c r="AE417" s="896"/>
      <c r="AF417" s="896"/>
      <c r="AG417" s="896"/>
      <c r="AH417" s="896"/>
      <c r="AI417" s="896"/>
      <c r="AJ417" s="896"/>
      <c r="AK417" s="896"/>
      <c r="AL417" s="896"/>
      <c r="AM417" s="896"/>
      <c r="AN417" s="896"/>
      <c r="AO417" s="896"/>
      <c r="AP417" s="896"/>
      <c r="AQ417" s="896"/>
      <c r="AR417" s="896"/>
      <c r="AS417" s="896"/>
      <c r="AT417" s="896"/>
      <c r="AU417" s="896"/>
      <c r="AV417" s="896"/>
      <c r="AW417" s="896"/>
      <c r="AX417" s="896"/>
      <c r="AY417" s="896"/>
      <c r="AZ417" s="896"/>
      <c r="BA417" s="896"/>
      <c r="BB417" s="896"/>
      <c r="BC417" s="896"/>
      <c r="BD417" s="896"/>
      <c r="BE417" s="896"/>
      <c r="BF417" s="896"/>
      <c r="BG417" s="896"/>
      <c r="BH417" s="896"/>
      <c r="BI417" s="896"/>
      <c r="BJ417" s="466" t="str">
        <f t="shared" si="1272"/>
        <v>Lò</v>
      </c>
      <c r="BK417" s="354"/>
      <c r="BL417" s="354"/>
      <c r="BM417" s="354"/>
      <c r="BN417" s="354"/>
      <c r="BO417" s="354"/>
      <c r="BP417" s="354"/>
      <c r="BQ417" s="354"/>
      <c r="BR417" s="354"/>
      <c r="BS417" s="354"/>
      <c r="BT417" s="354"/>
      <c r="BU417" s="354"/>
      <c r="BV417" s="354"/>
      <c r="BW417" s="354"/>
      <c r="BX417" s="354"/>
      <c r="BY417" s="354"/>
      <c r="BZ417" s="354"/>
      <c r="CA417" s="354"/>
      <c r="CB417" s="354" t="str">
        <f t="shared" si="1189"/>
        <v>X</v>
      </c>
      <c r="CG417" s="509"/>
      <c r="CH417" s="509"/>
    </row>
    <row r="418" spans="1:86" ht="26.25" customHeight="1" x14ac:dyDescent="0.25">
      <c r="A418" s="354"/>
      <c r="B418" s="457"/>
      <c r="C418" s="563" t="s">
        <v>877</v>
      </c>
      <c r="D418" s="897" t="s">
        <v>876</v>
      </c>
      <c r="E418" s="898"/>
      <c r="F418" s="898"/>
      <c r="G418" s="898"/>
      <c r="H418" s="899"/>
      <c r="I418" s="564">
        <f>SUMIF($E$18:$E$412,"(EBH)",I18:$I$412)</f>
        <v>1687</v>
      </c>
      <c r="J418" s="894"/>
      <c r="K418" s="562"/>
      <c r="L418" s="560"/>
      <c r="M418" s="560"/>
      <c r="N418" s="560"/>
      <c r="O418" s="560"/>
      <c r="P418" s="560"/>
      <c r="Q418" s="560"/>
      <c r="R418" s="560"/>
      <c r="S418" s="835"/>
      <c r="T418" s="560"/>
      <c r="U418" s="560"/>
      <c r="V418" s="560"/>
      <c r="W418" s="560"/>
      <c r="X418" s="560"/>
      <c r="Y418" s="560"/>
      <c r="Z418" s="560"/>
      <c r="AA418" s="560"/>
      <c r="AB418" s="560"/>
      <c r="AC418" s="560"/>
      <c r="AD418" s="560"/>
      <c r="AE418" s="560"/>
      <c r="AF418" s="560"/>
      <c r="AG418" s="560"/>
      <c r="AH418" s="560"/>
      <c r="AI418" s="560"/>
      <c r="AJ418" s="560"/>
      <c r="AK418" s="560"/>
      <c r="AL418" s="560"/>
      <c r="AM418" s="560"/>
      <c r="AN418" s="560"/>
      <c r="AO418" s="560"/>
      <c r="AP418" s="560"/>
      <c r="AQ418" s="560"/>
      <c r="AR418" s="560"/>
      <c r="AS418" s="560"/>
      <c r="AT418" s="560"/>
      <c r="AU418" s="560"/>
      <c r="AV418" s="560"/>
      <c r="AW418" s="560"/>
      <c r="AX418" s="560"/>
      <c r="AY418" s="560"/>
      <c r="AZ418" s="560"/>
      <c r="BA418" s="560"/>
      <c r="BB418" s="560"/>
      <c r="BC418" s="560"/>
      <c r="BD418" s="560"/>
      <c r="BE418" s="560"/>
      <c r="BF418" s="560"/>
      <c r="BG418" s="560"/>
      <c r="BH418" s="560"/>
      <c r="BI418" s="455"/>
      <c r="BJ418" s="466"/>
      <c r="BK418" s="354"/>
      <c r="BL418" s="354"/>
      <c r="BM418" s="354"/>
      <c r="BN418" s="354"/>
      <c r="BO418" s="354"/>
      <c r="BP418" s="354"/>
      <c r="BQ418" s="354"/>
      <c r="BR418" s="354"/>
      <c r="BS418" s="354"/>
      <c r="BT418" s="354"/>
      <c r="BU418" s="354"/>
      <c r="BV418" s="354"/>
      <c r="BW418" s="354"/>
      <c r="BX418" s="354"/>
      <c r="BY418" s="354"/>
      <c r="BZ418" s="354"/>
      <c r="CA418" s="354"/>
      <c r="CB418" s="354" t="str">
        <f t="shared" si="1189"/>
        <v>X</v>
      </c>
      <c r="CG418" s="509"/>
      <c r="CH418" s="509"/>
    </row>
    <row r="419" spans="1:86" ht="26.25" customHeight="1" x14ac:dyDescent="0.25">
      <c r="A419" s="354" t="e">
        <f>A417</f>
        <v>#REF!</v>
      </c>
      <c r="B419" s="457"/>
      <c r="C419" s="563" t="s">
        <v>871</v>
      </c>
      <c r="D419" s="897" t="s">
        <v>873</v>
      </c>
      <c r="E419" s="898"/>
      <c r="F419" s="898"/>
      <c r="G419" s="898"/>
      <c r="H419" s="899"/>
      <c r="I419" s="811">
        <f>SUMIF($E$18:$E$412,"XK-MX",I18:$I$412)-1055</f>
        <v>1600</v>
      </c>
      <c r="J419" s="483"/>
      <c r="K419" s="562">
        <v>1400</v>
      </c>
      <c r="L419" s="560"/>
      <c r="M419" s="560"/>
      <c r="N419" s="560"/>
      <c r="O419" s="560"/>
      <c r="P419" s="560"/>
      <c r="Q419" s="560"/>
      <c r="R419" s="560"/>
      <c r="S419" s="835"/>
      <c r="T419" s="560"/>
      <c r="U419" s="560"/>
      <c r="V419" s="560"/>
      <c r="W419" s="560"/>
      <c r="X419" s="560"/>
      <c r="Y419" s="560"/>
      <c r="Z419" s="560"/>
      <c r="AA419" s="560"/>
      <c r="AB419" s="560"/>
      <c r="AC419" s="560"/>
      <c r="AD419" s="560"/>
      <c r="AE419" s="560"/>
      <c r="AF419" s="560"/>
      <c r="AG419" s="560"/>
      <c r="AH419" s="560"/>
      <c r="AI419" s="560"/>
      <c r="AJ419" s="560"/>
      <c r="AK419" s="560"/>
      <c r="AL419" s="560"/>
      <c r="AM419" s="560"/>
      <c r="AN419" s="560"/>
      <c r="AO419" s="560"/>
      <c r="AP419" s="560"/>
      <c r="AQ419" s="560"/>
      <c r="AR419" s="560"/>
      <c r="AS419" s="560"/>
      <c r="AT419" s="560"/>
      <c r="AU419" s="560"/>
      <c r="AV419" s="560"/>
      <c r="AW419" s="560"/>
      <c r="AX419" s="560"/>
      <c r="AY419" s="560"/>
      <c r="AZ419" s="560"/>
      <c r="BA419" s="560"/>
      <c r="BB419" s="560"/>
      <c r="BC419" s="560"/>
      <c r="BD419" s="560"/>
      <c r="BE419" s="560"/>
      <c r="BF419" s="560"/>
      <c r="BG419" s="560"/>
      <c r="BH419" s="560"/>
      <c r="BI419" s="455"/>
      <c r="BJ419" s="466" t="str">
        <f>LEFT(C419,2)</f>
        <v>Lò</v>
      </c>
      <c r="BK419" s="354"/>
      <c r="BL419" s="354"/>
      <c r="BM419" s="354"/>
      <c r="BN419" s="354"/>
      <c r="BO419" s="354"/>
      <c r="BP419" s="354"/>
      <c r="BQ419" s="354"/>
      <c r="BR419" s="354"/>
      <c r="BS419" s="354"/>
      <c r="BT419" s="354"/>
      <c r="BU419" s="354"/>
      <c r="BV419" s="354"/>
      <c r="BW419" s="354"/>
      <c r="BX419" s="354"/>
      <c r="BY419" s="354"/>
      <c r="BZ419" s="354"/>
      <c r="CA419" s="354"/>
      <c r="CB419" s="354" t="str">
        <f t="shared" si="1189"/>
        <v>X</v>
      </c>
      <c r="CG419" s="509"/>
      <c r="CH419" s="509"/>
    </row>
    <row r="420" spans="1:86" ht="21" customHeight="1" x14ac:dyDescent="0.25">
      <c r="A420" s="354"/>
      <c r="B420" s="457"/>
      <c r="C420" s="563" t="s">
        <v>881</v>
      </c>
      <c r="D420" s="897" t="s">
        <v>873</v>
      </c>
      <c r="E420" s="898"/>
      <c r="F420" s="898"/>
      <c r="G420" s="898"/>
      <c r="H420" s="899"/>
      <c r="I420" s="564">
        <v>250</v>
      </c>
      <c r="J420" s="483"/>
      <c r="K420" s="562"/>
      <c r="L420" s="560"/>
      <c r="M420" s="560"/>
      <c r="N420" s="560"/>
      <c r="O420" s="560"/>
      <c r="P420" s="560"/>
      <c r="Q420" s="560"/>
      <c r="R420" s="560"/>
      <c r="S420" s="835"/>
      <c r="T420" s="560"/>
      <c r="U420" s="560"/>
      <c r="V420" s="560"/>
      <c r="W420" s="560"/>
      <c r="X420" s="560"/>
      <c r="Y420" s="560"/>
      <c r="Z420" s="560"/>
      <c r="AA420" s="560"/>
      <c r="AB420" s="560"/>
      <c r="AC420" s="560"/>
      <c r="AD420" s="560"/>
      <c r="AE420" s="560"/>
      <c r="AF420" s="560"/>
      <c r="AG420" s="560"/>
      <c r="AH420" s="560"/>
      <c r="AI420" s="560"/>
      <c r="AJ420" s="560"/>
      <c r="AK420" s="560"/>
      <c r="AL420" s="560"/>
      <c r="AM420" s="560"/>
      <c r="AN420" s="560"/>
      <c r="AO420" s="560"/>
      <c r="AP420" s="560"/>
      <c r="AQ420" s="560"/>
      <c r="AR420" s="560"/>
      <c r="AS420" s="560"/>
      <c r="AT420" s="560"/>
      <c r="AU420" s="560"/>
      <c r="AV420" s="560"/>
      <c r="AW420" s="560"/>
      <c r="AX420" s="560"/>
      <c r="AY420" s="560"/>
      <c r="AZ420" s="560"/>
      <c r="BA420" s="560"/>
      <c r="BB420" s="560"/>
      <c r="BC420" s="560"/>
      <c r="BD420" s="560"/>
      <c r="BE420" s="560"/>
      <c r="BF420" s="560"/>
      <c r="BG420" s="560"/>
      <c r="BH420" s="560"/>
      <c r="BI420" s="455"/>
      <c r="BJ420" s="466"/>
      <c r="BK420" s="354"/>
      <c r="BL420" s="354"/>
      <c r="BM420" s="354"/>
      <c r="BN420" s="354"/>
      <c r="BO420" s="354"/>
      <c r="BP420" s="354"/>
      <c r="BQ420" s="354"/>
      <c r="BR420" s="354"/>
      <c r="BS420" s="354"/>
      <c r="BT420" s="354"/>
      <c r="BU420" s="354"/>
      <c r="BV420" s="354"/>
      <c r="BW420" s="354"/>
      <c r="BX420" s="354"/>
      <c r="BY420" s="354"/>
      <c r="BZ420" s="354"/>
      <c r="CA420" s="354"/>
      <c r="CB420" s="354"/>
      <c r="CG420" s="509"/>
      <c r="CH420" s="509"/>
    </row>
    <row r="421" spans="1:86" ht="21" customHeight="1" x14ac:dyDescent="0.25">
      <c r="A421" s="354"/>
      <c r="B421" s="457"/>
      <c r="C421" s="563" t="s">
        <v>882</v>
      </c>
      <c r="D421" s="897" t="s">
        <v>873</v>
      </c>
      <c r="E421" s="898"/>
      <c r="F421" s="898"/>
      <c r="G421" s="898"/>
      <c r="H421" s="899"/>
      <c r="I421" s="564">
        <f>I419-I420-I422</f>
        <v>550</v>
      </c>
      <c r="J421" s="483"/>
      <c r="K421" s="562"/>
      <c r="L421" s="560"/>
      <c r="M421" s="560"/>
      <c r="N421" s="560"/>
      <c r="O421" s="560"/>
      <c r="P421" s="560"/>
      <c r="Q421" s="560"/>
      <c r="R421" s="560"/>
      <c r="S421" s="835"/>
      <c r="T421" s="560"/>
      <c r="U421" s="560"/>
      <c r="V421" s="560"/>
      <c r="W421" s="560"/>
      <c r="X421" s="560"/>
      <c r="Y421" s="560"/>
      <c r="Z421" s="560"/>
      <c r="AA421" s="560"/>
      <c r="AB421" s="560"/>
      <c r="AC421" s="560"/>
      <c r="AD421" s="560"/>
      <c r="AE421" s="560"/>
      <c r="AF421" s="560"/>
      <c r="AG421" s="560"/>
      <c r="AH421" s="560"/>
      <c r="AI421" s="560"/>
      <c r="AJ421" s="560"/>
      <c r="AK421" s="560"/>
      <c r="AL421" s="560"/>
      <c r="AM421" s="560"/>
      <c r="AN421" s="560"/>
      <c r="AO421" s="560"/>
      <c r="AP421" s="560"/>
      <c r="AQ421" s="560"/>
      <c r="AR421" s="560"/>
      <c r="AS421" s="560"/>
      <c r="AT421" s="560"/>
      <c r="AU421" s="560"/>
      <c r="AV421" s="560"/>
      <c r="AW421" s="560"/>
      <c r="AX421" s="560"/>
      <c r="AY421" s="560"/>
      <c r="AZ421" s="560"/>
      <c r="BA421" s="560"/>
      <c r="BB421" s="560"/>
      <c r="BC421" s="560"/>
      <c r="BD421" s="560"/>
      <c r="BE421" s="560"/>
      <c r="BF421" s="560"/>
      <c r="BG421" s="560"/>
      <c r="BH421" s="560"/>
      <c r="BI421" s="455"/>
      <c r="BJ421" s="466"/>
      <c r="BK421" s="354"/>
      <c r="BL421" s="354"/>
      <c r="BM421" s="354"/>
      <c r="BN421" s="354"/>
      <c r="BO421" s="354"/>
      <c r="BP421" s="354"/>
      <c r="BQ421" s="354"/>
      <c r="BR421" s="354"/>
      <c r="BS421" s="354"/>
      <c r="BT421" s="354"/>
      <c r="BU421" s="354"/>
      <c r="BV421" s="354"/>
      <c r="BW421" s="354"/>
      <c r="BX421" s="354"/>
      <c r="BY421" s="354"/>
      <c r="BZ421" s="354"/>
      <c r="CA421" s="354"/>
      <c r="CB421" s="354"/>
      <c r="CG421" s="509"/>
      <c r="CH421" s="509"/>
    </row>
    <row r="422" spans="1:86" ht="24.75" customHeight="1" x14ac:dyDescent="0.25">
      <c r="A422" s="354"/>
      <c r="B422" s="457"/>
      <c r="C422" s="563" t="s">
        <v>883</v>
      </c>
      <c r="D422" s="897" t="s">
        <v>873</v>
      </c>
      <c r="E422" s="898"/>
      <c r="F422" s="898"/>
      <c r="G422" s="898"/>
      <c r="H422" s="899"/>
      <c r="I422" s="564">
        <v>800</v>
      </c>
      <c r="J422" s="483"/>
      <c r="K422" s="562"/>
      <c r="L422" s="560"/>
      <c r="M422" s="560"/>
      <c r="N422" s="560"/>
      <c r="O422" s="560"/>
      <c r="P422" s="560"/>
      <c r="Q422" s="560"/>
      <c r="R422" s="560"/>
      <c r="S422" s="835"/>
      <c r="T422" s="560"/>
      <c r="U422" s="560"/>
      <c r="V422" s="560"/>
      <c r="W422" s="560"/>
      <c r="X422" s="560"/>
      <c r="Y422" s="560"/>
      <c r="Z422" s="560"/>
      <c r="AA422" s="560"/>
      <c r="AB422" s="560"/>
      <c r="AC422" s="560"/>
      <c r="AD422" s="560"/>
      <c r="AE422" s="560"/>
      <c r="AF422" s="560"/>
      <c r="AG422" s="560"/>
      <c r="AH422" s="560"/>
      <c r="AI422" s="560"/>
      <c r="AJ422" s="560"/>
      <c r="AK422" s="560"/>
      <c r="AL422" s="560"/>
      <c r="AM422" s="560"/>
      <c r="AN422" s="560"/>
      <c r="AO422" s="560"/>
      <c r="AP422" s="560"/>
      <c r="AQ422" s="560"/>
      <c r="AR422" s="560"/>
      <c r="AS422" s="560"/>
      <c r="AT422" s="560"/>
      <c r="AU422" s="560"/>
      <c r="AV422" s="560"/>
      <c r="AW422" s="560"/>
      <c r="AX422" s="560"/>
      <c r="AY422" s="560"/>
      <c r="AZ422" s="560"/>
      <c r="BA422" s="560"/>
      <c r="BB422" s="560"/>
      <c r="BC422" s="560"/>
      <c r="BD422" s="560"/>
      <c r="BE422" s="560"/>
      <c r="BF422" s="560"/>
      <c r="BG422" s="560"/>
      <c r="BH422" s="560"/>
      <c r="BI422" s="455"/>
      <c r="BJ422" s="466"/>
      <c r="BK422" s="354"/>
      <c r="BL422" s="354"/>
      <c r="BM422" s="354"/>
      <c r="BN422" s="354"/>
      <c r="BO422" s="354"/>
      <c r="BP422" s="354"/>
      <c r="BQ422" s="354"/>
      <c r="BR422" s="354"/>
      <c r="BS422" s="354"/>
      <c r="BT422" s="354"/>
      <c r="BU422" s="354"/>
      <c r="BV422" s="354"/>
      <c r="BW422" s="354"/>
      <c r="BX422" s="354"/>
      <c r="BY422" s="354"/>
      <c r="BZ422" s="354"/>
      <c r="CA422" s="354"/>
      <c r="CB422" s="354"/>
      <c r="CG422" s="509"/>
      <c r="CH422" s="509"/>
    </row>
    <row r="423" spans="1:86" ht="20.25" customHeight="1" x14ac:dyDescent="0.25">
      <c r="A423" s="354" t="e">
        <f>A419</f>
        <v>#REF!</v>
      </c>
      <c r="B423" s="457"/>
      <c r="C423" s="563" t="s">
        <v>872</v>
      </c>
      <c r="D423" s="897" t="s">
        <v>875</v>
      </c>
      <c r="E423" s="898"/>
      <c r="F423" s="898"/>
      <c r="G423" s="898"/>
      <c r="H423" s="899"/>
      <c r="I423" s="483">
        <f ca="1">SUMIF($E$18:$F$412,"KT",I18:$I$412)</f>
        <v>3013</v>
      </c>
      <c r="J423" s="483"/>
      <c r="K423" s="562"/>
      <c r="L423" s="560">
        <v>3200</v>
      </c>
      <c r="M423" s="560" t="s">
        <v>885</v>
      </c>
      <c r="N423" s="560"/>
      <c r="O423" s="560"/>
      <c r="P423" s="560"/>
      <c r="Q423" s="560"/>
      <c r="R423" s="560"/>
      <c r="S423" s="835"/>
      <c r="T423" s="560"/>
      <c r="U423" s="560"/>
      <c r="V423" s="560"/>
      <c r="W423" s="560"/>
      <c r="X423" s="560"/>
      <c r="Y423" s="560"/>
      <c r="Z423" s="560"/>
      <c r="AA423" s="560"/>
      <c r="AB423" s="560"/>
      <c r="AC423" s="560"/>
      <c r="AD423" s="560"/>
      <c r="AE423" s="560"/>
      <c r="AF423" s="560"/>
      <c r="AG423" s="560"/>
      <c r="AH423" s="560"/>
      <c r="AI423" s="560"/>
      <c r="AJ423" s="560"/>
      <c r="AK423" s="560"/>
      <c r="AL423" s="560"/>
      <c r="AM423" s="560"/>
      <c r="AN423" s="560"/>
      <c r="AO423" s="560"/>
      <c r="AP423" s="560"/>
      <c r="AQ423" s="560"/>
      <c r="AR423" s="560"/>
      <c r="AS423" s="560"/>
      <c r="AT423" s="560"/>
      <c r="AU423" s="560"/>
      <c r="AV423" s="560"/>
      <c r="AW423" s="560"/>
      <c r="AX423" s="560"/>
      <c r="AY423" s="560"/>
      <c r="AZ423" s="560"/>
      <c r="BA423" s="560"/>
      <c r="BB423" s="560"/>
      <c r="BC423" s="560"/>
      <c r="BD423" s="560"/>
      <c r="BE423" s="560"/>
      <c r="BF423" s="560"/>
      <c r="BG423" s="560"/>
      <c r="BH423" s="560"/>
      <c r="BI423" s="455"/>
      <c r="BJ423" s="466" t="str">
        <f t="shared" ref="BJ423:BJ454" si="1327">LEFT(C423,2)</f>
        <v>Lò</v>
      </c>
      <c r="BK423" s="354"/>
      <c r="BL423" s="354"/>
      <c r="BM423" s="354"/>
      <c r="BN423" s="354"/>
      <c r="BO423" s="354"/>
      <c r="BP423" s="354"/>
      <c r="BQ423" s="354"/>
      <c r="BR423" s="354"/>
      <c r="BS423" s="354"/>
      <c r="BT423" s="354"/>
      <c r="BU423" s="354"/>
      <c r="BV423" s="354"/>
      <c r="BW423" s="354"/>
      <c r="BX423" s="354"/>
      <c r="BY423" s="354"/>
      <c r="BZ423" s="354"/>
      <c r="CA423" s="354"/>
      <c r="CB423" s="354" t="str">
        <f t="shared" ca="1" si="1189"/>
        <v>X</v>
      </c>
      <c r="CG423" s="509"/>
      <c r="CH423" s="509"/>
    </row>
    <row r="424" spans="1:86" ht="13.5" customHeight="1" x14ac:dyDescent="0.25">
      <c r="A424" s="354" t="e">
        <f t="shared" si="1060"/>
        <v>#REF!</v>
      </c>
      <c r="B424" s="457"/>
      <c r="C424" s="455"/>
      <c r="D424" s="558"/>
      <c r="E424" s="558"/>
      <c r="F424" s="558"/>
      <c r="G424" s="559"/>
      <c r="H424" s="559"/>
      <c r="I424" s="467"/>
      <c r="J424" s="467"/>
      <c r="K424" s="559"/>
      <c r="L424" s="560"/>
      <c r="M424" s="560"/>
      <c r="N424" s="560"/>
      <c r="O424" s="560"/>
      <c r="P424" s="560"/>
      <c r="Q424" s="560"/>
      <c r="R424" s="560"/>
      <c r="S424" s="835"/>
      <c r="T424" s="560"/>
      <c r="U424" s="560"/>
      <c r="V424" s="560"/>
      <c r="W424" s="560"/>
      <c r="X424" s="560"/>
      <c r="Y424" s="560"/>
      <c r="Z424" s="560"/>
      <c r="AA424" s="560"/>
      <c r="AB424" s="560"/>
      <c r="AC424" s="560"/>
      <c r="AD424" s="560"/>
      <c r="AE424" s="560"/>
      <c r="AF424" s="560"/>
      <c r="AG424" s="560"/>
      <c r="AH424" s="560"/>
      <c r="AI424" s="560"/>
      <c r="AJ424" s="560"/>
      <c r="AK424" s="560"/>
      <c r="AL424" s="560"/>
      <c r="AM424" s="560"/>
      <c r="AN424" s="560"/>
      <c r="AO424" s="560"/>
      <c r="AP424" s="560"/>
      <c r="AQ424" s="560"/>
      <c r="AR424" s="560"/>
      <c r="AS424" s="560"/>
      <c r="AT424" s="560"/>
      <c r="AU424" s="560"/>
      <c r="AV424" s="560"/>
      <c r="AW424" s="560"/>
      <c r="AX424" s="560"/>
      <c r="AY424" s="560"/>
      <c r="AZ424" s="560"/>
      <c r="BA424" s="560"/>
      <c r="BB424" s="560"/>
      <c r="BC424" s="560"/>
      <c r="BD424" s="560"/>
      <c r="BE424" s="560"/>
      <c r="BF424" s="560"/>
      <c r="BG424" s="560"/>
      <c r="BH424" s="560"/>
      <c r="BI424" s="455"/>
      <c r="BJ424" s="466" t="str">
        <f t="shared" si="1327"/>
        <v/>
      </c>
      <c r="BK424" s="354"/>
      <c r="BL424" s="354"/>
      <c r="BM424" s="354"/>
      <c r="BN424" s="354"/>
      <c r="BO424" s="354"/>
      <c r="BP424" s="354"/>
      <c r="BQ424" s="354"/>
      <c r="BR424" s="354"/>
      <c r="BS424" s="354"/>
      <c r="BT424" s="354"/>
      <c r="BU424" s="354"/>
      <c r="BV424" s="354"/>
      <c r="BW424" s="354"/>
      <c r="BX424" s="354"/>
      <c r="BY424" s="354"/>
      <c r="BZ424" s="354"/>
      <c r="CA424" s="354"/>
      <c r="CB424" s="354" t="b">
        <f t="shared" si="1189"/>
        <v>0</v>
      </c>
      <c r="CG424" s="509"/>
      <c r="CH424" s="509"/>
    </row>
    <row r="425" spans="1:86" ht="13.5" customHeight="1" x14ac:dyDescent="0.25">
      <c r="A425" s="354" t="e">
        <f t="shared" si="1060"/>
        <v>#REF!</v>
      </c>
      <c r="B425" s="457"/>
      <c r="C425" s="455"/>
      <c r="D425" s="558"/>
      <c r="E425" s="558"/>
      <c r="F425" s="558"/>
      <c r="G425" s="559"/>
      <c r="H425" s="559"/>
      <c r="I425" s="467"/>
      <c r="J425" s="467"/>
      <c r="K425" s="559"/>
      <c r="L425" s="560"/>
      <c r="M425" s="560"/>
      <c r="N425" s="560"/>
      <c r="O425" s="560"/>
      <c r="P425" s="560"/>
      <c r="Q425" s="560"/>
      <c r="R425" s="560"/>
      <c r="S425" s="835"/>
      <c r="T425" s="560"/>
      <c r="U425" s="560"/>
      <c r="V425" s="560"/>
      <c r="W425" s="560"/>
      <c r="X425" s="560"/>
      <c r="Y425" s="560"/>
      <c r="Z425" s="560"/>
      <c r="AA425" s="560"/>
      <c r="AB425" s="560"/>
      <c r="AC425" s="560"/>
      <c r="AD425" s="560"/>
      <c r="AE425" s="560"/>
      <c r="AF425" s="560"/>
      <c r="AG425" s="560"/>
      <c r="AH425" s="560"/>
      <c r="AI425" s="560"/>
      <c r="AJ425" s="560"/>
      <c r="AK425" s="560"/>
      <c r="AL425" s="560"/>
      <c r="AM425" s="560"/>
      <c r="AN425" s="560"/>
      <c r="AO425" s="560"/>
      <c r="AP425" s="560"/>
      <c r="AQ425" s="560"/>
      <c r="AR425" s="560"/>
      <c r="AS425" s="560"/>
      <c r="AT425" s="560"/>
      <c r="AU425" s="560"/>
      <c r="AV425" s="560"/>
      <c r="AW425" s="560"/>
      <c r="AX425" s="560"/>
      <c r="AY425" s="560"/>
      <c r="AZ425" s="560"/>
      <c r="BA425" s="560"/>
      <c r="BB425" s="560"/>
      <c r="BC425" s="560"/>
      <c r="BD425" s="560"/>
      <c r="BE425" s="560"/>
      <c r="BF425" s="560"/>
      <c r="BG425" s="560"/>
      <c r="BH425" s="560"/>
      <c r="BI425" s="455"/>
      <c r="BJ425" s="466" t="str">
        <f t="shared" si="1327"/>
        <v/>
      </c>
      <c r="BK425" s="354"/>
      <c r="BL425" s="354"/>
      <c r="BM425" s="354"/>
      <c r="BN425" s="354"/>
      <c r="BO425" s="354"/>
      <c r="BP425" s="354"/>
      <c r="BQ425" s="354"/>
      <c r="BR425" s="354"/>
      <c r="BS425" s="354"/>
      <c r="BT425" s="354"/>
      <c r="BU425" s="354"/>
      <c r="BV425" s="354"/>
      <c r="BW425" s="354"/>
      <c r="BX425" s="354"/>
      <c r="BY425" s="354"/>
      <c r="BZ425" s="354"/>
      <c r="CA425" s="354"/>
      <c r="CB425" s="354" t="b">
        <f t="shared" si="1189"/>
        <v>0</v>
      </c>
      <c r="CG425" s="509"/>
      <c r="CH425" s="509"/>
    </row>
    <row r="426" spans="1:86" ht="13.5" customHeight="1" x14ac:dyDescent="0.25">
      <c r="A426" s="354" t="e">
        <f t="shared" si="1060"/>
        <v>#REF!</v>
      </c>
      <c r="B426" s="457"/>
      <c r="C426" s="455"/>
      <c r="D426" s="558"/>
      <c r="E426" s="558"/>
      <c r="F426" s="558"/>
      <c r="G426" s="559"/>
      <c r="H426" s="559"/>
      <c r="I426" s="467"/>
      <c r="J426" s="467"/>
      <c r="K426" s="559"/>
      <c r="L426" s="560"/>
      <c r="M426" s="560"/>
      <c r="N426" s="560"/>
      <c r="O426" s="560"/>
      <c r="P426" s="560"/>
      <c r="Q426" s="560"/>
      <c r="R426" s="560"/>
      <c r="S426" s="835"/>
      <c r="T426" s="560"/>
      <c r="U426" s="560"/>
      <c r="V426" s="560"/>
      <c r="W426" s="560"/>
      <c r="X426" s="560"/>
      <c r="Y426" s="560"/>
      <c r="Z426" s="560"/>
      <c r="AA426" s="560"/>
      <c r="AB426" s="560"/>
      <c r="AC426" s="560"/>
      <c r="AD426" s="560"/>
      <c r="AE426" s="560"/>
      <c r="AF426" s="560"/>
      <c r="AG426" s="560"/>
      <c r="AH426" s="560"/>
      <c r="AI426" s="560"/>
      <c r="AJ426" s="560"/>
      <c r="AK426" s="560"/>
      <c r="AL426" s="560"/>
      <c r="AM426" s="560"/>
      <c r="AN426" s="560"/>
      <c r="AO426" s="560"/>
      <c r="AP426" s="560"/>
      <c r="AQ426" s="560"/>
      <c r="AR426" s="560"/>
      <c r="AS426" s="560"/>
      <c r="AT426" s="560"/>
      <c r="AU426" s="560"/>
      <c r="AV426" s="560"/>
      <c r="AW426" s="560"/>
      <c r="AX426" s="560"/>
      <c r="AY426" s="560"/>
      <c r="AZ426" s="560"/>
      <c r="BA426" s="560"/>
      <c r="BB426" s="560"/>
      <c r="BC426" s="560"/>
      <c r="BD426" s="560"/>
      <c r="BE426" s="560"/>
      <c r="BF426" s="560"/>
      <c r="BG426" s="560"/>
      <c r="BH426" s="560"/>
      <c r="BI426" s="455"/>
      <c r="BJ426" s="466" t="str">
        <f t="shared" si="1327"/>
        <v/>
      </c>
      <c r="BK426" s="354"/>
      <c r="BL426" s="354"/>
      <c r="BM426" s="354"/>
      <c r="BN426" s="354"/>
      <c r="BO426" s="354"/>
      <c r="BP426" s="354"/>
      <c r="BQ426" s="354"/>
      <c r="BR426" s="354"/>
      <c r="BS426" s="354"/>
      <c r="BT426" s="354"/>
      <c r="BU426" s="354"/>
      <c r="BV426" s="354"/>
      <c r="BW426" s="354"/>
      <c r="BX426" s="354"/>
      <c r="BY426" s="354"/>
      <c r="BZ426" s="354"/>
      <c r="CA426" s="354"/>
      <c r="CB426" s="354" t="b">
        <f t="shared" si="1189"/>
        <v>0</v>
      </c>
      <c r="CG426" s="509"/>
      <c r="CH426" s="509"/>
    </row>
    <row r="427" spans="1:86" ht="13.5" customHeight="1" x14ac:dyDescent="0.25">
      <c r="A427" s="354" t="e">
        <f t="shared" si="1060"/>
        <v>#REF!</v>
      </c>
      <c r="B427" s="457"/>
      <c r="C427" s="455"/>
      <c r="D427" s="558"/>
      <c r="E427" s="558"/>
      <c r="F427" s="558"/>
      <c r="G427" s="559"/>
      <c r="H427" s="559"/>
      <c r="I427" s="467"/>
      <c r="J427" s="467"/>
      <c r="K427" s="559"/>
      <c r="L427" s="560"/>
      <c r="M427" s="560"/>
      <c r="N427" s="560"/>
      <c r="O427" s="560"/>
      <c r="P427" s="560"/>
      <c r="Q427" s="560"/>
      <c r="R427" s="560"/>
      <c r="S427" s="835"/>
      <c r="T427" s="560"/>
      <c r="U427" s="560"/>
      <c r="V427" s="560"/>
      <c r="W427" s="560"/>
      <c r="X427" s="560"/>
      <c r="Y427" s="560"/>
      <c r="Z427" s="560"/>
      <c r="AA427" s="560"/>
      <c r="AB427" s="560"/>
      <c r="AC427" s="560"/>
      <c r="AD427" s="560"/>
      <c r="AE427" s="560"/>
      <c r="AF427" s="560"/>
      <c r="AG427" s="560"/>
      <c r="AH427" s="560"/>
      <c r="AI427" s="560"/>
      <c r="AJ427" s="560"/>
      <c r="AK427" s="560"/>
      <c r="AL427" s="560"/>
      <c r="AM427" s="560"/>
      <c r="AN427" s="560"/>
      <c r="AO427" s="560"/>
      <c r="AP427" s="560"/>
      <c r="AQ427" s="560"/>
      <c r="AR427" s="560"/>
      <c r="AS427" s="560"/>
      <c r="AT427" s="560"/>
      <c r="AU427" s="560"/>
      <c r="AV427" s="560"/>
      <c r="AW427" s="560"/>
      <c r="AX427" s="560"/>
      <c r="AY427" s="560"/>
      <c r="AZ427" s="560"/>
      <c r="BA427" s="560"/>
      <c r="BB427" s="560"/>
      <c r="BC427" s="560"/>
      <c r="BD427" s="560"/>
      <c r="BE427" s="560"/>
      <c r="BF427" s="560"/>
      <c r="BG427" s="560"/>
      <c r="BH427" s="560"/>
      <c r="BI427" s="455"/>
      <c r="BJ427" s="466" t="str">
        <f t="shared" si="1327"/>
        <v/>
      </c>
      <c r="BK427" s="354"/>
      <c r="BL427" s="354"/>
      <c r="BM427" s="354"/>
      <c r="BN427" s="354"/>
      <c r="BO427" s="354"/>
      <c r="BP427" s="354"/>
      <c r="BQ427" s="354"/>
      <c r="BR427" s="354"/>
      <c r="BS427" s="354"/>
      <c r="BT427" s="354"/>
      <c r="BU427" s="354"/>
      <c r="BV427" s="354"/>
      <c r="BW427" s="354"/>
      <c r="BX427" s="354"/>
      <c r="BY427" s="354"/>
      <c r="BZ427" s="354"/>
      <c r="CA427" s="354"/>
      <c r="CB427" s="354" t="b">
        <f t="shared" si="1189"/>
        <v>0</v>
      </c>
      <c r="CG427" s="509"/>
      <c r="CH427" s="509"/>
    </row>
    <row r="428" spans="1:86" ht="13.5" customHeight="1" x14ac:dyDescent="0.25">
      <c r="A428" s="354" t="e">
        <f t="shared" si="1060"/>
        <v>#REF!</v>
      </c>
      <c r="B428" s="457"/>
      <c r="C428" s="455"/>
      <c r="D428" s="558"/>
      <c r="E428" s="558"/>
      <c r="F428" s="558"/>
      <c r="G428" s="559"/>
      <c r="H428" s="559"/>
      <c r="I428" s="467"/>
      <c r="J428" s="467"/>
      <c r="K428" s="559"/>
      <c r="L428" s="560"/>
      <c r="M428" s="560"/>
      <c r="N428" s="560"/>
      <c r="O428" s="560"/>
      <c r="P428" s="560"/>
      <c r="Q428" s="560"/>
      <c r="R428" s="560"/>
      <c r="S428" s="835"/>
      <c r="T428" s="560"/>
      <c r="U428" s="560"/>
      <c r="V428" s="560"/>
      <c r="W428" s="560"/>
      <c r="X428" s="560"/>
      <c r="Y428" s="560"/>
      <c r="Z428" s="560"/>
      <c r="AA428" s="560"/>
      <c r="AB428" s="560"/>
      <c r="AC428" s="560"/>
      <c r="AD428" s="560"/>
      <c r="AE428" s="560"/>
      <c r="AF428" s="560"/>
      <c r="AG428" s="560"/>
      <c r="AH428" s="560"/>
      <c r="AI428" s="560"/>
      <c r="AJ428" s="560"/>
      <c r="AK428" s="560"/>
      <c r="AL428" s="560"/>
      <c r="AM428" s="560"/>
      <c r="AN428" s="560"/>
      <c r="AO428" s="560"/>
      <c r="AP428" s="560"/>
      <c r="AQ428" s="560"/>
      <c r="AR428" s="560"/>
      <c r="AS428" s="560"/>
      <c r="AT428" s="560"/>
      <c r="AU428" s="560"/>
      <c r="AV428" s="560"/>
      <c r="AW428" s="560"/>
      <c r="AX428" s="560"/>
      <c r="AY428" s="560"/>
      <c r="AZ428" s="560"/>
      <c r="BA428" s="560"/>
      <c r="BB428" s="560"/>
      <c r="BC428" s="560"/>
      <c r="BD428" s="560"/>
      <c r="BE428" s="560"/>
      <c r="BF428" s="560"/>
      <c r="BG428" s="560"/>
      <c r="BH428" s="560"/>
      <c r="BI428" s="455"/>
      <c r="BJ428" s="466" t="str">
        <f t="shared" si="1327"/>
        <v/>
      </c>
      <c r="BK428" s="354"/>
      <c r="BL428" s="354"/>
      <c r="BM428" s="354"/>
      <c r="BN428" s="354"/>
      <c r="BO428" s="354"/>
      <c r="BP428" s="354"/>
      <c r="BQ428" s="354"/>
      <c r="BR428" s="354"/>
      <c r="BS428" s="354"/>
      <c r="BT428" s="354"/>
      <c r="BU428" s="354"/>
      <c r="BV428" s="354"/>
      <c r="BW428" s="354"/>
      <c r="BX428" s="354"/>
      <c r="BY428" s="354"/>
      <c r="BZ428" s="354"/>
      <c r="CA428" s="354"/>
      <c r="CB428" s="354" t="b">
        <f t="shared" si="1189"/>
        <v>0</v>
      </c>
      <c r="CG428" s="509"/>
      <c r="CH428" s="509"/>
    </row>
    <row r="429" spans="1:86" ht="13.5" customHeight="1" x14ac:dyDescent="0.25">
      <c r="A429" s="354" t="e">
        <f t="shared" si="1060"/>
        <v>#REF!</v>
      </c>
      <c r="B429" s="457"/>
      <c r="C429" s="455"/>
      <c r="D429" s="558"/>
      <c r="E429" s="558"/>
      <c r="F429" s="558"/>
      <c r="G429" s="559"/>
      <c r="H429" s="559"/>
      <c r="I429" s="467"/>
      <c r="J429" s="467"/>
      <c r="K429" s="559"/>
      <c r="L429" s="560"/>
      <c r="M429" s="560"/>
      <c r="N429" s="560"/>
      <c r="O429" s="560"/>
      <c r="P429" s="560"/>
      <c r="Q429" s="560"/>
      <c r="R429" s="560"/>
      <c r="S429" s="835"/>
      <c r="T429" s="560"/>
      <c r="U429" s="560"/>
      <c r="V429" s="560"/>
      <c r="W429" s="560"/>
      <c r="X429" s="560"/>
      <c r="Y429" s="560"/>
      <c r="Z429" s="560"/>
      <c r="AA429" s="560"/>
      <c r="AB429" s="560"/>
      <c r="AC429" s="560"/>
      <c r="AD429" s="560"/>
      <c r="AE429" s="560"/>
      <c r="AF429" s="560"/>
      <c r="AG429" s="560"/>
      <c r="AH429" s="560"/>
      <c r="AI429" s="560"/>
      <c r="AJ429" s="560"/>
      <c r="AK429" s="560"/>
      <c r="AL429" s="560"/>
      <c r="AM429" s="560"/>
      <c r="AN429" s="560"/>
      <c r="AO429" s="560"/>
      <c r="AP429" s="560"/>
      <c r="AQ429" s="560"/>
      <c r="AR429" s="560"/>
      <c r="AS429" s="560"/>
      <c r="AT429" s="560"/>
      <c r="AU429" s="560"/>
      <c r="AV429" s="560"/>
      <c r="AW429" s="560"/>
      <c r="AX429" s="560"/>
      <c r="AY429" s="560"/>
      <c r="AZ429" s="560"/>
      <c r="BA429" s="560"/>
      <c r="BB429" s="560"/>
      <c r="BC429" s="560"/>
      <c r="BD429" s="560"/>
      <c r="BE429" s="560"/>
      <c r="BF429" s="560"/>
      <c r="BG429" s="560"/>
      <c r="BH429" s="560"/>
      <c r="BI429" s="455"/>
      <c r="BJ429" s="466" t="str">
        <f t="shared" si="1327"/>
        <v/>
      </c>
      <c r="BK429" s="354"/>
      <c r="BL429" s="354"/>
      <c r="BM429" s="354"/>
      <c r="BN429" s="354"/>
      <c r="BO429" s="354"/>
      <c r="BP429" s="354"/>
      <c r="BQ429" s="354"/>
      <c r="BR429" s="354"/>
      <c r="BS429" s="354"/>
      <c r="BT429" s="354"/>
      <c r="BU429" s="354"/>
      <c r="BV429" s="354"/>
      <c r="BW429" s="354"/>
      <c r="BX429" s="354"/>
      <c r="BY429" s="354"/>
      <c r="BZ429" s="354"/>
      <c r="CA429" s="354"/>
      <c r="CB429" s="354" t="b">
        <f t="shared" si="1189"/>
        <v>0</v>
      </c>
      <c r="CG429" s="509"/>
      <c r="CH429" s="509"/>
    </row>
    <row r="430" spans="1:86" ht="13.5" customHeight="1" x14ac:dyDescent="0.25">
      <c r="A430" s="354" t="e">
        <f t="shared" si="1060"/>
        <v>#REF!</v>
      </c>
      <c r="B430" s="457"/>
      <c r="C430" s="455"/>
      <c r="D430" s="558"/>
      <c r="E430" s="558"/>
      <c r="F430" s="558"/>
      <c r="G430" s="559"/>
      <c r="H430" s="559"/>
      <c r="I430" s="467"/>
      <c r="J430" s="467"/>
      <c r="K430" s="559"/>
      <c r="L430" s="560"/>
      <c r="M430" s="560"/>
      <c r="N430" s="560"/>
      <c r="O430" s="560"/>
      <c r="P430" s="560"/>
      <c r="Q430" s="560"/>
      <c r="R430" s="560"/>
      <c r="S430" s="835"/>
      <c r="T430" s="560"/>
      <c r="U430" s="560"/>
      <c r="V430" s="560"/>
      <c r="W430" s="560"/>
      <c r="X430" s="560"/>
      <c r="Y430" s="560"/>
      <c r="Z430" s="560"/>
      <c r="AA430" s="560"/>
      <c r="AB430" s="560"/>
      <c r="AC430" s="560"/>
      <c r="AD430" s="560"/>
      <c r="AE430" s="560"/>
      <c r="AF430" s="560"/>
      <c r="AG430" s="560"/>
      <c r="AH430" s="560"/>
      <c r="AI430" s="560"/>
      <c r="AJ430" s="560"/>
      <c r="AK430" s="560"/>
      <c r="AL430" s="560"/>
      <c r="AM430" s="560"/>
      <c r="AN430" s="560"/>
      <c r="AO430" s="560"/>
      <c r="AP430" s="560"/>
      <c r="AQ430" s="560"/>
      <c r="AR430" s="560"/>
      <c r="AS430" s="560"/>
      <c r="AT430" s="560"/>
      <c r="AU430" s="560"/>
      <c r="AV430" s="560"/>
      <c r="AW430" s="560"/>
      <c r="AX430" s="560"/>
      <c r="AY430" s="560"/>
      <c r="AZ430" s="560"/>
      <c r="BA430" s="560"/>
      <c r="BB430" s="560"/>
      <c r="BC430" s="560"/>
      <c r="BD430" s="560"/>
      <c r="BE430" s="560"/>
      <c r="BF430" s="560"/>
      <c r="BG430" s="560"/>
      <c r="BH430" s="560"/>
      <c r="BI430" s="455"/>
      <c r="BJ430" s="466" t="str">
        <f t="shared" si="1327"/>
        <v/>
      </c>
      <c r="BK430" s="354"/>
      <c r="BL430" s="354"/>
      <c r="BM430" s="354"/>
      <c r="BN430" s="354"/>
      <c r="BO430" s="354"/>
      <c r="BP430" s="354"/>
      <c r="BQ430" s="354"/>
      <c r="BR430" s="354"/>
      <c r="BS430" s="354"/>
      <c r="BT430" s="354"/>
      <c r="BU430" s="354"/>
      <c r="BV430" s="354"/>
      <c r="BW430" s="354"/>
      <c r="BX430" s="354"/>
      <c r="BY430" s="354"/>
      <c r="BZ430" s="354"/>
      <c r="CA430" s="354"/>
      <c r="CB430" s="354" t="b">
        <f t="shared" si="1189"/>
        <v>0</v>
      </c>
      <c r="CG430" s="509"/>
      <c r="CH430" s="509"/>
    </row>
    <row r="431" spans="1:86" ht="13.5" customHeight="1" x14ac:dyDescent="0.25">
      <c r="A431" s="354" t="e">
        <f t="shared" si="1060"/>
        <v>#REF!</v>
      </c>
      <c r="B431" s="457"/>
      <c r="C431" s="455"/>
      <c r="D431" s="558"/>
      <c r="E431" s="558"/>
      <c r="F431" s="558"/>
      <c r="G431" s="559"/>
      <c r="H431" s="559"/>
      <c r="I431" s="467"/>
      <c r="J431" s="467"/>
      <c r="K431" s="559"/>
      <c r="L431" s="560"/>
      <c r="M431" s="560"/>
      <c r="N431" s="560"/>
      <c r="O431" s="560"/>
      <c r="P431" s="560"/>
      <c r="Q431" s="560"/>
      <c r="R431" s="560"/>
      <c r="S431" s="835"/>
      <c r="T431" s="560"/>
      <c r="U431" s="560"/>
      <c r="V431" s="560"/>
      <c r="W431" s="560"/>
      <c r="X431" s="560"/>
      <c r="Y431" s="560"/>
      <c r="Z431" s="560"/>
      <c r="AA431" s="560"/>
      <c r="AB431" s="560"/>
      <c r="AC431" s="560"/>
      <c r="AD431" s="560"/>
      <c r="AE431" s="560"/>
      <c r="AF431" s="560"/>
      <c r="AG431" s="560"/>
      <c r="AH431" s="560"/>
      <c r="AI431" s="560"/>
      <c r="AJ431" s="560"/>
      <c r="AK431" s="560"/>
      <c r="AL431" s="560"/>
      <c r="AM431" s="560"/>
      <c r="AN431" s="560"/>
      <c r="AO431" s="560"/>
      <c r="AP431" s="560"/>
      <c r="AQ431" s="560"/>
      <c r="AR431" s="560"/>
      <c r="AS431" s="560"/>
      <c r="AT431" s="560"/>
      <c r="AU431" s="560"/>
      <c r="AV431" s="560"/>
      <c r="AW431" s="560"/>
      <c r="AX431" s="560"/>
      <c r="AY431" s="560"/>
      <c r="AZ431" s="560"/>
      <c r="BA431" s="560"/>
      <c r="BB431" s="560"/>
      <c r="BC431" s="560"/>
      <c r="BD431" s="560"/>
      <c r="BE431" s="560"/>
      <c r="BF431" s="560"/>
      <c r="BG431" s="560"/>
      <c r="BH431" s="560"/>
      <c r="BI431" s="455"/>
      <c r="BJ431" s="466" t="str">
        <f t="shared" si="1327"/>
        <v/>
      </c>
      <c r="BK431" s="354"/>
      <c r="BL431" s="354"/>
      <c r="BM431" s="354"/>
      <c r="BN431" s="354"/>
      <c r="BO431" s="354"/>
      <c r="BP431" s="354"/>
      <c r="BQ431" s="354"/>
      <c r="BR431" s="354"/>
      <c r="BS431" s="354"/>
      <c r="BT431" s="354"/>
      <c r="BU431" s="354"/>
      <c r="BV431" s="354"/>
      <c r="BW431" s="354"/>
      <c r="BX431" s="354"/>
      <c r="BY431" s="354"/>
      <c r="BZ431" s="354"/>
      <c r="CA431" s="354"/>
      <c r="CB431" s="354" t="b">
        <f t="shared" si="1189"/>
        <v>0</v>
      </c>
      <c r="CG431" s="509"/>
      <c r="CH431" s="509"/>
    </row>
    <row r="432" spans="1:86" ht="13.5" customHeight="1" x14ac:dyDescent="0.25">
      <c r="A432" s="354" t="e">
        <f t="shared" si="1060"/>
        <v>#REF!</v>
      </c>
      <c r="B432" s="457"/>
      <c r="C432" s="455"/>
      <c r="D432" s="558"/>
      <c r="E432" s="558"/>
      <c r="F432" s="558"/>
      <c r="G432" s="559"/>
      <c r="H432" s="559"/>
      <c r="I432" s="467"/>
      <c r="J432" s="467"/>
      <c r="K432" s="559"/>
      <c r="L432" s="560"/>
      <c r="M432" s="560"/>
      <c r="N432" s="560"/>
      <c r="O432" s="560"/>
      <c r="P432" s="560"/>
      <c r="Q432" s="560"/>
      <c r="R432" s="560"/>
      <c r="S432" s="835"/>
      <c r="T432" s="560"/>
      <c r="U432" s="560"/>
      <c r="V432" s="560"/>
      <c r="W432" s="560"/>
      <c r="X432" s="560"/>
      <c r="Y432" s="560"/>
      <c r="Z432" s="560"/>
      <c r="AA432" s="560"/>
      <c r="AB432" s="560"/>
      <c r="AC432" s="560"/>
      <c r="AD432" s="560"/>
      <c r="AE432" s="560"/>
      <c r="AF432" s="560"/>
      <c r="AG432" s="560"/>
      <c r="AH432" s="560"/>
      <c r="AI432" s="560"/>
      <c r="AJ432" s="560"/>
      <c r="AK432" s="560"/>
      <c r="AL432" s="560"/>
      <c r="AM432" s="560"/>
      <c r="AN432" s="560"/>
      <c r="AO432" s="560"/>
      <c r="AP432" s="560"/>
      <c r="AQ432" s="560"/>
      <c r="AR432" s="560"/>
      <c r="AS432" s="560"/>
      <c r="AT432" s="560"/>
      <c r="AU432" s="560"/>
      <c r="AV432" s="560"/>
      <c r="AW432" s="560"/>
      <c r="AX432" s="560"/>
      <c r="AY432" s="560"/>
      <c r="AZ432" s="560"/>
      <c r="BA432" s="560"/>
      <c r="BB432" s="560"/>
      <c r="BC432" s="560"/>
      <c r="BD432" s="560"/>
      <c r="BE432" s="560"/>
      <c r="BF432" s="560"/>
      <c r="BG432" s="560"/>
      <c r="BH432" s="560"/>
      <c r="BI432" s="455"/>
      <c r="BJ432" s="466" t="str">
        <f t="shared" si="1327"/>
        <v/>
      </c>
      <c r="BK432" s="354"/>
      <c r="BL432" s="354"/>
      <c r="BM432" s="354"/>
      <c r="BN432" s="354"/>
      <c r="BO432" s="354"/>
      <c r="BP432" s="354"/>
      <c r="BQ432" s="354"/>
      <c r="BR432" s="354"/>
      <c r="BS432" s="354"/>
      <c r="BT432" s="354"/>
      <c r="BU432" s="354"/>
      <c r="BV432" s="354"/>
      <c r="BW432" s="354"/>
      <c r="BX432" s="354"/>
      <c r="BY432" s="354"/>
      <c r="BZ432" s="354"/>
      <c r="CA432" s="354"/>
      <c r="CB432" s="354" t="b">
        <f t="shared" si="1189"/>
        <v>0</v>
      </c>
      <c r="CG432" s="509"/>
      <c r="CH432" s="509"/>
    </row>
    <row r="433" spans="1:86" ht="13.5" customHeight="1" x14ac:dyDescent="0.25">
      <c r="A433" s="354" t="e">
        <f t="shared" si="1060"/>
        <v>#REF!</v>
      </c>
      <c r="B433" s="457"/>
      <c r="C433" s="455"/>
      <c r="D433" s="558"/>
      <c r="E433" s="558"/>
      <c r="F433" s="558"/>
      <c r="G433" s="559"/>
      <c r="H433" s="559"/>
      <c r="I433" s="467"/>
      <c r="J433" s="467"/>
      <c r="K433" s="559"/>
      <c r="L433" s="560"/>
      <c r="M433" s="560"/>
      <c r="N433" s="560"/>
      <c r="O433" s="560"/>
      <c r="P433" s="560"/>
      <c r="Q433" s="560"/>
      <c r="R433" s="560"/>
      <c r="S433" s="835"/>
      <c r="T433" s="560"/>
      <c r="U433" s="560"/>
      <c r="V433" s="560"/>
      <c r="W433" s="560"/>
      <c r="X433" s="560"/>
      <c r="Y433" s="560"/>
      <c r="Z433" s="560"/>
      <c r="AA433" s="560"/>
      <c r="AB433" s="560"/>
      <c r="AC433" s="560"/>
      <c r="AD433" s="560"/>
      <c r="AE433" s="560"/>
      <c r="AF433" s="560"/>
      <c r="AG433" s="560"/>
      <c r="AH433" s="560"/>
      <c r="AI433" s="560"/>
      <c r="AJ433" s="560"/>
      <c r="AK433" s="560"/>
      <c r="AL433" s="560"/>
      <c r="AM433" s="560"/>
      <c r="AN433" s="560"/>
      <c r="AO433" s="560"/>
      <c r="AP433" s="560"/>
      <c r="AQ433" s="560"/>
      <c r="AR433" s="560"/>
      <c r="AS433" s="560"/>
      <c r="AT433" s="560"/>
      <c r="AU433" s="560"/>
      <c r="AV433" s="560"/>
      <c r="AW433" s="560"/>
      <c r="AX433" s="560"/>
      <c r="AY433" s="560"/>
      <c r="AZ433" s="560"/>
      <c r="BA433" s="560"/>
      <c r="BB433" s="560"/>
      <c r="BC433" s="560"/>
      <c r="BD433" s="560"/>
      <c r="BE433" s="560"/>
      <c r="BF433" s="560"/>
      <c r="BG433" s="560"/>
      <c r="BH433" s="560"/>
      <c r="BI433" s="455"/>
      <c r="BJ433" s="466" t="str">
        <f t="shared" si="1327"/>
        <v/>
      </c>
      <c r="BK433" s="354"/>
      <c r="BL433" s="354"/>
      <c r="BM433" s="354"/>
      <c r="BN433" s="354"/>
      <c r="BO433" s="354"/>
      <c r="BP433" s="354"/>
      <c r="BQ433" s="354"/>
      <c r="BR433" s="354"/>
      <c r="BS433" s="354"/>
      <c r="BT433" s="354"/>
      <c r="BU433" s="354"/>
      <c r="BV433" s="354"/>
      <c r="BW433" s="354"/>
      <c r="BX433" s="354"/>
      <c r="BY433" s="354"/>
      <c r="BZ433" s="354"/>
      <c r="CA433" s="354"/>
      <c r="CB433" s="354" t="b">
        <f t="shared" ref="CB433:CB466" si="1328">IF(SUM(I433:L433)&lt;&gt;0,"X")</f>
        <v>0</v>
      </c>
      <c r="CG433" s="509"/>
      <c r="CH433" s="509"/>
    </row>
    <row r="434" spans="1:86" ht="13.5" customHeight="1" x14ac:dyDescent="0.25">
      <c r="A434" s="354" t="e">
        <f t="shared" si="1060"/>
        <v>#REF!</v>
      </c>
      <c r="B434" s="457"/>
      <c r="C434" s="455"/>
      <c r="D434" s="558"/>
      <c r="E434" s="558"/>
      <c r="F434" s="558"/>
      <c r="G434" s="559"/>
      <c r="H434" s="559"/>
      <c r="I434" s="467"/>
      <c r="J434" s="467"/>
      <c r="K434" s="559"/>
      <c r="L434" s="560"/>
      <c r="M434" s="560"/>
      <c r="N434" s="560"/>
      <c r="O434" s="560"/>
      <c r="P434" s="560"/>
      <c r="Q434" s="560"/>
      <c r="R434" s="560"/>
      <c r="S434" s="835"/>
      <c r="T434" s="560"/>
      <c r="U434" s="560"/>
      <c r="V434" s="560"/>
      <c r="W434" s="560"/>
      <c r="X434" s="560"/>
      <c r="Y434" s="560"/>
      <c r="Z434" s="560"/>
      <c r="AA434" s="560"/>
      <c r="AB434" s="560"/>
      <c r="AC434" s="560"/>
      <c r="AD434" s="560"/>
      <c r="AE434" s="560"/>
      <c r="AF434" s="560"/>
      <c r="AG434" s="560"/>
      <c r="AH434" s="560"/>
      <c r="AI434" s="560"/>
      <c r="AJ434" s="560"/>
      <c r="AK434" s="560"/>
      <c r="AL434" s="560"/>
      <c r="AM434" s="560"/>
      <c r="AN434" s="560"/>
      <c r="AO434" s="560"/>
      <c r="AP434" s="560"/>
      <c r="AQ434" s="560"/>
      <c r="AR434" s="560"/>
      <c r="AS434" s="560"/>
      <c r="AT434" s="560"/>
      <c r="AU434" s="560"/>
      <c r="AV434" s="560"/>
      <c r="AW434" s="560"/>
      <c r="AX434" s="560"/>
      <c r="AY434" s="560"/>
      <c r="AZ434" s="560"/>
      <c r="BA434" s="560"/>
      <c r="BB434" s="560"/>
      <c r="BC434" s="560"/>
      <c r="BD434" s="560"/>
      <c r="BE434" s="560"/>
      <c r="BF434" s="560"/>
      <c r="BG434" s="560"/>
      <c r="BH434" s="560"/>
      <c r="BI434" s="455"/>
      <c r="BJ434" s="466" t="str">
        <f t="shared" si="1327"/>
        <v/>
      </c>
      <c r="BK434" s="354"/>
      <c r="BL434" s="354"/>
      <c r="BM434" s="354"/>
      <c r="BN434" s="354"/>
      <c r="BO434" s="354"/>
      <c r="BP434" s="354"/>
      <c r="BQ434" s="354"/>
      <c r="BR434" s="354"/>
      <c r="BS434" s="354"/>
      <c r="BT434" s="354"/>
      <c r="BU434" s="354"/>
      <c r="BV434" s="354"/>
      <c r="BW434" s="354"/>
      <c r="BX434" s="354"/>
      <c r="BY434" s="354"/>
      <c r="BZ434" s="354"/>
      <c r="CA434" s="354"/>
      <c r="CB434" s="354" t="b">
        <f t="shared" si="1328"/>
        <v>0</v>
      </c>
    </row>
    <row r="435" spans="1:86" ht="13.5" customHeight="1" x14ac:dyDescent="0.25">
      <c r="A435" s="354" t="e">
        <f t="shared" si="1060"/>
        <v>#REF!</v>
      </c>
      <c r="B435" s="457"/>
      <c r="C435" s="455"/>
      <c r="D435" s="558"/>
      <c r="E435" s="558"/>
      <c r="F435" s="558"/>
      <c r="G435" s="559"/>
      <c r="H435" s="559"/>
      <c r="I435" s="467"/>
      <c r="J435" s="467"/>
      <c r="K435" s="559"/>
      <c r="L435" s="560"/>
      <c r="M435" s="560"/>
      <c r="N435" s="560"/>
      <c r="O435" s="560"/>
      <c r="P435" s="560"/>
      <c r="Q435" s="560"/>
      <c r="R435" s="560"/>
      <c r="S435" s="835"/>
      <c r="T435" s="560"/>
      <c r="U435" s="560"/>
      <c r="V435" s="560"/>
      <c r="W435" s="560"/>
      <c r="X435" s="560"/>
      <c r="Y435" s="560"/>
      <c r="Z435" s="560"/>
      <c r="AA435" s="560"/>
      <c r="AB435" s="560"/>
      <c r="AC435" s="560"/>
      <c r="AD435" s="560"/>
      <c r="AE435" s="560"/>
      <c r="AF435" s="560"/>
      <c r="AG435" s="560"/>
      <c r="AH435" s="560"/>
      <c r="AI435" s="560"/>
      <c r="AJ435" s="560"/>
      <c r="AK435" s="560"/>
      <c r="AL435" s="560"/>
      <c r="AM435" s="560"/>
      <c r="AN435" s="560"/>
      <c r="AO435" s="560"/>
      <c r="AP435" s="560"/>
      <c r="AQ435" s="560"/>
      <c r="AR435" s="560"/>
      <c r="AS435" s="560"/>
      <c r="AT435" s="560"/>
      <c r="AU435" s="560"/>
      <c r="AV435" s="560"/>
      <c r="AW435" s="560"/>
      <c r="AX435" s="560"/>
      <c r="AY435" s="560"/>
      <c r="AZ435" s="560"/>
      <c r="BA435" s="560"/>
      <c r="BB435" s="560"/>
      <c r="BC435" s="560"/>
      <c r="BD435" s="560"/>
      <c r="BE435" s="560"/>
      <c r="BF435" s="560"/>
      <c r="BG435" s="560"/>
      <c r="BH435" s="560"/>
      <c r="BI435" s="455"/>
      <c r="BJ435" s="466" t="str">
        <f t="shared" si="1327"/>
        <v/>
      </c>
      <c r="BK435" s="354"/>
      <c r="BL435" s="354"/>
      <c r="BM435" s="354"/>
      <c r="BN435" s="354"/>
      <c r="BO435" s="354"/>
      <c r="BP435" s="354"/>
      <c r="BQ435" s="354"/>
      <c r="BR435" s="354"/>
      <c r="BS435" s="354"/>
      <c r="BT435" s="354"/>
      <c r="BU435" s="354"/>
      <c r="BV435" s="354"/>
      <c r="BW435" s="354"/>
      <c r="BX435" s="354"/>
      <c r="BY435" s="354"/>
      <c r="BZ435" s="354"/>
      <c r="CA435" s="354"/>
      <c r="CB435" s="354" t="b">
        <f t="shared" si="1328"/>
        <v>0</v>
      </c>
    </row>
    <row r="436" spans="1:86" ht="13.5" customHeight="1" x14ac:dyDescent="0.25">
      <c r="A436" s="354" t="e">
        <f t="shared" si="1060"/>
        <v>#REF!</v>
      </c>
      <c r="B436" s="457"/>
      <c r="C436" s="455"/>
      <c r="D436" s="558"/>
      <c r="E436" s="558"/>
      <c r="F436" s="558"/>
      <c r="G436" s="559"/>
      <c r="H436" s="559"/>
      <c r="I436" s="467"/>
      <c r="J436" s="467"/>
      <c r="K436" s="559"/>
      <c r="L436" s="560"/>
      <c r="M436" s="560"/>
      <c r="N436" s="560"/>
      <c r="O436" s="560"/>
      <c r="P436" s="560"/>
      <c r="Q436" s="560"/>
      <c r="R436" s="560"/>
      <c r="S436" s="835"/>
      <c r="T436" s="560"/>
      <c r="U436" s="560"/>
      <c r="V436" s="560"/>
      <c r="W436" s="560"/>
      <c r="X436" s="560"/>
      <c r="Y436" s="560"/>
      <c r="Z436" s="560"/>
      <c r="AA436" s="560"/>
      <c r="AB436" s="560"/>
      <c r="AC436" s="560"/>
      <c r="AD436" s="560"/>
      <c r="AE436" s="560"/>
      <c r="AF436" s="560"/>
      <c r="AG436" s="560"/>
      <c r="AH436" s="560"/>
      <c r="AI436" s="560"/>
      <c r="AJ436" s="560"/>
      <c r="AK436" s="560"/>
      <c r="AL436" s="560"/>
      <c r="AM436" s="560"/>
      <c r="AN436" s="560"/>
      <c r="AO436" s="560"/>
      <c r="AP436" s="560"/>
      <c r="AQ436" s="560"/>
      <c r="AR436" s="560"/>
      <c r="AS436" s="560"/>
      <c r="AT436" s="560"/>
      <c r="AU436" s="560"/>
      <c r="AV436" s="560"/>
      <c r="AW436" s="560"/>
      <c r="AX436" s="560"/>
      <c r="AY436" s="560"/>
      <c r="AZ436" s="560"/>
      <c r="BA436" s="560"/>
      <c r="BB436" s="560"/>
      <c r="BC436" s="560"/>
      <c r="BD436" s="560"/>
      <c r="BE436" s="560"/>
      <c r="BF436" s="560"/>
      <c r="BG436" s="560"/>
      <c r="BH436" s="560"/>
      <c r="BI436" s="455"/>
      <c r="BJ436" s="466" t="str">
        <f t="shared" si="1327"/>
        <v/>
      </c>
      <c r="BK436" s="354"/>
      <c r="BL436" s="354"/>
      <c r="BM436" s="354"/>
      <c r="BN436" s="354"/>
      <c r="BO436" s="354"/>
      <c r="BP436" s="354"/>
      <c r="BQ436" s="354"/>
      <c r="BR436" s="354"/>
      <c r="BS436" s="354"/>
      <c r="BT436" s="354"/>
      <c r="BU436" s="354"/>
      <c r="BV436" s="354"/>
      <c r="BW436" s="354"/>
      <c r="BX436" s="354"/>
      <c r="BY436" s="354"/>
      <c r="BZ436" s="354"/>
      <c r="CA436" s="354"/>
      <c r="CB436" s="354" t="b">
        <f t="shared" si="1328"/>
        <v>0</v>
      </c>
    </row>
    <row r="437" spans="1:86" ht="13.5" customHeight="1" x14ac:dyDescent="0.25">
      <c r="A437" s="354" t="e">
        <f t="shared" si="1060"/>
        <v>#REF!</v>
      </c>
      <c r="B437" s="457"/>
      <c r="C437" s="455"/>
      <c r="D437" s="558"/>
      <c r="E437" s="558"/>
      <c r="F437" s="558"/>
      <c r="G437" s="559"/>
      <c r="H437" s="559"/>
      <c r="I437" s="467"/>
      <c r="J437" s="467"/>
      <c r="K437" s="559"/>
      <c r="L437" s="560"/>
      <c r="M437" s="560"/>
      <c r="N437" s="560"/>
      <c r="O437" s="560"/>
      <c r="P437" s="560"/>
      <c r="Q437" s="560"/>
      <c r="R437" s="560"/>
      <c r="S437" s="835"/>
      <c r="T437" s="560"/>
      <c r="U437" s="560"/>
      <c r="V437" s="560"/>
      <c r="W437" s="560"/>
      <c r="X437" s="560"/>
      <c r="Y437" s="560"/>
      <c r="Z437" s="560"/>
      <c r="AA437" s="560"/>
      <c r="AB437" s="560"/>
      <c r="AC437" s="560"/>
      <c r="AD437" s="560"/>
      <c r="AE437" s="560"/>
      <c r="AF437" s="560"/>
      <c r="AG437" s="560"/>
      <c r="AH437" s="560"/>
      <c r="AI437" s="560"/>
      <c r="AJ437" s="560"/>
      <c r="AK437" s="560"/>
      <c r="AL437" s="560"/>
      <c r="AM437" s="560"/>
      <c r="AN437" s="560"/>
      <c r="AO437" s="560"/>
      <c r="AP437" s="560"/>
      <c r="AQ437" s="560"/>
      <c r="AR437" s="560"/>
      <c r="AS437" s="560"/>
      <c r="AT437" s="560"/>
      <c r="AU437" s="560"/>
      <c r="AV437" s="560"/>
      <c r="AW437" s="560"/>
      <c r="AX437" s="560"/>
      <c r="AY437" s="560"/>
      <c r="AZ437" s="560"/>
      <c r="BA437" s="560"/>
      <c r="BB437" s="560"/>
      <c r="BC437" s="560"/>
      <c r="BD437" s="560"/>
      <c r="BE437" s="560"/>
      <c r="BF437" s="560"/>
      <c r="BG437" s="560"/>
      <c r="BH437" s="560"/>
      <c r="BI437" s="455"/>
      <c r="BJ437" s="466" t="str">
        <f t="shared" si="1327"/>
        <v/>
      </c>
      <c r="BK437" s="354"/>
      <c r="BL437" s="354"/>
      <c r="BM437" s="354"/>
      <c r="BN437" s="354"/>
      <c r="BO437" s="354"/>
      <c r="BP437" s="354"/>
      <c r="BQ437" s="354"/>
      <c r="BR437" s="354"/>
      <c r="BS437" s="354"/>
      <c r="BT437" s="354"/>
      <c r="BU437" s="354"/>
      <c r="BV437" s="354"/>
      <c r="BW437" s="354"/>
      <c r="BX437" s="354"/>
      <c r="BY437" s="354"/>
      <c r="BZ437" s="354"/>
      <c r="CA437" s="354"/>
      <c r="CB437" s="354" t="b">
        <f t="shared" si="1328"/>
        <v>0</v>
      </c>
    </row>
    <row r="438" spans="1:86" ht="13.5" customHeight="1" x14ac:dyDescent="0.25">
      <c r="A438" s="354" t="e">
        <f t="shared" si="1060"/>
        <v>#REF!</v>
      </c>
      <c r="B438" s="457"/>
      <c r="C438" s="455"/>
      <c r="D438" s="558"/>
      <c r="E438" s="558"/>
      <c r="F438" s="558"/>
      <c r="G438" s="559"/>
      <c r="H438" s="559"/>
      <c r="I438" s="467"/>
      <c r="J438" s="467"/>
      <c r="K438" s="559"/>
      <c r="L438" s="560"/>
      <c r="M438" s="560"/>
      <c r="N438" s="560"/>
      <c r="O438" s="560"/>
      <c r="P438" s="560"/>
      <c r="Q438" s="560"/>
      <c r="R438" s="560"/>
      <c r="S438" s="835"/>
      <c r="T438" s="560"/>
      <c r="U438" s="560"/>
      <c r="V438" s="560"/>
      <c r="W438" s="560"/>
      <c r="X438" s="560"/>
      <c r="Y438" s="560"/>
      <c r="Z438" s="560"/>
      <c r="AA438" s="560"/>
      <c r="AB438" s="560"/>
      <c r="AC438" s="560"/>
      <c r="AD438" s="560"/>
      <c r="AE438" s="560"/>
      <c r="AF438" s="560"/>
      <c r="AG438" s="560"/>
      <c r="AH438" s="560"/>
      <c r="AI438" s="560"/>
      <c r="AJ438" s="560"/>
      <c r="AK438" s="560"/>
      <c r="AL438" s="560"/>
      <c r="AM438" s="560"/>
      <c r="AN438" s="560"/>
      <c r="AO438" s="560"/>
      <c r="AP438" s="560"/>
      <c r="AQ438" s="560"/>
      <c r="AR438" s="560"/>
      <c r="AS438" s="560"/>
      <c r="AT438" s="560"/>
      <c r="AU438" s="560"/>
      <c r="AV438" s="560"/>
      <c r="AW438" s="560"/>
      <c r="AX438" s="560"/>
      <c r="AY438" s="560"/>
      <c r="AZ438" s="560"/>
      <c r="BA438" s="560"/>
      <c r="BB438" s="560"/>
      <c r="BC438" s="560"/>
      <c r="BD438" s="560"/>
      <c r="BE438" s="560"/>
      <c r="BF438" s="560"/>
      <c r="BG438" s="560"/>
      <c r="BH438" s="560"/>
      <c r="BI438" s="455"/>
      <c r="BJ438" s="466" t="str">
        <f t="shared" si="1327"/>
        <v/>
      </c>
      <c r="BK438" s="354"/>
      <c r="BL438" s="354"/>
      <c r="BM438" s="354"/>
      <c r="BN438" s="354"/>
      <c r="BO438" s="354"/>
      <c r="BP438" s="354"/>
      <c r="BQ438" s="354"/>
      <c r="BR438" s="354"/>
      <c r="BS438" s="354"/>
      <c r="BT438" s="354"/>
      <c r="BU438" s="354"/>
      <c r="BV438" s="354"/>
      <c r="BW438" s="354"/>
      <c r="BX438" s="354"/>
      <c r="BY438" s="354"/>
      <c r="BZ438" s="354"/>
      <c r="CA438" s="354"/>
      <c r="CB438" s="354" t="b">
        <f t="shared" si="1328"/>
        <v>0</v>
      </c>
    </row>
    <row r="439" spans="1:86" ht="13.5" customHeight="1" x14ac:dyDescent="0.25">
      <c r="A439" s="354" t="e">
        <f t="shared" si="1060"/>
        <v>#REF!</v>
      </c>
      <c r="B439" s="457"/>
      <c r="C439" s="455"/>
      <c r="D439" s="558"/>
      <c r="E439" s="558"/>
      <c r="F439" s="558"/>
      <c r="G439" s="559"/>
      <c r="H439" s="559"/>
      <c r="I439" s="467"/>
      <c r="J439" s="467"/>
      <c r="K439" s="559"/>
      <c r="L439" s="560"/>
      <c r="M439" s="560"/>
      <c r="N439" s="560"/>
      <c r="O439" s="560"/>
      <c r="P439" s="560"/>
      <c r="Q439" s="560"/>
      <c r="R439" s="560"/>
      <c r="S439" s="835"/>
      <c r="T439" s="560"/>
      <c r="U439" s="560"/>
      <c r="V439" s="560"/>
      <c r="W439" s="560"/>
      <c r="X439" s="560"/>
      <c r="Y439" s="560"/>
      <c r="Z439" s="560"/>
      <c r="AA439" s="560"/>
      <c r="AB439" s="560"/>
      <c r="AC439" s="560"/>
      <c r="AD439" s="560"/>
      <c r="AE439" s="560"/>
      <c r="AF439" s="560"/>
      <c r="AG439" s="560"/>
      <c r="AH439" s="560"/>
      <c r="AI439" s="560"/>
      <c r="AJ439" s="560"/>
      <c r="AK439" s="560"/>
      <c r="AL439" s="560"/>
      <c r="AM439" s="560"/>
      <c r="AN439" s="560"/>
      <c r="AO439" s="560"/>
      <c r="AP439" s="560"/>
      <c r="AQ439" s="560"/>
      <c r="AR439" s="560"/>
      <c r="AS439" s="560"/>
      <c r="AT439" s="560"/>
      <c r="AU439" s="560"/>
      <c r="AV439" s="560"/>
      <c r="AW439" s="560"/>
      <c r="AX439" s="560"/>
      <c r="AY439" s="560"/>
      <c r="AZ439" s="560"/>
      <c r="BA439" s="560"/>
      <c r="BB439" s="560"/>
      <c r="BC439" s="560"/>
      <c r="BD439" s="560"/>
      <c r="BE439" s="560"/>
      <c r="BF439" s="560"/>
      <c r="BG439" s="560"/>
      <c r="BH439" s="560"/>
      <c r="BI439" s="455"/>
      <c r="BJ439" s="466" t="str">
        <f t="shared" si="1327"/>
        <v/>
      </c>
      <c r="BK439" s="354"/>
      <c r="BL439" s="354"/>
      <c r="BM439" s="354"/>
      <c r="BN439" s="354"/>
      <c r="BO439" s="354"/>
      <c r="BP439" s="354"/>
      <c r="BQ439" s="354"/>
      <c r="BR439" s="354"/>
      <c r="BS439" s="354"/>
      <c r="BT439" s="354"/>
      <c r="BU439" s="354"/>
      <c r="BV439" s="354"/>
      <c r="BW439" s="354"/>
      <c r="BX439" s="354"/>
      <c r="BY439" s="354"/>
      <c r="BZ439" s="354"/>
      <c r="CA439" s="354"/>
      <c r="CB439" s="354" t="b">
        <f t="shared" si="1328"/>
        <v>0</v>
      </c>
    </row>
    <row r="440" spans="1:86" ht="13.5" customHeight="1" x14ac:dyDescent="0.25">
      <c r="A440" s="354" t="e">
        <f t="shared" si="1060"/>
        <v>#REF!</v>
      </c>
      <c r="B440" s="457"/>
      <c r="C440" s="455"/>
      <c r="D440" s="558"/>
      <c r="E440" s="558"/>
      <c r="F440" s="558"/>
      <c r="G440" s="559"/>
      <c r="H440" s="559"/>
      <c r="I440" s="467"/>
      <c r="J440" s="467"/>
      <c r="K440" s="559"/>
      <c r="L440" s="560"/>
      <c r="M440" s="560"/>
      <c r="N440" s="560"/>
      <c r="O440" s="560"/>
      <c r="P440" s="560"/>
      <c r="Q440" s="560"/>
      <c r="R440" s="560"/>
      <c r="S440" s="835"/>
      <c r="T440" s="560"/>
      <c r="U440" s="560"/>
      <c r="V440" s="560"/>
      <c r="W440" s="560"/>
      <c r="X440" s="560"/>
      <c r="Y440" s="560"/>
      <c r="Z440" s="560"/>
      <c r="AA440" s="560"/>
      <c r="AB440" s="560"/>
      <c r="AC440" s="560"/>
      <c r="AD440" s="560"/>
      <c r="AE440" s="560"/>
      <c r="AF440" s="560"/>
      <c r="AG440" s="560"/>
      <c r="AH440" s="560"/>
      <c r="AI440" s="560"/>
      <c r="AJ440" s="560"/>
      <c r="AK440" s="560"/>
      <c r="AL440" s="560"/>
      <c r="AM440" s="560"/>
      <c r="AN440" s="560"/>
      <c r="AO440" s="560"/>
      <c r="AP440" s="560"/>
      <c r="AQ440" s="560"/>
      <c r="AR440" s="560"/>
      <c r="AS440" s="560"/>
      <c r="AT440" s="560"/>
      <c r="AU440" s="560"/>
      <c r="AV440" s="560"/>
      <c r="AW440" s="560"/>
      <c r="AX440" s="560"/>
      <c r="AY440" s="560"/>
      <c r="AZ440" s="560"/>
      <c r="BA440" s="560"/>
      <c r="BB440" s="560"/>
      <c r="BC440" s="560"/>
      <c r="BD440" s="560"/>
      <c r="BE440" s="560"/>
      <c r="BF440" s="560"/>
      <c r="BG440" s="560"/>
      <c r="BH440" s="560"/>
      <c r="BI440" s="455"/>
      <c r="BJ440" s="466" t="str">
        <f t="shared" si="1327"/>
        <v/>
      </c>
      <c r="BK440" s="354"/>
      <c r="BL440" s="354"/>
      <c r="BM440" s="354"/>
      <c r="BN440" s="354"/>
      <c r="BO440" s="354"/>
      <c r="BP440" s="354"/>
      <c r="BQ440" s="354"/>
      <c r="BR440" s="354"/>
      <c r="BS440" s="354"/>
      <c r="BT440" s="354"/>
      <c r="BU440" s="354"/>
      <c r="BV440" s="354"/>
      <c r="BW440" s="354"/>
      <c r="BX440" s="354"/>
      <c r="BY440" s="354"/>
      <c r="BZ440" s="354"/>
      <c r="CA440" s="354"/>
      <c r="CB440" s="354" t="b">
        <f t="shared" si="1328"/>
        <v>0</v>
      </c>
    </row>
    <row r="441" spans="1:86" ht="13.5" customHeight="1" x14ac:dyDescent="0.25">
      <c r="A441" s="354" t="e">
        <f t="shared" si="1060"/>
        <v>#REF!</v>
      </c>
      <c r="B441" s="457"/>
      <c r="C441" s="455"/>
      <c r="D441" s="558"/>
      <c r="E441" s="558"/>
      <c r="F441" s="558"/>
      <c r="G441" s="559"/>
      <c r="H441" s="559"/>
      <c r="I441" s="467"/>
      <c r="J441" s="467"/>
      <c r="K441" s="559"/>
      <c r="L441" s="560"/>
      <c r="M441" s="560"/>
      <c r="N441" s="560"/>
      <c r="O441" s="560"/>
      <c r="P441" s="560"/>
      <c r="Q441" s="560"/>
      <c r="R441" s="560"/>
      <c r="S441" s="835"/>
      <c r="T441" s="560"/>
      <c r="U441" s="560"/>
      <c r="V441" s="560"/>
      <c r="W441" s="560"/>
      <c r="X441" s="560"/>
      <c r="Y441" s="560"/>
      <c r="Z441" s="560"/>
      <c r="AA441" s="560"/>
      <c r="AB441" s="560"/>
      <c r="AC441" s="560"/>
      <c r="AD441" s="560"/>
      <c r="AE441" s="560"/>
      <c r="AF441" s="560"/>
      <c r="AG441" s="560"/>
      <c r="AH441" s="560"/>
      <c r="AI441" s="560"/>
      <c r="AJ441" s="560"/>
      <c r="AK441" s="560"/>
      <c r="AL441" s="560"/>
      <c r="AM441" s="560"/>
      <c r="AN441" s="560"/>
      <c r="AO441" s="560"/>
      <c r="AP441" s="560"/>
      <c r="AQ441" s="560"/>
      <c r="AR441" s="560"/>
      <c r="AS441" s="560"/>
      <c r="AT441" s="560"/>
      <c r="AU441" s="560"/>
      <c r="AV441" s="560"/>
      <c r="AW441" s="560"/>
      <c r="AX441" s="560"/>
      <c r="AY441" s="560"/>
      <c r="AZ441" s="560"/>
      <c r="BA441" s="560"/>
      <c r="BB441" s="560"/>
      <c r="BC441" s="560"/>
      <c r="BD441" s="560"/>
      <c r="BE441" s="560"/>
      <c r="BF441" s="560"/>
      <c r="BG441" s="560"/>
      <c r="BH441" s="560"/>
      <c r="BI441" s="455"/>
      <c r="BJ441" s="466" t="str">
        <f t="shared" si="1327"/>
        <v/>
      </c>
      <c r="BK441" s="354"/>
      <c r="BL441" s="354"/>
      <c r="BM441" s="354"/>
      <c r="BN441" s="354"/>
      <c r="BO441" s="354"/>
      <c r="BP441" s="354"/>
      <c r="BQ441" s="354"/>
      <c r="BR441" s="354"/>
      <c r="BS441" s="354"/>
      <c r="BT441" s="354"/>
      <c r="BU441" s="354"/>
      <c r="BV441" s="354"/>
      <c r="BW441" s="354"/>
      <c r="BX441" s="354"/>
      <c r="BY441" s="354"/>
      <c r="BZ441" s="354"/>
      <c r="CA441" s="354"/>
      <c r="CB441" s="354" t="b">
        <f t="shared" si="1328"/>
        <v>0</v>
      </c>
    </row>
    <row r="442" spans="1:86" ht="13.5" customHeight="1" x14ac:dyDescent="0.25">
      <c r="A442" s="354" t="e">
        <f t="shared" si="1060"/>
        <v>#REF!</v>
      </c>
      <c r="B442" s="457"/>
      <c r="C442" s="455"/>
      <c r="D442" s="558"/>
      <c r="E442" s="558"/>
      <c r="F442" s="558"/>
      <c r="G442" s="559"/>
      <c r="H442" s="559"/>
      <c r="I442" s="467"/>
      <c r="J442" s="467"/>
      <c r="K442" s="559"/>
      <c r="L442" s="560"/>
      <c r="M442" s="560"/>
      <c r="N442" s="560"/>
      <c r="O442" s="560"/>
      <c r="P442" s="560"/>
      <c r="Q442" s="560"/>
      <c r="R442" s="560"/>
      <c r="S442" s="835"/>
      <c r="T442" s="560"/>
      <c r="U442" s="560"/>
      <c r="V442" s="560"/>
      <c r="W442" s="560"/>
      <c r="X442" s="560"/>
      <c r="Y442" s="560"/>
      <c r="Z442" s="560"/>
      <c r="AA442" s="560"/>
      <c r="AB442" s="560"/>
      <c r="AC442" s="560"/>
      <c r="AD442" s="560"/>
      <c r="AE442" s="560"/>
      <c r="AF442" s="560"/>
      <c r="AG442" s="560"/>
      <c r="AH442" s="560"/>
      <c r="AI442" s="560"/>
      <c r="AJ442" s="560"/>
      <c r="AK442" s="560"/>
      <c r="AL442" s="560"/>
      <c r="AM442" s="560"/>
      <c r="AN442" s="560"/>
      <c r="AO442" s="560"/>
      <c r="AP442" s="560"/>
      <c r="AQ442" s="560"/>
      <c r="AR442" s="560"/>
      <c r="AS442" s="560"/>
      <c r="AT442" s="560"/>
      <c r="AU442" s="560"/>
      <c r="AV442" s="560"/>
      <c r="AW442" s="560"/>
      <c r="AX442" s="560"/>
      <c r="AY442" s="560"/>
      <c r="AZ442" s="560"/>
      <c r="BA442" s="560"/>
      <c r="BB442" s="560"/>
      <c r="BC442" s="560"/>
      <c r="BD442" s="560"/>
      <c r="BE442" s="560"/>
      <c r="BF442" s="560"/>
      <c r="BG442" s="560"/>
      <c r="BH442" s="560"/>
      <c r="BI442" s="455"/>
      <c r="BJ442" s="466" t="str">
        <f t="shared" si="1327"/>
        <v/>
      </c>
      <c r="BK442" s="354"/>
      <c r="BL442" s="354"/>
      <c r="BM442" s="354"/>
      <c r="BN442" s="354"/>
      <c r="BO442" s="354"/>
      <c r="BP442" s="354"/>
      <c r="BQ442" s="354"/>
      <c r="BR442" s="354"/>
      <c r="BS442" s="354"/>
      <c r="BT442" s="354"/>
      <c r="BU442" s="354"/>
      <c r="BV442" s="354"/>
      <c r="BW442" s="354"/>
      <c r="BX442" s="354"/>
      <c r="BY442" s="354"/>
      <c r="BZ442" s="354"/>
      <c r="CA442" s="354"/>
      <c r="CB442" s="354" t="b">
        <f t="shared" si="1328"/>
        <v>0</v>
      </c>
    </row>
    <row r="443" spans="1:86" ht="13.5" customHeight="1" x14ac:dyDescent="0.25">
      <c r="A443" s="354" t="e">
        <f t="shared" si="1060"/>
        <v>#REF!</v>
      </c>
      <c r="B443" s="457"/>
      <c r="C443" s="455"/>
      <c r="D443" s="558"/>
      <c r="E443" s="558"/>
      <c r="F443" s="558"/>
      <c r="G443" s="559"/>
      <c r="H443" s="559"/>
      <c r="I443" s="467"/>
      <c r="J443" s="467"/>
      <c r="K443" s="559"/>
      <c r="L443" s="560"/>
      <c r="M443" s="560"/>
      <c r="N443" s="560"/>
      <c r="O443" s="560"/>
      <c r="P443" s="560"/>
      <c r="Q443" s="560"/>
      <c r="R443" s="560"/>
      <c r="S443" s="835"/>
      <c r="T443" s="560"/>
      <c r="U443" s="560"/>
      <c r="V443" s="560"/>
      <c r="W443" s="560"/>
      <c r="X443" s="560"/>
      <c r="Y443" s="560"/>
      <c r="Z443" s="560"/>
      <c r="AA443" s="560"/>
      <c r="AB443" s="560"/>
      <c r="AC443" s="560"/>
      <c r="AD443" s="560"/>
      <c r="AE443" s="560"/>
      <c r="AF443" s="560"/>
      <c r="AG443" s="560"/>
      <c r="AH443" s="560"/>
      <c r="AI443" s="560"/>
      <c r="AJ443" s="560"/>
      <c r="AK443" s="560"/>
      <c r="AL443" s="560"/>
      <c r="AM443" s="560"/>
      <c r="AN443" s="560"/>
      <c r="AO443" s="560"/>
      <c r="AP443" s="560"/>
      <c r="AQ443" s="560"/>
      <c r="AR443" s="560"/>
      <c r="AS443" s="560"/>
      <c r="AT443" s="560"/>
      <c r="AU443" s="560"/>
      <c r="AV443" s="560"/>
      <c r="AW443" s="560"/>
      <c r="AX443" s="560"/>
      <c r="AY443" s="560"/>
      <c r="AZ443" s="560"/>
      <c r="BA443" s="560"/>
      <c r="BB443" s="560"/>
      <c r="BC443" s="560"/>
      <c r="BD443" s="560"/>
      <c r="BE443" s="560"/>
      <c r="BF443" s="560"/>
      <c r="BG443" s="560"/>
      <c r="BH443" s="560"/>
      <c r="BI443" s="455"/>
      <c r="BJ443" s="466" t="str">
        <f t="shared" si="1327"/>
        <v/>
      </c>
      <c r="BK443" s="354"/>
      <c r="BL443" s="354"/>
      <c r="BM443" s="354"/>
      <c r="BN443" s="354"/>
      <c r="BO443" s="354"/>
      <c r="BP443" s="354"/>
      <c r="BQ443" s="354"/>
      <c r="BR443" s="354"/>
      <c r="BS443" s="354"/>
      <c r="BT443" s="354"/>
      <c r="BU443" s="354"/>
      <c r="BV443" s="354"/>
      <c r="BW443" s="354"/>
      <c r="BX443" s="354"/>
      <c r="BY443" s="354"/>
      <c r="BZ443" s="354"/>
      <c r="CA443" s="354"/>
      <c r="CB443" s="354" t="b">
        <f t="shared" si="1328"/>
        <v>0</v>
      </c>
    </row>
    <row r="444" spans="1:86" ht="13.5" customHeight="1" x14ac:dyDescent="0.25">
      <c r="A444" s="354" t="e">
        <f t="shared" si="1060"/>
        <v>#REF!</v>
      </c>
      <c r="B444" s="457"/>
      <c r="C444" s="455"/>
      <c r="D444" s="558"/>
      <c r="E444" s="558"/>
      <c r="F444" s="558"/>
      <c r="G444" s="559"/>
      <c r="H444" s="559"/>
      <c r="I444" s="467"/>
      <c r="J444" s="467"/>
      <c r="K444" s="559"/>
      <c r="L444" s="560"/>
      <c r="M444" s="560"/>
      <c r="N444" s="560"/>
      <c r="O444" s="560"/>
      <c r="P444" s="560"/>
      <c r="Q444" s="560"/>
      <c r="R444" s="560"/>
      <c r="S444" s="835"/>
      <c r="T444" s="560"/>
      <c r="U444" s="560"/>
      <c r="V444" s="560"/>
      <c r="W444" s="560"/>
      <c r="X444" s="560"/>
      <c r="Y444" s="560"/>
      <c r="Z444" s="560"/>
      <c r="AA444" s="560"/>
      <c r="AB444" s="560"/>
      <c r="AC444" s="560"/>
      <c r="AD444" s="560"/>
      <c r="AE444" s="560"/>
      <c r="AF444" s="560"/>
      <c r="AG444" s="560"/>
      <c r="AH444" s="560"/>
      <c r="AI444" s="560"/>
      <c r="AJ444" s="560"/>
      <c r="AK444" s="560"/>
      <c r="AL444" s="560"/>
      <c r="AM444" s="560"/>
      <c r="AN444" s="560"/>
      <c r="AO444" s="560"/>
      <c r="AP444" s="560"/>
      <c r="AQ444" s="560"/>
      <c r="AR444" s="560"/>
      <c r="AS444" s="560"/>
      <c r="AT444" s="560"/>
      <c r="AU444" s="560"/>
      <c r="AV444" s="560"/>
      <c r="AW444" s="560"/>
      <c r="AX444" s="560"/>
      <c r="AY444" s="560"/>
      <c r="AZ444" s="560"/>
      <c r="BA444" s="560"/>
      <c r="BB444" s="560"/>
      <c r="BC444" s="560"/>
      <c r="BD444" s="560"/>
      <c r="BE444" s="560"/>
      <c r="BF444" s="560"/>
      <c r="BG444" s="560"/>
      <c r="BH444" s="560"/>
      <c r="BI444" s="455"/>
      <c r="BJ444" s="466" t="str">
        <f t="shared" si="1327"/>
        <v/>
      </c>
      <c r="BK444" s="354"/>
      <c r="BL444" s="354"/>
      <c r="BM444" s="354"/>
      <c r="BN444" s="354"/>
      <c r="BO444" s="354"/>
      <c r="BP444" s="354"/>
      <c r="BQ444" s="354"/>
      <c r="BR444" s="354"/>
      <c r="BS444" s="354"/>
      <c r="BT444" s="354"/>
      <c r="BU444" s="354"/>
      <c r="BV444" s="354"/>
      <c r="BW444" s="354"/>
      <c r="BX444" s="354"/>
      <c r="BY444" s="354"/>
      <c r="BZ444" s="354"/>
      <c r="CA444" s="354"/>
      <c r="CB444" s="354" t="b">
        <f t="shared" si="1328"/>
        <v>0</v>
      </c>
    </row>
    <row r="445" spans="1:86" ht="13.5" customHeight="1" x14ac:dyDescent="0.25">
      <c r="A445" s="354" t="e">
        <f t="shared" si="1060"/>
        <v>#REF!</v>
      </c>
      <c r="B445" s="457"/>
      <c r="C445" s="455"/>
      <c r="D445" s="558"/>
      <c r="E445" s="558"/>
      <c r="F445" s="558"/>
      <c r="G445" s="559"/>
      <c r="H445" s="559"/>
      <c r="I445" s="467"/>
      <c r="J445" s="467"/>
      <c r="K445" s="559"/>
      <c r="L445" s="560"/>
      <c r="M445" s="560"/>
      <c r="N445" s="560"/>
      <c r="O445" s="560"/>
      <c r="P445" s="560"/>
      <c r="Q445" s="560"/>
      <c r="R445" s="560"/>
      <c r="S445" s="835"/>
      <c r="T445" s="560"/>
      <c r="U445" s="560"/>
      <c r="V445" s="560"/>
      <c r="W445" s="560"/>
      <c r="X445" s="560"/>
      <c r="Y445" s="560"/>
      <c r="Z445" s="560"/>
      <c r="AA445" s="560"/>
      <c r="AB445" s="560"/>
      <c r="AC445" s="560"/>
      <c r="AD445" s="560"/>
      <c r="AE445" s="560"/>
      <c r="AF445" s="560"/>
      <c r="AG445" s="560"/>
      <c r="AH445" s="560"/>
      <c r="AI445" s="560"/>
      <c r="AJ445" s="560"/>
      <c r="AK445" s="560"/>
      <c r="AL445" s="560"/>
      <c r="AM445" s="560"/>
      <c r="AN445" s="560"/>
      <c r="AO445" s="560"/>
      <c r="AP445" s="560"/>
      <c r="AQ445" s="560"/>
      <c r="AR445" s="560"/>
      <c r="AS445" s="560"/>
      <c r="AT445" s="560"/>
      <c r="AU445" s="560"/>
      <c r="AV445" s="560"/>
      <c r="AW445" s="560"/>
      <c r="AX445" s="560"/>
      <c r="AY445" s="560"/>
      <c r="AZ445" s="560"/>
      <c r="BA445" s="560"/>
      <c r="BB445" s="560"/>
      <c r="BC445" s="560"/>
      <c r="BD445" s="560"/>
      <c r="BE445" s="560"/>
      <c r="BF445" s="560"/>
      <c r="BG445" s="560"/>
      <c r="BH445" s="560"/>
      <c r="BI445" s="455"/>
      <c r="BJ445" s="466" t="str">
        <f t="shared" si="1327"/>
        <v/>
      </c>
      <c r="BK445" s="354"/>
      <c r="BL445" s="354"/>
      <c r="BM445" s="354"/>
      <c r="BN445" s="354"/>
      <c r="BO445" s="354"/>
      <c r="BP445" s="354"/>
      <c r="BQ445" s="354"/>
      <c r="BR445" s="354"/>
      <c r="BS445" s="354"/>
      <c r="BT445" s="354"/>
      <c r="BU445" s="354"/>
      <c r="BV445" s="354"/>
      <c r="BW445" s="354"/>
      <c r="BX445" s="354"/>
      <c r="BY445" s="354"/>
      <c r="BZ445" s="354"/>
      <c r="CA445" s="354"/>
      <c r="CB445" s="354" t="b">
        <f t="shared" si="1328"/>
        <v>0</v>
      </c>
    </row>
    <row r="446" spans="1:86" ht="13.5" customHeight="1" x14ac:dyDescent="0.25">
      <c r="A446" s="354" t="e">
        <f t="shared" si="1060"/>
        <v>#REF!</v>
      </c>
      <c r="B446" s="457"/>
      <c r="C446" s="455"/>
      <c r="D446" s="558"/>
      <c r="E446" s="558"/>
      <c r="F446" s="558"/>
      <c r="G446" s="559"/>
      <c r="H446" s="559"/>
      <c r="I446" s="467"/>
      <c r="J446" s="467"/>
      <c r="K446" s="559"/>
      <c r="L446" s="560"/>
      <c r="M446" s="560"/>
      <c r="N446" s="560"/>
      <c r="O446" s="560"/>
      <c r="P446" s="560"/>
      <c r="Q446" s="560"/>
      <c r="R446" s="560"/>
      <c r="S446" s="835"/>
      <c r="T446" s="560"/>
      <c r="U446" s="560"/>
      <c r="V446" s="560"/>
      <c r="W446" s="560"/>
      <c r="X446" s="560"/>
      <c r="Y446" s="560"/>
      <c r="Z446" s="560"/>
      <c r="AA446" s="560"/>
      <c r="AB446" s="560"/>
      <c r="AC446" s="560"/>
      <c r="AD446" s="560"/>
      <c r="AE446" s="560"/>
      <c r="AF446" s="560"/>
      <c r="AG446" s="560"/>
      <c r="AH446" s="560"/>
      <c r="AI446" s="560"/>
      <c r="AJ446" s="560"/>
      <c r="AK446" s="560"/>
      <c r="AL446" s="560"/>
      <c r="AM446" s="560"/>
      <c r="AN446" s="560"/>
      <c r="AO446" s="560"/>
      <c r="AP446" s="560"/>
      <c r="AQ446" s="560"/>
      <c r="AR446" s="560"/>
      <c r="AS446" s="560"/>
      <c r="AT446" s="560"/>
      <c r="AU446" s="560"/>
      <c r="AV446" s="560"/>
      <c r="AW446" s="560"/>
      <c r="AX446" s="560"/>
      <c r="AY446" s="560"/>
      <c r="AZ446" s="560"/>
      <c r="BA446" s="560"/>
      <c r="BB446" s="560"/>
      <c r="BC446" s="560"/>
      <c r="BD446" s="560"/>
      <c r="BE446" s="560"/>
      <c r="BF446" s="560"/>
      <c r="BG446" s="560"/>
      <c r="BH446" s="560"/>
      <c r="BI446" s="455"/>
      <c r="BJ446" s="466" t="str">
        <f t="shared" si="1327"/>
        <v/>
      </c>
      <c r="BK446" s="354"/>
      <c r="BL446" s="354"/>
      <c r="BM446" s="354"/>
      <c r="BN446" s="354"/>
      <c r="BO446" s="354"/>
      <c r="BP446" s="354"/>
      <c r="BQ446" s="354"/>
      <c r="BR446" s="354"/>
      <c r="BS446" s="354"/>
      <c r="BT446" s="354"/>
      <c r="BU446" s="354"/>
      <c r="BV446" s="354"/>
      <c r="BW446" s="354"/>
      <c r="BX446" s="354"/>
      <c r="BY446" s="354"/>
      <c r="BZ446" s="354"/>
      <c r="CA446" s="354"/>
      <c r="CB446" s="354" t="b">
        <f t="shared" si="1328"/>
        <v>0</v>
      </c>
    </row>
    <row r="447" spans="1:86" ht="13.5" customHeight="1" x14ac:dyDescent="0.25">
      <c r="A447" s="354" t="e">
        <f t="shared" si="1060"/>
        <v>#REF!</v>
      </c>
      <c r="B447" s="457"/>
      <c r="C447" s="455"/>
      <c r="D447" s="558"/>
      <c r="E447" s="558"/>
      <c r="F447" s="558"/>
      <c r="G447" s="559"/>
      <c r="H447" s="559"/>
      <c r="I447" s="467"/>
      <c r="J447" s="467"/>
      <c r="K447" s="559"/>
      <c r="L447" s="560"/>
      <c r="M447" s="560"/>
      <c r="N447" s="560"/>
      <c r="O447" s="560"/>
      <c r="P447" s="560"/>
      <c r="Q447" s="560"/>
      <c r="R447" s="560"/>
      <c r="S447" s="835"/>
      <c r="T447" s="560"/>
      <c r="U447" s="560"/>
      <c r="V447" s="560"/>
      <c r="W447" s="560"/>
      <c r="X447" s="560"/>
      <c r="Y447" s="560"/>
      <c r="Z447" s="560"/>
      <c r="AA447" s="560"/>
      <c r="AB447" s="560"/>
      <c r="AC447" s="560"/>
      <c r="AD447" s="560"/>
      <c r="AE447" s="560"/>
      <c r="AF447" s="560"/>
      <c r="AG447" s="560"/>
      <c r="AH447" s="560"/>
      <c r="AI447" s="560"/>
      <c r="AJ447" s="560"/>
      <c r="AK447" s="560"/>
      <c r="AL447" s="560"/>
      <c r="AM447" s="560"/>
      <c r="AN447" s="560"/>
      <c r="AO447" s="560"/>
      <c r="AP447" s="560"/>
      <c r="AQ447" s="560"/>
      <c r="AR447" s="560"/>
      <c r="AS447" s="560"/>
      <c r="AT447" s="560"/>
      <c r="AU447" s="560"/>
      <c r="AV447" s="560"/>
      <c r="AW447" s="560"/>
      <c r="AX447" s="560"/>
      <c r="AY447" s="560"/>
      <c r="AZ447" s="560"/>
      <c r="BA447" s="560"/>
      <c r="BB447" s="560"/>
      <c r="BC447" s="560"/>
      <c r="BD447" s="560"/>
      <c r="BE447" s="560"/>
      <c r="BF447" s="560"/>
      <c r="BG447" s="560"/>
      <c r="BH447" s="560"/>
      <c r="BI447" s="455"/>
      <c r="BJ447" s="466" t="str">
        <f t="shared" si="1327"/>
        <v/>
      </c>
      <c r="BK447" s="354"/>
      <c r="BL447" s="354"/>
      <c r="BM447" s="354"/>
      <c r="BN447" s="354"/>
      <c r="BO447" s="354"/>
      <c r="BP447" s="354"/>
      <c r="BQ447" s="354"/>
      <c r="BR447" s="354"/>
      <c r="BS447" s="354"/>
      <c r="BT447" s="354"/>
      <c r="BU447" s="354"/>
      <c r="BV447" s="354"/>
      <c r="BW447" s="354"/>
      <c r="BX447" s="354"/>
      <c r="BY447" s="354"/>
      <c r="BZ447" s="354"/>
      <c r="CA447" s="354"/>
      <c r="CB447" s="354" t="b">
        <f t="shared" si="1328"/>
        <v>0</v>
      </c>
    </row>
    <row r="448" spans="1:86" ht="13.5" customHeight="1" x14ac:dyDescent="0.25">
      <c r="A448" s="354" t="e">
        <f t="shared" si="1060"/>
        <v>#REF!</v>
      </c>
      <c r="B448" s="457"/>
      <c r="C448" s="455"/>
      <c r="D448" s="558"/>
      <c r="E448" s="558"/>
      <c r="F448" s="558"/>
      <c r="G448" s="559"/>
      <c r="H448" s="559"/>
      <c r="I448" s="467"/>
      <c r="J448" s="467"/>
      <c r="K448" s="559"/>
      <c r="L448" s="560"/>
      <c r="M448" s="560"/>
      <c r="N448" s="560"/>
      <c r="O448" s="560"/>
      <c r="P448" s="560"/>
      <c r="Q448" s="560"/>
      <c r="R448" s="560"/>
      <c r="S448" s="835"/>
      <c r="T448" s="560"/>
      <c r="U448" s="560"/>
      <c r="V448" s="560"/>
      <c r="W448" s="560"/>
      <c r="X448" s="560"/>
      <c r="Y448" s="560"/>
      <c r="Z448" s="560"/>
      <c r="AA448" s="560"/>
      <c r="AB448" s="560"/>
      <c r="AC448" s="560"/>
      <c r="AD448" s="560"/>
      <c r="AE448" s="560"/>
      <c r="AF448" s="560"/>
      <c r="AG448" s="560"/>
      <c r="AH448" s="560"/>
      <c r="AI448" s="560"/>
      <c r="AJ448" s="560"/>
      <c r="AK448" s="560"/>
      <c r="AL448" s="560"/>
      <c r="AM448" s="560"/>
      <c r="AN448" s="560"/>
      <c r="AO448" s="560"/>
      <c r="AP448" s="560"/>
      <c r="AQ448" s="560"/>
      <c r="AR448" s="560"/>
      <c r="AS448" s="560"/>
      <c r="AT448" s="560"/>
      <c r="AU448" s="560"/>
      <c r="AV448" s="560"/>
      <c r="AW448" s="560"/>
      <c r="AX448" s="560"/>
      <c r="AY448" s="560"/>
      <c r="AZ448" s="560"/>
      <c r="BA448" s="560"/>
      <c r="BB448" s="560"/>
      <c r="BC448" s="560"/>
      <c r="BD448" s="560"/>
      <c r="BE448" s="560"/>
      <c r="BF448" s="560"/>
      <c r="BG448" s="560"/>
      <c r="BH448" s="560"/>
      <c r="BI448" s="455"/>
      <c r="BJ448" s="466" t="str">
        <f t="shared" si="1327"/>
        <v/>
      </c>
      <c r="BK448" s="354"/>
      <c r="BL448" s="354"/>
      <c r="BM448" s="354"/>
      <c r="BN448" s="354"/>
      <c r="BO448" s="354"/>
      <c r="BP448" s="354"/>
      <c r="BQ448" s="354"/>
      <c r="BR448" s="354"/>
      <c r="BS448" s="354"/>
      <c r="BT448" s="354"/>
      <c r="BU448" s="354"/>
      <c r="BV448" s="354"/>
      <c r="BW448" s="354"/>
      <c r="BX448" s="354"/>
      <c r="BY448" s="354"/>
      <c r="BZ448" s="354"/>
      <c r="CA448" s="354"/>
      <c r="CB448" s="354" t="b">
        <f t="shared" si="1328"/>
        <v>0</v>
      </c>
    </row>
    <row r="449" spans="1:80" ht="13.5" customHeight="1" x14ac:dyDescent="0.25">
      <c r="A449" s="354" t="e">
        <f t="shared" si="1060"/>
        <v>#REF!</v>
      </c>
      <c r="B449" s="457"/>
      <c r="C449" s="455"/>
      <c r="D449" s="558"/>
      <c r="E449" s="558"/>
      <c r="F449" s="558"/>
      <c r="G449" s="559"/>
      <c r="H449" s="559"/>
      <c r="I449" s="467"/>
      <c r="J449" s="467"/>
      <c r="K449" s="559"/>
      <c r="L449" s="560"/>
      <c r="M449" s="560"/>
      <c r="N449" s="560"/>
      <c r="O449" s="560"/>
      <c r="P449" s="560"/>
      <c r="Q449" s="560"/>
      <c r="R449" s="560"/>
      <c r="S449" s="835"/>
      <c r="T449" s="560"/>
      <c r="U449" s="560"/>
      <c r="V449" s="560"/>
      <c r="W449" s="560"/>
      <c r="X449" s="560"/>
      <c r="Y449" s="560"/>
      <c r="Z449" s="560"/>
      <c r="AA449" s="560"/>
      <c r="AB449" s="560"/>
      <c r="AC449" s="560"/>
      <c r="AD449" s="560"/>
      <c r="AE449" s="560"/>
      <c r="AF449" s="560"/>
      <c r="AG449" s="560"/>
      <c r="AH449" s="560"/>
      <c r="AI449" s="560"/>
      <c r="AJ449" s="560"/>
      <c r="AK449" s="560"/>
      <c r="AL449" s="560"/>
      <c r="AM449" s="560"/>
      <c r="AN449" s="560"/>
      <c r="AO449" s="560"/>
      <c r="AP449" s="560"/>
      <c r="AQ449" s="560"/>
      <c r="AR449" s="560"/>
      <c r="AS449" s="560"/>
      <c r="AT449" s="560"/>
      <c r="AU449" s="560"/>
      <c r="AV449" s="560"/>
      <c r="AW449" s="560"/>
      <c r="AX449" s="560"/>
      <c r="AY449" s="560"/>
      <c r="AZ449" s="560"/>
      <c r="BA449" s="560"/>
      <c r="BB449" s="560"/>
      <c r="BC449" s="560"/>
      <c r="BD449" s="560"/>
      <c r="BE449" s="560"/>
      <c r="BF449" s="560"/>
      <c r="BG449" s="560"/>
      <c r="BH449" s="560"/>
      <c r="BI449" s="455"/>
      <c r="BJ449" s="466" t="str">
        <f t="shared" si="1327"/>
        <v/>
      </c>
      <c r="BK449" s="354"/>
      <c r="BL449" s="354"/>
      <c r="BM449" s="354"/>
      <c r="BN449" s="354"/>
      <c r="BO449" s="354"/>
      <c r="BP449" s="354"/>
      <c r="BQ449" s="354"/>
      <c r="BR449" s="354"/>
      <c r="BS449" s="354"/>
      <c r="BT449" s="354"/>
      <c r="BU449" s="354"/>
      <c r="BV449" s="354"/>
      <c r="BW449" s="354"/>
      <c r="BX449" s="354"/>
      <c r="BY449" s="354"/>
      <c r="BZ449" s="354"/>
      <c r="CA449" s="354"/>
      <c r="CB449" s="354" t="b">
        <f t="shared" si="1328"/>
        <v>0</v>
      </c>
    </row>
    <row r="450" spans="1:80" ht="13.5" customHeight="1" x14ac:dyDescent="0.25">
      <c r="A450" s="354" t="e">
        <f t="shared" si="1060"/>
        <v>#REF!</v>
      </c>
      <c r="B450" s="457"/>
      <c r="C450" s="455"/>
      <c r="D450" s="558"/>
      <c r="E450" s="558"/>
      <c r="F450" s="558"/>
      <c r="G450" s="559"/>
      <c r="H450" s="559"/>
      <c r="I450" s="467"/>
      <c r="J450" s="467"/>
      <c r="K450" s="559"/>
      <c r="L450" s="560"/>
      <c r="M450" s="560"/>
      <c r="N450" s="560"/>
      <c r="O450" s="560"/>
      <c r="P450" s="560"/>
      <c r="Q450" s="560"/>
      <c r="R450" s="560"/>
      <c r="S450" s="835"/>
      <c r="T450" s="560"/>
      <c r="U450" s="560"/>
      <c r="V450" s="560"/>
      <c r="W450" s="560"/>
      <c r="X450" s="560"/>
      <c r="Y450" s="560"/>
      <c r="Z450" s="560"/>
      <c r="AA450" s="560"/>
      <c r="AB450" s="560"/>
      <c r="AC450" s="560"/>
      <c r="AD450" s="560"/>
      <c r="AE450" s="560"/>
      <c r="AF450" s="560"/>
      <c r="AG450" s="560"/>
      <c r="AH450" s="560"/>
      <c r="AI450" s="560"/>
      <c r="AJ450" s="560"/>
      <c r="AK450" s="560"/>
      <c r="AL450" s="560"/>
      <c r="AM450" s="560"/>
      <c r="AN450" s="560"/>
      <c r="AO450" s="560"/>
      <c r="AP450" s="560"/>
      <c r="AQ450" s="560"/>
      <c r="AR450" s="560"/>
      <c r="AS450" s="560"/>
      <c r="AT450" s="560"/>
      <c r="AU450" s="560"/>
      <c r="AV450" s="560"/>
      <c r="AW450" s="560"/>
      <c r="AX450" s="560"/>
      <c r="AY450" s="560"/>
      <c r="AZ450" s="560"/>
      <c r="BA450" s="560"/>
      <c r="BB450" s="560"/>
      <c r="BC450" s="560"/>
      <c r="BD450" s="560"/>
      <c r="BE450" s="560"/>
      <c r="BF450" s="560"/>
      <c r="BG450" s="560"/>
      <c r="BH450" s="560"/>
      <c r="BI450" s="455"/>
      <c r="BJ450" s="466" t="str">
        <f t="shared" si="1327"/>
        <v/>
      </c>
      <c r="BK450" s="354"/>
      <c r="BL450" s="354"/>
      <c r="BM450" s="354"/>
      <c r="BN450" s="354"/>
      <c r="BO450" s="354"/>
      <c r="BP450" s="354"/>
      <c r="BQ450" s="354"/>
      <c r="BR450" s="354"/>
      <c r="BS450" s="354"/>
      <c r="BT450" s="354"/>
      <c r="BU450" s="354"/>
      <c r="BV450" s="354"/>
      <c r="BW450" s="354"/>
      <c r="BX450" s="354"/>
      <c r="BY450" s="354"/>
      <c r="BZ450" s="354"/>
      <c r="CA450" s="354"/>
      <c r="CB450" s="354" t="b">
        <f t="shared" si="1328"/>
        <v>0</v>
      </c>
    </row>
    <row r="451" spans="1:80" ht="13.5" customHeight="1" x14ac:dyDescent="0.25">
      <c r="A451" s="354" t="e">
        <f t="shared" si="1060"/>
        <v>#REF!</v>
      </c>
      <c r="B451" s="457"/>
      <c r="C451" s="455"/>
      <c r="D451" s="558"/>
      <c r="E451" s="558"/>
      <c r="F451" s="558"/>
      <c r="G451" s="559"/>
      <c r="H451" s="559"/>
      <c r="I451" s="467"/>
      <c r="J451" s="467"/>
      <c r="K451" s="559"/>
      <c r="L451" s="560"/>
      <c r="M451" s="560"/>
      <c r="N451" s="560"/>
      <c r="O451" s="560"/>
      <c r="P451" s="560"/>
      <c r="Q451" s="560"/>
      <c r="R451" s="560"/>
      <c r="S451" s="835"/>
      <c r="T451" s="560"/>
      <c r="U451" s="560"/>
      <c r="V451" s="560"/>
      <c r="W451" s="560"/>
      <c r="X451" s="560"/>
      <c r="Y451" s="560"/>
      <c r="Z451" s="560"/>
      <c r="AA451" s="560"/>
      <c r="AB451" s="560"/>
      <c r="AC451" s="560"/>
      <c r="AD451" s="560"/>
      <c r="AE451" s="560"/>
      <c r="AF451" s="560"/>
      <c r="AG451" s="560"/>
      <c r="AH451" s="560"/>
      <c r="AI451" s="560"/>
      <c r="AJ451" s="560"/>
      <c r="AK451" s="560"/>
      <c r="AL451" s="560"/>
      <c r="AM451" s="560"/>
      <c r="AN451" s="560"/>
      <c r="AO451" s="560"/>
      <c r="AP451" s="560"/>
      <c r="AQ451" s="560"/>
      <c r="AR451" s="560"/>
      <c r="AS451" s="560"/>
      <c r="AT451" s="560"/>
      <c r="AU451" s="560"/>
      <c r="AV451" s="560"/>
      <c r="AW451" s="560"/>
      <c r="AX451" s="560"/>
      <c r="AY451" s="560"/>
      <c r="AZ451" s="560"/>
      <c r="BA451" s="560"/>
      <c r="BB451" s="560"/>
      <c r="BC451" s="560"/>
      <c r="BD451" s="560"/>
      <c r="BE451" s="560"/>
      <c r="BF451" s="560"/>
      <c r="BG451" s="560"/>
      <c r="BH451" s="560"/>
      <c r="BI451" s="455"/>
      <c r="BJ451" s="466" t="str">
        <f t="shared" si="1327"/>
        <v/>
      </c>
      <c r="BK451" s="354"/>
      <c r="BL451" s="354"/>
      <c r="BM451" s="354"/>
      <c r="BN451" s="354"/>
      <c r="BO451" s="354"/>
      <c r="BP451" s="354"/>
      <c r="BQ451" s="354"/>
      <c r="BR451" s="354"/>
      <c r="BS451" s="354"/>
      <c r="BT451" s="354"/>
      <c r="BU451" s="354"/>
      <c r="BV451" s="354"/>
      <c r="BW451" s="354"/>
      <c r="BX451" s="354"/>
      <c r="BY451" s="354"/>
      <c r="BZ451" s="354"/>
      <c r="CA451" s="354"/>
      <c r="CB451" s="354" t="b">
        <f t="shared" si="1328"/>
        <v>0</v>
      </c>
    </row>
    <row r="452" spans="1:80" ht="13.5" customHeight="1" x14ac:dyDescent="0.25">
      <c r="A452" s="354" t="e">
        <f t="shared" si="1060"/>
        <v>#REF!</v>
      </c>
      <c r="B452" s="457"/>
      <c r="C452" s="455"/>
      <c r="D452" s="558"/>
      <c r="E452" s="558"/>
      <c r="F452" s="558"/>
      <c r="G452" s="559"/>
      <c r="H452" s="559"/>
      <c r="I452" s="467"/>
      <c r="J452" s="467"/>
      <c r="K452" s="559"/>
      <c r="L452" s="560"/>
      <c r="M452" s="560"/>
      <c r="N452" s="560"/>
      <c r="O452" s="560"/>
      <c r="P452" s="560"/>
      <c r="Q452" s="560"/>
      <c r="R452" s="560"/>
      <c r="S452" s="835"/>
      <c r="T452" s="560"/>
      <c r="U452" s="560"/>
      <c r="V452" s="560"/>
      <c r="W452" s="560"/>
      <c r="X452" s="560"/>
      <c r="Y452" s="560"/>
      <c r="Z452" s="560"/>
      <c r="AA452" s="560"/>
      <c r="AB452" s="560"/>
      <c r="AC452" s="560"/>
      <c r="AD452" s="560"/>
      <c r="AE452" s="560"/>
      <c r="AF452" s="560"/>
      <c r="AG452" s="560"/>
      <c r="AH452" s="560"/>
      <c r="AI452" s="560"/>
      <c r="AJ452" s="560"/>
      <c r="AK452" s="560"/>
      <c r="AL452" s="560"/>
      <c r="AM452" s="560"/>
      <c r="AN452" s="560"/>
      <c r="AO452" s="560"/>
      <c r="AP452" s="560"/>
      <c r="AQ452" s="560"/>
      <c r="AR452" s="560"/>
      <c r="AS452" s="560"/>
      <c r="AT452" s="560"/>
      <c r="AU452" s="560"/>
      <c r="AV452" s="560"/>
      <c r="AW452" s="560"/>
      <c r="AX452" s="560"/>
      <c r="AY452" s="560"/>
      <c r="AZ452" s="560"/>
      <c r="BA452" s="560"/>
      <c r="BB452" s="560"/>
      <c r="BC452" s="560"/>
      <c r="BD452" s="560"/>
      <c r="BE452" s="560"/>
      <c r="BF452" s="560"/>
      <c r="BG452" s="560"/>
      <c r="BH452" s="560"/>
      <c r="BI452" s="455"/>
      <c r="BJ452" s="466" t="str">
        <f t="shared" si="1327"/>
        <v/>
      </c>
      <c r="BK452" s="354"/>
      <c r="BL452" s="354"/>
      <c r="BM452" s="354"/>
      <c r="BN452" s="354"/>
      <c r="BO452" s="354"/>
      <c r="BP452" s="354"/>
      <c r="BQ452" s="354"/>
      <c r="BR452" s="354"/>
      <c r="BS452" s="354"/>
      <c r="BT452" s="354"/>
      <c r="BU452" s="354"/>
      <c r="BV452" s="354"/>
      <c r="BW452" s="354"/>
      <c r="BX452" s="354"/>
      <c r="BY452" s="354"/>
      <c r="BZ452" s="354"/>
      <c r="CA452" s="354"/>
      <c r="CB452" s="354" t="b">
        <f t="shared" si="1328"/>
        <v>0</v>
      </c>
    </row>
    <row r="453" spans="1:80" ht="13.5" customHeight="1" x14ac:dyDescent="0.25">
      <c r="A453" s="354" t="e">
        <f t="shared" si="1060"/>
        <v>#REF!</v>
      </c>
      <c r="B453" s="457"/>
      <c r="C453" s="455"/>
      <c r="D453" s="558"/>
      <c r="E453" s="558"/>
      <c r="F453" s="558"/>
      <c r="G453" s="559"/>
      <c r="H453" s="559"/>
      <c r="I453" s="467"/>
      <c r="J453" s="467"/>
      <c r="K453" s="559"/>
      <c r="L453" s="560"/>
      <c r="M453" s="560"/>
      <c r="N453" s="560"/>
      <c r="O453" s="560"/>
      <c r="P453" s="560"/>
      <c r="Q453" s="560"/>
      <c r="R453" s="560"/>
      <c r="S453" s="835"/>
      <c r="T453" s="560"/>
      <c r="U453" s="560"/>
      <c r="V453" s="560"/>
      <c r="W453" s="560"/>
      <c r="X453" s="560"/>
      <c r="Y453" s="560"/>
      <c r="Z453" s="560"/>
      <c r="AA453" s="560"/>
      <c r="AB453" s="560"/>
      <c r="AC453" s="560"/>
      <c r="AD453" s="560"/>
      <c r="AE453" s="560"/>
      <c r="AF453" s="560"/>
      <c r="AG453" s="560"/>
      <c r="AH453" s="560"/>
      <c r="AI453" s="560"/>
      <c r="AJ453" s="560"/>
      <c r="AK453" s="560"/>
      <c r="AL453" s="560"/>
      <c r="AM453" s="560"/>
      <c r="AN453" s="560"/>
      <c r="AO453" s="560"/>
      <c r="AP453" s="560"/>
      <c r="AQ453" s="560"/>
      <c r="AR453" s="560"/>
      <c r="AS453" s="560"/>
      <c r="AT453" s="560"/>
      <c r="AU453" s="560"/>
      <c r="AV453" s="560"/>
      <c r="AW453" s="560"/>
      <c r="AX453" s="560"/>
      <c r="AY453" s="560"/>
      <c r="AZ453" s="560"/>
      <c r="BA453" s="560"/>
      <c r="BB453" s="560"/>
      <c r="BC453" s="560"/>
      <c r="BD453" s="560"/>
      <c r="BE453" s="560"/>
      <c r="BF453" s="560"/>
      <c r="BG453" s="560"/>
      <c r="BH453" s="560"/>
      <c r="BI453" s="455"/>
      <c r="BJ453" s="466" t="str">
        <f t="shared" si="1327"/>
        <v/>
      </c>
      <c r="BK453" s="354"/>
      <c r="BL453" s="354"/>
      <c r="BM453" s="354"/>
      <c r="BN453" s="354"/>
      <c r="BO453" s="354"/>
      <c r="BP453" s="354"/>
      <c r="BQ453" s="354"/>
      <c r="BR453" s="354"/>
      <c r="BS453" s="354"/>
      <c r="BT453" s="354"/>
      <c r="BU453" s="354"/>
      <c r="BV453" s="354"/>
      <c r="BW453" s="354"/>
      <c r="BX453" s="354"/>
      <c r="BY453" s="354"/>
      <c r="BZ453" s="354"/>
      <c r="CA453" s="354"/>
      <c r="CB453" s="354" t="b">
        <f t="shared" si="1328"/>
        <v>0</v>
      </c>
    </row>
    <row r="454" spans="1:80" ht="13.5" customHeight="1" x14ac:dyDescent="0.25">
      <c r="A454" s="354" t="e">
        <f t="shared" si="1060"/>
        <v>#REF!</v>
      </c>
      <c r="B454" s="457"/>
      <c r="C454" s="455"/>
      <c r="D454" s="558"/>
      <c r="E454" s="558"/>
      <c r="F454" s="558"/>
      <c r="G454" s="559"/>
      <c r="H454" s="559"/>
      <c r="I454" s="467"/>
      <c r="J454" s="467"/>
      <c r="K454" s="559"/>
      <c r="L454" s="560"/>
      <c r="M454" s="560"/>
      <c r="N454" s="560"/>
      <c r="O454" s="560"/>
      <c r="P454" s="560"/>
      <c r="Q454" s="560"/>
      <c r="R454" s="560"/>
      <c r="S454" s="835"/>
      <c r="T454" s="560"/>
      <c r="U454" s="560"/>
      <c r="V454" s="560"/>
      <c r="W454" s="560"/>
      <c r="X454" s="560"/>
      <c r="Y454" s="560"/>
      <c r="Z454" s="560"/>
      <c r="AA454" s="560"/>
      <c r="AB454" s="560"/>
      <c r="AC454" s="560"/>
      <c r="AD454" s="560"/>
      <c r="AE454" s="560"/>
      <c r="AF454" s="560"/>
      <c r="AG454" s="560"/>
      <c r="AH454" s="560"/>
      <c r="AI454" s="560"/>
      <c r="AJ454" s="560"/>
      <c r="AK454" s="560"/>
      <c r="AL454" s="560"/>
      <c r="AM454" s="560"/>
      <c r="AN454" s="560"/>
      <c r="AO454" s="560"/>
      <c r="AP454" s="560"/>
      <c r="AQ454" s="560"/>
      <c r="AR454" s="560"/>
      <c r="AS454" s="560"/>
      <c r="AT454" s="560"/>
      <c r="AU454" s="560"/>
      <c r="AV454" s="560"/>
      <c r="AW454" s="560"/>
      <c r="AX454" s="560"/>
      <c r="AY454" s="560"/>
      <c r="AZ454" s="560"/>
      <c r="BA454" s="560"/>
      <c r="BB454" s="560"/>
      <c r="BC454" s="560"/>
      <c r="BD454" s="560"/>
      <c r="BE454" s="560"/>
      <c r="BF454" s="560"/>
      <c r="BG454" s="560"/>
      <c r="BH454" s="560"/>
      <c r="BI454" s="455"/>
      <c r="BJ454" s="466" t="str">
        <f t="shared" si="1327"/>
        <v/>
      </c>
      <c r="BK454" s="354"/>
      <c r="BL454" s="354"/>
      <c r="BM454" s="354"/>
      <c r="BN454" s="354"/>
      <c r="BO454" s="354"/>
      <c r="BP454" s="354"/>
      <c r="BQ454" s="354"/>
      <c r="BR454" s="354"/>
      <c r="BS454" s="354"/>
      <c r="BT454" s="354"/>
      <c r="BU454" s="354"/>
      <c r="BV454" s="354"/>
      <c r="BW454" s="354"/>
      <c r="BX454" s="354"/>
      <c r="BY454" s="354"/>
      <c r="BZ454" s="354"/>
      <c r="CA454" s="354"/>
      <c r="CB454" s="354" t="b">
        <f t="shared" si="1328"/>
        <v>0</v>
      </c>
    </row>
    <row r="455" spans="1:80" ht="13.5" customHeight="1" x14ac:dyDescent="0.25">
      <c r="A455" s="354" t="e">
        <f t="shared" si="1060"/>
        <v>#REF!</v>
      </c>
      <c r="B455" s="457"/>
      <c r="C455" s="455"/>
      <c r="D455" s="558"/>
      <c r="E455" s="558"/>
      <c r="F455" s="558"/>
      <c r="G455" s="559"/>
      <c r="H455" s="559"/>
      <c r="I455" s="467"/>
      <c r="J455" s="467"/>
      <c r="K455" s="559"/>
      <c r="L455" s="560"/>
      <c r="M455" s="560"/>
      <c r="N455" s="560"/>
      <c r="O455" s="560"/>
      <c r="P455" s="560"/>
      <c r="Q455" s="560"/>
      <c r="R455" s="560"/>
      <c r="S455" s="835"/>
      <c r="T455" s="560"/>
      <c r="U455" s="560"/>
      <c r="V455" s="560"/>
      <c r="W455" s="560"/>
      <c r="X455" s="560"/>
      <c r="Y455" s="560"/>
      <c r="Z455" s="560"/>
      <c r="AA455" s="560"/>
      <c r="AB455" s="560"/>
      <c r="AC455" s="560"/>
      <c r="AD455" s="560"/>
      <c r="AE455" s="560"/>
      <c r="AF455" s="560"/>
      <c r="AG455" s="560"/>
      <c r="AH455" s="560"/>
      <c r="AI455" s="560"/>
      <c r="AJ455" s="560"/>
      <c r="AK455" s="560"/>
      <c r="AL455" s="560"/>
      <c r="AM455" s="560"/>
      <c r="AN455" s="560"/>
      <c r="AO455" s="560"/>
      <c r="AP455" s="560"/>
      <c r="AQ455" s="560"/>
      <c r="AR455" s="560"/>
      <c r="AS455" s="560"/>
      <c r="AT455" s="560"/>
      <c r="AU455" s="560"/>
      <c r="AV455" s="560"/>
      <c r="AW455" s="560"/>
      <c r="AX455" s="560"/>
      <c r="AY455" s="560"/>
      <c r="AZ455" s="560"/>
      <c r="BA455" s="560"/>
      <c r="BB455" s="560"/>
      <c r="BC455" s="560"/>
      <c r="BD455" s="560"/>
      <c r="BE455" s="560"/>
      <c r="BF455" s="560"/>
      <c r="BG455" s="560"/>
      <c r="BH455" s="560"/>
      <c r="BI455" s="455"/>
      <c r="BJ455" s="466" t="str">
        <f t="shared" ref="BJ455:BJ476" si="1329">LEFT(C455,2)</f>
        <v/>
      </c>
      <c r="BK455" s="354"/>
      <c r="BL455" s="354"/>
      <c r="BM455" s="354"/>
      <c r="BN455" s="354"/>
      <c r="BO455" s="354"/>
      <c r="BP455" s="354"/>
      <c r="BQ455" s="354"/>
      <c r="BR455" s="354"/>
      <c r="BS455" s="354"/>
      <c r="BT455" s="354"/>
      <c r="BU455" s="354"/>
      <c r="BV455" s="354"/>
      <c r="BW455" s="354"/>
      <c r="BX455" s="354"/>
      <c r="BY455" s="354"/>
      <c r="BZ455" s="354"/>
      <c r="CA455" s="354"/>
      <c r="CB455" s="354" t="b">
        <f t="shared" si="1328"/>
        <v>0</v>
      </c>
    </row>
    <row r="456" spans="1:80" ht="13.5" customHeight="1" x14ac:dyDescent="0.25">
      <c r="A456" s="354" t="e">
        <f t="shared" si="1060"/>
        <v>#REF!</v>
      </c>
      <c r="B456" s="457"/>
      <c r="C456" s="455"/>
      <c r="D456" s="558"/>
      <c r="E456" s="558"/>
      <c r="F456" s="558"/>
      <c r="G456" s="559"/>
      <c r="H456" s="559"/>
      <c r="I456" s="467"/>
      <c r="J456" s="467"/>
      <c r="K456" s="559"/>
      <c r="L456" s="560"/>
      <c r="M456" s="560"/>
      <c r="N456" s="560"/>
      <c r="O456" s="560"/>
      <c r="P456" s="560"/>
      <c r="Q456" s="560"/>
      <c r="R456" s="560"/>
      <c r="S456" s="835"/>
      <c r="T456" s="560"/>
      <c r="U456" s="560"/>
      <c r="V456" s="560"/>
      <c r="W456" s="560"/>
      <c r="X456" s="560"/>
      <c r="Y456" s="560"/>
      <c r="Z456" s="560"/>
      <c r="AA456" s="560"/>
      <c r="AB456" s="560"/>
      <c r="AC456" s="560"/>
      <c r="AD456" s="560"/>
      <c r="AE456" s="560"/>
      <c r="AF456" s="560"/>
      <c r="AG456" s="560"/>
      <c r="AH456" s="560"/>
      <c r="AI456" s="560"/>
      <c r="AJ456" s="560"/>
      <c r="AK456" s="560"/>
      <c r="AL456" s="560"/>
      <c r="AM456" s="560"/>
      <c r="AN456" s="560"/>
      <c r="AO456" s="560"/>
      <c r="AP456" s="560"/>
      <c r="AQ456" s="560"/>
      <c r="AR456" s="560"/>
      <c r="AS456" s="560"/>
      <c r="AT456" s="560"/>
      <c r="AU456" s="560"/>
      <c r="AV456" s="560"/>
      <c r="AW456" s="560"/>
      <c r="AX456" s="560"/>
      <c r="AY456" s="560"/>
      <c r="AZ456" s="560"/>
      <c r="BA456" s="560"/>
      <c r="BB456" s="560"/>
      <c r="BC456" s="560"/>
      <c r="BD456" s="560"/>
      <c r="BE456" s="560"/>
      <c r="BF456" s="560"/>
      <c r="BG456" s="560"/>
      <c r="BH456" s="560"/>
      <c r="BI456" s="455"/>
      <c r="BJ456" s="466" t="str">
        <f t="shared" si="1329"/>
        <v/>
      </c>
      <c r="BK456" s="354"/>
      <c r="BL456" s="354"/>
      <c r="BM456" s="354"/>
      <c r="BN456" s="354"/>
      <c r="BO456" s="354"/>
      <c r="BP456" s="354"/>
      <c r="BQ456" s="354"/>
      <c r="BR456" s="354"/>
      <c r="BS456" s="354"/>
      <c r="BT456" s="354"/>
      <c r="BU456" s="354"/>
      <c r="BV456" s="354"/>
      <c r="BW456" s="354"/>
      <c r="BX456" s="354"/>
      <c r="BY456" s="354"/>
      <c r="BZ456" s="354"/>
      <c r="CA456" s="354"/>
      <c r="CB456" s="354" t="b">
        <f t="shared" si="1328"/>
        <v>0</v>
      </c>
    </row>
    <row r="457" spans="1:80" ht="13.5" customHeight="1" x14ac:dyDescent="0.25">
      <c r="A457" s="354" t="e">
        <f t="shared" si="1060"/>
        <v>#REF!</v>
      </c>
      <c r="B457" s="457"/>
      <c r="D457" s="355"/>
      <c r="E457" s="355"/>
      <c r="F457" s="355"/>
      <c r="K457" s="565"/>
      <c r="BJ457" s="466" t="str">
        <f t="shared" si="1329"/>
        <v/>
      </c>
      <c r="BK457" s="354"/>
      <c r="BL457" s="354"/>
      <c r="BM457" s="354"/>
      <c r="BN457" s="354"/>
      <c r="BO457" s="354"/>
      <c r="BP457" s="354"/>
      <c r="BQ457" s="354"/>
      <c r="BR457" s="354"/>
      <c r="BS457" s="354"/>
      <c r="BT457" s="354"/>
      <c r="BU457" s="354"/>
      <c r="BV457" s="354"/>
      <c r="BW457" s="354"/>
      <c r="BX457" s="354"/>
      <c r="BY457" s="354"/>
      <c r="BZ457" s="354"/>
      <c r="CA457" s="354"/>
      <c r="CB457" s="354" t="b">
        <f t="shared" si="1328"/>
        <v>0</v>
      </c>
    </row>
    <row r="458" spans="1:80" ht="13.5" customHeight="1" x14ac:dyDescent="0.25">
      <c r="A458" s="354" t="e">
        <f t="shared" si="1060"/>
        <v>#REF!</v>
      </c>
      <c r="B458" s="457"/>
      <c r="D458" s="355"/>
      <c r="E458" s="355"/>
      <c r="F458" s="355"/>
      <c r="K458" s="565"/>
      <c r="BJ458" s="466" t="str">
        <f t="shared" si="1329"/>
        <v/>
      </c>
      <c r="BK458" s="354"/>
      <c r="BL458" s="354"/>
      <c r="BM458" s="354"/>
      <c r="BN458" s="354"/>
      <c r="BO458" s="354"/>
      <c r="BP458" s="354"/>
      <c r="BQ458" s="354"/>
      <c r="BR458" s="354"/>
      <c r="BS458" s="354"/>
      <c r="BT458" s="354"/>
      <c r="BU458" s="354"/>
      <c r="BV458" s="354"/>
      <c r="BW458" s="354"/>
      <c r="BX458" s="354"/>
      <c r="BY458" s="354"/>
      <c r="BZ458" s="354"/>
      <c r="CA458" s="354"/>
      <c r="CB458" s="354" t="b">
        <f t="shared" si="1328"/>
        <v>0</v>
      </c>
    </row>
    <row r="459" spans="1:80" ht="13.5" customHeight="1" x14ac:dyDescent="0.25">
      <c r="A459" s="354" t="e">
        <f t="shared" ref="A459:A480" si="1330">A458</f>
        <v>#REF!</v>
      </c>
      <c r="B459" s="457"/>
      <c r="D459" s="355"/>
      <c r="E459" s="355"/>
      <c r="F459" s="355"/>
      <c r="K459" s="565"/>
      <c r="BJ459" s="466" t="str">
        <f t="shared" si="1329"/>
        <v/>
      </c>
      <c r="BK459" s="354"/>
      <c r="BL459" s="354"/>
      <c r="BM459" s="354"/>
      <c r="BN459" s="354"/>
      <c r="BO459" s="354"/>
      <c r="BP459" s="354"/>
      <c r="BQ459" s="354"/>
      <c r="BR459" s="354"/>
      <c r="BS459" s="354"/>
      <c r="BT459" s="354"/>
      <c r="BU459" s="354"/>
      <c r="BV459" s="354"/>
      <c r="BW459" s="354"/>
      <c r="BX459" s="354"/>
      <c r="BY459" s="354"/>
      <c r="BZ459" s="354"/>
      <c r="CA459" s="354"/>
      <c r="CB459" s="354" t="b">
        <f t="shared" si="1328"/>
        <v>0</v>
      </c>
    </row>
    <row r="460" spans="1:80" ht="13.5" customHeight="1" x14ac:dyDescent="0.25">
      <c r="A460" s="354" t="e">
        <f t="shared" si="1330"/>
        <v>#REF!</v>
      </c>
      <c r="B460" s="457"/>
      <c r="D460" s="355"/>
      <c r="E460" s="355"/>
      <c r="F460" s="355"/>
      <c r="K460" s="565"/>
      <c r="BJ460" s="466" t="str">
        <f t="shared" si="1329"/>
        <v/>
      </c>
      <c r="BK460" s="354"/>
      <c r="BL460" s="354"/>
      <c r="BM460" s="354"/>
      <c r="BN460" s="354"/>
      <c r="BO460" s="354"/>
      <c r="BP460" s="354"/>
      <c r="BQ460" s="354"/>
      <c r="BR460" s="354"/>
      <c r="BS460" s="354"/>
      <c r="BT460" s="354"/>
      <c r="BU460" s="354"/>
      <c r="BV460" s="354"/>
      <c r="BW460" s="354"/>
      <c r="BX460" s="354"/>
      <c r="BY460" s="354"/>
      <c r="BZ460" s="354"/>
      <c r="CA460" s="354"/>
      <c r="CB460" s="354" t="b">
        <f t="shared" si="1328"/>
        <v>0</v>
      </c>
    </row>
    <row r="461" spans="1:80" ht="13.5" customHeight="1" x14ac:dyDescent="0.25">
      <c r="A461" s="354" t="e">
        <f t="shared" si="1330"/>
        <v>#REF!</v>
      </c>
      <c r="B461" s="457"/>
      <c r="D461" s="355"/>
      <c r="E461" s="355"/>
      <c r="F461" s="355"/>
      <c r="K461" s="565"/>
      <c r="BJ461" s="466" t="str">
        <f t="shared" si="1329"/>
        <v/>
      </c>
      <c r="BK461" s="354"/>
      <c r="BL461" s="354"/>
      <c r="BM461" s="354"/>
      <c r="BN461" s="354"/>
      <c r="BO461" s="354"/>
      <c r="BP461" s="354"/>
      <c r="BQ461" s="354"/>
      <c r="BR461" s="354"/>
      <c r="BS461" s="354"/>
      <c r="BT461" s="354"/>
      <c r="BU461" s="354"/>
      <c r="BV461" s="354"/>
      <c r="BW461" s="354"/>
      <c r="BX461" s="354"/>
      <c r="BY461" s="354"/>
      <c r="BZ461" s="354"/>
      <c r="CA461" s="354"/>
      <c r="CB461" s="354" t="b">
        <f t="shared" si="1328"/>
        <v>0</v>
      </c>
    </row>
    <row r="462" spans="1:80" ht="13.5" customHeight="1" x14ac:dyDescent="0.25">
      <c r="A462" s="354" t="e">
        <f t="shared" si="1330"/>
        <v>#REF!</v>
      </c>
      <c r="B462" s="457"/>
      <c r="D462" s="355"/>
      <c r="E462" s="355"/>
      <c r="F462" s="355"/>
      <c r="K462" s="565"/>
      <c r="BJ462" s="466" t="str">
        <f t="shared" si="1329"/>
        <v/>
      </c>
      <c r="BK462" s="354"/>
      <c r="BL462" s="354"/>
      <c r="BM462" s="354"/>
      <c r="BN462" s="354"/>
      <c r="BO462" s="354"/>
      <c r="BP462" s="354"/>
      <c r="BQ462" s="354"/>
      <c r="BR462" s="354"/>
      <c r="BS462" s="354"/>
      <c r="BT462" s="354"/>
      <c r="BU462" s="354"/>
      <c r="BV462" s="354"/>
      <c r="BW462" s="354"/>
      <c r="BX462" s="354"/>
      <c r="BY462" s="354"/>
      <c r="BZ462" s="354"/>
      <c r="CA462" s="354"/>
      <c r="CB462" s="354" t="b">
        <f t="shared" si="1328"/>
        <v>0</v>
      </c>
    </row>
    <row r="463" spans="1:80" ht="13.5" customHeight="1" x14ac:dyDescent="0.25">
      <c r="A463" s="354" t="e">
        <f t="shared" si="1330"/>
        <v>#REF!</v>
      </c>
      <c r="B463" s="457"/>
      <c r="D463" s="355"/>
      <c r="E463" s="355"/>
      <c r="F463" s="355"/>
      <c r="K463" s="565"/>
      <c r="BJ463" s="466" t="str">
        <f t="shared" si="1329"/>
        <v/>
      </c>
      <c r="BK463" s="354"/>
      <c r="BL463" s="354"/>
      <c r="BM463" s="354"/>
      <c r="BN463" s="354"/>
      <c r="BO463" s="354"/>
      <c r="BP463" s="354"/>
      <c r="BQ463" s="354"/>
      <c r="BR463" s="354"/>
      <c r="BS463" s="354"/>
      <c r="BT463" s="354"/>
      <c r="BU463" s="354"/>
      <c r="BV463" s="354"/>
      <c r="BW463" s="354"/>
      <c r="BX463" s="354"/>
      <c r="BY463" s="354"/>
      <c r="BZ463" s="354"/>
      <c r="CA463" s="354"/>
      <c r="CB463" s="354" t="b">
        <f t="shared" si="1328"/>
        <v>0</v>
      </c>
    </row>
    <row r="464" spans="1:80" ht="13.5" customHeight="1" x14ac:dyDescent="0.25">
      <c r="A464" s="354" t="e">
        <f t="shared" si="1330"/>
        <v>#REF!</v>
      </c>
      <c r="B464" s="457"/>
      <c r="D464" s="355"/>
      <c r="E464" s="355"/>
      <c r="F464" s="355"/>
      <c r="K464" s="565"/>
      <c r="BJ464" s="466" t="str">
        <f t="shared" si="1329"/>
        <v/>
      </c>
      <c r="BK464" s="354"/>
      <c r="BL464" s="354"/>
      <c r="BM464" s="354"/>
      <c r="BN464" s="354"/>
      <c r="BO464" s="354"/>
      <c r="BP464" s="354"/>
      <c r="BQ464" s="354"/>
      <c r="BR464" s="354"/>
      <c r="BS464" s="354"/>
      <c r="BT464" s="354"/>
      <c r="BU464" s="354"/>
      <c r="BV464" s="354"/>
      <c r="BW464" s="354"/>
      <c r="BX464" s="354"/>
      <c r="BY464" s="354"/>
      <c r="BZ464" s="354"/>
      <c r="CA464" s="354"/>
      <c r="CB464" s="354" t="b">
        <f t="shared" si="1328"/>
        <v>0</v>
      </c>
    </row>
    <row r="465" spans="1:80" ht="13.5" customHeight="1" x14ac:dyDescent="0.25">
      <c r="A465" s="354" t="e">
        <f t="shared" si="1330"/>
        <v>#REF!</v>
      </c>
      <c r="B465" s="457"/>
      <c r="D465" s="355"/>
      <c r="E465" s="355"/>
      <c r="F465" s="355"/>
      <c r="K465" s="565"/>
      <c r="BJ465" s="466" t="str">
        <f t="shared" si="1329"/>
        <v/>
      </c>
      <c r="BK465" s="354"/>
      <c r="BL465" s="354"/>
      <c r="BM465" s="354"/>
      <c r="BN465" s="354"/>
      <c r="BO465" s="354"/>
      <c r="BP465" s="354"/>
      <c r="BQ465" s="354"/>
      <c r="BR465" s="354"/>
      <c r="BS465" s="354"/>
      <c r="BT465" s="354"/>
      <c r="BU465" s="354"/>
      <c r="BV465" s="354"/>
      <c r="BW465" s="354"/>
      <c r="BX465" s="354"/>
      <c r="BY465" s="354"/>
      <c r="BZ465" s="354"/>
      <c r="CA465" s="354"/>
      <c r="CB465" s="354" t="b">
        <f t="shared" si="1328"/>
        <v>0</v>
      </c>
    </row>
    <row r="466" spans="1:80" ht="13.5" customHeight="1" x14ac:dyDescent="0.25">
      <c r="A466" s="354" t="e">
        <f t="shared" si="1330"/>
        <v>#REF!</v>
      </c>
      <c r="B466" s="457"/>
      <c r="D466" s="355"/>
      <c r="E466" s="355"/>
      <c r="F466" s="355"/>
      <c r="K466" s="565"/>
      <c r="BJ466" s="466" t="str">
        <f t="shared" si="1329"/>
        <v/>
      </c>
      <c r="BK466" s="354"/>
      <c r="BL466" s="354"/>
      <c r="BM466" s="354"/>
      <c r="BN466" s="354"/>
      <c r="BO466" s="354"/>
      <c r="BP466" s="354"/>
      <c r="BQ466" s="354"/>
      <c r="BR466" s="354"/>
      <c r="BS466" s="354"/>
      <c r="BT466" s="354"/>
      <c r="BU466" s="354"/>
      <c r="BV466" s="354"/>
      <c r="BW466" s="354"/>
      <c r="BX466" s="354"/>
      <c r="BY466" s="354"/>
      <c r="BZ466" s="354"/>
      <c r="CA466" s="354"/>
      <c r="CB466" s="354" t="b">
        <f t="shared" si="1328"/>
        <v>0</v>
      </c>
    </row>
    <row r="467" spans="1:80" ht="13.5" customHeight="1" x14ac:dyDescent="0.25">
      <c r="A467" s="354" t="e">
        <f t="shared" si="1330"/>
        <v>#REF!</v>
      </c>
      <c r="BJ467" s="466" t="str">
        <f t="shared" si="1329"/>
        <v/>
      </c>
      <c r="BK467" s="354"/>
      <c r="BL467" s="354"/>
      <c r="BM467" s="354"/>
      <c r="BN467" s="354"/>
      <c r="BO467" s="354"/>
      <c r="BP467" s="354"/>
      <c r="BQ467" s="354"/>
      <c r="BR467" s="354"/>
      <c r="BS467" s="354"/>
      <c r="BT467" s="354"/>
      <c r="BU467" s="354"/>
      <c r="BV467" s="354"/>
      <c r="BW467" s="354"/>
      <c r="BX467" s="354"/>
      <c r="BY467" s="354"/>
      <c r="BZ467" s="354"/>
      <c r="CA467" s="354"/>
      <c r="CB467" s="354"/>
    </row>
    <row r="468" spans="1:80" ht="13.5" customHeight="1" x14ac:dyDescent="0.25">
      <c r="A468" s="354" t="e">
        <f t="shared" si="1330"/>
        <v>#REF!</v>
      </c>
      <c r="BJ468" s="466" t="str">
        <f t="shared" si="1329"/>
        <v/>
      </c>
      <c r="BK468" s="354"/>
      <c r="BL468" s="354"/>
      <c r="BM468" s="354"/>
      <c r="BN468" s="354"/>
      <c r="BO468" s="354"/>
      <c r="BP468" s="354"/>
      <c r="BQ468" s="354"/>
      <c r="BR468" s="354"/>
      <c r="BS468" s="354"/>
      <c r="BT468" s="354"/>
      <c r="BU468" s="354"/>
      <c r="BV468" s="354"/>
      <c r="BW468" s="354"/>
      <c r="BX468" s="354"/>
      <c r="BY468" s="354"/>
      <c r="BZ468" s="354"/>
      <c r="CA468" s="354"/>
      <c r="CB468" s="354"/>
    </row>
    <row r="469" spans="1:80" ht="13.5" customHeight="1" x14ac:dyDescent="0.25">
      <c r="A469" s="354" t="e">
        <f t="shared" si="1330"/>
        <v>#REF!</v>
      </c>
      <c r="BJ469" s="466" t="str">
        <f t="shared" si="1329"/>
        <v/>
      </c>
      <c r="BK469" s="354"/>
      <c r="BL469" s="354"/>
      <c r="BM469" s="354"/>
      <c r="BN469" s="354"/>
      <c r="BO469" s="354"/>
      <c r="BP469" s="354"/>
      <c r="BQ469" s="354"/>
      <c r="BR469" s="354"/>
      <c r="BS469" s="354"/>
      <c r="BT469" s="354"/>
      <c r="BU469" s="354"/>
      <c r="BV469" s="354"/>
      <c r="BW469" s="354"/>
      <c r="BX469" s="354"/>
      <c r="BY469" s="354"/>
      <c r="BZ469" s="354"/>
      <c r="CA469" s="354"/>
      <c r="CB469" s="354"/>
    </row>
    <row r="470" spans="1:80" ht="13.5" customHeight="1" x14ac:dyDescent="0.25">
      <c r="A470" s="354" t="e">
        <f t="shared" si="1330"/>
        <v>#REF!</v>
      </c>
      <c r="BJ470" s="466" t="str">
        <f t="shared" si="1329"/>
        <v/>
      </c>
      <c r="BK470" s="354"/>
      <c r="BL470" s="354"/>
      <c r="BM470" s="354"/>
      <c r="BN470" s="354"/>
      <c r="BO470" s="354"/>
      <c r="BP470" s="354"/>
      <c r="BQ470" s="354"/>
      <c r="BR470" s="354"/>
      <c r="BS470" s="354"/>
      <c r="BT470" s="354"/>
      <c r="BU470" s="354"/>
      <c r="BV470" s="354"/>
      <c r="BW470" s="354"/>
      <c r="BX470" s="354"/>
      <c r="BY470" s="354"/>
      <c r="BZ470" s="354"/>
      <c r="CA470" s="354"/>
      <c r="CB470" s="354"/>
    </row>
    <row r="471" spans="1:80" ht="13.5" customHeight="1" x14ac:dyDescent="0.25">
      <c r="A471" s="354" t="e">
        <f t="shared" si="1330"/>
        <v>#REF!</v>
      </c>
      <c r="BJ471" s="466" t="str">
        <f t="shared" si="1329"/>
        <v/>
      </c>
      <c r="BK471" s="354"/>
      <c r="BL471" s="354"/>
      <c r="BM471" s="354"/>
      <c r="BN471" s="354"/>
      <c r="BO471" s="354"/>
      <c r="BP471" s="354"/>
      <c r="BQ471" s="354"/>
      <c r="BR471" s="354"/>
      <c r="BS471" s="354"/>
      <c r="BT471" s="354"/>
      <c r="BU471" s="354"/>
      <c r="BV471" s="354"/>
      <c r="BW471" s="354"/>
      <c r="BX471" s="354"/>
      <c r="BY471" s="354"/>
      <c r="BZ471" s="354"/>
      <c r="CA471" s="354"/>
      <c r="CB471" s="354"/>
    </row>
    <row r="472" spans="1:80" ht="13.5" customHeight="1" x14ac:dyDescent="0.25">
      <c r="A472" s="354" t="e">
        <f t="shared" si="1330"/>
        <v>#REF!</v>
      </c>
      <c r="BJ472" s="466" t="str">
        <f t="shared" si="1329"/>
        <v/>
      </c>
      <c r="BK472" s="354"/>
      <c r="BL472" s="354"/>
      <c r="BM472" s="354"/>
      <c r="BN472" s="354"/>
      <c r="BO472" s="354"/>
      <c r="BP472" s="354"/>
      <c r="BQ472" s="354"/>
      <c r="BR472" s="354"/>
      <c r="BS472" s="354"/>
      <c r="BT472" s="354"/>
      <c r="BU472" s="354"/>
      <c r="BV472" s="354"/>
      <c r="BW472" s="354"/>
      <c r="BX472" s="354"/>
      <c r="BY472" s="354"/>
      <c r="BZ472" s="354"/>
      <c r="CA472" s="354"/>
      <c r="CB472" s="354"/>
    </row>
    <row r="473" spans="1:80" ht="13.5" customHeight="1" x14ac:dyDescent="0.25">
      <c r="A473" s="354" t="e">
        <f t="shared" si="1330"/>
        <v>#REF!</v>
      </c>
      <c r="BJ473" s="466" t="str">
        <f t="shared" si="1329"/>
        <v/>
      </c>
      <c r="BK473" s="354"/>
      <c r="BL473" s="354"/>
      <c r="BM473" s="354"/>
      <c r="BN473" s="354"/>
      <c r="BO473" s="354"/>
      <c r="BP473" s="354"/>
      <c r="BQ473" s="354"/>
      <c r="BR473" s="354"/>
      <c r="BS473" s="354"/>
      <c r="BT473" s="354"/>
      <c r="BU473" s="354"/>
      <c r="BV473" s="354"/>
      <c r="BW473" s="354"/>
      <c r="BX473" s="354"/>
      <c r="BY473" s="354"/>
      <c r="BZ473" s="354"/>
      <c r="CA473" s="354"/>
      <c r="CB473" s="354"/>
    </row>
    <row r="474" spans="1:80" ht="13.5" customHeight="1" x14ac:dyDescent="0.25">
      <c r="A474" s="354" t="e">
        <f t="shared" si="1330"/>
        <v>#REF!</v>
      </c>
      <c r="BJ474" s="466" t="str">
        <f t="shared" si="1329"/>
        <v/>
      </c>
      <c r="BK474" s="354"/>
      <c r="BL474" s="354"/>
      <c r="BM474" s="354"/>
      <c r="BN474" s="354"/>
      <c r="BO474" s="354"/>
      <c r="BP474" s="354"/>
      <c r="BQ474" s="354"/>
      <c r="BR474" s="354"/>
      <c r="BS474" s="354"/>
      <c r="BT474" s="354"/>
      <c r="BU474" s="354"/>
      <c r="BV474" s="354"/>
      <c r="BW474" s="354"/>
      <c r="BX474" s="354"/>
      <c r="BY474" s="354"/>
      <c r="BZ474" s="354"/>
      <c r="CA474" s="354"/>
      <c r="CB474" s="354"/>
    </row>
    <row r="475" spans="1:80" ht="13.5" customHeight="1" x14ac:dyDescent="0.25">
      <c r="A475" s="354" t="e">
        <f t="shared" si="1330"/>
        <v>#REF!</v>
      </c>
      <c r="BJ475" s="466" t="str">
        <f t="shared" si="1329"/>
        <v/>
      </c>
      <c r="BK475" s="354"/>
      <c r="BL475" s="354"/>
      <c r="BM475" s="354"/>
      <c r="BN475" s="354"/>
      <c r="BO475" s="354"/>
      <c r="BP475" s="354"/>
      <c r="BQ475" s="354"/>
      <c r="BR475" s="354"/>
      <c r="BS475" s="354"/>
      <c r="BT475" s="354"/>
      <c r="BU475" s="354"/>
      <c r="BV475" s="354"/>
      <c r="BW475" s="354"/>
      <c r="BX475" s="354"/>
      <c r="BY475" s="354"/>
      <c r="BZ475" s="354"/>
      <c r="CA475" s="354"/>
      <c r="CB475" s="354"/>
    </row>
    <row r="476" spans="1:80" ht="13.5" customHeight="1" x14ac:dyDescent="0.25">
      <c r="A476" s="354" t="e">
        <f t="shared" si="1330"/>
        <v>#REF!</v>
      </c>
      <c r="BJ476" s="466" t="str">
        <f t="shared" si="1329"/>
        <v/>
      </c>
      <c r="BK476" s="354"/>
      <c r="BL476" s="354"/>
      <c r="BM476" s="354"/>
      <c r="BN476" s="354"/>
      <c r="BO476" s="354"/>
      <c r="BP476" s="354"/>
      <c r="BQ476" s="354"/>
      <c r="BR476" s="354"/>
      <c r="BS476" s="354"/>
      <c r="BT476" s="354"/>
      <c r="BU476" s="354"/>
      <c r="BV476" s="354"/>
      <c r="BW476" s="354"/>
      <c r="BX476" s="354"/>
      <c r="BY476" s="354"/>
      <c r="BZ476" s="354"/>
      <c r="CA476" s="354"/>
      <c r="CB476" s="354"/>
    </row>
    <row r="477" spans="1:80" ht="13.5" customHeight="1" x14ac:dyDescent="0.25">
      <c r="A477" s="354" t="e">
        <f t="shared" si="1330"/>
        <v>#REF!</v>
      </c>
    </row>
    <row r="478" spans="1:80" ht="13.5" customHeight="1" x14ac:dyDescent="0.25">
      <c r="A478" s="354" t="e">
        <f t="shared" si="1330"/>
        <v>#REF!</v>
      </c>
    </row>
    <row r="479" spans="1:80" ht="13.5" customHeight="1" x14ac:dyDescent="0.25">
      <c r="A479" s="354" t="e">
        <f t="shared" si="1330"/>
        <v>#REF!</v>
      </c>
    </row>
    <row r="480" spans="1:80" ht="13.5" customHeight="1" x14ac:dyDescent="0.25">
      <c r="A480" s="354" t="e">
        <f t="shared" si="1330"/>
        <v>#REF!</v>
      </c>
    </row>
    <row r="481" spans="1:80" ht="13.5" customHeight="1" x14ac:dyDescent="0.25">
      <c r="A481" s="357" t="e">
        <f t="shared" ref="A481:A495" si="1331">A480</f>
        <v>#REF!</v>
      </c>
    </row>
    <row r="482" spans="1:80" ht="13.5" customHeight="1" x14ac:dyDescent="0.25">
      <c r="A482" s="357" t="e">
        <f t="shared" si="1331"/>
        <v>#REF!</v>
      </c>
    </row>
    <row r="483" spans="1:80" ht="13.5" customHeight="1" x14ac:dyDescent="0.25">
      <c r="A483" s="357" t="e">
        <f t="shared" si="1331"/>
        <v>#REF!</v>
      </c>
    </row>
    <row r="484" spans="1:80" ht="13.5" customHeight="1" x14ac:dyDescent="0.25">
      <c r="A484" s="357" t="e">
        <f t="shared" si="1331"/>
        <v>#REF!</v>
      </c>
    </row>
    <row r="485" spans="1:80" ht="13.5" customHeight="1" x14ac:dyDescent="0.25">
      <c r="A485" s="357" t="e">
        <f t="shared" si="1331"/>
        <v>#REF!</v>
      </c>
    </row>
    <row r="486" spans="1:80" ht="13.5" customHeight="1" x14ac:dyDescent="0.25">
      <c r="A486" s="357" t="e">
        <f t="shared" si="1331"/>
        <v>#REF!</v>
      </c>
    </row>
    <row r="487" spans="1:80" ht="13.5" customHeight="1" x14ac:dyDescent="0.25">
      <c r="A487" s="357" t="e">
        <f t="shared" si="1331"/>
        <v>#REF!</v>
      </c>
    </row>
    <row r="488" spans="1:80" ht="13.5" customHeight="1" x14ac:dyDescent="0.25">
      <c r="A488" s="357" t="e">
        <f t="shared" si="1331"/>
        <v>#REF!</v>
      </c>
    </row>
    <row r="489" spans="1:80" ht="13.5" customHeight="1" x14ac:dyDescent="0.25">
      <c r="A489" s="357" t="e">
        <f t="shared" si="1331"/>
        <v>#REF!</v>
      </c>
    </row>
    <row r="490" spans="1:80" ht="13.5" customHeight="1" x14ac:dyDescent="0.25">
      <c r="A490" s="357" t="e">
        <f t="shared" si="1331"/>
        <v>#REF!</v>
      </c>
    </row>
    <row r="491" spans="1:80" ht="13.5" customHeight="1" x14ac:dyDescent="0.25">
      <c r="A491" s="357" t="e">
        <f t="shared" si="1331"/>
        <v>#REF!</v>
      </c>
    </row>
    <row r="492" spans="1:80" ht="13.5" customHeight="1" x14ac:dyDescent="0.25">
      <c r="A492" s="357" t="e">
        <f t="shared" si="1331"/>
        <v>#REF!</v>
      </c>
    </row>
    <row r="493" spans="1:80" ht="13.5" customHeight="1" x14ac:dyDescent="0.25">
      <c r="A493" s="357" t="e">
        <f t="shared" si="1331"/>
        <v>#REF!</v>
      </c>
    </row>
    <row r="494" spans="1:80" ht="13.5" customHeight="1" x14ac:dyDescent="0.25">
      <c r="A494" s="357" t="e">
        <f t="shared" si="1331"/>
        <v>#REF!</v>
      </c>
    </row>
    <row r="495" spans="1:80" ht="13.5" customHeight="1" x14ac:dyDescent="0.25">
      <c r="A495" s="357" t="e">
        <f t="shared" si="1331"/>
        <v>#REF!</v>
      </c>
    </row>
    <row r="496" spans="1:80" ht="13.5" customHeight="1" x14ac:dyDescent="0.25">
      <c r="CB496" s="354" t="b">
        <f>IF(SUM(I496:L496)&lt;&gt;0,"X")</f>
        <v>0</v>
      </c>
    </row>
    <row r="497" spans="63:78" ht="13.5" customHeight="1" x14ac:dyDescent="0.25">
      <c r="BK497" s="524">
        <f>O497*G497*$B$6</f>
        <v>0</v>
      </c>
      <c r="BL497" s="524">
        <f>R497*G497*$B$6</f>
        <v>0</v>
      </c>
      <c r="BM497" s="524">
        <f>U497*G497*$B$6</f>
        <v>0</v>
      </c>
      <c r="BN497" s="524">
        <f>X497*G497*$B$6</f>
        <v>0</v>
      </c>
      <c r="BO497" s="524">
        <f>AA497*G497*$B$6</f>
        <v>0</v>
      </c>
      <c r="BP497" s="524">
        <f>AD497*G497*$B$6</f>
        <v>0</v>
      </c>
      <c r="BQ497" s="524">
        <f>AG497*G497*$B$6</f>
        <v>0</v>
      </c>
      <c r="BR497" s="524">
        <f>AJ497*G497*$B$6</f>
        <v>0</v>
      </c>
      <c r="BS497" s="524">
        <f>AM497*G497*$B$6</f>
        <v>0</v>
      </c>
      <c r="BT497" s="524">
        <f>AP497*G497*$B$6</f>
        <v>0</v>
      </c>
      <c r="BU497" s="524">
        <f>AS497*G497*$B$6</f>
        <v>0</v>
      </c>
      <c r="BV497" s="524">
        <f>AV497*G497*$B$6</f>
        <v>0</v>
      </c>
      <c r="BW497" s="524">
        <f>AY497*G497*$B$6</f>
        <v>0</v>
      </c>
      <c r="BX497" s="524">
        <f>BB497*G497*$B$6</f>
        <v>0</v>
      </c>
      <c r="BY497" s="524">
        <f>BE497*G497*$B$6</f>
        <v>0</v>
      </c>
      <c r="BZ497" s="524">
        <f>BH497*G497*$B$6</f>
        <v>0</v>
      </c>
    </row>
    <row r="498" spans="63:78" ht="13.5" customHeight="1" x14ac:dyDescent="0.25">
      <c r="BK498" s="524">
        <f>O498*G498*$B$6</f>
        <v>0</v>
      </c>
      <c r="BL498" s="524">
        <f>R498*G498*$B$6</f>
        <v>0</v>
      </c>
      <c r="BM498" s="524">
        <f>U498*G498*$B$6</f>
        <v>0</v>
      </c>
      <c r="BN498" s="524">
        <f>X498*G498*$B$6</f>
        <v>0</v>
      </c>
      <c r="BO498" s="524">
        <f>AA498*G498*$B$6</f>
        <v>0</v>
      </c>
      <c r="BP498" s="524">
        <f>AD498*G498*$B$6</f>
        <v>0</v>
      </c>
      <c r="BQ498" s="524">
        <f>AG498*G498*$B$6</f>
        <v>0</v>
      </c>
      <c r="BR498" s="524">
        <f>AJ498*G498*$B$6</f>
        <v>0</v>
      </c>
      <c r="BS498" s="524">
        <f>AM498*G498*$B$6</f>
        <v>0</v>
      </c>
      <c r="BT498" s="524">
        <f>AP498*G498*$B$6</f>
        <v>0</v>
      </c>
      <c r="BU498" s="524">
        <f>AS498*G498*$B$6</f>
        <v>0</v>
      </c>
      <c r="BV498" s="524">
        <f>AV498*G498*$B$6</f>
        <v>0</v>
      </c>
      <c r="BW498" s="524">
        <f>AY498*G498*$B$6</f>
        <v>0</v>
      </c>
      <c r="BX498" s="524">
        <f>BB498*G498*$B$6</f>
        <v>0</v>
      </c>
      <c r="BY498" s="524">
        <f>BE498*G498*$B$6</f>
        <v>0</v>
      </c>
      <c r="BZ498" s="524">
        <f>BH498*G498*$B$6</f>
        <v>0</v>
      </c>
    </row>
    <row r="499" spans="63:78" ht="13.5" customHeight="1" x14ac:dyDescent="0.25">
      <c r="BR499" s="523">
        <f t="shared" ref="BR499:BR562" si="1332">ROUND(AJ499*G499*$B$5*$C$3,-2)</f>
        <v>0</v>
      </c>
    </row>
    <row r="500" spans="63:78" ht="13.5" customHeight="1" x14ac:dyDescent="0.25">
      <c r="BR500" s="523">
        <f t="shared" si="1332"/>
        <v>0</v>
      </c>
    </row>
    <row r="501" spans="63:78" ht="13.5" customHeight="1" x14ac:dyDescent="0.25">
      <c r="BR501" s="523">
        <f t="shared" si="1332"/>
        <v>0</v>
      </c>
    </row>
    <row r="502" spans="63:78" ht="13.5" customHeight="1" x14ac:dyDescent="0.25">
      <c r="BR502" s="523">
        <f t="shared" si="1332"/>
        <v>0</v>
      </c>
    </row>
    <row r="503" spans="63:78" ht="13.5" customHeight="1" x14ac:dyDescent="0.25">
      <c r="BR503" s="523">
        <f t="shared" si="1332"/>
        <v>0</v>
      </c>
    </row>
    <row r="504" spans="63:78" ht="13.5" customHeight="1" x14ac:dyDescent="0.25">
      <c r="BR504" s="523">
        <f t="shared" si="1332"/>
        <v>0</v>
      </c>
    </row>
    <row r="505" spans="63:78" ht="13.5" customHeight="1" x14ac:dyDescent="0.25">
      <c r="BR505" s="523">
        <f t="shared" si="1332"/>
        <v>0</v>
      </c>
    </row>
    <row r="506" spans="63:78" ht="13.5" customHeight="1" x14ac:dyDescent="0.25">
      <c r="BR506" s="523">
        <f t="shared" si="1332"/>
        <v>0</v>
      </c>
    </row>
    <row r="507" spans="63:78" ht="13.5" customHeight="1" x14ac:dyDescent="0.25">
      <c r="BR507" s="523">
        <f t="shared" si="1332"/>
        <v>0</v>
      </c>
    </row>
    <row r="508" spans="63:78" ht="13.5" customHeight="1" x14ac:dyDescent="0.25">
      <c r="BR508" s="523">
        <f t="shared" si="1332"/>
        <v>0</v>
      </c>
    </row>
    <row r="509" spans="63:78" ht="13.5" customHeight="1" x14ac:dyDescent="0.25">
      <c r="BR509" s="523">
        <f t="shared" si="1332"/>
        <v>0</v>
      </c>
    </row>
    <row r="510" spans="63:78" ht="13.5" customHeight="1" x14ac:dyDescent="0.25">
      <c r="BR510" s="523">
        <f t="shared" si="1332"/>
        <v>0</v>
      </c>
    </row>
    <row r="511" spans="63:78" ht="13.5" customHeight="1" x14ac:dyDescent="0.25">
      <c r="BR511" s="523">
        <f t="shared" si="1332"/>
        <v>0</v>
      </c>
    </row>
    <row r="512" spans="63:78" ht="13.5" customHeight="1" x14ac:dyDescent="0.25">
      <c r="BR512" s="523">
        <f t="shared" si="1332"/>
        <v>0</v>
      </c>
    </row>
    <row r="513" spans="70:70" ht="13.5" customHeight="1" x14ac:dyDescent="0.25">
      <c r="BR513" s="523">
        <f t="shared" si="1332"/>
        <v>0</v>
      </c>
    </row>
    <row r="514" spans="70:70" ht="13.5" customHeight="1" x14ac:dyDescent="0.25">
      <c r="BR514" s="523">
        <f t="shared" si="1332"/>
        <v>0</v>
      </c>
    </row>
    <row r="515" spans="70:70" ht="13.5" customHeight="1" x14ac:dyDescent="0.25">
      <c r="BR515" s="523">
        <f t="shared" si="1332"/>
        <v>0</v>
      </c>
    </row>
    <row r="516" spans="70:70" ht="13.5" customHeight="1" x14ac:dyDescent="0.25">
      <c r="BR516" s="523">
        <f t="shared" si="1332"/>
        <v>0</v>
      </c>
    </row>
    <row r="517" spans="70:70" ht="13.5" customHeight="1" x14ac:dyDescent="0.25">
      <c r="BR517" s="523">
        <f t="shared" si="1332"/>
        <v>0</v>
      </c>
    </row>
    <row r="518" spans="70:70" ht="13.5" customHeight="1" x14ac:dyDescent="0.25">
      <c r="BR518" s="523">
        <f t="shared" si="1332"/>
        <v>0</v>
      </c>
    </row>
    <row r="519" spans="70:70" ht="13.5" customHeight="1" x14ac:dyDescent="0.25">
      <c r="BR519" s="523">
        <f t="shared" si="1332"/>
        <v>0</v>
      </c>
    </row>
    <row r="520" spans="70:70" ht="13.5" customHeight="1" x14ac:dyDescent="0.25">
      <c r="BR520" s="523">
        <f t="shared" si="1332"/>
        <v>0</v>
      </c>
    </row>
    <row r="521" spans="70:70" ht="13.5" customHeight="1" x14ac:dyDescent="0.25">
      <c r="BR521" s="523">
        <f t="shared" si="1332"/>
        <v>0</v>
      </c>
    </row>
    <row r="522" spans="70:70" ht="13.5" customHeight="1" x14ac:dyDescent="0.25">
      <c r="BR522" s="523">
        <f t="shared" si="1332"/>
        <v>0</v>
      </c>
    </row>
    <row r="523" spans="70:70" ht="13.5" customHeight="1" x14ac:dyDescent="0.25">
      <c r="BR523" s="523">
        <f t="shared" si="1332"/>
        <v>0</v>
      </c>
    </row>
    <row r="524" spans="70:70" ht="13.5" customHeight="1" x14ac:dyDescent="0.25">
      <c r="BR524" s="523">
        <f t="shared" si="1332"/>
        <v>0</v>
      </c>
    </row>
    <row r="525" spans="70:70" ht="13.5" customHeight="1" x14ac:dyDescent="0.25">
      <c r="BR525" s="523">
        <f t="shared" si="1332"/>
        <v>0</v>
      </c>
    </row>
    <row r="526" spans="70:70" ht="13.5" customHeight="1" x14ac:dyDescent="0.25">
      <c r="BR526" s="523">
        <f t="shared" si="1332"/>
        <v>0</v>
      </c>
    </row>
    <row r="527" spans="70:70" ht="13.5" customHeight="1" x14ac:dyDescent="0.25">
      <c r="BR527" s="523">
        <f t="shared" si="1332"/>
        <v>0</v>
      </c>
    </row>
    <row r="528" spans="70:70" ht="13.5" customHeight="1" x14ac:dyDescent="0.25">
      <c r="BR528" s="523">
        <f t="shared" si="1332"/>
        <v>0</v>
      </c>
    </row>
    <row r="529" spans="70:70" ht="13.5" customHeight="1" x14ac:dyDescent="0.25">
      <c r="BR529" s="523">
        <f t="shared" si="1332"/>
        <v>0</v>
      </c>
    </row>
    <row r="530" spans="70:70" ht="13.5" customHeight="1" x14ac:dyDescent="0.25">
      <c r="BR530" s="523">
        <f t="shared" si="1332"/>
        <v>0</v>
      </c>
    </row>
    <row r="531" spans="70:70" ht="13.5" customHeight="1" x14ac:dyDescent="0.25">
      <c r="BR531" s="523">
        <f t="shared" si="1332"/>
        <v>0</v>
      </c>
    </row>
    <row r="532" spans="70:70" ht="13.5" customHeight="1" x14ac:dyDescent="0.25">
      <c r="BR532" s="523">
        <f t="shared" si="1332"/>
        <v>0</v>
      </c>
    </row>
    <row r="533" spans="70:70" ht="13.5" customHeight="1" x14ac:dyDescent="0.25">
      <c r="BR533" s="523">
        <f t="shared" si="1332"/>
        <v>0</v>
      </c>
    </row>
    <row r="534" spans="70:70" ht="13.5" customHeight="1" x14ac:dyDescent="0.25">
      <c r="BR534" s="523">
        <f t="shared" si="1332"/>
        <v>0</v>
      </c>
    </row>
    <row r="535" spans="70:70" ht="13.5" customHeight="1" x14ac:dyDescent="0.25">
      <c r="BR535" s="523">
        <f t="shared" si="1332"/>
        <v>0</v>
      </c>
    </row>
    <row r="536" spans="70:70" ht="13.5" customHeight="1" x14ac:dyDescent="0.25">
      <c r="BR536" s="523">
        <f t="shared" si="1332"/>
        <v>0</v>
      </c>
    </row>
    <row r="537" spans="70:70" ht="13.5" customHeight="1" x14ac:dyDescent="0.25">
      <c r="BR537" s="523">
        <f t="shared" si="1332"/>
        <v>0</v>
      </c>
    </row>
    <row r="538" spans="70:70" ht="13.5" customHeight="1" x14ac:dyDescent="0.25">
      <c r="BR538" s="523">
        <f t="shared" si="1332"/>
        <v>0</v>
      </c>
    </row>
    <row r="539" spans="70:70" ht="13.5" customHeight="1" x14ac:dyDescent="0.25">
      <c r="BR539" s="523">
        <f t="shared" si="1332"/>
        <v>0</v>
      </c>
    </row>
    <row r="540" spans="70:70" ht="13.5" customHeight="1" x14ac:dyDescent="0.25">
      <c r="BR540" s="523">
        <f t="shared" si="1332"/>
        <v>0</v>
      </c>
    </row>
    <row r="541" spans="70:70" ht="13.5" customHeight="1" x14ac:dyDescent="0.25">
      <c r="BR541" s="523">
        <f t="shared" si="1332"/>
        <v>0</v>
      </c>
    </row>
    <row r="542" spans="70:70" ht="13.5" customHeight="1" x14ac:dyDescent="0.25">
      <c r="BR542" s="523">
        <f t="shared" si="1332"/>
        <v>0</v>
      </c>
    </row>
    <row r="543" spans="70:70" ht="13.5" customHeight="1" x14ac:dyDescent="0.25">
      <c r="BR543" s="523">
        <f t="shared" si="1332"/>
        <v>0</v>
      </c>
    </row>
    <row r="544" spans="70:70" ht="13.5" customHeight="1" x14ac:dyDescent="0.25">
      <c r="BR544" s="523">
        <f t="shared" si="1332"/>
        <v>0</v>
      </c>
    </row>
    <row r="545" spans="70:70" ht="13.5" customHeight="1" x14ac:dyDescent="0.25">
      <c r="BR545" s="523">
        <f t="shared" si="1332"/>
        <v>0</v>
      </c>
    </row>
    <row r="546" spans="70:70" ht="13.5" customHeight="1" x14ac:dyDescent="0.25">
      <c r="BR546" s="523">
        <f t="shared" si="1332"/>
        <v>0</v>
      </c>
    </row>
    <row r="547" spans="70:70" ht="13.5" customHeight="1" x14ac:dyDescent="0.25">
      <c r="BR547" s="523">
        <f t="shared" si="1332"/>
        <v>0</v>
      </c>
    </row>
    <row r="548" spans="70:70" ht="13.5" customHeight="1" x14ac:dyDescent="0.25">
      <c r="BR548" s="523">
        <f t="shared" si="1332"/>
        <v>0</v>
      </c>
    </row>
    <row r="549" spans="70:70" ht="13.5" customHeight="1" x14ac:dyDescent="0.25">
      <c r="BR549" s="523">
        <f t="shared" si="1332"/>
        <v>0</v>
      </c>
    </row>
    <row r="550" spans="70:70" ht="13.5" customHeight="1" x14ac:dyDescent="0.25">
      <c r="BR550" s="523">
        <f t="shared" si="1332"/>
        <v>0</v>
      </c>
    </row>
    <row r="551" spans="70:70" ht="13.5" customHeight="1" x14ac:dyDescent="0.25">
      <c r="BR551" s="523">
        <f t="shared" si="1332"/>
        <v>0</v>
      </c>
    </row>
    <row r="552" spans="70:70" ht="13.5" customHeight="1" x14ac:dyDescent="0.25">
      <c r="BR552" s="523">
        <f t="shared" si="1332"/>
        <v>0</v>
      </c>
    </row>
    <row r="553" spans="70:70" ht="13.5" customHeight="1" x14ac:dyDescent="0.25">
      <c r="BR553" s="523">
        <f t="shared" si="1332"/>
        <v>0</v>
      </c>
    </row>
    <row r="554" spans="70:70" ht="13.5" customHeight="1" x14ac:dyDescent="0.25">
      <c r="BR554" s="523">
        <f t="shared" si="1332"/>
        <v>0</v>
      </c>
    </row>
    <row r="555" spans="70:70" ht="13.5" customHeight="1" x14ac:dyDescent="0.25">
      <c r="BR555" s="523">
        <f t="shared" si="1332"/>
        <v>0</v>
      </c>
    </row>
    <row r="556" spans="70:70" ht="13.5" customHeight="1" x14ac:dyDescent="0.25">
      <c r="BR556" s="523">
        <f t="shared" si="1332"/>
        <v>0</v>
      </c>
    </row>
    <row r="557" spans="70:70" ht="13.5" customHeight="1" x14ac:dyDescent="0.25">
      <c r="BR557" s="523">
        <f t="shared" si="1332"/>
        <v>0</v>
      </c>
    </row>
    <row r="558" spans="70:70" ht="13.5" customHeight="1" x14ac:dyDescent="0.25">
      <c r="BR558" s="523">
        <f t="shared" si="1332"/>
        <v>0</v>
      </c>
    </row>
    <row r="559" spans="70:70" ht="13.5" customHeight="1" x14ac:dyDescent="0.25">
      <c r="BR559" s="523">
        <f t="shared" si="1332"/>
        <v>0</v>
      </c>
    </row>
    <row r="560" spans="70:70" ht="13.5" customHeight="1" x14ac:dyDescent="0.25">
      <c r="BR560" s="523">
        <f t="shared" si="1332"/>
        <v>0</v>
      </c>
    </row>
    <row r="561" spans="70:70" ht="13.5" customHeight="1" x14ac:dyDescent="0.25">
      <c r="BR561" s="523">
        <f t="shared" si="1332"/>
        <v>0</v>
      </c>
    </row>
    <row r="562" spans="70:70" ht="13.5" customHeight="1" x14ac:dyDescent="0.25">
      <c r="BR562" s="523">
        <f t="shared" si="1332"/>
        <v>0</v>
      </c>
    </row>
    <row r="563" spans="70:70" ht="13.5" customHeight="1" x14ac:dyDescent="0.25">
      <c r="BR563" s="523">
        <f t="shared" ref="BR563:BR626" si="1333">ROUND(AJ563*G563*$B$5*$C$3,-2)</f>
        <v>0</v>
      </c>
    </row>
    <row r="564" spans="70:70" ht="13.5" customHeight="1" x14ac:dyDescent="0.25">
      <c r="BR564" s="523">
        <f t="shared" si="1333"/>
        <v>0</v>
      </c>
    </row>
    <row r="565" spans="70:70" ht="13.5" customHeight="1" x14ac:dyDescent="0.25">
      <c r="BR565" s="523">
        <f t="shared" si="1333"/>
        <v>0</v>
      </c>
    </row>
    <row r="566" spans="70:70" ht="13.5" customHeight="1" x14ac:dyDescent="0.25">
      <c r="BR566" s="523">
        <f t="shared" si="1333"/>
        <v>0</v>
      </c>
    </row>
    <row r="567" spans="70:70" ht="13.5" customHeight="1" x14ac:dyDescent="0.25">
      <c r="BR567" s="523">
        <f t="shared" si="1333"/>
        <v>0</v>
      </c>
    </row>
    <row r="568" spans="70:70" ht="13.5" customHeight="1" x14ac:dyDescent="0.25">
      <c r="BR568" s="523">
        <f t="shared" si="1333"/>
        <v>0</v>
      </c>
    </row>
    <row r="569" spans="70:70" ht="13.5" customHeight="1" x14ac:dyDescent="0.25">
      <c r="BR569" s="523">
        <f t="shared" si="1333"/>
        <v>0</v>
      </c>
    </row>
    <row r="570" spans="70:70" ht="13.5" customHeight="1" x14ac:dyDescent="0.25">
      <c r="BR570" s="523">
        <f t="shared" si="1333"/>
        <v>0</v>
      </c>
    </row>
    <row r="571" spans="70:70" ht="13.5" customHeight="1" x14ac:dyDescent="0.25">
      <c r="BR571" s="523">
        <f t="shared" si="1333"/>
        <v>0</v>
      </c>
    </row>
    <row r="572" spans="70:70" ht="13.5" customHeight="1" x14ac:dyDescent="0.25">
      <c r="BR572" s="523">
        <f t="shared" si="1333"/>
        <v>0</v>
      </c>
    </row>
    <row r="573" spans="70:70" ht="13.5" customHeight="1" x14ac:dyDescent="0.25">
      <c r="BR573" s="523">
        <f t="shared" si="1333"/>
        <v>0</v>
      </c>
    </row>
    <row r="574" spans="70:70" ht="13.5" customHeight="1" x14ac:dyDescent="0.25">
      <c r="BR574" s="523">
        <f t="shared" si="1333"/>
        <v>0</v>
      </c>
    </row>
    <row r="575" spans="70:70" ht="13.5" customHeight="1" x14ac:dyDescent="0.25">
      <c r="BR575" s="523">
        <f t="shared" si="1333"/>
        <v>0</v>
      </c>
    </row>
    <row r="576" spans="70:70" ht="13.5" customHeight="1" x14ac:dyDescent="0.25">
      <c r="BR576" s="523">
        <f t="shared" si="1333"/>
        <v>0</v>
      </c>
    </row>
    <row r="577" spans="70:70" ht="13.5" customHeight="1" x14ac:dyDescent="0.25">
      <c r="BR577" s="523">
        <f t="shared" si="1333"/>
        <v>0</v>
      </c>
    </row>
    <row r="578" spans="70:70" ht="13.5" customHeight="1" x14ac:dyDescent="0.25">
      <c r="BR578" s="523">
        <f t="shared" si="1333"/>
        <v>0</v>
      </c>
    </row>
    <row r="579" spans="70:70" ht="13.5" customHeight="1" x14ac:dyDescent="0.25">
      <c r="BR579" s="523">
        <f t="shared" si="1333"/>
        <v>0</v>
      </c>
    </row>
    <row r="580" spans="70:70" ht="13.5" customHeight="1" x14ac:dyDescent="0.25">
      <c r="BR580" s="523">
        <f t="shared" si="1333"/>
        <v>0</v>
      </c>
    </row>
    <row r="581" spans="70:70" ht="13.5" customHeight="1" x14ac:dyDescent="0.25">
      <c r="BR581" s="523">
        <f t="shared" si="1333"/>
        <v>0</v>
      </c>
    </row>
    <row r="582" spans="70:70" ht="13.5" customHeight="1" x14ac:dyDescent="0.25">
      <c r="BR582" s="523">
        <f t="shared" si="1333"/>
        <v>0</v>
      </c>
    </row>
    <row r="583" spans="70:70" ht="13.5" customHeight="1" x14ac:dyDescent="0.25">
      <c r="BR583" s="523">
        <f t="shared" si="1333"/>
        <v>0</v>
      </c>
    </row>
    <row r="584" spans="70:70" ht="13.5" customHeight="1" x14ac:dyDescent="0.25">
      <c r="BR584" s="523">
        <f t="shared" si="1333"/>
        <v>0</v>
      </c>
    </row>
    <row r="585" spans="70:70" ht="13.5" customHeight="1" x14ac:dyDescent="0.25">
      <c r="BR585" s="523">
        <f t="shared" si="1333"/>
        <v>0</v>
      </c>
    </row>
    <row r="586" spans="70:70" ht="13.5" customHeight="1" x14ac:dyDescent="0.25">
      <c r="BR586" s="523">
        <f t="shared" si="1333"/>
        <v>0</v>
      </c>
    </row>
    <row r="587" spans="70:70" ht="13.5" customHeight="1" x14ac:dyDescent="0.25">
      <c r="BR587" s="523">
        <f t="shared" si="1333"/>
        <v>0</v>
      </c>
    </row>
    <row r="588" spans="70:70" ht="13.5" customHeight="1" x14ac:dyDescent="0.25">
      <c r="BR588" s="523">
        <f t="shared" si="1333"/>
        <v>0</v>
      </c>
    </row>
    <row r="589" spans="70:70" ht="13.5" customHeight="1" x14ac:dyDescent="0.25">
      <c r="BR589" s="523">
        <f t="shared" si="1333"/>
        <v>0</v>
      </c>
    </row>
    <row r="590" spans="70:70" ht="13.5" customHeight="1" x14ac:dyDescent="0.25">
      <c r="BR590" s="523">
        <f t="shared" si="1333"/>
        <v>0</v>
      </c>
    </row>
    <row r="591" spans="70:70" ht="13.5" customHeight="1" x14ac:dyDescent="0.25">
      <c r="BR591" s="523">
        <f t="shared" si="1333"/>
        <v>0</v>
      </c>
    </row>
    <row r="592" spans="70:70" ht="13.5" customHeight="1" x14ac:dyDescent="0.25">
      <c r="BR592" s="523">
        <f t="shared" si="1333"/>
        <v>0</v>
      </c>
    </row>
    <row r="593" spans="70:70" ht="13.5" customHeight="1" x14ac:dyDescent="0.25">
      <c r="BR593" s="523">
        <f t="shared" si="1333"/>
        <v>0</v>
      </c>
    </row>
    <row r="594" spans="70:70" ht="13.5" customHeight="1" x14ac:dyDescent="0.25">
      <c r="BR594" s="523">
        <f t="shared" si="1333"/>
        <v>0</v>
      </c>
    </row>
    <row r="595" spans="70:70" ht="13.5" customHeight="1" x14ac:dyDescent="0.25">
      <c r="BR595" s="523">
        <f t="shared" si="1333"/>
        <v>0</v>
      </c>
    </row>
    <row r="596" spans="70:70" ht="13.5" customHeight="1" x14ac:dyDescent="0.25">
      <c r="BR596" s="523">
        <f t="shared" si="1333"/>
        <v>0</v>
      </c>
    </row>
    <row r="597" spans="70:70" ht="13.5" customHeight="1" x14ac:dyDescent="0.25">
      <c r="BR597" s="523">
        <f t="shared" si="1333"/>
        <v>0</v>
      </c>
    </row>
    <row r="598" spans="70:70" ht="13.5" customHeight="1" x14ac:dyDescent="0.25">
      <c r="BR598" s="523">
        <f t="shared" si="1333"/>
        <v>0</v>
      </c>
    </row>
    <row r="599" spans="70:70" ht="13.5" customHeight="1" x14ac:dyDescent="0.25">
      <c r="BR599" s="523">
        <f t="shared" si="1333"/>
        <v>0</v>
      </c>
    </row>
    <row r="600" spans="70:70" ht="13.5" customHeight="1" x14ac:dyDescent="0.25">
      <c r="BR600" s="523">
        <f t="shared" si="1333"/>
        <v>0</v>
      </c>
    </row>
    <row r="601" spans="70:70" ht="13.5" customHeight="1" x14ac:dyDescent="0.25">
      <c r="BR601" s="523">
        <f t="shared" si="1333"/>
        <v>0</v>
      </c>
    </row>
    <row r="602" spans="70:70" ht="13.5" customHeight="1" x14ac:dyDescent="0.25">
      <c r="BR602" s="523">
        <f t="shared" si="1333"/>
        <v>0</v>
      </c>
    </row>
    <row r="603" spans="70:70" ht="13.5" customHeight="1" x14ac:dyDescent="0.25">
      <c r="BR603" s="523">
        <f t="shared" si="1333"/>
        <v>0</v>
      </c>
    </row>
    <row r="604" spans="70:70" ht="13.5" customHeight="1" x14ac:dyDescent="0.25">
      <c r="BR604" s="523">
        <f t="shared" si="1333"/>
        <v>0</v>
      </c>
    </row>
    <row r="605" spans="70:70" ht="13.5" customHeight="1" x14ac:dyDescent="0.25">
      <c r="BR605" s="523">
        <f t="shared" si="1333"/>
        <v>0</v>
      </c>
    </row>
    <row r="606" spans="70:70" ht="13.5" customHeight="1" x14ac:dyDescent="0.25">
      <c r="BR606" s="523">
        <f t="shared" si="1333"/>
        <v>0</v>
      </c>
    </row>
    <row r="607" spans="70:70" ht="13.5" customHeight="1" x14ac:dyDescent="0.25">
      <c r="BR607" s="523">
        <f t="shared" si="1333"/>
        <v>0</v>
      </c>
    </row>
    <row r="608" spans="70:70" ht="13.5" customHeight="1" x14ac:dyDescent="0.25">
      <c r="BR608" s="523">
        <f t="shared" si="1333"/>
        <v>0</v>
      </c>
    </row>
    <row r="609" spans="70:70" ht="13.5" customHeight="1" x14ac:dyDescent="0.25">
      <c r="BR609" s="523">
        <f t="shared" si="1333"/>
        <v>0</v>
      </c>
    </row>
    <row r="610" spans="70:70" ht="13.5" customHeight="1" x14ac:dyDescent="0.25">
      <c r="BR610" s="523">
        <f t="shared" si="1333"/>
        <v>0</v>
      </c>
    </row>
    <row r="611" spans="70:70" ht="13.5" customHeight="1" x14ac:dyDescent="0.25">
      <c r="BR611" s="523">
        <f t="shared" si="1333"/>
        <v>0</v>
      </c>
    </row>
    <row r="612" spans="70:70" ht="13.5" customHeight="1" x14ac:dyDescent="0.25">
      <c r="BR612" s="523">
        <f t="shared" si="1333"/>
        <v>0</v>
      </c>
    </row>
    <row r="613" spans="70:70" ht="13.5" customHeight="1" x14ac:dyDescent="0.25">
      <c r="BR613" s="523">
        <f t="shared" si="1333"/>
        <v>0</v>
      </c>
    </row>
    <row r="614" spans="70:70" ht="13.5" customHeight="1" x14ac:dyDescent="0.25">
      <c r="BR614" s="523">
        <f t="shared" si="1333"/>
        <v>0</v>
      </c>
    </row>
    <row r="615" spans="70:70" ht="13.5" customHeight="1" x14ac:dyDescent="0.25">
      <c r="BR615" s="523">
        <f t="shared" si="1333"/>
        <v>0</v>
      </c>
    </row>
    <row r="616" spans="70:70" ht="13.5" customHeight="1" x14ac:dyDescent="0.25">
      <c r="BR616" s="523">
        <f t="shared" si="1333"/>
        <v>0</v>
      </c>
    </row>
    <row r="617" spans="70:70" ht="13.5" customHeight="1" x14ac:dyDescent="0.25">
      <c r="BR617" s="523">
        <f t="shared" si="1333"/>
        <v>0</v>
      </c>
    </row>
    <row r="618" spans="70:70" ht="13.5" customHeight="1" x14ac:dyDescent="0.25">
      <c r="BR618" s="523">
        <f t="shared" si="1333"/>
        <v>0</v>
      </c>
    </row>
    <row r="619" spans="70:70" ht="13.5" customHeight="1" x14ac:dyDescent="0.25">
      <c r="BR619" s="523">
        <f t="shared" si="1333"/>
        <v>0</v>
      </c>
    </row>
    <row r="620" spans="70:70" ht="13.5" customHeight="1" x14ac:dyDescent="0.25">
      <c r="BR620" s="523">
        <f t="shared" si="1333"/>
        <v>0</v>
      </c>
    </row>
    <row r="621" spans="70:70" ht="13.5" customHeight="1" x14ac:dyDescent="0.25">
      <c r="BR621" s="523">
        <f t="shared" si="1333"/>
        <v>0</v>
      </c>
    </row>
    <row r="622" spans="70:70" ht="13.5" customHeight="1" x14ac:dyDescent="0.25">
      <c r="BR622" s="523">
        <f t="shared" si="1333"/>
        <v>0</v>
      </c>
    </row>
    <row r="623" spans="70:70" ht="13.5" customHeight="1" x14ac:dyDescent="0.25">
      <c r="BR623" s="523">
        <f t="shared" si="1333"/>
        <v>0</v>
      </c>
    </row>
    <row r="624" spans="70:70" ht="13.5" customHeight="1" x14ac:dyDescent="0.25">
      <c r="BR624" s="523">
        <f t="shared" si="1333"/>
        <v>0</v>
      </c>
    </row>
    <row r="625" spans="70:70" ht="13.5" customHeight="1" x14ac:dyDescent="0.25">
      <c r="BR625" s="523">
        <f t="shared" si="1333"/>
        <v>0</v>
      </c>
    </row>
    <row r="626" spans="70:70" ht="13.5" customHeight="1" x14ac:dyDescent="0.25">
      <c r="BR626" s="523">
        <f t="shared" si="1333"/>
        <v>0</v>
      </c>
    </row>
    <row r="627" spans="70:70" ht="13.5" customHeight="1" x14ac:dyDescent="0.25">
      <c r="BR627" s="523">
        <f t="shared" ref="BR627:BR690" si="1334">ROUND(AJ627*G627*$B$5*$C$3,-2)</f>
        <v>0</v>
      </c>
    </row>
    <row r="628" spans="70:70" ht="13.5" customHeight="1" x14ac:dyDescent="0.25">
      <c r="BR628" s="523">
        <f t="shared" si="1334"/>
        <v>0</v>
      </c>
    </row>
    <row r="629" spans="70:70" ht="13.5" customHeight="1" x14ac:dyDescent="0.25">
      <c r="BR629" s="523">
        <f t="shared" si="1334"/>
        <v>0</v>
      </c>
    </row>
    <row r="630" spans="70:70" ht="13.5" customHeight="1" x14ac:dyDescent="0.25">
      <c r="BR630" s="523">
        <f t="shared" si="1334"/>
        <v>0</v>
      </c>
    </row>
    <row r="631" spans="70:70" ht="13.5" customHeight="1" x14ac:dyDescent="0.25">
      <c r="BR631" s="523">
        <f t="shared" si="1334"/>
        <v>0</v>
      </c>
    </row>
    <row r="632" spans="70:70" ht="13.5" customHeight="1" x14ac:dyDescent="0.25">
      <c r="BR632" s="523">
        <f t="shared" si="1334"/>
        <v>0</v>
      </c>
    </row>
    <row r="633" spans="70:70" ht="13.5" customHeight="1" x14ac:dyDescent="0.25">
      <c r="BR633" s="523">
        <f t="shared" si="1334"/>
        <v>0</v>
      </c>
    </row>
    <row r="634" spans="70:70" ht="13.5" customHeight="1" x14ac:dyDescent="0.25">
      <c r="BR634" s="523">
        <f t="shared" si="1334"/>
        <v>0</v>
      </c>
    </row>
    <row r="635" spans="70:70" ht="13.5" customHeight="1" x14ac:dyDescent="0.25">
      <c r="BR635" s="523">
        <f t="shared" si="1334"/>
        <v>0</v>
      </c>
    </row>
    <row r="636" spans="70:70" ht="13.5" customHeight="1" x14ac:dyDescent="0.25">
      <c r="BR636" s="523">
        <f t="shared" si="1334"/>
        <v>0</v>
      </c>
    </row>
    <row r="637" spans="70:70" ht="13.5" customHeight="1" x14ac:dyDescent="0.25">
      <c r="BR637" s="523">
        <f t="shared" si="1334"/>
        <v>0</v>
      </c>
    </row>
    <row r="638" spans="70:70" ht="13.5" customHeight="1" x14ac:dyDescent="0.25">
      <c r="BR638" s="523">
        <f t="shared" si="1334"/>
        <v>0</v>
      </c>
    </row>
    <row r="639" spans="70:70" ht="13.5" customHeight="1" x14ac:dyDescent="0.25">
      <c r="BR639" s="523">
        <f t="shared" si="1334"/>
        <v>0</v>
      </c>
    </row>
    <row r="640" spans="70:70" ht="13.5" customHeight="1" x14ac:dyDescent="0.25">
      <c r="BR640" s="523">
        <f t="shared" si="1334"/>
        <v>0</v>
      </c>
    </row>
    <row r="641" spans="70:70" ht="13.5" customHeight="1" x14ac:dyDescent="0.25">
      <c r="BR641" s="523">
        <f t="shared" si="1334"/>
        <v>0</v>
      </c>
    </row>
    <row r="642" spans="70:70" ht="13.5" customHeight="1" x14ac:dyDescent="0.25">
      <c r="BR642" s="523">
        <f t="shared" si="1334"/>
        <v>0</v>
      </c>
    </row>
    <row r="643" spans="70:70" ht="13.5" customHeight="1" x14ac:dyDescent="0.25">
      <c r="BR643" s="523">
        <f t="shared" si="1334"/>
        <v>0</v>
      </c>
    </row>
    <row r="644" spans="70:70" ht="13.5" customHeight="1" x14ac:dyDescent="0.25">
      <c r="BR644" s="523">
        <f t="shared" si="1334"/>
        <v>0</v>
      </c>
    </row>
    <row r="645" spans="70:70" ht="13.5" customHeight="1" x14ac:dyDescent="0.25">
      <c r="BR645" s="523">
        <f t="shared" si="1334"/>
        <v>0</v>
      </c>
    </row>
    <row r="646" spans="70:70" ht="13.5" customHeight="1" x14ac:dyDescent="0.25">
      <c r="BR646" s="523">
        <f t="shared" si="1334"/>
        <v>0</v>
      </c>
    </row>
    <row r="647" spans="70:70" ht="13.5" customHeight="1" x14ac:dyDescent="0.25">
      <c r="BR647" s="523">
        <f t="shared" si="1334"/>
        <v>0</v>
      </c>
    </row>
    <row r="648" spans="70:70" ht="13.5" customHeight="1" x14ac:dyDescent="0.25">
      <c r="BR648" s="523">
        <f t="shared" si="1334"/>
        <v>0</v>
      </c>
    </row>
    <row r="649" spans="70:70" ht="13.5" customHeight="1" x14ac:dyDescent="0.25">
      <c r="BR649" s="523">
        <f t="shared" si="1334"/>
        <v>0</v>
      </c>
    </row>
    <row r="650" spans="70:70" ht="13.5" customHeight="1" x14ac:dyDescent="0.25">
      <c r="BR650" s="523">
        <f t="shared" si="1334"/>
        <v>0</v>
      </c>
    </row>
    <row r="651" spans="70:70" ht="13.5" customHeight="1" x14ac:dyDescent="0.25">
      <c r="BR651" s="523">
        <f t="shared" si="1334"/>
        <v>0</v>
      </c>
    </row>
    <row r="652" spans="70:70" ht="13.5" customHeight="1" x14ac:dyDescent="0.25">
      <c r="BR652" s="523">
        <f t="shared" si="1334"/>
        <v>0</v>
      </c>
    </row>
    <row r="653" spans="70:70" ht="13.5" customHeight="1" x14ac:dyDescent="0.25">
      <c r="BR653" s="523">
        <f t="shared" si="1334"/>
        <v>0</v>
      </c>
    </row>
    <row r="654" spans="70:70" ht="13.5" customHeight="1" x14ac:dyDescent="0.25">
      <c r="BR654" s="523">
        <f t="shared" si="1334"/>
        <v>0</v>
      </c>
    </row>
    <row r="655" spans="70:70" ht="13.5" customHeight="1" x14ac:dyDescent="0.25">
      <c r="BR655" s="523">
        <f t="shared" si="1334"/>
        <v>0</v>
      </c>
    </row>
    <row r="656" spans="70:70" ht="13.5" customHeight="1" x14ac:dyDescent="0.25">
      <c r="BR656" s="523">
        <f t="shared" si="1334"/>
        <v>0</v>
      </c>
    </row>
    <row r="657" spans="70:70" ht="13.5" customHeight="1" x14ac:dyDescent="0.25">
      <c r="BR657" s="523">
        <f t="shared" si="1334"/>
        <v>0</v>
      </c>
    </row>
    <row r="658" spans="70:70" ht="13.5" customHeight="1" x14ac:dyDescent="0.25">
      <c r="BR658" s="523">
        <f t="shared" si="1334"/>
        <v>0</v>
      </c>
    </row>
    <row r="659" spans="70:70" ht="13.5" customHeight="1" x14ac:dyDescent="0.25">
      <c r="BR659" s="523">
        <f t="shared" si="1334"/>
        <v>0</v>
      </c>
    </row>
    <row r="660" spans="70:70" ht="13.5" customHeight="1" x14ac:dyDescent="0.25">
      <c r="BR660" s="523">
        <f t="shared" si="1334"/>
        <v>0</v>
      </c>
    </row>
    <row r="661" spans="70:70" ht="13.5" customHeight="1" x14ac:dyDescent="0.25">
      <c r="BR661" s="523">
        <f t="shared" si="1334"/>
        <v>0</v>
      </c>
    </row>
    <row r="662" spans="70:70" ht="13.5" customHeight="1" x14ac:dyDescent="0.25">
      <c r="BR662" s="523">
        <f t="shared" si="1334"/>
        <v>0</v>
      </c>
    </row>
    <row r="663" spans="70:70" ht="13.5" customHeight="1" x14ac:dyDescent="0.25">
      <c r="BR663" s="523">
        <f t="shared" si="1334"/>
        <v>0</v>
      </c>
    </row>
    <row r="664" spans="70:70" ht="13.5" customHeight="1" x14ac:dyDescent="0.25">
      <c r="BR664" s="523">
        <f t="shared" si="1334"/>
        <v>0</v>
      </c>
    </row>
    <row r="665" spans="70:70" ht="13.5" customHeight="1" x14ac:dyDescent="0.25">
      <c r="BR665" s="523">
        <f t="shared" si="1334"/>
        <v>0</v>
      </c>
    </row>
    <row r="666" spans="70:70" ht="13.5" customHeight="1" x14ac:dyDescent="0.25">
      <c r="BR666" s="523">
        <f t="shared" si="1334"/>
        <v>0</v>
      </c>
    </row>
    <row r="667" spans="70:70" ht="13.5" customHeight="1" x14ac:dyDescent="0.25">
      <c r="BR667" s="523">
        <f t="shared" si="1334"/>
        <v>0</v>
      </c>
    </row>
    <row r="668" spans="70:70" ht="13.5" customHeight="1" x14ac:dyDescent="0.25">
      <c r="BR668" s="523">
        <f t="shared" si="1334"/>
        <v>0</v>
      </c>
    </row>
    <row r="669" spans="70:70" ht="13.5" customHeight="1" x14ac:dyDescent="0.25">
      <c r="BR669" s="523">
        <f t="shared" si="1334"/>
        <v>0</v>
      </c>
    </row>
    <row r="670" spans="70:70" ht="13.5" customHeight="1" x14ac:dyDescent="0.25">
      <c r="BR670" s="523">
        <f t="shared" si="1334"/>
        <v>0</v>
      </c>
    </row>
    <row r="671" spans="70:70" ht="13.5" customHeight="1" x14ac:dyDescent="0.25">
      <c r="BR671" s="523">
        <f t="shared" si="1334"/>
        <v>0</v>
      </c>
    </row>
    <row r="672" spans="70:70" ht="13.5" customHeight="1" x14ac:dyDescent="0.25">
      <c r="BR672" s="523">
        <f t="shared" si="1334"/>
        <v>0</v>
      </c>
    </row>
    <row r="673" spans="70:70" ht="13.5" customHeight="1" x14ac:dyDescent="0.25">
      <c r="BR673" s="523">
        <f t="shared" si="1334"/>
        <v>0</v>
      </c>
    </row>
    <row r="674" spans="70:70" ht="13.5" customHeight="1" x14ac:dyDescent="0.25">
      <c r="BR674" s="523">
        <f t="shared" si="1334"/>
        <v>0</v>
      </c>
    </row>
    <row r="675" spans="70:70" ht="13.5" customHeight="1" x14ac:dyDescent="0.25">
      <c r="BR675" s="523">
        <f t="shared" si="1334"/>
        <v>0</v>
      </c>
    </row>
    <row r="676" spans="70:70" ht="13.5" customHeight="1" x14ac:dyDescent="0.25">
      <c r="BR676" s="523">
        <f t="shared" si="1334"/>
        <v>0</v>
      </c>
    </row>
    <row r="677" spans="70:70" ht="13.5" customHeight="1" x14ac:dyDescent="0.25">
      <c r="BR677" s="523">
        <f t="shared" si="1334"/>
        <v>0</v>
      </c>
    </row>
    <row r="678" spans="70:70" ht="13.5" customHeight="1" x14ac:dyDescent="0.25">
      <c r="BR678" s="523">
        <f t="shared" si="1334"/>
        <v>0</v>
      </c>
    </row>
    <row r="679" spans="70:70" ht="13.5" customHeight="1" x14ac:dyDescent="0.25">
      <c r="BR679" s="523">
        <f t="shared" si="1334"/>
        <v>0</v>
      </c>
    </row>
    <row r="680" spans="70:70" ht="13.5" customHeight="1" x14ac:dyDescent="0.25">
      <c r="BR680" s="523">
        <f t="shared" si="1334"/>
        <v>0</v>
      </c>
    </row>
    <row r="681" spans="70:70" ht="13.5" customHeight="1" x14ac:dyDescent="0.25">
      <c r="BR681" s="523">
        <f t="shared" si="1334"/>
        <v>0</v>
      </c>
    </row>
    <row r="682" spans="70:70" ht="13.5" customHeight="1" x14ac:dyDescent="0.25">
      <c r="BR682" s="523">
        <f t="shared" si="1334"/>
        <v>0</v>
      </c>
    </row>
    <row r="683" spans="70:70" ht="13.5" customHeight="1" x14ac:dyDescent="0.25">
      <c r="BR683" s="523">
        <f t="shared" si="1334"/>
        <v>0</v>
      </c>
    </row>
    <row r="684" spans="70:70" ht="13.5" customHeight="1" x14ac:dyDescent="0.25">
      <c r="BR684" s="523">
        <f t="shared" si="1334"/>
        <v>0</v>
      </c>
    </row>
    <row r="685" spans="70:70" ht="13.5" customHeight="1" x14ac:dyDescent="0.25">
      <c r="BR685" s="523">
        <f t="shared" si="1334"/>
        <v>0</v>
      </c>
    </row>
    <row r="686" spans="70:70" ht="13.5" customHeight="1" x14ac:dyDescent="0.25">
      <c r="BR686" s="523">
        <f t="shared" si="1334"/>
        <v>0</v>
      </c>
    </row>
    <row r="687" spans="70:70" ht="13.5" customHeight="1" x14ac:dyDescent="0.25">
      <c r="BR687" s="523">
        <f t="shared" si="1334"/>
        <v>0</v>
      </c>
    </row>
    <row r="688" spans="70:70" ht="13.5" customHeight="1" x14ac:dyDescent="0.25">
      <c r="BR688" s="523">
        <f t="shared" si="1334"/>
        <v>0</v>
      </c>
    </row>
    <row r="689" spans="70:70" ht="13.5" customHeight="1" x14ac:dyDescent="0.25">
      <c r="BR689" s="523">
        <f t="shared" si="1334"/>
        <v>0</v>
      </c>
    </row>
    <row r="690" spans="70:70" ht="13.5" customHeight="1" x14ac:dyDescent="0.25">
      <c r="BR690" s="523">
        <f t="shared" si="1334"/>
        <v>0</v>
      </c>
    </row>
    <row r="691" spans="70:70" ht="13.5" customHeight="1" x14ac:dyDescent="0.25">
      <c r="BR691" s="523">
        <f t="shared" ref="BR691:BR754" si="1335">ROUND(AJ691*G691*$B$5*$C$3,-2)</f>
        <v>0</v>
      </c>
    </row>
    <row r="692" spans="70:70" ht="13.5" customHeight="1" x14ac:dyDescent="0.25">
      <c r="BR692" s="523">
        <f t="shared" si="1335"/>
        <v>0</v>
      </c>
    </row>
    <row r="693" spans="70:70" ht="13.5" customHeight="1" x14ac:dyDescent="0.25">
      <c r="BR693" s="523">
        <f t="shared" si="1335"/>
        <v>0</v>
      </c>
    </row>
    <row r="694" spans="70:70" ht="13.5" customHeight="1" x14ac:dyDescent="0.25">
      <c r="BR694" s="523">
        <f t="shared" si="1335"/>
        <v>0</v>
      </c>
    </row>
    <row r="695" spans="70:70" ht="13.5" customHeight="1" x14ac:dyDescent="0.25">
      <c r="BR695" s="523">
        <f t="shared" si="1335"/>
        <v>0</v>
      </c>
    </row>
    <row r="696" spans="70:70" ht="13.5" customHeight="1" x14ac:dyDescent="0.25">
      <c r="BR696" s="523">
        <f t="shared" si="1335"/>
        <v>0</v>
      </c>
    </row>
    <row r="697" spans="70:70" ht="13.5" customHeight="1" x14ac:dyDescent="0.25">
      <c r="BR697" s="523">
        <f t="shared" si="1335"/>
        <v>0</v>
      </c>
    </row>
    <row r="698" spans="70:70" ht="13.5" customHeight="1" x14ac:dyDescent="0.25">
      <c r="BR698" s="523">
        <f t="shared" si="1335"/>
        <v>0</v>
      </c>
    </row>
    <row r="699" spans="70:70" ht="13.5" customHeight="1" x14ac:dyDescent="0.25">
      <c r="BR699" s="523">
        <f t="shared" si="1335"/>
        <v>0</v>
      </c>
    </row>
    <row r="700" spans="70:70" ht="13.5" customHeight="1" x14ac:dyDescent="0.25">
      <c r="BR700" s="523">
        <f t="shared" si="1335"/>
        <v>0</v>
      </c>
    </row>
    <row r="701" spans="70:70" ht="13.5" customHeight="1" x14ac:dyDescent="0.25">
      <c r="BR701" s="523">
        <f t="shared" si="1335"/>
        <v>0</v>
      </c>
    </row>
    <row r="702" spans="70:70" ht="13.5" customHeight="1" x14ac:dyDescent="0.25">
      <c r="BR702" s="523">
        <f t="shared" si="1335"/>
        <v>0</v>
      </c>
    </row>
    <row r="703" spans="70:70" ht="13.5" customHeight="1" x14ac:dyDescent="0.25">
      <c r="BR703" s="523">
        <f t="shared" si="1335"/>
        <v>0</v>
      </c>
    </row>
    <row r="704" spans="70:70" ht="13.5" customHeight="1" x14ac:dyDescent="0.25">
      <c r="BR704" s="523">
        <f t="shared" si="1335"/>
        <v>0</v>
      </c>
    </row>
    <row r="705" spans="70:70" ht="13.5" customHeight="1" x14ac:dyDescent="0.25">
      <c r="BR705" s="523">
        <f t="shared" si="1335"/>
        <v>0</v>
      </c>
    </row>
    <row r="706" spans="70:70" ht="13.5" customHeight="1" x14ac:dyDescent="0.25">
      <c r="BR706" s="523">
        <f t="shared" si="1335"/>
        <v>0</v>
      </c>
    </row>
    <row r="707" spans="70:70" ht="13.5" customHeight="1" x14ac:dyDescent="0.25">
      <c r="BR707" s="523">
        <f t="shared" si="1335"/>
        <v>0</v>
      </c>
    </row>
    <row r="708" spans="70:70" ht="13.5" customHeight="1" x14ac:dyDescent="0.25">
      <c r="BR708" s="523">
        <f t="shared" si="1335"/>
        <v>0</v>
      </c>
    </row>
    <row r="709" spans="70:70" ht="13.5" customHeight="1" x14ac:dyDescent="0.25">
      <c r="BR709" s="523">
        <f t="shared" si="1335"/>
        <v>0</v>
      </c>
    </row>
    <row r="710" spans="70:70" ht="13.5" customHeight="1" x14ac:dyDescent="0.25">
      <c r="BR710" s="523">
        <f t="shared" si="1335"/>
        <v>0</v>
      </c>
    </row>
    <row r="711" spans="70:70" ht="13.5" customHeight="1" x14ac:dyDescent="0.25">
      <c r="BR711" s="523">
        <f t="shared" si="1335"/>
        <v>0</v>
      </c>
    </row>
    <row r="712" spans="70:70" ht="13.5" customHeight="1" x14ac:dyDescent="0.25">
      <c r="BR712" s="523">
        <f t="shared" si="1335"/>
        <v>0</v>
      </c>
    </row>
    <row r="713" spans="70:70" ht="13.5" customHeight="1" x14ac:dyDescent="0.25">
      <c r="BR713" s="523">
        <f t="shared" si="1335"/>
        <v>0</v>
      </c>
    </row>
    <row r="714" spans="70:70" ht="13.5" customHeight="1" x14ac:dyDescent="0.25">
      <c r="BR714" s="523">
        <f t="shared" si="1335"/>
        <v>0</v>
      </c>
    </row>
    <row r="715" spans="70:70" ht="13.5" customHeight="1" x14ac:dyDescent="0.25">
      <c r="BR715" s="523">
        <f t="shared" si="1335"/>
        <v>0</v>
      </c>
    </row>
    <row r="716" spans="70:70" ht="13.5" customHeight="1" x14ac:dyDescent="0.25">
      <c r="BR716" s="523">
        <f t="shared" si="1335"/>
        <v>0</v>
      </c>
    </row>
    <row r="717" spans="70:70" ht="13.5" customHeight="1" x14ac:dyDescent="0.25">
      <c r="BR717" s="523">
        <f t="shared" si="1335"/>
        <v>0</v>
      </c>
    </row>
    <row r="718" spans="70:70" ht="13.5" customHeight="1" x14ac:dyDescent="0.25">
      <c r="BR718" s="523">
        <f t="shared" si="1335"/>
        <v>0</v>
      </c>
    </row>
    <row r="719" spans="70:70" ht="13.5" customHeight="1" x14ac:dyDescent="0.25">
      <c r="BR719" s="523">
        <f t="shared" si="1335"/>
        <v>0</v>
      </c>
    </row>
    <row r="720" spans="70:70" ht="13.5" customHeight="1" x14ac:dyDescent="0.25">
      <c r="BR720" s="523">
        <f t="shared" si="1335"/>
        <v>0</v>
      </c>
    </row>
    <row r="721" spans="70:70" ht="13.5" customHeight="1" x14ac:dyDescent="0.25">
      <c r="BR721" s="523">
        <f t="shared" si="1335"/>
        <v>0</v>
      </c>
    </row>
    <row r="722" spans="70:70" ht="13.5" customHeight="1" x14ac:dyDescent="0.25">
      <c r="BR722" s="523">
        <f t="shared" si="1335"/>
        <v>0</v>
      </c>
    </row>
    <row r="723" spans="70:70" ht="13.5" customHeight="1" x14ac:dyDescent="0.25">
      <c r="BR723" s="523">
        <f t="shared" si="1335"/>
        <v>0</v>
      </c>
    </row>
    <row r="724" spans="70:70" ht="13.5" customHeight="1" x14ac:dyDescent="0.25">
      <c r="BR724" s="523">
        <f t="shared" si="1335"/>
        <v>0</v>
      </c>
    </row>
    <row r="725" spans="70:70" ht="13.5" customHeight="1" x14ac:dyDescent="0.25">
      <c r="BR725" s="523">
        <f t="shared" si="1335"/>
        <v>0</v>
      </c>
    </row>
    <row r="726" spans="70:70" ht="13.5" customHeight="1" x14ac:dyDescent="0.25">
      <c r="BR726" s="523">
        <f t="shared" si="1335"/>
        <v>0</v>
      </c>
    </row>
    <row r="727" spans="70:70" ht="13.5" customHeight="1" x14ac:dyDescent="0.25">
      <c r="BR727" s="523">
        <f t="shared" si="1335"/>
        <v>0</v>
      </c>
    </row>
    <row r="728" spans="70:70" ht="13.5" customHeight="1" x14ac:dyDescent="0.25">
      <c r="BR728" s="523">
        <f t="shared" si="1335"/>
        <v>0</v>
      </c>
    </row>
    <row r="729" spans="70:70" ht="13.5" customHeight="1" x14ac:dyDescent="0.25">
      <c r="BR729" s="523">
        <f t="shared" si="1335"/>
        <v>0</v>
      </c>
    </row>
    <row r="730" spans="70:70" ht="13.5" customHeight="1" x14ac:dyDescent="0.25">
      <c r="BR730" s="523">
        <f t="shared" si="1335"/>
        <v>0</v>
      </c>
    </row>
    <row r="731" spans="70:70" ht="13.5" customHeight="1" x14ac:dyDescent="0.25">
      <c r="BR731" s="523">
        <f t="shared" si="1335"/>
        <v>0</v>
      </c>
    </row>
    <row r="732" spans="70:70" ht="13.5" customHeight="1" x14ac:dyDescent="0.25">
      <c r="BR732" s="523">
        <f t="shared" si="1335"/>
        <v>0</v>
      </c>
    </row>
    <row r="733" spans="70:70" ht="13.5" customHeight="1" x14ac:dyDescent="0.25">
      <c r="BR733" s="523">
        <f t="shared" si="1335"/>
        <v>0</v>
      </c>
    </row>
    <row r="734" spans="70:70" ht="13.5" customHeight="1" x14ac:dyDescent="0.25">
      <c r="BR734" s="523">
        <f t="shared" si="1335"/>
        <v>0</v>
      </c>
    </row>
    <row r="735" spans="70:70" ht="13.5" customHeight="1" x14ac:dyDescent="0.25">
      <c r="BR735" s="523">
        <f t="shared" si="1335"/>
        <v>0</v>
      </c>
    </row>
    <row r="736" spans="70:70" ht="13.5" customHeight="1" x14ac:dyDescent="0.25">
      <c r="BR736" s="523">
        <f t="shared" si="1335"/>
        <v>0</v>
      </c>
    </row>
    <row r="737" spans="70:70" ht="13.5" customHeight="1" x14ac:dyDescent="0.25">
      <c r="BR737" s="523">
        <f t="shared" si="1335"/>
        <v>0</v>
      </c>
    </row>
    <row r="738" spans="70:70" ht="13.5" customHeight="1" x14ac:dyDescent="0.25">
      <c r="BR738" s="523">
        <f t="shared" si="1335"/>
        <v>0</v>
      </c>
    </row>
    <row r="739" spans="70:70" ht="13.5" customHeight="1" x14ac:dyDescent="0.25">
      <c r="BR739" s="523">
        <f t="shared" si="1335"/>
        <v>0</v>
      </c>
    </row>
    <row r="740" spans="70:70" ht="13.5" customHeight="1" x14ac:dyDescent="0.25">
      <c r="BR740" s="523">
        <f t="shared" si="1335"/>
        <v>0</v>
      </c>
    </row>
    <row r="741" spans="70:70" ht="13.5" customHeight="1" x14ac:dyDescent="0.25">
      <c r="BR741" s="523">
        <f t="shared" si="1335"/>
        <v>0</v>
      </c>
    </row>
    <row r="742" spans="70:70" ht="13.5" customHeight="1" x14ac:dyDescent="0.25">
      <c r="BR742" s="523">
        <f t="shared" si="1335"/>
        <v>0</v>
      </c>
    </row>
    <row r="743" spans="70:70" ht="13.5" customHeight="1" x14ac:dyDescent="0.25">
      <c r="BR743" s="523">
        <f t="shared" si="1335"/>
        <v>0</v>
      </c>
    </row>
    <row r="744" spans="70:70" ht="13.5" customHeight="1" x14ac:dyDescent="0.25">
      <c r="BR744" s="523">
        <f t="shared" si="1335"/>
        <v>0</v>
      </c>
    </row>
    <row r="745" spans="70:70" ht="13.5" customHeight="1" x14ac:dyDescent="0.25">
      <c r="BR745" s="523">
        <f t="shared" si="1335"/>
        <v>0</v>
      </c>
    </row>
    <row r="746" spans="70:70" ht="13.5" customHeight="1" x14ac:dyDescent="0.25">
      <c r="BR746" s="523">
        <f t="shared" si="1335"/>
        <v>0</v>
      </c>
    </row>
    <row r="747" spans="70:70" ht="13.5" customHeight="1" x14ac:dyDescent="0.25">
      <c r="BR747" s="523">
        <f t="shared" si="1335"/>
        <v>0</v>
      </c>
    </row>
    <row r="748" spans="70:70" ht="13.5" customHeight="1" x14ac:dyDescent="0.25">
      <c r="BR748" s="523">
        <f t="shared" si="1335"/>
        <v>0</v>
      </c>
    </row>
    <row r="749" spans="70:70" ht="13.5" customHeight="1" x14ac:dyDescent="0.25">
      <c r="BR749" s="523">
        <f t="shared" si="1335"/>
        <v>0</v>
      </c>
    </row>
    <row r="750" spans="70:70" ht="13.5" customHeight="1" x14ac:dyDescent="0.25">
      <c r="BR750" s="523">
        <f t="shared" si="1335"/>
        <v>0</v>
      </c>
    </row>
    <row r="751" spans="70:70" ht="13.5" customHeight="1" x14ac:dyDescent="0.25">
      <c r="BR751" s="523">
        <f t="shared" si="1335"/>
        <v>0</v>
      </c>
    </row>
    <row r="752" spans="70:70" ht="13.5" customHeight="1" x14ac:dyDescent="0.25">
      <c r="BR752" s="523">
        <f t="shared" si="1335"/>
        <v>0</v>
      </c>
    </row>
    <row r="753" spans="70:70" ht="13.5" customHeight="1" x14ac:dyDescent="0.25">
      <c r="BR753" s="523">
        <f t="shared" si="1335"/>
        <v>0</v>
      </c>
    </row>
    <row r="754" spans="70:70" ht="13.5" customHeight="1" x14ac:dyDescent="0.25">
      <c r="BR754" s="523">
        <f t="shared" si="1335"/>
        <v>0</v>
      </c>
    </row>
    <row r="755" spans="70:70" ht="13.5" customHeight="1" x14ac:dyDescent="0.25">
      <c r="BR755" s="523">
        <f t="shared" ref="BR755:BR818" si="1336">ROUND(AJ755*G755*$B$5*$C$3,-2)</f>
        <v>0</v>
      </c>
    </row>
    <row r="756" spans="70:70" ht="13.5" customHeight="1" x14ac:dyDescent="0.25">
      <c r="BR756" s="523">
        <f t="shared" si="1336"/>
        <v>0</v>
      </c>
    </row>
    <row r="757" spans="70:70" ht="13.5" customHeight="1" x14ac:dyDescent="0.25">
      <c r="BR757" s="523">
        <f t="shared" si="1336"/>
        <v>0</v>
      </c>
    </row>
    <row r="758" spans="70:70" ht="13.5" customHeight="1" x14ac:dyDescent="0.25">
      <c r="BR758" s="523">
        <f t="shared" si="1336"/>
        <v>0</v>
      </c>
    </row>
    <row r="759" spans="70:70" ht="13.5" customHeight="1" x14ac:dyDescent="0.25">
      <c r="BR759" s="523">
        <f t="shared" si="1336"/>
        <v>0</v>
      </c>
    </row>
    <row r="760" spans="70:70" ht="13.5" customHeight="1" x14ac:dyDescent="0.25">
      <c r="BR760" s="523">
        <f t="shared" si="1336"/>
        <v>0</v>
      </c>
    </row>
    <row r="761" spans="70:70" ht="13.5" customHeight="1" x14ac:dyDescent="0.25">
      <c r="BR761" s="523">
        <f t="shared" si="1336"/>
        <v>0</v>
      </c>
    </row>
    <row r="762" spans="70:70" ht="13.5" customHeight="1" x14ac:dyDescent="0.25">
      <c r="BR762" s="523">
        <f t="shared" si="1336"/>
        <v>0</v>
      </c>
    </row>
    <row r="763" spans="70:70" ht="13.5" customHeight="1" x14ac:dyDescent="0.25">
      <c r="BR763" s="523">
        <f t="shared" si="1336"/>
        <v>0</v>
      </c>
    </row>
    <row r="764" spans="70:70" ht="13.5" customHeight="1" x14ac:dyDescent="0.25">
      <c r="BR764" s="523">
        <f t="shared" si="1336"/>
        <v>0</v>
      </c>
    </row>
    <row r="765" spans="70:70" ht="13.5" customHeight="1" x14ac:dyDescent="0.25">
      <c r="BR765" s="523">
        <f t="shared" si="1336"/>
        <v>0</v>
      </c>
    </row>
    <row r="766" spans="70:70" ht="13.5" customHeight="1" x14ac:dyDescent="0.25">
      <c r="BR766" s="523">
        <f t="shared" si="1336"/>
        <v>0</v>
      </c>
    </row>
    <row r="767" spans="70:70" ht="13.5" customHeight="1" x14ac:dyDescent="0.25">
      <c r="BR767" s="523">
        <f t="shared" si="1336"/>
        <v>0</v>
      </c>
    </row>
    <row r="768" spans="70:70" ht="13.5" customHeight="1" x14ac:dyDescent="0.25">
      <c r="BR768" s="523">
        <f t="shared" si="1336"/>
        <v>0</v>
      </c>
    </row>
    <row r="769" spans="70:70" ht="13.5" customHeight="1" x14ac:dyDescent="0.25">
      <c r="BR769" s="523">
        <f t="shared" si="1336"/>
        <v>0</v>
      </c>
    </row>
    <row r="770" spans="70:70" ht="13.5" customHeight="1" x14ac:dyDescent="0.25">
      <c r="BR770" s="523">
        <f t="shared" si="1336"/>
        <v>0</v>
      </c>
    </row>
    <row r="771" spans="70:70" ht="13.5" customHeight="1" x14ac:dyDescent="0.25">
      <c r="BR771" s="523">
        <f t="shared" si="1336"/>
        <v>0</v>
      </c>
    </row>
    <row r="772" spans="70:70" ht="13.5" customHeight="1" x14ac:dyDescent="0.25">
      <c r="BR772" s="523">
        <f t="shared" si="1336"/>
        <v>0</v>
      </c>
    </row>
    <row r="773" spans="70:70" ht="13.5" customHeight="1" x14ac:dyDescent="0.25">
      <c r="BR773" s="523">
        <f t="shared" si="1336"/>
        <v>0</v>
      </c>
    </row>
    <row r="774" spans="70:70" ht="13.5" customHeight="1" x14ac:dyDescent="0.25">
      <c r="BR774" s="523">
        <f t="shared" si="1336"/>
        <v>0</v>
      </c>
    </row>
    <row r="775" spans="70:70" ht="13.5" customHeight="1" x14ac:dyDescent="0.25">
      <c r="BR775" s="523">
        <f t="shared" si="1336"/>
        <v>0</v>
      </c>
    </row>
    <row r="776" spans="70:70" ht="13.5" customHeight="1" x14ac:dyDescent="0.25">
      <c r="BR776" s="523">
        <f t="shared" si="1336"/>
        <v>0</v>
      </c>
    </row>
    <row r="777" spans="70:70" ht="13.5" customHeight="1" x14ac:dyDescent="0.25">
      <c r="BR777" s="523">
        <f t="shared" si="1336"/>
        <v>0</v>
      </c>
    </row>
    <row r="778" spans="70:70" ht="13.5" customHeight="1" x14ac:dyDescent="0.25">
      <c r="BR778" s="523">
        <f t="shared" si="1336"/>
        <v>0</v>
      </c>
    </row>
    <row r="779" spans="70:70" ht="13.5" customHeight="1" x14ac:dyDescent="0.25">
      <c r="BR779" s="523">
        <f t="shared" si="1336"/>
        <v>0</v>
      </c>
    </row>
    <row r="780" spans="70:70" ht="13.5" customHeight="1" x14ac:dyDescent="0.25">
      <c r="BR780" s="523">
        <f t="shared" si="1336"/>
        <v>0</v>
      </c>
    </row>
    <row r="781" spans="70:70" ht="13.5" customHeight="1" x14ac:dyDescent="0.25">
      <c r="BR781" s="523">
        <f t="shared" si="1336"/>
        <v>0</v>
      </c>
    </row>
    <row r="782" spans="70:70" ht="13.5" customHeight="1" x14ac:dyDescent="0.25">
      <c r="BR782" s="523">
        <f t="shared" si="1336"/>
        <v>0</v>
      </c>
    </row>
    <row r="783" spans="70:70" ht="13.5" customHeight="1" x14ac:dyDescent="0.25">
      <c r="BR783" s="523">
        <f t="shared" si="1336"/>
        <v>0</v>
      </c>
    </row>
    <row r="784" spans="70:70" ht="13.5" customHeight="1" x14ac:dyDescent="0.25">
      <c r="BR784" s="523">
        <f t="shared" si="1336"/>
        <v>0</v>
      </c>
    </row>
    <row r="785" spans="70:70" ht="13.5" customHeight="1" x14ac:dyDescent="0.25">
      <c r="BR785" s="523">
        <f t="shared" si="1336"/>
        <v>0</v>
      </c>
    </row>
    <row r="786" spans="70:70" ht="13.5" customHeight="1" x14ac:dyDescent="0.25">
      <c r="BR786" s="523">
        <f t="shared" si="1336"/>
        <v>0</v>
      </c>
    </row>
    <row r="787" spans="70:70" ht="13.5" customHeight="1" x14ac:dyDescent="0.25">
      <c r="BR787" s="523">
        <f t="shared" si="1336"/>
        <v>0</v>
      </c>
    </row>
    <row r="788" spans="70:70" ht="13.5" customHeight="1" x14ac:dyDescent="0.25">
      <c r="BR788" s="523">
        <f t="shared" si="1336"/>
        <v>0</v>
      </c>
    </row>
    <row r="789" spans="70:70" ht="13.5" customHeight="1" x14ac:dyDescent="0.25">
      <c r="BR789" s="523">
        <f t="shared" si="1336"/>
        <v>0</v>
      </c>
    </row>
    <row r="790" spans="70:70" ht="13.5" customHeight="1" x14ac:dyDescent="0.25">
      <c r="BR790" s="523">
        <f t="shared" si="1336"/>
        <v>0</v>
      </c>
    </row>
    <row r="791" spans="70:70" ht="13.5" customHeight="1" x14ac:dyDescent="0.25">
      <c r="BR791" s="523">
        <f t="shared" si="1336"/>
        <v>0</v>
      </c>
    </row>
    <row r="792" spans="70:70" ht="13.5" customHeight="1" x14ac:dyDescent="0.25">
      <c r="BR792" s="523">
        <f t="shared" si="1336"/>
        <v>0</v>
      </c>
    </row>
    <row r="793" spans="70:70" ht="13.5" customHeight="1" x14ac:dyDescent="0.25">
      <c r="BR793" s="523">
        <f t="shared" si="1336"/>
        <v>0</v>
      </c>
    </row>
    <row r="794" spans="70:70" ht="13.5" customHeight="1" x14ac:dyDescent="0.25">
      <c r="BR794" s="523">
        <f t="shared" si="1336"/>
        <v>0</v>
      </c>
    </row>
    <row r="795" spans="70:70" ht="13.5" customHeight="1" x14ac:dyDescent="0.25">
      <c r="BR795" s="523">
        <f t="shared" si="1336"/>
        <v>0</v>
      </c>
    </row>
    <row r="796" spans="70:70" ht="13.5" customHeight="1" x14ac:dyDescent="0.25">
      <c r="BR796" s="523">
        <f t="shared" si="1336"/>
        <v>0</v>
      </c>
    </row>
    <row r="797" spans="70:70" ht="13.5" customHeight="1" x14ac:dyDescent="0.25">
      <c r="BR797" s="523">
        <f t="shared" si="1336"/>
        <v>0</v>
      </c>
    </row>
    <row r="798" spans="70:70" ht="13.5" customHeight="1" x14ac:dyDescent="0.25">
      <c r="BR798" s="523">
        <f t="shared" si="1336"/>
        <v>0</v>
      </c>
    </row>
    <row r="799" spans="70:70" ht="13.5" customHeight="1" x14ac:dyDescent="0.25">
      <c r="BR799" s="523">
        <f t="shared" si="1336"/>
        <v>0</v>
      </c>
    </row>
    <row r="800" spans="70:70" ht="13.5" customHeight="1" x14ac:dyDescent="0.25">
      <c r="BR800" s="523">
        <f t="shared" si="1336"/>
        <v>0</v>
      </c>
    </row>
    <row r="801" spans="70:70" ht="13.5" customHeight="1" x14ac:dyDescent="0.25">
      <c r="BR801" s="523">
        <f t="shared" si="1336"/>
        <v>0</v>
      </c>
    </row>
    <row r="802" spans="70:70" ht="13.5" customHeight="1" x14ac:dyDescent="0.25">
      <c r="BR802" s="523">
        <f t="shared" si="1336"/>
        <v>0</v>
      </c>
    </row>
    <row r="803" spans="70:70" ht="13.5" customHeight="1" x14ac:dyDescent="0.25">
      <c r="BR803" s="523">
        <f t="shared" si="1336"/>
        <v>0</v>
      </c>
    </row>
    <row r="804" spans="70:70" ht="13.5" customHeight="1" x14ac:dyDescent="0.25">
      <c r="BR804" s="523">
        <f t="shared" si="1336"/>
        <v>0</v>
      </c>
    </row>
    <row r="805" spans="70:70" ht="13.5" customHeight="1" x14ac:dyDescent="0.25">
      <c r="BR805" s="523">
        <f t="shared" si="1336"/>
        <v>0</v>
      </c>
    </row>
    <row r="806" spans="70:70" ht="13.5" customHeight="1" x14ac:dyDescent="0.25">
      <c r="BR806" s="523">
        <f t="shared" si="1336"/>
        <v>0</v>
      </c>
    </row>
    <row r="807" spans="70:70" ht="13.5" customHeight="1" x14ac:dyDescent="0.25">
      <c r="BR807" s="523">
        <f t="shared" si="1336"/>
        <v>0</v>
      </c>
    </row>
    <row r="808" spans="70:70" ht="13.5" customHeight="1" x14ac:dyDescent="0.25">
      <c r="BR808" s="523">
        <f t="shared" si="1336"/>
        <v>0</v>
      </c>
    </row>
    <row r="809" spans="70:70" ht="13.5" customHeight="1" x14ac:dyDescent="0.25">
      <c r="BR809" s="523">
        <f t="shared" si="1336"/>
        <v>0</v>
      </c>
    </row>
    <row r="810" spans="70:70" ht="13.5" customHeight="1" x14ac:dyDescent="0.25">
      <c r="BR810" s="523">
        <f t="shared" si="1336"/>
        <v>0</v>
      </c>
    </row>
    <row r="811" spans="70:70" ht="13.5" customHeight="1" x14ac:dyDescent="0.25">
      <c r="BR811" s="523">
        <f t="shared" si="1336"/>
        <v>0</v>
      </c>
    </row>
    <row r="812" spans="70:70" ht="13.5" customHeight="1" x14ac:dyDescent="0.25">
      <c r="BR812" s="523">
        <f t="shared" si="1336"/>
        <v>0</v>
      </c>
    </row>
    <row r="813" spans="70:70" ht="13.5" customHeight="1" x14ac:dyDescent="0.25">
      <c r="BR813" s="523">
        <f t="shared" si="1336"/>
        <v>0</v>
      </c>
    </row>
    <row r="814" spans="70:70" ht="13.5" customHeight="1" x14ac:dyDescent="0.25">
      <c r="BR814" s="523">
        <f t="shared" si="1336"/>
        <v>0</v>
      </c>
    </row>
    <row r="815" spans="70:70" ht="13.5" customHeight="1" x14ac:dyDescent="0.25">
      <c r="BR815" s="523">
        <f t="shared" si="1336"/>
        <v>0</v>
      </c>
    </row>
    <row r="816" spans="70:70" ht="13.5" customHeight="1" x14ac:dyDescent="0.25">
      <c r="BR816" s="523">
        <f t="shared" si="1336"/>
        <v>0</v>
      </c>
    </row>
    <row r="817" spans="70:70" ht="13.5" customHeight="1" x14ac:dyDescent="0.25">
      <c r="BR817" s="523">
        <f t="shared" si="1336"/>
        <v>0</v>
      </c>
    </row>
    <row r="818" spans="70:70" ht="13.5" customHeight="1" x14ac:dyDescent="0.25">
      <c r="BR818" s="523">
        <f t="shared" si="1336"/>
        <v>0</v>
      </c>
    </row>
    <row r="819" spans="70:70" ht="13.5" customHeight="1" x14ac:dyDescent="0.25">
      <c r="BR819" s="523">
        <f t="shared" ref="BR819:BR841" si="1337">ROUND(AJ819*G819*$B$5*$C$3,-2)</f>
        <v>0</v>
      </c>
    </row>
    <row r="820" spans="70:70" ht="13.5" customHeight="1" x14ac:dyDescent="0.25">
      <c r="BR820" s="523">
        <f t="shared" si="1337"/>
        <v>0</v>
      </c>
    </row>
    <row r="821" spans="70:70" ht="13.5" customHeight="1" x14ac:dyDescent="0.25">
      <c r="BR821" s="523">
        <f t="shared" si="1337"/>
        <v>0</v>
      </c>
    </row>
    <row r="822" spans="70:70" ht="13.5" customHeight="1" x14ac:dyDescent="0.25">
      <c r="BR822" s="523">
        <f t="shared" si="1337"/>
        <v>0</v>
      </c>
    </row>
    <row r="823" spans="70:70" ht="13.5" customHeight="1" x14ac:dyDescent="0.25">
      <c r="BR823" s="523">
        <f t="shared" si="1337"/>
        <v>0</v>
      </c>
    </row>
    <row r="824" spans="70:70" ht="13.5" customHeight="1" x14ac:dyDescent="0.25">
      <c r="BR824" s="523">
        <f t="shared" si="1337"/>
        <v>0</v>
      </c>
    </row>
    <row r="825" spans="70:70" ht="13.5" customHeight="1" x14ac:dyDescent="0.25">
      <c r="BR825" s="523">
        <f t="shared" si="1337"/>
        <v>0</v>
      </c>
    </row>
    <row r="826" spans="70:70" ht="13.5" customHeight="1" x14ac:dyDescent="0.25">
      <c r="BR826" s="523">
        <f t="shared" si="1337"/>
        <v>0</v>
      </c>
    </row>
    <row r="827" spans="70:70" ht="13.5" customHeight="1" x14ac:dyDescent="0.25">
      <c r="BR827" s="523">
        <f t="shared" si="1337"/>
        <v>0</v>
      </c>
    </row>
    <row r="828" spans="70:70" ht="13.5" customHeight="1" x14ac:dyDescent="0.25">
      <c r="BR828" s="523">
        <f t="shared" si="1337"/>
        <v>0</v>
      </c>
    </row>
    <row r="829" spans="70:70" ht="13.5" customHeight="1" x14ac:dyDescent="0.25">
      <c r="BR829" s="523">
        <f t="shared" si="1337"/>
        <v>0</v>
      </c>
    </row>
    <row r="830" spans="70:70" ht="13.5" customHeight="1" x14ac:dyDescent="0.25">
      <c r="BR830" s="523">
        <f t="shared" si="1337"/>
        <v>0</v>
      </c>
    </row>
    <row r="831" spans="70:70" ht="13.5" customHeight="1" x14ac:dyDescent="0.25">
      <c r="BR831" s="523">
        <f t="shared" si="1337"/>
        <v>0</v>
      </c>
    </row>
    <row r="832" spans="70:70" ht="13.5" customHeight="1" x14ac:dyDescent="0.25">
      <c r="BR832" s="523">
        <f t="shared" si="1337"/>
        <v>0</v>
      </c>
    </row>
    <row r="833" spans="8:70" ht="13.5" customHeight="1" x14ac:dyDescent="0.25">
      <c r="BR833" s="523">
        <f t="shared" si="1337"/>
        <v>0</v>
      </c>
    </row>
    <row r="834" spans="8:70" ht="13.5" customHeight="1" x14ac:dyDescent="0.25">
      <c r="BR834" s="523">
        <f t="shared" si="1337"/>
        <v>0</v>
      </c>
    </row>
    <row r="835" spans="8:70" ht="13.5" customHeight="1" x14ac:dyDescent="0.25">
      <c r="BR835" s="523">
        <f t="shared" si="1337"/>
        <v>0</v>
      </c>
    </row>
    <row r="836" spans="8:70" ht="13.5" customHeight="1" x14ac:dyDescent="0.25">
      <c r="BR836" s="523">
        <f t="shared" si="1337"/>
        <v>0</v>
      </c>
    </row>
    <row r="837" spans="8:70" ht="13.5" customHeight="1" x14ac:dyDescent="0.25">
      <c r="BR837" s="523">
        <f t="shared" si="1337"/>
        <v>0</v>
      </c>
    </row>
    <row r="838" spans="8:70" ht="13.5" customHeight="1" x14ac:dyDescent="0.25">
      <c r="BR838" s="523">
        <f t="shared" si="1337"/>
        <v>0</v>
      </c>
    </row>
    <row r="839" spans="8:70" ht="13.5" customHeight="1" x14ac:dyDescent="0.25">
      <c r="BR839" s="523">
        <f t="shared" si="1337"/>
        <v>0</v>
      </c>
    </row>
    <row r="840" spans="8:70" ht="13.5" customHeight="1" x14ac:dyDescent="0.25">
      <c r="BR840" s="523">
        <f t="shared" si="1337"/>
        <v>0</v>
      </c>
    </row>
    <row r="841" spans="8:70" ht="13.5" customHeight="1" x14ac:dyDescent="0.25">
      <c r="BR841" s="523">
        <f t="shared" si="1337"/>
        <v>0</v>
      </c>
    </row>
    <row r="844" spans="8:70" ht="13.5" customHeight="1" x14ac:dyDescent="0.25">
      <c r="H844" s="351" t="s">
        <v>868</v>
      </c>
      <c r="I844" s="352">
        <f>SUMIF($E$18:$E$255,"EBH",I18:$I$255)</f>
        <v>1480</v>
      </c>
    </row>
  </sheetData>
  <autoFilter ref="A18:CI841" xr:uid="{00000000-0001-0000-0000-000000000000}"/>
  <mergeCells count="53">
    <mergeCell ref="B221:B225"/>
    <mergeCell ref="B296:B301"/>
    <mergeCell ref="B302:B304"/>
    <mergeCell ref="B309:B312"/>
    <mergeCell ref="B314:B318"/>
    <mergeCell ref="B244:B246"/>
    <mergeCell ref="B248:B253"/>
    <mergeCell ref="B254:B256"/>
    <mergeCell ref="B167:B169"/>
    <mergeCell ref="B170:B176"/>
    <mergeCell ref="B177:B180"/>
    <mergeCell ref="B186:B188"/>
    <mergeCell ref="B216:B219"/>
    <mergeCell ref="CC13:CF13"/>
    <mergeCell ref="M10:O10"/>
    <mergeCell ref="P10:R10"/>
    <mergeCell ref="S10:U10"/>
    <mergeCell ref="AZ10:BB10"/>
    <mergeCell ref="Y10:AA10"/>
    <mergeCell ref="AB10:AD10"/>
    <mergeCell ref="AE10:AG10"/>
    <mergeCell ref="AK10:AM10"/>
    <mergeCell ref="AW10:AY10"/>
    <mergeCell ref="B9:B11"/>
    <mergeCell ref="C9:C11"/>
    <mergeCell ref="D9:D11"/>
    <mergeCell ref="G9:G11"/>
    <mergeCell ref="H9:H11"/>
    <mergeCell ref="BK5:BZ5"/>
    <mergeCell ref="C5:BI5"/>
    <mergeCell ref="I9:L9"/>
    <mergeCell ref="L10:L11"/>
    <mergeCell ref="BI9:BI11"/>
    <mergeCell ref="I10:I11"/>
    <mergeCell ref="J10:J11"/>
    <mergeCell ref="K10:K11"/>
    <mergeCell ref="BC10:BE10"/>
    <mergeCell ref="BK9:BZ9"/>
    <mergeCell ref="M9:BH9"/>
    <mergeCell ref="AN10:AP10"/>
    <mergeCell ref="AQ10:AS10"/>
    <mergeCell ref="C7:BI7"/>
    <mergeCell ref="D423:H423"/>
    <mergeCell ref="D415:H415"/>
    <mergeCell ref="D416:H416"/>
    <mergeCell ref="D417:H417"/>
    <mergeCell ref="D418:H418"/>
    <mergeCell ref="D419:H419"/>
    <mergeCell ref="J417:J418"/>
    <mergeCell ref="L417:BI417"/>
    <mergeCell ref="D420:H420"/>
    <mergeCell ref="D421:H421"/>
    <mergeCell ref="D422:H422"/>
  </mergeCells>
  <phoneticPr fontId="85" type="noConversion"/>
  <conditionalFormatting sqref="M46">
    <cfRule type="cellIs" dxfId="73" priority="193" operator="greaterThan">
      <formula>0</formula>
    </cfRule>
  </conditionalFormatting>
  <conditionalFormatting sqref="M187:U187">
    <cfRule type="cellIs" dxfId="72" priority="243" operator="greaterThan">
      <formula>0</formula>
    </cfRule>
  </conditionalFormatting>
  <conditionalFormatting sqref="O46">
    <cfRule type="cellIs" dxfId="71" priority="192" operator="greaterThan">
      <formula>0</formula>
    </cfRule>
  </conditionalFormatting>
  <conditionalFormatting sqref="V167:X170">
    <cfRule type="cellIs" dxfId="70" priority="150" operator="greaterThan">
      <formula>0</formula>
    </cfRule>
  </conditionalFormatting>
  <conditionalFormatting sqref="V177:X184">
    <cfRule type="cellIs" dxfId="69" priority="113" operator="greaterThan">
      <formula>0</formula>
    </cfRule>
  </conditionalFormatting>
  <conditionalFormatting sqref="V392:AG395 AK392:AS395 AW392:BE395">
    <cfRule type="cellIs" dxfId="68" priority="13" operator="greaterThan">
      <formula>0</formula>
    </cfRule>
  </conditionalFormatting>
  <conditionalFormatting sqref="V398:AG411 AK398:BH411">
    <cfRule type="cellIs" dxfId="67" priority="217" operator="greaterThan">
      <formula>0</formula>
    </cfRule>
  </conditionalFormatting>
  <conditionalFormatting sqref="V171:AS176">
    <cfRule type="cellIs" dxfId="66" priority="148" operator="greaterThan">
      <formula>0</formula>
    </cfRule>
  </conditionalFormatting>
  <conditionalFormatting sqref="V381:BE386">
    <cfRule type="cellIs" dxfId="65" priority="8" operator="greaterThan">
      <formula>0</formula>
    </cfRule>
  </conditionalFormatting>
  <conditionalFormatting sqref="V388:BE390">
    <cfRule type="cellIs" dxfId="64" priority="16" operator="greaterThan">
      <formula>0</formula>
    </cfRule>
  </conditionalFormatting>
  <conditionalFormatting sqref="V19:BH21 V22:X22 AA22:BH22 V23:BH25">
    <cfRule type="cellIs" dxfId="63" priority="242" operator="greaterThan">
      <formula>0</formula>
    </cfRule>
  </conditionalFormatting>
  <conditionalFormatting sqref="V27:BH29">
    <cfRule type="cellIs" dxfId="62" priority="4" operator="greaterThan">
      <formula>0</formula>
    </cfRule>
  </conditionalFormatting>
  <conditionalFormatting sqref="V32:BH38 AJ40">
    <cfRule type="cellIs" dxfId="61" priority="241" operator="greaterThan">
      <formula>0</formula>
    </cfRule>
  </conditionalFormatting>
  <conditionalFormatting sqref="V40:BH43">
    <cfRule type="cellIs" dxfId="60" priority="7" operator="greaterThan">
      <formula>0</formula>
    </cfRule>
  </conditionalFormatting>
  <conditionalFormatting sqref="V46:BH46 V47:AS50 AW47:BH50">
    <cfRule type="cellIs" dxfId="59" priority="228" operator="greaterThan">
      <formula>0</formula>
    </cfRule>
  </conditionalFormatting>
  <conditionalFormatting sqref="V57:BH60">
    <cfRule type="cellIs" dxfId="58" priority="202" operator="greaterThan">
      <formula>0</formula>
    </cfRule>
  </conditionalFormatting>
  <conditionalFormatting sqref="V73:BH75">
    <cfRule type="cellIs" dxfId="57" priority="205" operator="greaterThan">
      <formula>0</formula>
    </cfRule>
  </conditionalFormatting>
  <conditionalFormatting sqref="V78:BH85">
    <cfRule type="cellIs" dxfId="56" priority="239" operator="greaterThan">
      <formula>0</formula>
    </cfRule>
  </conditionalFormatting>
  <conditionalFormatting sqref="V87:BH90">
    <cfRule type="cellIs" dxfId="55" priority="10" operator="greaterThan">
      <formula>0</formula>
    </cfRule>
  </conditionalFormatting>
  <conditionalFormatting sqref="V93:BH101">
    <cfRule type="cellIs" dxfId="54" priority="237" operator="greaterThan">
      <formula>0</formula>
    </cfRule>
    <cfRule type="cellIs" dxfId="53" priority="238" operator="greaterThan">
      <formula>0</formula>
    </cfRule>
  </conditionalFormatting>
  <conditionalFormatting sqref="V103:BH105">
    <cfRule type="cellIs" dxfId="52" priority="203" operator="greaterThan">
      <formula>0</formula>
    </cfRule>
  </conditionalFormatting>
  <conditionalFormatting sqref="V108:BH111 AJ114:AJ115">
    <cfRule type="cellIs" dxfId="51" priority="224" operator="greaterThan">
      <formula>0</formula>
    </cfRule>
  </conditionalFormatting>
  <conditionalFormatting sqref="V113:BH114">
    <cfRule type="cellIs" dxfId="50" priority="204" operator="greaterThan">
      <formula>0</formula>
    </cfRule>
  </conditionalFormatting>
  <conditionalFormatting sqref="V118:BH122">
    <cfRule type="cellIs" dxfId="49" priority="223" operator="greaterThan">
      <formula>0</formula>
    </cfRule>
  </conditionalFormatting>
  <conditionalFormatting sqref="V124:BH125">
    <cfRule type="cellIs" dxfId="48" priority="201" operator="greaterThan">
      <formula>0</formula>
    </cfRule>
  </conditionalFormatting>
  <conditionalFormatting sqref="V136:BH137">
    <cfRule type="cellIs" dxfId="47" priority="169" operator="greaterThan">
      <formula>0</formula>
    </cfRule>
  </conditionalFormatting>
  <conditionalFormatting sqref="V140:BH144">
    <cfRule type="cellIs" dxfId="46" priority="3" operator="greaterThan">
      <formula>0</formula>
    </cfRule>
  </conditionalFormatting>
  <conditionalFormatting sqref="V146:BH147">
    <cfRule type="cellIs" dxfId="45" priority="200" operator="greaterThan">
      <formula>0</formula>
    </cfRule>
  </conditionalFormatting>
  <conditionalFormatting sqref="V150:BH160">
    <cfRule type="cellIs" dxfId="44" priority="249" operator="greaterThan">
      <formula>0</formula>
    </cfRule>
  </conditionalFormatting>
  <conditionalFormatting sqref="V162:BH164">
    <cfRule type="cellIs" dxfId="43" priority="206" operator="greaterThan">
      <formula>0</formula>
    </cfRule>
  </conditionalFormatting>
  <conditionalFormatting sqref="V186:BH189">
    <cfRule type="cellIs" dxfId="42" priority="110" operator="greaterThan">
      <formula>0</formula>
    </cfRule>
  </conditionalFormatting>
  <conditionalFormatting sqref="V192:BH206">
    <cfRule type="cellIs" dxfId="41" priority="21" operator="greaterThan">
      <formula>0</formula>
    </cfRule>
  </conditionalFormatting>
  <conditionalFormatting sqref="V208:BH213">
    <cfRule type="cellIs" dxfId="40" priority="209" operator="greaterThan">
      <formula>0</formula>
    </cfRule>
  </conditionalFormatting>
  <conditionalFormatting sqref="V237:BH241">
    <cfRule type="cellIs" dxfId="39" priority="9" operator="greaterThan">
      <formula>0</formula>
    </cfRule>
  </conditionalFormatting>
  <conditionalFormatting sqref="V244:BH260">
    <cfRule type="cellIs" dxfId="38" priority="6" operator="greaterThan">
      <formula>0</formula>
    </cfRule>
  </conditionalFormatting>
  <conditionalFormatting sqref="V262:BH265">
    <cfRule type="cellIs" dxfId="37" priority="213" operator="greaterThan">
      <formula>0</formula>
    </cfRule>
  </conditionalFormatting>
  <conditionalFormatting sqref="V268:BH291">
    <cfRule type="cellIs" dxfId="36" priority="253" operator="greaterThan">
      <formula>0</formula>
    </cfRule>
  </conditionalFormatting>
  <conditionalFormatting sqref="V295:BH302 AH299:AJ303 V303:X303 AS303:AV304">
    <cfRule type="cellIs" dxfId="35" priority="256" operator="greaterThan">
      <formula>0</formula>
    </cfRule>
  </conditionalFormatting>
  <conditionalFormatting sqref="V314:BH315 V316:BE317">
    <cfRule type="cellIs" dxfId="34" priority="254" operator="greaterThan">
      <formula>0</formula>
    </cfRule>
  </conditionalFormatting>
  <conditionalFormatting sqref="V321:BH368">
    <cfRule type="cellIs" dxfId="33" priority="252" operator="greaterThan">
      <formula>0</formula>
    </cfRule>
  </conditionalFormatting>
  <conditionalFormatting sqref="V370:BH378">
    <cfRule type="cellIs" dxfId="32" priority="208" operator="greaterThan">
      <formula>0</formula>
    </cfRule>
  </conditionalFormatting>
  <conditionalFormatting sqref="V128:BI134">
    <cfRule type="cellIs" dxfId="31" priority="138" operator="greaterThan">
      <formula>0</formula>
    </cfRule>
  </conditionalFormatting>
  <conditionalFormatting sqref="V216:BI235">
    <cfRule type="cellIs" dxfId="30" priority="78" operator="greaterThan">
      <formula>0</formula>
    </cfRule>
  </conditionalFormatting>
  <conditionalFormatting sqref="V296:BI312">
    <cfRule type="cellIs" dxfId="29" priority="255" operator="greaterThan">
      <formula>0</formula>
    </cfRule>
  </conditionalFormatting>
  <conditionalFormatting sqref="X46:X48">
    <cfRule type="cellIs" dxfId="28" priority="231" operator="greaterThan">
      <formula>0</formula>
    </cfRule>
  </conditionalFormatting>
  <conditionalFormatting sqref="Y167:AJ168">
    <cfRule type="cellIs" dxfId="27" priority="160" operator="greaterThan">
      <formula>0</formula>
    </cfRule>
  </conditionalFormatting>
  <conditionalFormatting sqref="Y177:AS180">
    <cfRule type="cellIs" dxfId="26" priority="125" operator="greaterThan">
      <formula>0</formula>
    </cfRule>
  </conditionalFormatting>
  <conditionalFormatting sqref="Y66:BH68 V69:BH71">
    <cfRule type="cellIs" dxfId="25" priority="240" operator="greaterThan">
      <formula>0</formula>
    </cfRule>
  </conditionalFormatting>
  <conditionalFormatting sqref="AH52:AJ55">
    <cfRule type="cellIs" dxfId="24" priority="194" operator="greaterThan">
      <formula>0</formula>
    </cfRule>
  </conditionalFormatting>
  <conditionalFormatting sqref="AH305:AJ306">
    <cfRule type="cellIs" dxfId="23" priority="42" operator="greaterThan">
      <formula>0</formula>
    </cfRule>
  </conditionalFormatting>
  <conditionalFormatting sqref="AJ46:AJ49">
    <cfRule type="cellIs" dxfId="22" priority="230" operator="greaterThan">
      <formula>0</formula>
    </cfRule>
  </conditionalFormatting>
  <conditionalFormatting sqref="AK295:AM295">
    <cfRule type="cellIs" dxfId="21" priority="44" operator="greaterThan">
      <formula>0</formula>
    </cfRule>
  </conditionalFormatting>
  <conditionalFormatting sqref="AK167:BE167 AK168:AS168 AW168:BE177 Y169:AS170 AW178:BH178 AW179:BE180 Y181:BE184">
    <cfRule type="cellIs" dxfId="20" priority="248" operator="greaterThan">
      <formula>0</formula>
    </cfRule>
  </conditionalFormatting>
  <conditionalFormatting sqref="AT168:AV180">
    <cfRule type="cellIs" dxfId="19" priority="112" operator="greaterThan">
      <formula>0</formula>
    </cfRule>
  </conditionalFormatting>
  <conditionalFormatting sqref="AT305:AV306">
    <cfRule type="cellIs" dxfId="18" priority="1" operator="greaterThan">
      <formula>0</formula>
    </cfRule>
  </conditionalFormatting>
  <conditionalFormatting sqref="AV41">
    <cfRule type="cellIs" dxfId="17" priority="232" operator="greaterThan">
      <formula>0</formula>
    </cfRule>
  </conditionalFormatting>
  <conditionalFormatting sqref="AV381:AV384">
    <cfRule type="cellIs" dxfId="16" priority="233" operator="greaterThan">
      <formula>0</formula>
    </cfRule>
  </conditionalFormatting>
  <conditionalFormatting sqref="AV388">
    <cfRule type="cellIs" dxfId="15" priority="17" operator="greaterThan">
      <formula>0</formula>
    </cfRule>
  </conditionalFormatting>
  <conditionalFormatting sqref="BF55:BH55">
    <cfRule type="cellIs" dxfId="14" priority="5" operator="greaterThan">
      <formula>0</formula>
    </cfRule>
  </conditionalFormatting>
  <conditionalFormatting sqref="BF167:BH177">
    <cfRule type="cellIs" dxfId="13" priority="139" operator="greaterThan">
      <formula>0</formula>
    </cfRule>
  </conditionalFormatting>
  <conditionalFormatting sqref="BF179:BH184">
    <cfRule type="cellIs" dxfId="12" priority="122" operator="greaterThan">
      <formula>0</formula>
    </cfRule>
  </conditionalFormatting>
  <conditionalFormatting sqref="BF381:BH384">
    <cfRule type="cellIs" dxfId="11" priority="18" operator="greaterThan">
      <formula>0</formula>
    </cfRule>
  </conditionalFormatting>
  <conditionalFormatting sqref="BF388:BH396">
    <cfRule type="cellIs" dxfId="10" priority="15" operator="greaterThan">
      <formula>0</formula>
    </cfRule>
  </conditionalFormatting>
  <conditionalFormatting sqref="BH48">
    <cfRule type="cellIs" dxfId="9" priority="214" operator="greaterThan">
      <formula>0</formula>
    </cfRule>
  </conditionalFormatting>
  <pageMargins left="0.55118110236220474" right="0.15748031496062992" top="0.43307086614173229" bottom="0.39370078740157483" header="0.31496062992125984" footer="0.31496062992125984"/>
  <pageSetup paperSize="8" scale="85" orientation="landscape" blackAndWhite="1" r:id="rId1"/>
  <ignoredErrors>
    <ignoredError sqref="L127 I161:L161 I207:L207 I287:L287 I236:L236 I145:L145 I135:L135 I123:L123 I261:L261 I313:L313 I369:L369 L139 I102:L102 I26:L26 I112:L112 I185:L185 Y26:BI26 V266:BH266 V214:BH214 V190:BH190 U145:AZ145 V116:BH116 O135:BH135 O145 O161:BH161 O185:BH185 O102:BH102 O112:BH112 O287:BH287 R145 O261:BH261 O313:BH313 BI397 K319 K266 K214 O369:BH369 O123:BH123 AV81 BH69 X95 X83 X120:AJ120 AJ155 X304 X297 AJ271 CC307 CB293:CD293 CC277 CC227 CB201:CC201 CB197 CC197 CC25 O236:U236 AA236:AG236 AM236:AS236 AY236:BE236 O56:U56 O26:U26 AA56:BH56 Z119:AA119 AG119 AM120 AP120 AR120:AS120 AM270 AO270:AP270 AR270:AS270 AM272 AP272 AS272 AM297 AP297:AS297 AM315 AP315 AS315 AY95 BB95 BD95:BE95 AY271:BE271 AY308 BB308 CC97 CC82 CB225 BK295:BZ295 L17 BN154:BZ155 AC119:AD119 AM119 BD308:BE308 AY272 BA272:BB272 CB199:CC199 S207:BH207 BP153:BQ153 BS153:BZ153 BD272:BE272 BB145:BH145 AM271:AV271 AP119 AR119:AV119" formula="1"/>
    <ignoredError sqref="I30:L30 I31:L31 I61:L61 I62:K62 M72:N72 I76:L76 I77:K77 M86:N86 I13:L13 I91:U91 BX77 BM14:BY15 BX13 BX16 BX62 BX18 I15:L16 J14:L14 CG321:CH323 CG329:CH336 CG337:CH345 CG346:CH354 CG355:CH359 CG371:CH373" evalError="1"/>
    <ignoredError sqref="Y30:BH30 AW39:BH39 L44 L56 L62 I72:L72 V72:BH72 L77 I86:L86 AI86:BH86 V91:BH91 I39:L39 M39:U39 V39:AV39 O72:U72 O86:U86 V86:AH86 CG324:CH328" evalError="1" formula="1"/>
  </ignoredErrors>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A8C13-0B7E-4C38-BF30-4E2A82A3D164}">
  <sheetPr codeName="Sheet6">
    <tabColor rgb="FFFFC000"/>
  </sheetPr>
  <dimension ref="A1:AS240"/>
  <sheetViews>
    <sheetView tabSelected="1" view="pageBreakPreview" zoomScale="85" zoomScaleNormal="85" zoomScaleSheetLayoutView="85" workbookViewId="0">
      <pane ySplit="19" topLeftCell="A20" activePane="bottomLeft" state="frozen"/>
      <selection activeCell="C279" sqref="C279"/>
      <selection pane="bottomLeft" activeCell="AS20" sqref="AS20"/>
    </sheetView>
  </sheetViews>
  <sheetFormatPr defaultColWidth="10.28515625" defaultRowHeight="15.75" outlineLevelCol="2" x14ac:dyDescent="0.25"/>
  <cols>
    <col min="1" max="1" width="2" style="1" customWidth="1"/>
    <col min="2" max="2" width="4.85546875" style="3" customWidth="1"/>
    <col min="3" max="3" width="23.28515625" style="1" customWidth="1"/>
    <col min="4" max="4" width="8" style="1" hidden="1" customWidth="1" outlineLevel="1"/>
    <col min="5" max="5" width="5.85546875" style="1" hidden="1" customWidth="1" outlineLevel="1"/>
    <col min="6" max="6" width="8.7109375" style="3" hidden="1" customWidth="1" outlineLevel="1"/>
    <col min="7" max="9" width="6" style="3" hidden="1" customWidth="1" outlineLevel="1"/>
    <col min="10" max="10" width="9.28515625" style="3" hidden="1" customWidth="1" outlineLevel="1"/>
    <col min="11" max="11" width="6.42578125" style="3" customWidth="1" collapsed="1"/>
    <col min="12" max="12" width="9.28515625" style="3" hidden="1" customWidth="1" outlineLevel="1"/>
    <col min="13" max="19" width="5.5703125" style="3" hidden="1" customWidth="1" outlineLevel="1"/>
    <col min="20" max="20" width="9.28515625" style="3" hidden="1" customWidth="1" outlineLevel="1"/>
    <col min="21" max="21" width="7.5703125" style="3" hidden="1" customWidth="1" outlineLevel="1"/>
    <col min="22" max="22" width="11.42578125" style="3" customWidth="1" collapsed="1"/>
    <col min="23" max="23" width="10.28515625" style="3" customWidth="1"/>
    <col min="24" max="25" width="8.5703125" style="3" customWidth="1" outlineLevel="2"/>
    <col min="26" max="26" width="9" style="1" customWidth="1" outlineLevel="2"/>
    <col min="27" max="27" width="8.5703125" style="1" customWidth="1"/>
    <col min="28" max="28" width="9.140625" style="1" customWidth="1" outlineLevel="1"/>
    <col min="29" max="29" width="8.28515625" style="1" customWidth="1" outlineLevel="1"/>
    <col min="30" max="30" width="8.140625" style="1" customWidth="1" outlineLevel="1"/>
    <col min="31" max="31" width="8.5703125" style="1" customWidth="1"/>
    <col min="32" max="32" width="8.140625" style="1" customWidth="1" outlineLevel="1"/>
    <col min="33" max="33" width="8.7109375" style="1" customWidth="1" outlineLevel="1"/>
    <col min="34" max="34" width="8.140625" style="1" customWidth="1" outlineLevel="1"/>
    <col min="35" max="35" width="9.5703125" style="1" customWidth="1"/>
    <col min="36" max="37" width="8.5703125" style="1" customWidth="1" outlineLevel="1"/>
    <col min="38" max="38" width="8.28515625" style="1" customWidth="1" outlineLevel="1"/>
    <col min="39" max="39" width="9.140625" style="1" customWidth="1"/>
    <col min="40" max="40" width="10.42578125" style="1" customWidth="1"/>
    <col min="41" max="41" width="15.140625" style="1" customWidth="1"/>
    <col min="42" max="16384" width="10.28515625" style="1"/>
  </cols>
  <sheetData>
    <row r="1" spans="2:45" ht="16.5" hidden="1" x14ac:dyDescent="0.25">
      <c r="C1" s="1" t="s">
        <v>180</v>
      </c>
      <c r="AC1" s="940" t="s">
        <v>181</v>
      </c>
      <c r="AD1" s="940"/>
      <c r="AE1" s="940"/>
      <c r="AF1" s="940"/>
      <c r="AG1" s="940"/>
      <c r="AH1" s="940"/>
      <c r="AI1" s="940"/>
      <c r="AJ1" s="940"/>
      <c r="AK1" s="940"/>
      <c r="AL1" s="940"/>
      <c r="AM1" s="940"/>
      <c r="AO1" s="1" t="s">
        <v>589</v>
      </c>
      <c r="AP1" s="1" t="s">
        <v>3</v>
      </c>
      <c r="AQ1" s="360">
        <f>V22</f>
        <v>179000</v>
      </c>
    </row>
    <row r="2" spans="2:45" ht="18.75" hidden="1" x14ac:dyDescent="0.3">
      <c r="B2" s="3" t="s">
        <v>182</v>
      </c>
      <c r="C2" s="5" t="s">
        <v>183</v>
      </c>
      <c r="D2" s="5"/>
      <c r="E2" s="5"/>
      <c r="X2" s="3">
        <f>(AA19+AE19)/2500000</f>
        <v>0.51959999999999995</v>
      </c>
      <c r="Z2" s="361"/>
      <c r="AA2" s="362">
        <f>AA19+AE19+AI19+AM19</f>
        <v>2500000</v>
      </c>
      <c r="AC2" s="941" t="s">
        <v>184</v>
      </c>
      <c r="AD2" s="941"/>
      <c r="AE2" s="941"/>
      <c r="AF2" s="941"/>
      <c r="AG2" s="941"/>
      <c r="AH2" s="941"/>
      <c r="AI2" s="941"/>
      <c r="AJ2" s="941"/>
      <c r="AK2" s="941"/>
      <c r="AL2" s="941"/>
      <c r="AM2" s="941"/>
      <c r="AO2" s="1" t="s">
        <v>590</v>
      </c>
      <c r="AP2" s="1" t="s">
        <v>2</v>
      </c>
      <c r="AQ2" s="360">
        <f>V36</f>
        <v>162300</v>
      </c>
    </row>
    <row r="3" spans="2:45" ht="18.75" hidden="1" x14ac:dyDescent="0.3">
      <c r="C3" s="4"/>
      <c r="D3" s="4"/>
      <c r="E3" s="4"/>
      <c r="V3" s="3">
        <v>85</v>
      </c>
      <c r="X3" s="363">
        <v>22000</v>
      </c>
      <c r="Y3" s="363">
        <f>30/0.8</f>
        <v>37.5</v>
      </c>
      <c r="Z3" s="363">
        <f>Y3/2</f>
        <v>18.75</v>
      </c>
      <c r="AC3" s="942" t="s">
        <v>599</v>
      </c>
      <c r="AD3" s="942"/>
      <c r="AE3" s="942"/>
      <c r="AF3" s="942"/>
      <c r="AG3" s="942"/>
      <c r="AH3" s="942"/>
      <c r="AI3" s="942"/>
      <c r="AJ3" s="942"/>
      <c r="AK3" s="942"/>
      <c r="AL3" s="942"/>
      <c r="AM3" s="942"/>
      <c r="AN3" s="361"/>
      <c r="AP3" s="1" t="s">
        <v>1</v>
      </c>
      <c r="AQ3" s="365">
        <v>120000</v>
      </c>
    </row>
    <row r="4" spans="2:45" ht="18.75" hidden="1" x14ac:dyDescent="0.3">
      <c r="C4" s="4"/>
      <c r="D4" s="4" t="s">
        <v>189</v>
      </c>
      <c r="E4" s="4"/>
      <c r="F4" s="3">
        <f>115*4*2.5*0.63*1.63*0.95</f>
        <v>1121.88825</v>
      </c>
      <c r="G4" s="3">
        <f>F4*3</f>
        <v>3365.6647499999999</v>
      </c>
      <c r="V4" s="3">
        <f>X4*V3/22000</f>
        <v>27.045454545454547</v>
      </c>
      <c r="X4" s="363">
        <v>7000</v>
      </c>
      <c r="Y4" s="363">
        <f>(210*2.2*0.8*1.61*0.95)+(0*2.07*0.8*1.61*0.7)</f>
        <v>565.30320000000017</v>
      </c>
      <c r="Z4" s="363">
        <v>700</v>
      </c>
      <c r="AA4" s="1">
        <v>650</v>
      </c>
      <c r="AC4" s="364"/>
      <c r="AD4" s="364"/>
      <c r="AE4" s="364"/>
      <c r="AF4" s="364"/>
      <c r="AG4" s="364"/>
      <c r="AH4" s="364"/>
      <c r="AI4" s="364"/>
      <c r="AJ4" s="364"/>
      <c r="AK4" s="364"/>
      <c r="AL4" s="364"/>
      <c r="AM4" s="364"/>
      <c r="AN4" s="361"/>
      <c r="AQ4" s="365"/>
    </row>
    <row r="5" spans="2:45" ht="18.75" hidden="1" x14ac:dyDescent="0.3">
      <c r="C5" s="4"/>
      <c r="D5" s="4" t="s">
        <v>27</v>
      </c>
      <c r="E5" s="4"/>
      <c r="F5" s="3">
        <f>115*4*3.22*0.63*1.63*0.95</f>
        <v>1444.992066</v>
      </c>
      <c r="G5" s="3">
        <f>115*4*3.6*0.63*1.63*0.95</f>
        <v>1615.5190799999998</v>
      </c>
      <c r="X5" s="363"/>
      <c r="Y5" s="363"/>
      <c r="Z5" s="363"/>
      <c r="AC5" s="364"/>
      <c r="AD5" s="364"/>
      <c r="AE5" s="364"/>
      <c r="AF5" s="364"/>
      <c r="AG5" s="364"/>
      <c r="AH5" s="364"/>
      <c r="AI5" s="364"/>
      <c r="AJ5" s="364"/>
      <c r="AK5" s="364"/>
      <c r="AL5" s="364"/>
      <c r="AM5" s="364"/>
      <c r="AN5" s="361"/>
      <c r="AQ5" s="365"/>
    </row>
    <row r="6" spans="2:45" ht="18" hidden="1" customHeight="1" x14ac:dyDescent="0.25">
      <c r="C6" s="332"/>
      <c r="D6" s="4" t="s">
        <v>27</v>
      </c>
      <c r="E6" s="4"/>
      <c r="F6" s="3">
        <f>115*4*3.08*0.63*1.63*0.95</f>
        <v>1382.1663239999998</v>
      </c>
      <c r="G6" s="3">
        <f>115*5*3.6*0.63*1.63*0.95</f>
        <v>2019.3988499999994</v>
      </c>
      <c r="J6" s="193"/>
      <c r="K6" s="366"/>
      <c r="L6" s="366"/>
      <c r="M6" s="366"/>
      <c r="N6" s="366"/>
      <c r="O6" s="366"/>
      <c r="P6" s="366"/>
      <c r="Q6" s="366"/>
      <c r="R6" s="366"/>
      <c r="S6" s="366"/>
      <c r="T6" s="366"/>
      <c r="U6" s="366"/>
      <c r="V6" s="3">
        <f>V4/0.8</f>
        <v>33.80681818181818</v>
      </c>
      <c r="W6" s="366"/>
      <c r="X6" s="367">
        <f>V6/3</f>
        <v>11.268939393939393</v>
      </c>
      <c r="Y6" s="367">
        <f>(Y4-250)*7</f>
        <v>2207.1224000000011</v>
      </c>
      <c r="Z6" s="330">
        <f>($Y$4-150)*Y17</f>
        <v>6644.8512000000028</v>
      </c>
      <c r="AA6" s="330">
        <f>($Y$4-200)*Z17</f>
        <v>9863.1864000000041</v>
      </c>
      <c r="AB6" s="330">
        <f>$Y$4*AA17</f>
        <v>38440.617600000012</v>
      </c>
      <c r="AC6" s="330">
        <f>$AA$4*AB17</f>
        <v>15600</v>
      </c>
      <c r="AD6" s="330">
        <f>($Z$4-100)*AC17</f>
        <v>15000</v>
      </c>
      <c r="AE6" s="368">
        <f>($AA$4-50)*AD17</f>
        <v>15600</v>
      </c>
      <c r="AF6" s="368">
        <f>($AA$4-50)*AF17</f>
        <v>16200</v>
      </c>
      <c r="AG6" s="368">
        <f>($AA$4-50)*AG17</f>
        <v>15600</v>
      </c>
      <c r="AH6" s="368">
        <f>($AA$4-50)*AH17</f>
        <v>15000</v>
      </c>
      <c r="AI6" s="368">
        <f>($Z$4115)*AH17</f>
        <v>0</v>
      </c>
      <c r="AJ6" s="368">
        <f>($AA$4-50)*AJ17</f>
        <v>15600</v>
      </c>
      <c r="AK6" s="368">
        <f>($AA$4-20)*AK17</f>
        <v>15120</v>
      </c>
      <c r="AL6" s="368">
        <f>($AA$4-20)*AL17</f>
        <v>13860</v>
      </c>
      <c r="AM6" s="368"/>
      <c r="AN6" s="369"/>
      <c r="AO6" s="369"/>
      <c r="AP6" s="1" t="s">
        <v>12</v>
      </c>
      <c r="AQ6" s="360">
        <f>V74</f>
        <v>128000</v>
      </c>
    </row>
    <row r="7" spans="2:45" ht="18" hidden="1" customHeight="1" x14ac:dyDescent="0.25">
      <c r="C7" s="332"/>
      <c r="D7" s="4" t="s">
        <v>611</v>
      </c>
      <c r="E7" s="4"/>
      <c r="F7" s="3">
        <f>105*2.2*0.8*1.63*0.95+105*0.98*0.8*1.63*0.7</f>
        <v>380.08992000000001</v>
      </c>
      <c r="J7" s="193"/>
      <c r="K7" s="366"/>
      <c r="L7" s="366"/>
      <c r="M7" s="366"/>
      <c r="N7" s="366"/>
      <c r="O7" s="366"/>
      <c r="P7" s="366"/>
      <c r="Q7" s="366"/>
      <c r="R7" s="366"/>
      <c r="S7" s="366"/>
      <c r="T7" s="366"/>
      <c r="U7" s="366"/>
      <c r="W7" s="366"/>
      <c r="X7" s="367"/>
      <c r="Y7" s="367"/>
      <c r="Z7" s="330"/>
      <c r="AA7" s="330"/>
      <c r="AB7" s="330"/>
      <c r="AC7" s="330"/>
      <c r="AD7" s="330"/>
      <c r="AE7" s="368"/>
      <c r="AF7" s="368"/>
      <c r="AG7" s="368"/>
      <c r="AH7" s="368"/>
      <c r="AI7" s="368"/>
      <c r="AJ7" s="368"/>
      <c r="AK7" s="368"/>
      <c r="AL7" s="368"/>
      <c r="AM7" s="368"/>
      <c r="AN7" s="369"/>
      <c r="AO7" s="369"/>
      <c r="AQ7" s="360"/>
    </row>
    <row r="8" spans="2:45" ht="18" hidden="1" customHeight="1" x14ac:dyDescent="0.25">
      <c r="C8" s="332"/>
      <c r="D8" s="4"/>
      <c r="E8" s="4"/>
      <c r="F8" s="3">
        <f>180*2.2*0.8*0.95*1.63</f>
        <v>490.56480000000005</v>
      </c>
      <c r="J8" s="193"/>
      <c r="K8" s="366"/>
      <c r="L8" s="366"/>
      <c r="M8" s="366"/>
      <c r="N8" s="366"/>
      <c r="O8" s="366"/>
      <c r="P8" s="366"/>
      <c r="Q8" s="366"/>
      <c r="R8" s="366"/>
      <c r="S8" s="366"/>
      <c r="T8" s="366"/>
      <c r="U8" s="366"/>
      <c r="W8" s="366"/>
      <c r="X8" s="367"/>
      <c r="Y8" s="367"/>
      <c r="Z8" s="330"/>
      <c r="AA8" s="330"/>
      <c r="AB8" s="330"/>
      <c r="AC8" s="330"/>
      <c r="AD8" s="330"/>
      <c r="AE8" s="368"/>
      <c r="AF8" s="368"/>
      <c r="AG8" s="368"/>
      <c r="AH8" s="368"/>
      <c r="AI8" s="368"/>
      <c r="AJ8" s="368"/>
      <c r="AK8" s="368"/>
      <c r="AL8" s="368"/>
      <c r="AM8" s="368"/>
      <c r="AN8" s="369"/>
      <c r="AO8" s="369"/>
      <c r="AQ8" s="360"/>
    </row>
    <row r="9" spans="2:45" ht="18" hidden="1" customHeight="1" x14ac:dyDescent="0.25">
      <c r="C9" s="332"/>
      <c r="D9" s="4" t="s">
        <v>40</v>
      </c>
      <c r="E9" s="4"/>
      <c r="F9" s="3">
        <f>30*0.8*3.84*0.9*1.63*3</f>
        <v>405.59616000000005</v>
      </c>
      <c r="G9" s="367">
        <f>360*74</f>
        <v>26640</v>
      </c>
      <c r="J9" s="193"/>
      <c r="K9" s="366"/>
      <c r="L9" s="366"/>
      <c r="M9" s="366"/>
      <c r="N9" s="366"/>
      <c r="O9" s="366"/>
      <c r="P9" s="366"/>
      <c r="Q9" s="366"/>
      <c r="R9" s="366"/>
      <c r="S9" s="366"/>
      <c r="T9" s="366"/>
      <c r="U9" s="366"/>
      <c r="W9" s="366"/>
      <c r="X9" s="367"/>
      <c r="Y9" s="367"/>
      <c r="Z9" s="330"/>
      <c r="AA9" s="330"/>
      <c r="AB9" s="330"/>
      <c r="AC9" s="330"/>
      <c r="AD9" s="330"/>
      <c r="AE9" s="368"/>
      <c r="AF9" s="368"/>
      <c r="AG9" s="368"/>
      <c r="AH9" s="368"/>
      <c r="AI9" s="368"/>
      <c r="AJ9" s="368"/>
      <c r="AK9" s="368"/>
      <c r="AL9" s="368"/>
      <c r="AM9" s="368"/>
      <c r="AN9" s="369"/>
      <c r="AO9" s="369"/>
      <c r="AQ9" s="360"/>
    </row>
    <row r="10" spans="2:45" ht="18" hidden="1" customHeight="1" x14ac:dyDescent="0.25">
      <c r="C10" s="332"/>
      <c r="D10" s="4"/>
      <c r="E10" s="4"/>
      <c r="F10" s="3">
        <f>70*2.02*0.8*1.65*0.95*3</f>
        <v>531.94679999999994</v>
      </c>
      <c r="J10" s="193"/>
      <c r="K10" s="366"/>
      <c r="L10" s="366"/>
      <c r="M10" s="366"/>
      <c r="N10" s="366"/>
      <c r="O10" s="366"/>
      <c r="P10" s="366"/>
      <c r="Q10" s="366"/>
      <c r="R10" s="366"/>
      <c r="S10" s="366"/>
      <c r="T10" s="366"/>
      <c r="U10" s="366"/>
      <c r="W10" s="366"/>
      <c r="X10" s="367"/>
      <c r="Y10" s="367"/>
      <c r="Z10" s="330"/>
      <c r="AA10" s="330"/>
      <c r="AB10" s="330"/>
      <c r="AC10" s="330"/>
      <c r="AD10" s="330"/>
      <c r="AE10" s="368"/>
      <c r="AF10" s="368"/>
      <c r="AG10" s="368"/>
      <c r="AH10" s="368"/>
      <c r="AI10" s="368"/>
      <c r="AJ10" s="368"/>
      <c r="AK10" s="368"/>
      <c r="AL10" s="368"/>
      <c r="AM10" s="368"/>
      <c r="AN10" s="369"/>
      <c r="AO10" s="369"/>
      <c r="AQ10" s="360"/>
    </row>
    <row r="11" spans="2:45" ht="18.75" customHeight="1" thickBot="1" x14ac:dyDescent="0.35">
      <c r="B11" s="941" t="s">
        <v>600</v>
      </c>
      <c r="C11" s="941"/>
      <c r="D11" s="941"/>
      <c r="E11" s="941"/>
      <c r="F11" s="941"/>
      <c r="G11" s="941"/>
      <c r="H11" s="941"/>
      <c r="I11" s="941"/>
      <c r="J11" s="941"/>
      <c r="K11" s="941"/>
      <c r="L11" s="941"/>
      <c r="M11" s="941"/>
      <c r="N11" s="941"/>
      <c r="O11" s="941"/>
      <c r="P11" s="941"/>
      <c r="Q11" s="941"/>
      <c r="R11" s="941"/>
      <c r="S11" s="941"/>
      <c r="T11" s="941"/>
      <c r="U11" s="941"/>
      <c r="V11" s="941"/>
      <c r="W11" s="941"/>
      <c r="X11" s="941"/>
      <c r="Y11" s="941"/>
      <c r="Z11" s="941"/>
      <c r="AA11" s="941"/>
      <c r="AB11" s="941"/>
      <c r="AC11" s="941"/>
      <c r="AD11" s="941"/>
      <c r="AE11" s="941"/>
      <c r="AF11" s="941"/>
      <c r="AG11" s="941"/>
      <c r="AH11" s="941"/>
      <c r="AI11" s="941"/>
      <c r="AJ11" s="941"/>
      <c r="AK11" s="941"/>
      <c r="AL11" s="941"/>
      <c r="AM11" s="941"/>
      <c r="AN11" s="941"/>
      <c r="AO11" s="1">
        <f>11233-AO15</f>
        <v>3323</v>
      </c>
      <c r="AP11" s="1" t="s">
        <v>0</v>
      </c>
      <c r="AQ11" s="360">
        <f>V87</f>
        <v>170000</v>
      </c>
      <c r="AS11" s="1">
        <f>47000/6</f>
        <v>7833.333333333333</v>
      </c>
    </row>
    <row r="12" spans="2:45" ht="16.5" hidden="1" customHeight="1" x14ac:dyDescent="0.25">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370" t="s">
        <v>527</v>
      </c>
      <c r="AH12" s="4"/>
      <c r="AI12" s="4"/>
      <c r="AJ12" s="4"/>
      <c r="AK12" s="4"/>
      <c r="AL12" s="4"/>
      <c r="AM12" s="4"/>
      <c r="AN12" s="1">
        <f>9*8+86</f>
        <v>158</v>
      </c>
      <c r="AP12" s="1" t="s">
        <v>189</v>
      </c>
      <c r="AQ12" s="360">
        <f>V99</f>
        <v>340000</v>
      </c>
    </row>
    <row r="13" spans="2:45" ht="16.5" hidden="1" customHeight="1" x14ac:dyDescent="0.25">
      <c r="B13" s="4"/>
      <c r="C13" s="4"/>
      <c r="D13" s="4"/>
      <c r="E13" s="4"/>
      <c r="F13" s="4"/>
      <c r="G13" s="4"/>
      <c r="H13" s="4"/>
      <c r="I13" s="4"/>
      <c r="J13" s="4"/>
      <c r="K13" s="4"/>
      <c r="L13" s="4"/>
      <c r="M13" s="4"/>
      <c r="N13" s="4"/>
      <c r="O13" s="4"/>
      <c r="P13" s="4"/>
      <c r="Q13" s="4"/>
      <c r="R13" s="4"/>
      <c r="S13" s="4"/>
      <c r="T13" s="4"/>
      <c r="U13" s="4"/>
      <c r="V13" s="4"/>
      <c r="W13" s="4"/>
      <c r="X13" s="371" t="s">
        <v>579</v>
      </c>
      <c r="Y13" s="371">
        <f>AA19+AE19+AI19+AM19</f>
        <v>2500000</v>
      </c>
      <c r="Z13" s="4"/>
      <c r="AA13" s="4"/>
      <c r="AB13" s="4"/>
      <c r="AC13" s="4"/>
      <c r="AD13" s="4"/>
      <c r="AE13" s="4"/>
      <c r="AF13" s="4"/>
      <c r="AG13" s="370" t="s">
        <v>528</v>
      </c>
      <c r="AH13" s="4"/>
      <c r="AI13" s="4"/>
      <c r="AJ13" s="4"/>
      <c r="AK13" s="4"/>
      <c r="AL13" s="4"/>
      <c r="AM13" s="4"/>
      <c r="AP13" s="1" t="s">
        <v>27</v>
      </c>
      <c r="AQ13" s="360">
        <f>V109</f>
        <v>430000</v>
      </c>
    </row>
    <row r="14" spans="2:45" ht="16.5" hidden="1" customHeight="1" thickBot="1" x14ac:dyDescent="0.3">
      <c r="B14" s="4"/>
      <c r="C14" s="4"/>
      <c r="D14" s="4"/>
      <c r="E14" s="4"/>
      <c r="F14" s="4"/>
      <c r="G14" s="4"/>
      <c r="H14" s="4"/>
      <c r="I14" s="4"/>
      <c r="J14" s="4"/>
      <c r="K14" s="4"/>
      <c r="L14" s="4"/>
      <c r="M14" s="4"/>
      <c r="N14" s="4"/>
      <c r="O14" s="4"/>
      <c r="P14" s="4"/>
      <c r="Q14" s="4"/>
      <c r="R14" s="4"/>
      <c r="S14" s="4"/>
      <c r="T14" s="4"/>
      <c r="U14" s="4"/>
      <c r="V14" s="4"/>
      <c r="W14" s="4"/>
      <c r="X14" s="371" t="s">
        <v>580</v>
      </c>
      <c r="Y14" s="371">
        <f>X19+Y19+Z19+AB19+AC19+AD19+AF19+AG19+AH19+AJ19+AK19+AL19</f>
        <v>2499900</v>
      </c>
      <c r="Z14" s="372">
        <f>Y13-Y14</f>
        <v>100</v>
      </c>
      <c r="AA14" s="4"/>
      <c r="AB14" s="4"/>
      <c r="AC14" s="4"/>
      <c r="AD14" s="4"/>
      <c r="AE14" s="4"/>
      <c r="AF14" s="4"/>
      <c r="AG14" s="370"/>
      <c r="AH14" s="4"/>
      <c r="AI14" s="4"/>
      <c r="AJ14" s="4"/>
      <c r="AK14" s="4"/>
      <c r="AL14" s="4"/>
      <c r="AM14" s="4"/>
      <c r="AN14" s="360">
        <f>1350000-AN19</f>
        <v>1350000</v>
      </c>
      <c r="AP14" s="1" t="s">
        <v>529</v>
      </c>
      <c r="AQ14" s="360">
        <f>V63</f>
        <v>179900</v>
      </c>
    </row>
    <row r="15" spans="2:45" ht="21" customHeight="1" thickTop="1" x14ac:dyDescent="0.25">
      <c r="B15" s="943" t="s">
        <v>109</v>
      </c>
      <c r="C15" s="945" t="s">
        <v>273</v>
      </c>
      <c r="D15" s="949" t="s">
        <v>264</v>
      </c>
      <c r="E15" s="950"/>
      <c r="F15" s="950"/>
      <c r="G15" s="950"/>
      <c r="H15" s="950"/>
      <c r="I15" s="950"/>
      <c r="J15" s="951"/>
      <c r="K15" s="957" t="s">
        <v>491</v>
      </c>
      <c r="L15" s="959" t="s">
        <v>267</v>
      </c>
      <c r="M15" s="960"/>
      <c r="N15" s="960"/>
      <c r="O15" s="960"/>
      <c r="P15" s="960"/>
      <c r="Q15" s="960"/>
      <c r="R15" s="960"/>
      <c r="S15" s="960"/>
      <c r="T15" s="960"/>
      <c r="U15" s="961"/>
      <c r="V15" s="947" t="s">
        <v>603</v>
      </c>
      <c r="W15" s="955" t="s">
        <v>484</v>
      </c>
      <c r="X15" s="954" t="s">
        <v>861</v>
      </c>
      <c r="Y15" s="954"/>
      <c r="Z15" s="954"/>
      <c r="AA15" s="954"/>
      <c r="AB15" s="954"/>
      <c r="AC15" s="954"/>
      <c r="AD15" s="954"/>
      <c r="AE15" s="954"/>
      <c r="AF15" s="954"/>
      <c r="AG15" s="954"/>
      <c r="AH15" s="954"/>
      <c r="AI15" s="954"/>
      <c r="AJ15" s="954"/>
      <c r="AK15" s="954"/>
      <c r="AL15" s="954"/>
      <c r="AM15" s="954"/>
      <c r="AN15" s="952" t="s">
        <v>101</v>
      </c>
      <c r="AO15" s="1">
        <f>7160+750</f>
        <v>7910</v>
      </c>
      <c r="AP15" s="1" t="s">
        <v>530</v>
      </c>
      <c r="AQ15" s="360">
        <f>V119</f>
        <v>173700</v>
      </c>
    </row>
    <row r="16" spans="2:45" ht="24.75" customHeight="1" x14ac:dyDescent="0.25">
      <c r="B16" s="944"/>
      <c r="C16" s="946"/>
      <c r="D16" s="373" t="s">
        <v>269</v>
      </c>
      <c r="E16" s="374" t="s">
        <v>8</v>
      </c>
      <c r="F16" s="373" t="s">
        <v>270</v>
      </c>
      <c r="G16" s="375" t="s">
        <v>271</v>
      </c>
      <c r="H16" s="375" t="s">
        <v>272</v>
      </c>
      <c r="I16" s="376" t="s">
        <v>126</v>
      </c>
      <c r="J16" s="375" t="s">
        <v>525</v>
      </c>
      <c r="K16" s="958"/>
      <c r="L16" s="377" t="s">
        <v>269</v>
      </c>
      <c r="M16" s="378" t="s">
        <v>8</v>
      </c>
      <c r="N16" s="379" t="s">
        <v>17</v>
      </c>
      <c r="O16" s="379" t="s">
        <v>19</v>
      </c>
      <c r="P16" s="379" t="s">
        <v>256</v>
      </c>
      <c r="Q16" s="379" t="s">
        <v>265</v>
      </c>
      <c r="R16" s="379" t="s">
        <v>266</v>
      </c>
      <c r="S16" s="380" t="s">
        <v>126</v>
      </c>
      <c r="T16" s="379" t="s">
        <v>526</v>
      </c>
      <c r="U16" s="379" t="s">
        <v>494</v>
      </c>
      <c r="V16" s="948"/>
      <c r="W16" s="956"/>
      <c r="X16" s="377" t="s">
        <v>139</v>
      </c>
      <c r="Y16" s="377" t="s">
        <v>140</v>
      </c>
      <c r="Z16" s="377" t="s">
        <v>136</v>
      </c>
      <c r="AA16" s="377" t="s">
        <v>258</v>
      </c>
      <c r="AB16" s="377" t="s">
        <v>137</v>
      </c>
      <c r="AC16" s="377" t="s">
        <v>138</v>
      </c>
      <c r="AD16" s="377" t="s">
        <v>146</v>
      </c>
      <c r="AE16" s="377" t="s">
        <v>259</v>
      </c>
      <c r="AF16" s="377" t="s">
        <v>147</v>
      </c>
      <c r="AG16" s="377" t="s">
        <v>148</v>
      </c>
      <c r="AH16" s="377" t="s">
        <v>149</v>
      </c>
      <c r="AI16" s="377" t="s">
        <v>260</v>
      </c>
      <c r="AJ16" s="377" t="s">
        <v>150</v>
      </c>
      <c r="AK16" s="377" t="s">
        <v>151</v>
      </c>
      <c r="AL16" s="377" t="s">
        <v>187</v>
      </c>
      <c r="AM16" s="377" t="s">
        <v>261</v>
      </c>
      <c r="AN16" s="953"/>
      <c r="AP16" s="1" t="s">
        <v>5</v>
      </c>
      <c r="AQ16" s="360">
        <f>V133</f>
        <v>178600</v>
      </c>
    </row>
    <row r="17" spans="1:45" ht="18.75" customHeight="1" x14ac:dyDescent="0.25">
      <c r="B17" s="341"/>
      <c r="C17" s="333" t="s">
        <v>485</v>
      </c>
      <c r="D17" s="373"/>
      <c r="E17" s="373"/>
      <c r="F17" s="373"/>
      <c r="G17" s="375"/>
      <c r="H17" s="375"/>
      <c r="I17" s="376"/>
      <c r="J17" s="375"/>
      <c r="K17" s="375"/>
      <c r="L17" s="377"/>
      <c r="M17" s="377"/>
      <c r="N17" s="379"/>
      <c r="O17" s="379"/>
      <c r="P17" s="379"/>
      <c r="Q17" s="379"/>
      <c r="R17" s="379"/>
      <c r="S17" s="379"/>
      <c r="T17" s="379"/>
      <c r="U17" s="375"/>
      <c r="V17" s="375"/>
      <c r="W17" s="375"/>
      <c r="X17" s="382">
        <v>25</v>
      </c>
      <c r="Y17" s="382">
        <v>16</v>
      </c>
      <c r="Z17" s="382">
        <v>27</v>
      </c>
      <c r="AA17" s="377">
        <f>X17+Y17+Z17</f>
        <v>68</v>
      </c>
      <c r="AB17" s="382">
        <v>24</v>
      </c>
      <c r="AC17" s="382">
        <v>25</v>
      </c>
      <c r="AD17" s="382">
        <v>26</v>
      </c>
      <c r="AE17" s="377">
        <f>AB17+AC17+AD17</f>
        <v>75</v>
      </c>
      <c r="AF17" s="382">
        <v>27</v>
      </c>
      <c r="AG17" s="382">
        <v>26</v>
      </c>
      <c r="AH17" s="382">
        <v>25</v>
      </c>
      <c r="AI17" s="377">
        <f>AF17+AG17+AH17</f>
        <v>78</v>
      </c>
      <c r="AJ17" s="382">
        <v>26</v>
      </c>
      <c r="AK17" s="382">
        <v>24</v>
      </c>
      <c r="AL17" s="383">
        <v>22</v>
      </c>
      <c r="AM17" s="377">
        <f>AJ17+AK17+AL17</f>
        <v>72</v>
      </c>
      <c r="AN17" s="381">
        <f>AA17+AE17+AI17+AM17</f>
        <v>293</v>
      </c>
      <c r="AO17" s="369" t="s">
        <v>495</v>
      </c>
      <c r="AP17" s="1" t="s">
        <v>31</v>
      </c>
      <c r="AQ17" s="360">
        <f>V143</f>
        <v>168300</v>
      </c>
    </row>
    <row r="18" spans="1:45" s="384" customFormat="1" x14ac:dyDescent="0.25">
      <c r="B18" s="342">
        <v>1</v>
      </c>
      <c r="C18" s="334">
        <v>2</v>
      </c>
      <c r="D18" s="334"/>
      <c r="E18" s="334"/>
      <c r="F18" s="334">
        <v>3</v>
      </c>
      <c r="G18" s="385">
        <v>4</v>
      </c>
      <c r="H18" s="385">
        <v>6</v>
      </c>
      <c r="I18" s="385"/>
      <c r="J18" s="385"/>
      <c r="K18" s="385"/>
      <c r="L18" s="385"/>
      <c r="M18" s="385"/>
      <c r="N18" s="385"/>
      <c r="O18" s="385"/>
      <c r="P18" s="385"/>
      <c r="Q18" s="385"/>
      <c r="R18" s="385"/>
      <c r="S18" s="385"/>
      <c r="T18" s="385"/>
      <c r="U18" s="385"/>
      <c r="V18" s="334">
        <v>7</v>
      </c>
      <c r="W18" s="334"/>
      <c r="X18" s="385">
        <v>8</v>
      </c>
      <c r="Y18" s="334">
        <v>9</v>
      </c>
      <c r="Z18" s="385">
        <v>10</v>
      </c>
      <c r="AA18" s="385"/>
      <c r="AB18" s="334">
        <v>11</v>
      </c>
      <c r="AC18" s="385">
        <v>12</v>
      </c>
      <c r="AD18" s="334">
        <v>13</v>
      </c>
      <c r="AE18" s="334"/>
      <c r="AF18" s="385">
        <v>14</v>
      </c>
      <c r="AG18" s="334">
        <v>15</v>
      </c>
      <c r="AH18" s="385">
        <v>16</v>
      </c>
      <c r="AI18" s="385"/>
      <c r="AJ18" s="334">
        <v>17</v>
      </c>
      <c r="AK18" s="385">
        <v>18</v>
      </c>
      <c r="AL18" s="386">
        <v>19</v>
      </c>
      <c r="AM18" s="387"/>
      <c r="AN18" s="388"/>
      <c r="AR18" s="389">
        <f>SUM(AQ1:AQ17)</f>
        <v>2229800</v>
      </c>
      <c r="AS18" s="5" t="s">
        <v>108</v>
      </c>
    </row>
    <row r="19" spans="1:45" s="5" customFormat="1" ht="18" customHeight="1" x14ac:dyDescent="0.25">
      <c r="A19" s="1" t="s">
        <v>8</v>
      </c>
      <c r="B19" s="343"/>
      <c r="C19" s="335" t="s">
        <v>160</v>
      </c>
      <c r="D19" s="390"/>
      <c r="E19" s="390"/>
      <c r="F19" s="391"/>
      <c r="G19" s="392"/>
      <c r="H19" s="393"/>
      <c r="I19" s="393"/>
      <c r="J19" s="393"/>
      <c r="K19" s="393"/>
      <c r="L19" s="393"/>
      <c r="M19" s="393"/>
      <c r="N19" s="393"/>
      <c r="O19" s="393"/>
      <c r="P19" s="393"/>
      <c r="Q19" s="393"/>
      <c r="R19" s="393"/>
      <c r="S19" s="393"/>
      <c r="T19" s="393"/>
      <c r="U19" s="393"/>
      <c r="V19" s="394">
        <f>AA19+AE19+AI19+AM19</f>
        <v>2500000</v>
      </c>
      <c r="W19" s="395"/>
      <c r="X19" s="395">
        <f t="shared" ref="X19:AM19" si="0">X21+X20</f>
        <v>232400</v>
      </c>
      <c r="Y19" s="395">
        <f t="shared" si="0"/>
        <v>151600</v>
      </c>
      <c r="Z19" s="395">
        <f t="shared" si="0"/>
        <v>239100</v>
      </c>
      <c r="AA19" s="395">
        <f t="shared" si="0"/>
        <v>623100</v>
      </c>
      <c r="AB19" s="395">
        <f t="shared" si="0"/>
        <v>210700</v>
      </c>
      <c r="AC19" s="395">
        <f t="shared" si="0"/>
        <v>218200</v>
      </c>
      <c r="AD19" s="395">
        <f t="shared" si="0"/>
        <v>246900</v>
      </c>
      <c r="AE19" s="395">
        <f t="shared" si="0"/>
        <v>675900</v>
      </c>
      <c r="AF19" s="395">
        <f t="shared" si="0"/>
        <v>203700</v>
      </c>
      <c r="AG19" s="395">
        <f t="shared" si="0"/>
        <v>198800</v>
      </c>
      <c r="AH19" s="395">
        <f t="shared" si="0"/>
        <v>203600</v>
      </c>
      <c r="AI19" s="395">
        <f t="shared" si="0"/>
        <v>606100</v>
      </c>
      <c r="AJ19" s="395">
        <f t="shared" si="0"/>
        <v>223900</v>
      </c>
      <c r="AK19" s="395">
        <f t="shared" si="0"/>
        <v>187500</v>
      </c>
      <c r="AL19" s="395">
        <f t="shared" si="0"/>
        <v>183500</v>
      </c>
      <c r="AM19" s="395">
        <f t="shared" si="0"/>
        <v>594900</v>
      </c>
      <c r="AN19" s="396"/>
      <c r="AO19" s="122">
        <f>(AA19+AE19)*100/2500000</f>
        <v>51.96</v>
      </c>
      <c r="AP19" s="5" t="s">
        <v>322</v>
      </c>
      <c r="AQ19" s="122">
        <f>+(AA19+AE19+150000)*100/2500000</f>
        <v>57.96</v>
      </c>
    </row>
    <row r="20" spans="1:45" s="5" customFormat="1" ht="18" customHeight="1" x14ac:dyDescent="0.25">
      <c r="A20" s="5" t="str">
        <f>A19</f>
        <v>a</v>
      </c>
      <c r="B20" s="344"/>
      <c r="C20" s="336" t="s">
        <v>471</v>
      </c>
      <c r="D20" s="397"/>
      <c r="E20" s="397"/>
      <c r="F20" s="398"/>
      <c r="G20" s="399"/>
      <c r="H20" s="400"/>
      <c r="I20" s="400"/>
      <c r="J20" s="400"/>
      <c r="K20" s="400"/>
      <c r="L20" s="400"/>
      <c r="M20" s="400"/>
      <c r="N20" s="400"/>
      <c r="O20" s="400"/>
      <c r="P20" s="400"/>
      <c r="Q20" s="400"/>
      <c r="R20" s="400"/>
      <c r="S20" s="400"/>
      <c r="T20" s="400"/>
      <c r="U20" s="400"/>
      <c r="V20" s="394">
        <f>AA20+AE20+AI20+AM20</f>
        <v>283700</v>
      </c>
      <c r="W20" s="394"/>
      <c r="X20" s="401">
        <f t="shared" ref="X20:AL20" si="1">ROUND((X23+X35+X45+X62+X73+X86+X98+X108+X118+X132+X142+X154+X158+X162+X166+X170+X174+X178+X182),-2)</f>
        <v>25200</v>
      </c>
      <c r="Y20" s="401">
        <f t="shared" si="1"/>
        <v>19500</v>
      </c>
      <c r="Z20" s="401">
        <f t="shared" si="1"/>
        <v>27200</v>
      </c>
      <c r="AA20" s="401">
        <f t="shared" si="1"/>
        <v>71900</v>
      </c>
      <c r="AB20" s="401">
        <f t="shared" si="1"/>
        <v>27900</v>
      </c>
      <c r="AC20" s="401">
        <f t="shared" si="1"/>
        <v>27800</v>
      </c>
      <c r="AD20" s="401">
        <f t="shared" si="1"/>
        <v>27500</v>
      </c>
      <c r="AE20" s="401">
        <f>ROUND((AE23+AE35+AE45+AE62+AE73+AE86+AE98+AE108+AE118+AE132+AE142+AE154+AE158+AE162+AE166+AE170+AE174+AE178+AE182),-2)</f>
        <v>83300</v>
      </c>
      <c r="AF20" s="401">
        <f t="shared" si="1"/>
        <v>28300</v>
      </c>
      <c r="AG20" s="401">
        <f t="shared" si="1"/>
        <v>25600</v>
      </c>
      <c r="AH20" s="401">
        <f t="shared" si="1"/>
        <v>20800</v>
      </c>
      <c r="AI20" s="401">
        <f t="shared" si="1"/>
        <v>74700</v>
      </c>
      <c r="AJ20" s="401">
        <f t="shared" si="1"/>
        <v>18700</v>
      </c>
      <c r="AK20" s="401">
        <f t="shared" si="1"/>
        <v>18000</v>
      </c>
      <c r="AL20" s="401">
        <f t="shared" si="1"/>
        <v>17100</v>
      </c>
      <c r="AM20" s="401">
        <f>ROUND((AM23+AM35+AM45+AM62+AM73+AM86+AM98+AM108+AM118+AM132+AM142+AM154+AM158+AM162+AM166+AM170+AM174+AM178+AM182),-2)</f>
        <v>53800</v>
      </c>
      <c r="AN20" s="322"/>
    </row>
    <row r="21" spans="1:45" s="5" customFormat="1" ht="18" customHeight="1" x14ac:dyDescent="0.25">
      <c r="A21" s="5" t="str">
        <f>A19</f>
        <v>a</v>
      </c>
      <c r="B21" s="344"/>
      <c r="C21" s="336" t="s">
        <v>257</v>
      </c>
      <c r="D21" s="397"/>
      <c r="E21" s="397"/>
      <c r="F21" s="398"/>
      <c r="G21" s="399"/>
      <c r="H21" s="400"/>
      <c r="I21" s="400"/>
      <c r="J21" s="400"/>
      <c r="K21" s="400"/>
      <c r="L21" s="400"/>
      <c r="M21" s="400"/>
      <c r="N21" s="400"/>
      <c r="O21" s="400"/>
      <c r="P21" s="400"/>
      <c r="Q21" s="400"/>
      <c r="R21" s="400"/>
      <c r="S21" s="400"/>
      <c r="T21" s="400"/>
      <c r="U21" s="400"/>
      <c r="V21" s="402">
        <f>AA21+AE21+AI21+AM21</f>
        <v>2216300</v>
      </c>
      <c r="W21" s="402"/>
      <c r="X21" s="403">
        <f t="shared" ref="X21:AM21" si="2">ROUND((X24+X36+X46+X63+X74+X87+X99+X109+X119+X133+X143),-2)</f>
        <v>207200</v>
      </c>
      <c r="Y21" s="403">
        <f t="shared" si="2"/>
        <v>132100</v>
      </c>
      <c r="Z21" s="403">
        <f t="shared" si="2"/>
        <v>211900</v>
      </c>
      <c r="AA21" s="403">
        <f t="shared" si="2"/>
        <v>551200</v>
      </c>
      <c r="AB21" s="403">
        <f t="shared" si="2"/>
        <v>182800</v>
      </c>
      <c r="AC21" s="403">
        <f t="shared" si="2"/>
        <v>190400</v>
      </c>
      <c r="AD21" s="403">
        <f t="shared" si="2"/>
        <v>219400</v>
      </c>
      <c r="AE21" s="403">
        <f t="shared" si="2"/>
        <v>592600</v>
      </c>
      <c r="AF21" s="403">
        <f t="shared" si="2"/>
        <v>175400</v>
      </c>
      <c r="AG21" s="403">
        <f t="shared" si="2"/>
        <v>173200</v>
      </c>
      <c r="AH21" s="403">
        <f t="shared" si="2"/>
        <v>182800</v>
      </c>
      <c r="AI21" s="403">
        <f t="shared" si="2"/>
        <v>531400</v>
      </c>
      <c r="AJ21" s="403">
        <f t="shared" si="2"/>
        <v>205200</v>
      </c>
      <c r="AK21" s="403">
        <f t="shared" si="2"/>
        <v>169500</v>
      </c>
      <c r="AL21" s="403">
        <f t="shared" si="2"/>
        <v>166400</v>
      </c>
      <c r="AM21" s="403">
        <f t="shared" si="2"/>
        <v>541100</v>
      </c>
      <c r="AN21" s="322"/>
    </row>
    <row r="22" spans="1:45" s="5" customFormat="1" ht="18" customHeight="1" x14ac:dyDescent="0.25">
      <c r="A22" s="5" t="str">
        <f t="shared" ref="A22:A99" si="3">A20</f>
        <v>a</v>
      </c>
      <c r="B22" s="345">
        <v>1</v>
      </c>
      <c r="C22" s="336" t="s">
        <v>443</v>
      </c>
      <c r="D22" s="336"/>
      <c r="E22" s="336"/>
      <c r="F22" s="404"/>
      <c r="G22" s="404"/>
      <c r="H22" s="404"/>
      <c r="I22" s="404"/>
      <c r="J22" s="404"/>
      <c r="K22" s="404"/>
      <c r="L22" s="404"/>
      <c r="M22" s="404"/>
      <c r="N22" s="404"/>
      <c r="O22" s="404"/>
      <c r="P22" s="404"/>
      <c r="Q22" s="404"/>
      <c r="R22" s="404"/>
      <c r="S22" s="404"/>
      <c r="T22" s="404"/>
      <c r="U22" s="404"/>
      <c r="V22" s="405">
        <f>V23+V24</f>
        <v>179000</v>
      </c>
      <c r="W22" s="405"/>
      <c r="X22" s="406">
        <f>X23+X24</f>
        <v>16800</v>
      </c>
      <c r="Y22" s="406">
        <f t="shared" ref="Y22:AL22" si="4">Y23+Y24</f>
        <v>10600</v>
      </c>
      <c r="Z22" s="406">
        <f t="shared" si="4"/>
        <v>17300</v>
      </c>
      <c r="AA22" s="406">
        <f>AA23+AA24</f>
        <v>44700</v>
      </c>
      <c r="AB22" s="406">
        <f t="shared" si="4"/>
        <v>15700</v>
      </c>
      <c r="AC22" s="406">
        <f t="shared" si="4"/>
        <v>16400</v>
      </c>
      <c r="AD22" s="406">
        <f t="shared" si="4"/>
        <v>17000</v>
      </c>
      <c r="AE22" s="406">
        <f>AE23+AE24</f>
        <v>49100</v>
      </c>
      <c r="AF22" s="406">
        <f t="shared" si="4"/>
        <v>15400</v>
      </c>
      <c r="AG22" s="406">
        <f t="shared" si="4"/>
        <v>14400</v>
      </c>
      <c r="AH22" s="406">
        <f t="shared" si="4"/>
        <v>14300</v>
      </c>
      <c r="AI22" s="406">
        <f>AI23+AI24</f>
        <v>44100</v>
      </c>
      <c r="AJ22" s="406">
        <f t="shared" si="4"/>
        <v>15000</v>
      </c>
      <c r="AK22" s="406">
        <f t="shared" si="4"/>
        <v>13700</v>
      </c>
      <c r="AL22" s="406">
        <f t="shared" si="4"/>
        <v>12400</v>
      </c>
      <c r="AM22" s="406">
        <f>AM23+AM24</f>
        <v>41100</v>
      </c>
      <c r="AN22" s="1015">
        <f>V22/$AN$17</f>
        <v>610.92150170648461</v>
      </c>
      <c r="AO22" s="5" t="s">
        <v>285</v>
      </c>
      <c r="AP22" s="5" t="str">
        <f>AO22&amp;K22</f>
        <v>KT1.</v>
      </c>
      <c r="AQ22" s="5" t="str">
        <f>AO22&amp;C22</f>
        <v>KT1.PX KT1</v>
      </c>
    </row>
    <row r="23" spans="1:45" s="5" customFormat="1" ht="18" customHeight="1" x14ac:dyDescent="0.25">
      <c r="A23" s="5" t="str">
        <f t="shared" si="3"/>
        <v>a</v>
      </c>
      <c r="B23" s="345" t="s">
        <v>8</v>
      </c>
      <c r="C23" s="336" t="s">
        <v>471</v>
      </c>
      <c r="D23" s="336"/>
      <c r="E23" s="336"/>
      <c r="F23" s="407"/>
      <c r="G23" s="407"/>
      <c r="H23" s="407"/>
      <c r="I23" s="407"/>
      <c r="J23" s="407"/>
      <c r="K23" s="408" t="s">
        <v>493</v>
      </c>
      <c r="L23" s="407"/>
      <c r="M23" s="407"/>
      <c r="N23" s="407"/>
      <c r="O23" s="407"/>
      <c r="P23" s="407"/>
      <c r="Q23" s="407"/>
      <c r="R23" s="407"/>
      <c r="S23" s="407"/>
      <c r="T23" s="407"/>
      <c r="U23" s="407"/>
      <c r="V23" s="409">
        <f>AA23+AE23+AI23+AM23</f>
        <v>8900</v>
      </c>
      <c r="W23" s="409"/>
      <c r="X23" s="410">
        <f>KH_ĐL!BK17</f>
        <v>1300</v>
      </c>
      <c r="Y23" s="410">
        <f>KH_ĐL!BL17</f>
        <v>500</v>
      </c>
      <c r="Z23" s="410">
        <f>KH_ĐL!BM17</f>
        <v>1100</v>
      </c>
      <c r="AA23" s="410">
        <f>KH_ĐL!BN17</f>
        <v>2900</v>
      </c>
      <c r="AB23" s="410">
        <f>KH_ĐL!BO17</f>
        <v>600</v>
      </c>
      <c r="AC23" s="410">
        <f>KH_ĐL!BP17</f>
        <v>600</v>
      </c>
      <c r="AD23" s="410">
        <f>KH_ĐL!BQ17</f>
        <v>600</v>
      </c>
      <c r="AE23" s="410">
        <f>KH_ĐL!BR17</f>
        <v>1800</v>
      </c>
      <c r="AF23" s="410">
        <f>KH_ĐL!BS17</f>
        <v>1100</v>
      </c>
      <c r="AG23" s="410">
        <f>KH_ĐL!BT17</f>
        <v>600</v>
      </c>
      <c r="AH23" s="410">
        <f>KH_ĐL!BU17</f>
        <v>1000</v>
      </c>
      <c r="AI23" s="410">
        <f>KH_ĐL!BV17</f>
        <v>2700</v>
      </c>
      <c r="AJ23" s="410">
        <f>KH_ĐL!BW17</f>
        <v>700</v>
      </c>
      <c r="AK23" s="410">
        <f>KH_ĐL!BX17</f>
        <v>500</v>
      </c>
      <c r="AL23" s="410">
        <f>KH_ĐL!BY17</f>
        <v>300</v>
      </c>
      <c r="AM23" s="411">
        <f>KH_ĐL!BZ17</f>
        <v>1500</v>
      </c>
      <c r="AN23" s="322"/>
      <c r="AO23" s="5" t="str">
        <f>AO22</f>
        <v>KT1.</v>
      </c>
      <c r="AP23" s="5" t="str">
        <f t="shared" ref="AP23:AP33" si="5">AO23&amp;K23</f>
        <v>KT1.ĐX</v>
      </c>
      <c r="AQ23" s="5" t="str">
        <f t="shared" ref="AQ23:AQ97" si="6">AO23&amp;C23</f>
        <v>KT1.SL đào, xén lò</v>
      </c>
    </row>
    <row r="24" spans="1:45" s="5" customFormat="1" ht="18" customHeight="1" x14ac:dyDescent="0.25">
      <c r="A24" s="5" t="str">
        <f t="shared" si="3"/>
        <v>a</v>
      </c>
      <c r="B24" s="345" t="s">
        <v>37</v>
      </c>
      <c r="C24" s="336" t="s">
        <v>257</v>
      </c>
      <c r="D24" s="336"/>
      <c r="E24" s="336"/>
      <c r="F24" s="407"/>
      <c r="G24" s="407"/>
      <c r="H24" s="407"/>
      <c r="I24" s="407"/>
      <c r="J24" s="407"/>
      <c r="K24" s="407"/>
      <c r="L24" s="407"/>
      <c r="M24" s="407"/>
      <c r="N24" s="407"/>
      <c r="O24" s="407"/>
      <c r="P24" s="407"/>
      <c r="Q24" s="407"/>
      <c r="R24" s="407"/>
      <c r="S24" s="407"/>
      <c r="T24" s="407"/>
      <c r="U24" s="407"/>
      <c r="V24" s="410">
        <f>SUM(V25:V33)</f>
        <v>170100</v>
      </c>
      <c r="W24" s="410">
        <f>SUM(W25:W33)</f>
        <v>4900</v>
      </c>
      <c r="X24" s="410">
        <f t="shared" ref="X24:AL24" si="7">SUM(X25:X33)</f>
        <v>15500</v>
      </c>
      <c r="Y24" s="410">
        <f t="shared" si="7"/>
        <v>10100</v>
      </c>
      <c r="Z24" s="410">
        <f t="shared" si="7"/>
        <v>16200</v>
      </c>
      <c r="AA24" s="410">
        <f t="shared" si="7"/>
        <v>41800</v>
      </c>
      <c r="AB24" s="410">
        <f t="shared" si="7"/>
        <v>15100</v>
      </c>
      <c r="AC24" s="410">
        <f t="shared" si="7"/>
        <v>15800</v>
      </c>
      <c r="AD24" s="410">
        <f t="shared" si="7"/>
        <v>16400</v>
      </c>
      <c r="AE24" s="410">
        <f t="shared" si="7"/>
        <v>47300</v>
      </c>
      <c r="AF24" s="410">
        <f t="shared" si="7"/>
        <v>14300</v>
      </c>
      <c r="AG24" s="410">
        <f t="shared" si="7"/>
        <v>13800</v>
      </c>
      <c r="AH24" s="410">
        <f t="shared" si="7"/>
        <v>13300</v>
      </c>
      <c r="AI24" s="410">
        <f>SUM(AI25:AI33)</f>
        <v>41400</v>
      </c>
      <c r="AJ24" s="410">
        <f t="shared" si="7"/>
        <v>14300</v>
      </c>
      <c r="AK24" s="410">
        <f t="shared" si="7"/>
        <v>13200</v>
      </c>
      <c r="AL24" s="410">
        <f t="shared" si="7"/>
        <v>12100</v>
      </c>
      <c r="AM24" s="410">
        <f>SUM(AM25:AM33)</f>
        <v>39600</v>
      </c>
      <c r="AN24" s="322"/>
      <c r="AO24" s="5" t="str">
        <f t="shared" ref="AO24:AO33" si="8">AO23</f>
        <v>KT1.</v>
      </c>
      <c r="AP24" s="5" t="str">
        <f t="shared" si="5"/>
        <v>KT1.</v>
      </c>
      <c r="AQ24" s="5" t="str">
        <f t="shared" si="6"/>
        <v>KT1.KT Lò chợ</v>
      </c>
    </row>
    <row r="25" spans="1:45" ht="21" hidden="1" customHeight="1" x14ac:dyDescent="0.25">
      <c r="A25" s="5" t="str">
        <f>A22</f>
        <v>a</v>
      </c>
      <c r="B25" s="345"/>
      <c r="C25" s="336" t="s">
        <v>601</v>
      </c>
      <c r="D25" s="412"/>
      <c r="E25" s="337">
        <v>32</v>
      </c>
      <c r="F25" s="413">
        <f t="shared" ref="F25:F32" si="9">1/COS($E25*PI()/180)*$D25/G25</f>
        <v>0</v>
      </c>
      <c r="G25" s="408">
        <v>37</v>
      </c>
      <c r="H25" s="408">
        <v>4.2699999999999996</v>
      </c>
      <c r="I25" s="408">
        <v>1.61</v>
      </c>
      <c r="J25" s="413">
        <f>ROUND(1/COS($E25*PI()/180)*$D25*H25*I25,-2)</f>
        <v>0</v>
      </c>
      <c r="K25" s="413" t="s">
        <v>302</v>
      </c>
      <c r="L25" s="413">
        <f t="shared" ref="L25:M28" si="10">D25</f>
        <v>0</v>
      </c>
      <c r="M25" s="413">
        <f t="shared" si="10"/>
        <v>32</v>
      </c>
      <c r="N25" s="407"/>
      <c r="O25" s="408">
        <f t="shared" ref="O25:P28" si="11">G25</f>
        <v>37</v>
      </c>
      <c r="P25" s="408">
        <f t="shared" si="11"/>
        <v>4.2699999999999996</v>
      </c>
      <c r="Q25" s="408">
        <v>2.2000000000000002</v>
      </c>
      <c r="R25" s="414">
        <f t="shared" ref="R25:R31" si="12">P25-Q25</f>
        <v>2.0699999999999994</v>
      </c>
      <c r="S25" s="408">
        <f t="shared" ref="S25:S31" si="13">I25</f>
        <v>1.61</v>
      </c>
      <c r="T25" s="407"/>
      <c r="U25" s="407"/>
      <c r="V25" s="413">
        <f t="shared" ref="V25:V35" si="14">AA25+AE25+AI25+AM25</f>
        <v>0</v>
      </c>
      <c r="W25" s="413">
        <f>J25-V25</f>
        <v>0</v>
      </c>
      <c r="X25" s="415"/>
      <c r="Y25" s="415"/>
      <c r="Z25" s="331"/>
      <c r="AA25" s="331">
        <f t="shared" ref="AA25:AA33" si="15">SUM(X25:Z25)</f>
        <v>0</v>
      </c>
      <c r="AB25" s="331"/>
      <c r="AC25" s="331"/>
      <c r="AD25" s="331"/>
      <c r="AE25" s="331">
        <f>SUM(AB25:AD25)</f>
        <v>0</v>
      </c>
      <c r="AF25" s="331"/>
      <c r="AG25" s="331"/>
      <c r="AH25" s="331"/>
      <c r="AI25" s="331">
        <f t="shared" ref="AI25:AI33" si="16">SUM(AF25:AH25)</f>
        <v>0</v>
      </c>
      <c r="AJ25" s="331"/>
      <c r="AK25" s="331"/>
      <c r="AL25" s="331"/>
      <c r="AM25" s="331">
        <f t="shared" ref="AM25:AM33" si="17">SUM(AJ25:AL25)</f>
        <v>0</v>
      </c>
      <c r="AN25" s="1016"/>
      <c r="AO25" s="5" t="str">
        <f t="shared" si="8"/>
        <v>KT1.</v>
      </c>
      <c r="AP25" s="5" t="str">
        <f t="shared" si="5"/>
        <v>KT1.GK</v>
      </c>
      <c r="AQ25" s="5" t="str">
        <f t="shared" si="6"/>
        <v>KT1.LC N-8-3/V8-KN(D1)</v>
      </c>
    </row>
    <row r="26" spans="1:45" ht="21" customHeight="1" x14ac:dyDescent="0.25">
      <c r="A26" s="5" t="str">
        <f>A23</f>
        <v>a</v>
      </c>
      <c r="B26" s="345"/>
      <c r="C26" s="336" t="s">
        <v>602</v>
      </c>
      <c r="D26" s="412">
        <v>20800</v>
      </c>
      <c r="E26" s="337">
        <v>35</v>
      </c>
      <c r="F26" s="413">
        <f t="shared" si="9"/>
        <v>298.73072289692101</v>
      </c>
      <c r="G26" s="408">
        <v>85</v>
      </c>
      <c r="H26" s="408">
        <v>4.2699999999999996</v>
      </c>
      <c r="I26" s="408">
        <v>1.61</v>
      </c>
      <c r="J26" s="413">
        <f>ROUND(1/COS($E26*PI()/180)*$D26*H26*I26,-3)</f>
        <v>175000</v>
      </c>
      <c r="K26" s="413" t="s">
        <v>302</v>
      </c>
      <c r="L26" s="413">
        <f t="shared" si="10"/>
        <v>20800</v>
      </c>
      <c r="M26" s="413">
        <f t="shared" si="10"/>
        <v>35</v>
      </c>
      <c r="N26" s="407"/>
      <c r="O26" s="408">
        <f t="shared" si="11"/>
        <v>85</v>
      </c>
      <c r="P26" s="408">
        <f t="shared" si="11"/>
        <v>4.2699999999999996</v>
      </c>
      <c r="Q26" s="408">
        <v>2.2000000000000002</v>
      </c>
      <c r="R26" s="414">
        <f t="shared" si="12"/>
        <v>2.0699999999999994</v>
      </c>
      <c r="S26" s="408">
        <f t="shared" si="13"/>
        <v>1.61</v>
      </c>
      <c r="T26" s="407"/>
      <c r="U26" s="407"/>
      <c r="V26" s="413">
        <f t="shared" si="14"/>
        <v>170100</v>
      </c>
      <c r="W26" s="413">
        <f>J26-V26</f>
        <v>4900</v>
      </c>
      <c r="X26" s="415">
        <f>ROUND(620*X17,-2)</f>
        <v>15500</v>
      </c>
      <c r="Y26" s="415">
        <f>ROUND(630*Y17,-2)</f>
        <v>10100</v>
      </c>
      <c r="Z26" s="331">
        <f>ROUND(600*27,-2)</f>
        <v>16200</v>
      </c>
      <c r="AA26" s="331">
        <f t="shared" si="15"/>
        <v>41800</v>
      </c>
      <c r="AB26" s="331">
        <f>ROUND(630*AB17,-2)</f>
        <v>15100</v>
      </c>
      <c r="AC26" s="331">
        <f>ROUND(630*AC17,-2)</f>
        <v>15800</v>
      </c>
      <c r="AD26" s="331">
        <f>ROUND(630*AD17,-2)</f>
        <v>16400</v>
      </c>
      <c r="AE26" s="331">
        <f>SUM(AB26:AD26)</f>
        <v>47300</v>
      </c>
      <c r="AF26" s="331">
        <f>ROUND(530*AF17,-2)</f>
        <v>14300</v>
      </c>
      <c r="AG26" s="331">
        <f>ROUND(530*AG17,-2)</f>
        <v>13800</v>
      </c>
      <c r="AH26" s="331">
        <f>ROUND(530*AH17,-2)</f>
        <v>13300</v>
      </c>
      <c r="AI26" s="331">
        <f t="shared" si="16"/>
        <v>41400</v>
      </c>
      <c r="AJ26" s="331">
        <f>ROUND(550*AJ17,-2)</f>
        <v>14300</v>
      </c>
      <c r="AK26" s="331">
        <f>ROUND(550*AK17,-2)</f>
        <v>13200</v>
      </c>
      <c r="AL26" s="331">
        <f>ROUND(550*AL17,-2)</f>
        <v>12100</v>
      </c>
      <c r="AM26" s="331">
        <f t="shared" si="17"/>
        <v>39600</v>
      </c>
      <c r="AN26" s="1016">
        <f>(V26+V25)/AN17</f>
        <v>580.54607508532422</v>
      </c>
      <c r="AO26" s="5" t="str">
        <f t="shared" si="8"/>
        <v>KT1.</v>
      </c>
      <c r="AP26" s="5" t="str">
        <f>AO26&amp;K26</f>
        <v>KT1.GK</v>
      </c>
      <c r="AQ26" s="5" t="str">
        <f>AO26&amp;C26</f>
        <v>KT1.LC N-8-3/V8-KN(D2)</v>
      </c>
    </row>
    <row r="27" spans="1:45" ht="21" hidden="1" customHeight="1" x14ac:dyDescent="0.25">
      <c r="A27" s="5" t="str">
        <f>A24</f>
        <v>a</v>
      </c>
      <c r="B27" s="345"/>
      <c r="C27" s="336" t="s">
        <v>519</v>
      </c>
      <c r="D27" s="412"/>
      <c r="E27" s="337"/>
      <c r="F27" s="413" t="e">
        <f t="shared" si="9"/>
        <v>#DIV/0!</v>
      </c>
      <c r="G27" s="408"/>
      <c r="H27" s="408">
        <v>2.2000000000000002</v>
      </c>
      <c r="I27" s="408">
        <v>1.63</v>
      </c>
      <c r="J27" s="413">
        <f>ROUND(1/COS($E27*PI()/180)*$D27*H27*I27,-3)</f>
        <v>0</v>
      </c>
      <c r="K27" s="413" t="s">
        <v>302</v>
      </c>
      <c r="L27" s="413">
        <f>D27</f>
        <v>0</v>
      </c>
      <c r="M27" s="413">
        <f>E27</f>
        <v>0</v>
      </c>
      <c r="N27" s="407"/>
      <c r="O27" s="408">
        <f>G27</f>
        <v>0</v>
      </c>
      <c r="P27" s="408">
        <f>H27</f>
        <v>2.2000000000000002</v>
      </c>
      <c r="Q27" s="408">
        <v>2.2000000000000002</v>
      </c>
      <c r="R27" s="414">
        <f t="shared" si="12"/>
        <v>0</v>
      </c>
      <c r="S27" s="408">
        <f t="shared" si="13"/>
        <v>1.63</v>
      </c>
      <c r="T27" s="407"/>
      <c r="U27" s="407"/>
      <c r="V27" s="413">
        <f t="shared" si="14"/>
        <v>0</v>
      </c>
      <c r="W27" s="413"/>
      <c r="X27" s="415"/>
      <c r="Y27" s="415"/>
      <c r="Z27" s="331"/>
      <c r="AA27" s="331">
        <f t="shared" si="15"/>
        <v>0</v>
      </c>
      <c r="AB27" s="331"/>
      <c r="AC27" s="331"/>
      <c r="AD27" s="331"/>
      <c r="AE27" s="331"/>
      <c r="AF27" s="331"/>
      <c r="AG27" s="331"/>
      <c r="AH27" s="331"/>
      <c r="AI27" s="331">
        <f t="shared" si="16"/>
        <v>0</v>
      </c>
      <c r="AJ27" s="331"/>
      <c r="AK27" s="331"/>
      <c r="AL27" s="331"/>
      <c r="AM27" s="331">
        <f t="shared" si="17"/>
        <v>0</v>
      </c>
      <c r="AN27" s="322"/>
      <c r="AO27" s="5"/>
      <c r="AP27" s="5" t="str">
        <f>AO27&amp;K27</f>
        <v>GK</v>
      </c>
      <c r="AQ27" s="5" t="str">
        <f>AO27&amp;C27</f>
        <v>LC TT-10-17/V10TT</v>
      </c>
    </row>
    <row r="28" spans="1:45" ht="21" hidden="1" customHeight="1" x14ac:dyDescent="0.25">
      <c r="A28" s="5" t="str">
        <f>A23</f>
        <v>a</v>
      </c>
      <c r="B28" s="345"/>
      <c r="C28" s="336" t="s">
        <v>268</v>
      </c>
      <c r="D28" s="412">
        <v>48248</v>
      </c>
      <c r="E28" s="337">
        <v>25</v>
      </c>
      <c r="F28" s="413">
        <f t="shared" si="9"/>
        <v>532.35777834102305</v>
      </c>
      <c r="G28" s="408">
        <v>100</v>
      </c>
      <c r="H28" s="408">
        <v>3.29</v>
      </c>
      <c r="I28" s="408">
        <v>1.63</v>
      </c>
      <c r="J28" s="413">
        <f>ROUND(1/COS($E28*PI()/180)*$D28*H28*I28,-3)</f>
        <v>285000</v>
      </c>
      <c r="K28" s="413" t="s">
        <v>302</v>
      </c>
      <c r="L28" s="413">
        <f t="shared" si="10"/>
        <v>48248</v>
      </c>
      <c r="M28" s="413">
        <f t="shared" si="10"/>
        <v>25</v>
      </c>
      <c r="N28" s="408">
        <f>ROUND(V28/J28*F28,0)</f>
        <v>0</v>
      </c>
      <c r="O28" s="408">
        <f t="shared" si="11"/>
        <v>100</v>
      </c>
      <c r="P28" s="408">
        <f t="shared" si="11"/>
        <v>3.29</v>
      </c>
      <c r="Q28" s="408">
        <v>2.2000000000000002</v>
      </c>
      <c r="R28" s="414">
        <f t="shared" si="12"/>
        <v>1.0899999999999999</v>
      </c>
      <c r="S28" s="408">
        <f t="shared" si="13"/>
        <v>1.63</v>
      </c>
      <c r="T28" s="413">
        <f>V28-U28</f>
        <v>0</v>
      </c>
      <c r="U28" s="413">
        <f>ROUND(N28*O28*R28*S28*0.75,-3)</f>
        <v>0</v>
      </c>
      <c r="V28" s="413">
        <f t="shared" si="14"/>
        <v>0</v>
      </c>
      <c r="W28" s="413"/>
      <c r="X28" s="415"/>
      <c r="Y28" s="415"/>
      <c r="Z28" s="331"/>
      <c r="AA28" s="331">
        <f t="shared" si="15"/>
        <v>0</v>
      </c>
      <c r="AB28" s="331"/>
      <c r="AC28" s="331"/>
      <c r="AD28" s="331"/>
      <c r="AE28" s="331"/>
      <c r="AF28" s="331"/>
      <c r="AG28" s="331"/>
      <c r="AH28" s="331"/>
      <c r="AI28" s="331">
        <f t="shared" si="16"/>
        <v>0</v>
      </c>
      <c r="AJ28" s="331"/>
      <c r="AK28" s="331"/>
      <c r="AL28" s="331"/>
      <c r="AM28" s="331">
        <f t="shared" si="17"/>
        <v>0</v>
      </c>
      <c r="AN28" s="322"/>
      <c r="AO28" s="5"/>
      <c r="AP28" s="5" t="str">
        <f t="shared" si="5"/>
        <v>GK</v>
      </c>
      <c r="AQ28" s="5" t="str">
        <f t="shared" si="6"/>
        <v>LC TT-5-4A/V5TT</v>
      </c>
    </row>
    <row r="29" spans="1:45" ht="21" hidden="1" customHeight="1" x14ac:dyDescent="0.25">
      <c r="A29" s="5" t="str">
        <f>A24</f>
        <v>a</v>
      </c>
      <c r="B29" s="346" t="s">
        <v>492</v>
      </c>
      <c r="C29" s="336"/>
      <c r="D29" s="412"/>
      <c r="E29" s="337">
        <v>20</v>
      </c>
      <c r="F29" s="413" t="e">
        <f t="shared" si="9"/>
        <v>#DIV/0!</v>
      </c>
      <c r="G29" s="408"/>
      <c r="H29" s="408">
        <v>2.2000000000000002</v>
      </c>
      <c r="I29" s="408">
        <v>1.63</v>
      </c>
      <c r="J29" s="413">
        <f>ROUND(1/COS($E29*PI()/180)*$D29*H29*I29,-2)</f>
        <v>0</v>
      </c>
      <c r="K29" s="413"/>
      <c r="L29" s="413">
        <f t="shared" ref="L29:M31" si="18">D29</f>
        <v>0</v>
      </c>
      <c r="M29" s="413">
        <f t="shared" si="18"/>
        <v>20</v>
      </c>
      <c r="N29" s="407"/>
      <c r="O29" s="408">
        <f t="shared" ref="O29:P31" si="19">G29</f>
        <v>0</v>
      </c>
      <c r="P29" s="408">
        <f t="shared" si="19"/>
        <v>2.2000000000000002</v>
      </c>
      <c r="Q29" s="408">
        <v>2.2000000000000002</v>
      </c>
      <c r="R29" s="414">
        <f t="shared" si="12"/>
        <v>0</v>
      </c>
      <c r="S29" s="408">
        <f t="shared" si="13"/>
        <v>1.63</v>
      </c>
      <c r="T29" s="413">
        <f>ROUND(N29*O29*Q29*0.95*S29,-3)</f>
        <v>0</v>
      </c>
      <c r="U29" s="413">
        <f>V29-T29</f>
        <v>0</v>
      </c>
      <c r="V29" s="413">
        <f t="shared" si="14"/>
        <v>0</v>
      </c>
      <c r="W29" s="413"/>
      <c r="X29" s="331"/>
      <c r="Y29" s="331"/>
      <c r="Z29" s="331"/>
      <c r="AA29" s="331">
        <f t="shared" si="15"/>
        <v>0</v>
      </c>
      <c r="AB29" s="331"/>
      <c r="AC29" s="331"/>
      <c r="AD29" s="331"/>
      <c r="AE29" s="331">
        <f>SUM(AB29:AD29)</f>
        <v>0</v>
      </c>
      <c r="AF29" s="331"/>
      <c r="AG29" s="331"/>
      <c r="AH29" s="331"/>
      <c r="AI29" s="331">
        <f t="shared" si="16"/>
        <v>0</v>
      </c>
      <c r="AJ29" s="331"/>
      <c r="AK29" s="331"/>
      <c r="AL29" s="331"/>
      <c r="AM29" s="331">
        <f t="shared" si="17"/>
        <v>0</v>
      </c>
      <c r="AN29" s="322"/>
      <c r="AO29" s="5">
        <f t="shared" si="8"/>
        <v>0</v>
      </c>
      <c r="AP29" s="5" t="str">
        <f t="shared" si="5"/>
        <v>0</v>
      </c>
      <c r="AQ29" s="5" t="str">
        <f t="shared" si="6"/>
        <v>0</v>
      </c>
    </row>
    <row r="30" spans="1:45" ht="21" hidden="1" customHeight="1" x14ac:dyDescent="0.25">
      <c r="A30" s="5" t="str">
        <f t="shared" si="3"/>
        <v>a</v>
      </c>
      <c r="B30" s="346" t="s">
        <v>492</v>
      </c>
      <c r="C30" s="336"/>
      <c r="D30" s="412">
        <v>10621</v>
      </c>
      <c r="E30" s="337">
        <f>E25</f>
        <v>32</v>
      </c>
      <c r="F30" s="413">
        <f t="shared" si="9"/>
        <v>166.98738429478436</v>
      </c>
      <c r="G30" s="408">
        <v>75</v>
      </c>
      <c r="H30" s="408">
        <f>H25</f>
        <v>4.2699999999999996</v>
      </c>
      <c r="I30" s="408">
        <v>1.63</v>
      </c>
      <c r="J30" s="413">
        <f>ROUND(1/COS($E30*PI()/180)*$D30*H30*I30,-2)</f>
        <v>87200</v>
      </c>
      <c r="K30" s="413"/>
      <c r="L30" s="413">
        <f t="shared" si="18"/>
        <v>10621</v>
      </c>
      <c r="M30" s="413">
        <f t="shared" si="18"/>
        <v>32</v>
      </c>
      <c r="N30" s="407"/>
      <c r="O30" s="408">
        <f t="shared" si="19"/>
        <v>75</v>
      </c>
      <c r="P30" s="408">
        <f t="shared" si="19"/>
        <v>4.2699999999999996</v>
      </c>
      <c r="Q30" s="408">
        <v>2.2000000000000002</v>
      </c>
      <c r="R30" s="414">
        <f t="shared" si="12"/>
        <v>2.0699999999999994</v>
      </c>
      <c r="S30" s="408">
        <f t="shared" si="13"/>
        <v>1.63</v>
      </c>
      <c r="T30" s="407"/>
      <c r="U30" s="407"/>
      <c r="V30" s="413">
        <f t="shared" si="14"/>
        <v>0</v>
      </c>
      <c r="W30" s="413"/>
      <c r="X30" s="331"/>
      <c r="Y30" s="331"/>
      <c r="Z30" s="331"/>
      <c r="AA30" s="331">
        <f t="shared" si="15"/>
        <v>0</v>
      </c>
      <c r="AB30" s="331"/>
      <c r="AC30" s="331"/>
      <c r="AD30" s="331"/>
      <c r="AE30" s="331">
        <f>SUM(AB30:AD30)</f>
        <v>0</v>
      </c>
      <c r="AF30" s="331"/>
      <c r="AG30" s="331"/>
      <c r="AH30" s="331"/>
      <c r="AI30" s="331">
        <f t="shared" si="16"/>
        <v>0</v>
      </c>
      <c r="AJ30" s="331"/>
      <c r="AK30" s="331"/>
      <c r="AL30" s="331"/>
      <c r="AM30" s="331">
        <f t="shared" si="17"/>
        <v>0</v>
      </c>
      <c r="AN30" s="322"/>
      <c r="AO30" s="5">
        <f t="shared" si="8"/>
        <v>0</v>
      </c>
      <c r="AP30" s="5" t="str">
        <f t="shared" si="5"/>
        <v>0</v>
      </c>
      <c r="AQ30" s="5" t="str">
        <f t="shared" si="6"/>
        <v>0</v>
      </c>
    </row>
    <row r="31" spans="1:45" ht="21" hidden="1" customHeight="1" x14ac:dyDescent="0.25">
      <c r="A31" s="5" t="str">
        <f t="shared" si="3"/>
        <v>a</v>
      </c>
      <c r="B31" s="346" t="s">
        <v>492</v>
      </c>
      <c r="C31" s="336"/>
      <c r="D31" s="412">
        <v>32617</v>
      </c>
      <c r="E31" s="337">
        <v>20</v>
      </c>
      <c r="F31" s="413" t="e">
        <f t="shared" si="9"/>
        <v>#DIV/0!</v>
      </c>
      <c r="G31" s="408"/>
      <c r="H31" s="408">
        <v>3.5</v>
      </c>
      <c r="I31" s="408">
        <v>1.63</v>
      </c>
      <c r="J31" s="413">
        <f>ROUND(1/COS($E31*PI()/180)*$D31*H31*I31,-2)</f>
        <v>198000</v>
      </c>
      <c r="K31" s="413"/>
      <c r="L31" s="413">
        <f t="shared" si="18"/>
        <v>32617</v>
      </c>
      <c r="M31" s="413">
        <f t="shared" si="18"/>
        <v>20</v>
      </c>
      <c r="N31" s="407"/>
      <c r="O31" s="408">
        <f t="shared" si="19"/>
        <v>0</v>
      </c>
      <c r="P31" s="408">
        <f t="shared" si="19"/>
        <v>3.5</v>
      </c>
      <c r="Q31" s="408">
        <v>2.2000000000000002</v>
      </c>
      <c r="R31" s="414">
        <f t="shared" si="12"/>
        <v>1.2999999999999998</v>
      </c>
      <c r="S31" s="408">
        <f t="shared" si="13"/>
        <v>1.63</v>
      </c>
      <c r="T31" s="407"/>
      <c r="U31" s="407"/>
      <c r="V31" s="413">
        <f t="shared" si="14"/>
        <v>0</v>
      </c>
      <c r="W31" s="413"/>
      <c r="X31" s="331"/>
      <c r="Y31" s="331"/>
      <c r="Z31" s="331"/>
      <c r="AA31" s="331">
        <f t="shared" si="15"/>
        <v>0</v>
      </c>
      <c r="AB31" s="331"/>
      <c r="AC31" s="331"/>
      <c r="AD31" s="331"/>
      <c r="AE31" s="331">
        <f>SUM(AB31:AD31)</f>
        <v>0</v>
      </c>
      <c r="AF31" s="331"/>
      <c r="AG31" s="331"/>
      <c r="AH31" s="331"/>
      <c r="AI31" s="331">
        <f t="shared" si="16"/>
        <v>0</v>
      </c>
      <c r="AJ31" s="331"/>
      <c r="AK31" s="331"/>
      <c r="AL31" s="331"/>
      <c r="AM31" s="331">
        <f t="shared" si="17"/>
        <v>0</v>
      </c>
      <c r="AN31" s="322"/>
      <c r="AO31" s="5">
        <f t="shared" si="8"/>
        <v>0</v>
      </c>
      <c r="AP31" s="5" t="str">
        <f t="shared" si="5"/>
        <v>0</v>
      </c>
      <c r="AQ31" s="5" t="str">
        <f t="shared" si="6"/>
        <v>0</v>
      </c>
    </row>
    <row r="32" spans="1:45" ht="21" hidden="1" customHeight="1" x14ac:dyDescent="0.25">
      <c r="A32" s="5" t="str">
        <f t="shared" si="3"/>
        <v>a</v>
      </c>
      <c r="B32" s="345"/>
      <c r="C32" s="336"/>
      <c r="D32" s="412">
        <v>8000</v>
      </c>
      <c r="E32" s="337">
        <v>25</v>
      </c>
      <c r="F32" s="413">
        <f t="shared" si="9"/>
        <v>88.27023351699934</v>
      </c>
      <c r="G32" s="408">
        <v>100</v>
      </c>
      <c r="H32" s="408">
        <v>3.29</v>
      </c>
      <c r="I32" s="408">
        <v>1.63</v>
      </c>
      <c r="J32" s="413">
        <f>ROUND(1/COS($E32*PI()/180)*$D32*H32*I32,-3)</f>
        <v>47000</v>
      </c>
      <c r="K32" s="407"/>
      <c r="L32" s="407"/>
      <c r="M32" s="407"/>
      <c r="N32" s="407"/>
      <c r="O32" s="407"/>
      <c r="P32" s="407"/>
      <c r="Q32" s="407"/>
      <c r="R32" s="407"/>
      <c r="S32" s="407"/>
      <c r="T32" s="407"/>
      <c r="U32" s="407"/>
      <c r="V32" s="413">
        <f t="shared" si="14"/>
        <v>0</v>
      </c>
      <c r="W32" s="413"/>
      <c r="X32" s="331"/>
      <c r="Y32" s="331"/>
      <c r="Z32" s="331"/>
      <c r="AA32" s="331">
        <f t="shared" si="15"/>
        <v>0</v>
      </c>
      <c r="AB32" s="331"/>
      <c r="AC32" s="331"/>
      <c r="AD32" s="331"/>
      <c r="AE32" s="331">
        <f>SUM(AB32:AD32)</f>
        <v>0</v>
      </c>
      <c r="AF32" s="331"/>
      <c r="AG32" s="331"/>
      <c r="AH32" s="331"/>
      <c r="AI32" s="331">
        <f t="shared" si="16"/>
        <v>0</v>
      </c>
      <c r="AJ32" s="331"/>
      <c r="AK32" s="331"/>
      <c r="AL32" s="331"/>
      <c r="AM32" s="331">
        <f t="shared" si="17"/>
        <v>0</v>
      </c>
      <c r="AN32" s="322"/>
      <c r="AO32" s="5">
        <f t="shared" si="8"/>
        <v>0</v>
      </c>
      <c r="AP32" s="5" t="str">
        <f t="shared" si="5"/>
        <v>0</v>
      </c>
      <c r="AQ32" s="5" t="str">
        <f t="shared" si="6"/>
        <v>0</v>
      </c>
    </row>
    <row r="33" spans="1:43" ht="19.5" hidden="1" customHeight="1" x14ac:dyDescent="0.25">
      <c r="A33" s="5" t="str">
        <f t="shared" si="3"/>
        <v>a</v>
      </c>
      <c r="B33" s="345"/>
      <c r="C33" s="336"/>
      <c r="D33" s="336"/>
      <c r="E33" s="336"/>
      <c r="F33" s="408"/>
      <c r="G33" s="408"/>
      <c r="H33" s="407"/>
      <c r="I33" s="407"/>
      <c r="J33" s="407"/>
      <c r="K33" s="407"/>
      <c r="L33" s="407"/>
      <c r="M33" s="407"/>
      <c r="N33" s="407"/>
      <c r="O33" s="407"/>
      <c r="P33" s="407"/>
      <c r="Q33" s="407"/>
      <c r="R33" s="407"/>
      <c r="S33" s="407"/>
      <c r="T33" s="407"/>
      <c r="U33" s="407"/>
      <c r="V33" s="413">
        <f t="shared" si="14"/>
        <v>0</v>
      </c>
      <c r="W33" s="413"/>
      <c r="X33" s="331"/>
      <c r="Y33" s="331"/>
      <c r="Z33" s="331"/>
      <c r="AA33" s="331">
        <f t="shared" si="15"/>
        <v>0</v>
      </c>
      <c r="AB33" s="331"/>
      <c r="AC33" s="331"/>
      <c r="AD33" s="331"/>
      <c r="AE33" s="331">
        <f>SUM(AB33:AD33)</f>
        <v>0</v>
      </c>
      <c r="AF33" s="331"/>
      <c r="AG33" s="331"/>
      <c r="AH33" s="331"/>
      <c r="AI33" s="331">
        <f t="shared" si="16"/>
        <v>0</v>
      </c>
      <c r="AJ33" s="331"/>
      <c r="AK33" s="331"/>
      <c r="AL33" s="331"/>
      <c r="AM33" s="331">
        <f t="shared" si="17"/>
        <v>0</v>
      </c>
      <c r="AN33" s="322"/>
      <c r="AO33" s="5">
        <f t="shared" si="8"/>
        <v>0</v>
      </c>
      <c r="AP33" s="5" t="str">
        <f t="shared" si="5"/>
        <v>0</v>
      </c>
      <c r="AQ33" s="5" t="str">
        <f t="shared" si="6"/>
        <v>0</v>
      </c>
    </row>
    <row r="34" spans="1:43" ht="18.75" customHeight="1" x14ac:dyDescent="0.25">
      <c r="A34" s="5" t="str">
        <f t="shared" si="3"/>
        <v>a</v>
      </c>
      <c r="B34" s="347">
        <v>2</v>
      </c>
      <c r="C34" s="336" t="s">
        <v>444</v>
      </c>
      <c r="D34" s="336"/>
      <c r="E34" s="336"/>
      <c r="F34" s="407"/>
      <c r="G34" s="407"/>
      <c r="H34" s="407"/>
      <c r="I34" s="407"/>
      <c r="J34" s="407"/>
      <c r="K34" s="407"/>
      <c r="L34" s="407"/>
      <c r="M34" s="407"/>
      <c r="N34" s="407"/>
      <c r="O34" s="407"/>
      <c r="P34" s="407"/>
      <c r="Q34" s="407"/>
      <c r="R34" s="407"/>
      <c r="S34" s="407"/>
      <c r="T34" s="407"/>
      <c r="U34" s="407"/>
      <c r="V34" s="409">
        <f t="shared" si="14"/>
        <v>165000</v>
      </c>
      <c r="W34" s="409"/>
      <c r="X34" s="410">
        <f t="shared" ref="X34:AM34" si="20">X35+X36</f>
        <v>14700</v>
      </c>
      <c r="Y34" s="410">
        <f t="shared" si="20"/>
        <v>9200</v>
      </c>
      <c r="Z34" s="410">
        <f t="shared" si="20"/>
        <v>15600</v>
      </c>
      <c r="AA34" s="410">
        <f t="shared" si="20"/>
        <v>39500</v>
      </c>
      <c r="AB34" s="410">
        <f t="shared" si="20"/>
        <v>15100</v>
      </c>
      <c r="AC34" s="410">
        <f t="shared" si="20"/>
        <v>15000</v>
      </c>
      <c r="AD34" s="410">
        <f t="shared" si="20"/>
        <v>14400</v>
      </c>
      <c r="AE34" s="410">
        <f t="shared" si="20"/>
        <v>44500</v>
      </c>
      <c r="AF34" s="410">
        <f t="shared" si="20"/>
        <v>14300</v>
      </c>
      <c r="AG34" s="410">
        <f t="shared" si="20"/>
        <v>13800</v>
      </c>
      <c r="AH34" s="410">
        <f t="shared" si="20"/>
        <v>13300</v>
      </c>
      <c r="AI34" s="410">
        <f t="shared" si="20"/>
        <v>41400</v>
      </c>
      <c r="AJ34" s="410">
        <f t="shared" si="20"/>
        <v>14300</v>
      </c>
      <c r="AK34" s="410">
        <f t="shared" si="20"/>
        <v>13200</v>
      </c>
      <c r="AL34" s="410">
        <f t="shared" si="20"/>
        <v>12100</v>
      </c>
      <c r="AM34" s="410">
        <f t="shared" si="20"/>
        <v>39600</v>
      </c>
      <c r="AN34" s="1015">
        <f>V34/$AN$17</f>
        <v>563.13993174061432</v>
      </c>
      <c r="AO34" s="5" t="s">
        <v>286</v>
      </c>
      <c r="AP34" s="5" t="str">
        <f t="shared" ref="AP34:AP43" si="21">AO34&amp;K34</f>
        <v>KT2.</v>
      </c>
      <c r="AQ34" s="5" t="str">
        <f t="shared" si="6"/>
        <v>KT2.PX KT2</v>
      </c>
    </row>
    <row r="35" spans="1:43" ht="18.75" customHeight="1" x14ac:dyDescent="0.25">
      <c r="A35" s="5" t="str">
        <f t="shared" si="3"/>
        <v>a</v>
      </c>
      <c r="B35" s="345" t="s">
        <v>8</v>
      </c>
      <c r="C35" s="336" t="s">
        <v>471</v>
      </c>
      <c r="D35" s="336"/>
      <c r="E35" s="336"/>
      <c r="F35" s="408"/>
      <c r="G35" s="408"/>
      <c r="H35" s="413"/>
      <c r="I35" s="413"/>
      <c r="J35" s="413"/>
      <c r="K35" s="408" t="s">
        <v>493</v>
      </c>
      <c r="L35" s="413"/>
      <c r="M35" s="413"/>
      <c r="N35" s="413"/>
      <c r="O35" s="413"/>
      <c r="P35" s="413"/>
      <c r="Q35" s="413"/>
      <c r="R35" s="413"/>
      <c r="S35" s="413"/>
      <c r="T35" s="413"/>
      <c r="U35" s="413"/>
      <c r="V35" s="409">
        <f t="shared" si="14"/>
        <v>2700</v>
      </c>
      <c r="W35" s="409"/>
      <c r="X35" s="410">
        <f>KH_ĐL!BK30</f>
        <v>1000</v>
      </c>
      <c r="Y35" s="410">
        <f>KH_ĐL!BL30</f>
        <v>400</v>
      </c>
      <c r="Z35" s="410">
        <f>KH_ĐL!BM30</f>
        <v>600</v>
      </c>
      <c r="AA35" s="410">
        <f>KH_ĐL!BN30</f>
        <v>2000</v>
      </c>
      <c r="AB35" s="410">
        <f>KH_ĐL!BO30</f>
        <v>600</v>
      </c>
      <c r="AC35" s="410">
        <f>KH_ĐL!BP30</f>
        <v>0</v>
      </c>
      <c r="AD35" s="410">
        <f>KH_ĐL!BQ30</f>
        <v>100</v>
      </c>
      <c r="AE35" s="410">
        <f>KH_ĐL!BR30</f>
        <v>700</v>
      </c>
      <c r="AF35" s="410">
        <f>KH_ĐL!BS30</f>
        <v>0</v>
      </c>
      <c r="AG35" s="410">
        <f>KH_ĐL!BT30</f>
        <v>0</v>
      </c>
      <c r="AH35" s="410">
        <f>KH_ĐL!BU30</f>
        <v>0</v>
      </c>
      <c r="AI35" s="410">
        <f>KH_ĐL!BV30-100</f>
        <v>0</v>
      </c>
      <c r="AJ35" s="410">
        <f>KH_ĐL!BW30</f>
        <v>0</v>
      </c>
      <c r="AK35" s="410">
        <f>KH_ĐL!BX30</f>
        <v>0</v>
      </c>
      <c r="AL35" s="410">
        <f>KH_ĐL!BY30</f>
        <v>0</v>
      </c>
      <c r="AM35" s="410">
        <f>KH_ĐL!BZ30</f>
        <v>0</v>
      </c>
      <c r="AN35" s="322"/>
      <c r="AO35" s="1" t="str">
        <f>AO34</f>
        <v>KT2.</v>
      </c>
      <c r="AP35" s="5" t="str">
        <f t="shared" si="21"/>
        <v>KT2.ĐX</v>
      </c>
      <c r="AQ35" s="5" t="str">
        <f t="shared" si="6"/>
        <v>KT2.SL đào, xén lò</v>
      </c>
    </row>
    <row r="36" spans="1:43" ht="18.75" customHeight="1" x14ac:dyDescent="0.25">
      <c r="A36" s="5" t="str">
        <f t="shared" si="3"/>
        <v>a</v>
      </c>
      <c r="B36" s="345" t="s">
        <v>37</v>
      </c>
      <c r="C36" s="336" t="s">
        <v>257</v>
      </c>
      <c r="D36" s="336"/>
      <c r="E36" s="336"/>
      <c r="F36" s="408"/>
      <c r="G36" s="408"/>
      <c r="H36" s="413"/>
      <c r="I36" s="413"/>
      <c r="J36" s="413"/>
      <c r="K36" s="413"/>
      <c r="L36" s="413"/>
      <c r="M36" s="413"/>
      <c r="N36" s="413"/>
      <c r="O36" s="413"/>
      <c r="P36" s="413"/>
      <c r="Q36" s="413"/>
      <c r="R36" s="413"/>
      <c r="S36" s="413"/>
      <c r="T36" s="413"/>
      <c r="U36" s="413"/>
      <c r="V36" s="410">
        <f>SUM(V37:V43)</f>
        <v>162300</v>
      </c>
      <c r="W36" s="410"/>
      <c r="X36" s="410">
        <f t="shared" ref="X36:AM36" si="22">SUM(X37:X43)</f>
        <v>13700</v>
      </c>
      <c r="Y36" s="410">
        <f t="shared" si="22"/>
        <v>8800</v>
      </c>
      <c r="Z36" s="410">
        <f t="shared" si="22"/>
        <v>15000</v>
      </c>
      <c r="AA36" s="410">
        <f t="shared" si="22"/>
        <v>37500</v>
      </c>
      <c r="AB36" s="410">
        <f t="shared" si="22"/>
        <v>14500</v>
      </c>
      <c r="AC36" s="410">
        <f t="shared" si="22"/>
        <v>15000</v>
      </c>
      <c r="AD36" s="410">
        <f t="shared" si="22"/>
        <v>14300</v>
      </c>
      <c r="AE36" s="410">
        <f t="shared" si="22"/>
        <v>43800</v>
      </c>
      <c r="AF36" s="410">
        <f t="shared" si="22"/>
        <v>14300</v>
      </c>
      <c r="AG36" s="410">
        <f t="shared" si="22"/>
        <v>13800</v>
      </c>
      <c r="AH36" s="410">
        <f t="shared" si="22"/>
        <v>13300</v>
      </c>
      <c r="AI36" s="410">
        <f t="shared" si="22"/>
        <v>41400</v>
      </c>
      <c r="AJ36" s="410">
        <f t="shared" si="22"/>
        <v>14300</v>
      </c>
      <c r="AK36" s="410">
        <f t="shared" si="22"/>
        <v>13200</v>
      </c>
      <c r="AL36" s="410">
        <f t="shared" si="22"/>
        <v>12100</v>
      </c>
      <c r="AM36" s="410">
        <f t="shared" si="22"/>
        <v>39600</v>
      </c>
      <c r="AN36" s="322"/>
      <c r="AO36" s="1" t="str">
        <f t="shared" ref="AO36:AO43" si="23">AO35</f>
        <v>KT2.</v>
      </c>
      <c r="AP36" s="5" t="str">
        <f t="shared" si="21"/>
        <v>KT2.</v>
      </c>
      <c r="AQ36" s="5" t="str">
        <f t="shared" si="6"/>
        <v>KT2.KT Lò chợ</v>
      </c>
    </row>
    <row r="37" spans="1:43" ht="18.75" customHeight="1" x14ac:dyDescent="0.25">
      <c r="A37" s="5" t="str">
        <f t="shared" si="3"/>
        <v>a</v>
      </c>
      <c r="B37" s="346"/>
      <c r="C37" s="336" t="s">
        <v>466</v>
      </c>
      <c r="D37" s="412">
        <v>6635</v>
      </c>
      <c r="E37" s="337">
        <v>20</v>
      </c>
      <c r="F37" s="413">
        <f>1/COS($E37*PI()/180)*$D37/G37</f>
        <v>88.26024400472096</v>
      </c>
      <c r="G37" s="408">
        <v>80</v>
      </c>
      <c r="H37" s="408">
        <v>5.2</v>
      </c>
      <c r="I37" s="408">
        <v>1.6</v>
      </c>
      <c r="J37" s="413">
        <f>ROUND(1/COS($E37*PI()/180)*$D37*H37*I37,-2)</f>
        <v>58700</v>
      </c>
      <c r="K37" s="413" t="s">
        <v>301</v>
      </c>
      <c r="L37" s="413">
        <f t="shared" ref="L37:M40" si="24">D37</f>
        <v>6635</v>
      </c>
      <c r="M37" s="413">
        <f t="shared" si="24"/>
        <v>20</v>
      </c>
      <c r="N37" s="408">
        <f>ROUND(V37/J37*F37,0)</f>
        <v>88</v>
      </c>
      <c r="O37" s="408">
        <f t="shared" ref="O37:P40" si="25">G37</f>
        <v>80</v>
      </c>
      <c r="P37" s="408">
        <f t="shared" si="25"/>
        <v>5.2</v>
      </c>
      <c r="Q37" s="408">
        <v>2.2000000000000002</v>
      </c>
      <c r="R37" s="414">
        <f>P37-Q37</f>
        <v>3</v>
      </c>
      <c r="S37" s="408">
        <f>I37</f>
        <v>1.6</v>
      </c>
      <c r="T37" s="413">
        <f>V37-U37</f>
        <v>33700</v>
      </c>
      <c r="U37" s="413">
        <f>ROUND(N37*O37*R37*S37*0.75,-3)</f>
        <v>25000</v>
      </c>
      <c r="V37" s="413">
        <f>AA37+AE37+AI37+AM37</f>
        <v>58700</v>
      </c>
      <c r="W37" s="413">
        <f>J37-V37</f>
        <v>0</v>
      </c>
      <c r="X37" s="331">
        <v>9200</v>
      </c>
      <c r="Y37" s="331">
        <v>5900</v>
      </c>
      <c r="Z37" s="331">
        <v>10900</v>
      </c>
      <c r="AA37" s="331">
        <f>SUM(X37:Z37)</f>
        <v>26000</v>
      </c>
      <c r="AB37" s="331">
        <f>600*AB17+100</f>
        <v>14500</v>
      </c>
      <c r="AC37" s="331">
        <f>600*AC17</f>
        <v>15000</v>
      </c>
      <c r="AD37" s="331">
        <v>3200</v>
      </c>
      <c r="AE37" s="331">
        <f>SUM(AB37:AD37)</f>
        <v>32700</v>
      </c>
      <c r="AF37" s="331"/>
      <c r="AG37" s="331"/>
      <c r="AH37" s="331"/>
      <c r="AI37" s="331">
        <f>SUM(AF37:AH37)</f>
        <v>0</v>
      </c>
      <c r="AJ37" s="331"/>
      <c r="AK37" s="331"/>
      <c r="AL37" s="331"/>
      <c r="AM37" s="331">
        <f>SUM(AJ37:AL37)</f>
        <v>0</v>
      </c>
      <c r="AN37" s="1016">
        <f>(V39+V38+V37)/$AN$17</f>
        <v>553.92491467576792</v>
      </c>
      <c r="AO37" s="1" t="str">
        <f t="shared" si="23"/>
        <v>KT2.</v>
      </c>
      <c r="AP37" s="5" t="str">
        <f t="shared" si="21"/>
        <v>KT2.GX</v>
      </c>
      <c r="AQ37" s="5" t="str">
        <f t="shared" si="6"/>
        <v>KT2.LC N-6-5/V6KN</v>
      </c>
    </row>
    <row r="38" spans="1:43" ht="18.75" customHeight="1" x14ac:dyDescent="0.25">
      <c r="A38" s="5" t="str">
        <f t="shared" si="3"/>
        <v>a</v>
      </c>
      <c r="B38" s="346"/>
      <c r="C38" s="336" t="s">
        <v>467</v>
      </c>
      <c r="D38" s="412">
        <v>1300</v>
      </c>
      <c r="E38" s="337">
        <v>20</v>
      </c>
      <c r="F38" s="413">
        <f>1/COS($E38*PI()/180)*$D38/G38</f>
        <v>16.871111027057143</v>
      </c>
      <c r="G38" s="408">
        <v>82</v>
      </c>
      <c r="H38" s="408">
        <f>H37</f>
        <v>5.2</v>
      </c>
      <c r="I38" s="408">
        <v>1.6</v>
      </c>
      <c r="J38" s="413">
        <f>ROUND(1/COS($E38*PI()/180)*$D38*H38*I38,-2)</f>
        <v>11500</v>
      </c>
      <c r="K38" s="413" t="s">
        <v>301</v>
      </c>
      <c r="L38" s="413">
        <f t="shared" si="24"/>
        <v>1300</v>
      </c>
      <c r="M38" s="413">
        <f t="shared" si="24"/>
        <v>20</v>
      </c>
      <c r="N38" s="408">
        <f>ROUND(V38/J38*F38,0)</f>
        <v>17</v>
      </c>
      <c r="O38" s="408">
        <f t="shared" si="25"/>
        <v>82</v>
      </c>
      <c r="P38" s="408">
        <f t="shared" si="25"/>
        <v>5.2</v>
      </c>
      <c r="Q38" s="408">
        <v>2.2000000000000002</v>
      </c>
      <c r="R38" s="414">
        <f>P38-Q38</f>
        <v>3</v>
      </c>
      <c r="S38" s="408">
        <f>I38</f>
        <v>1.6</v>
      </c>
      <c r="T38" s="413">
        <f>V38-U38</f>
        <v>6500</v>
      </c>
      <c r="U38" s="413">
        <f>ROUND(N38*O38*R38*S38*0.75,-3)</f>
        <v>5000</v>
      </c>
      <c r="V38" s="413">
        <f t="shared" ref="V38:V43" si="26">AA38+AE38+AI38+AM38</f>
        <v>11500</v>
      </c>
      <c r="W38" s="413">
        <f>J38-V38</f>
        <v>0</v>
      </c>
      <c r="X38" s="417">
        <v>4500</v>
      </c>
      <c r="Y38" s="331">
        <v>2900</v>
      </c>
      <c r="Z38" s="331">
        <f>J38-X38-Y38</f>
        <v>4100</v>
      </c>
      <c r="AA38" s="331">
        <f t="shared" ref="AA38:AA43" si="27">SUM(X38:Z38)</f>
        <v>11500</v>
      </c>
      <c r="AB38" s="331"/>
      <c r="AC38" s="331"/>
      <c r="AD38" s="331"/>
      <c r="AE38" s="331">
        <f t="shared" ref="AE38:AE43" si="28">SUM(AB38:AD38)</f>
        <v>0</v>
      </c>
      <c r="AF38" s="331"/>
      <c r="AG38" s="417"/>
      <c r="AH38" s="331"/>
      <c r="AI38" s="331">
        <f t="shared" ref="AI38:AI43" si="29">SUM(AF38:AH38)</f>
        <v>0</v>
      </c>
      <c r="AJ38" s="331"/>
      <c r="AK38" s="331"/>
      <c r="AL38" s="331"/>
      <c r="AM38" s="331">
        <f t="shared" ref="AM38:AM43" si="30">SUM(AJ38:AL38)</f>
        <v>0</v>
      </c>
      <c r="AN38" s="322"/>
      <c r="AO38" s="1" t="str">
        <f t="shared" si="23"/>
        <v>KT2.</v>
      </c>
      <c r="AP38" s="5" t="str">
        <f t="shared" si="21"/>
        <v>KT2.GX</v>
      </c>
      <c r="AQ38" s="5" t="str">
        <f t="shared" si="6"/>
        <v>KT2.LC N-6-5.1/V6KN</v>
      </c>
    </row>
    <row r="39" spans="1:43" ht="21.75" customHeight="1" x14ac:dyDescent="0.25">
      <c r="A39" s="5" t="str">
        <f t="shared" si="3"/>
        <v>a</v>
      </c>
      <c r="B39" s="346"/>
      <c r="C39" s="336" t="s">
        <v>604</v>
      </c>
      <c r="D39" s="412">
        <v>28800</v>
      </c>
      <c r="E39" s="337">
        <v>16</v>
      </c>
      <c r="F39" s="413">
        <f>1/COS($E39*PI()/180)*$D39/G39</f>
        <v>312.08983075848062</v>
      </c>
      <c r="G39" s="408">
        <v>96</v>
      </c>
      <c r="H39" s="408">
        <v>5.12</v>
      </c>
      <c r="I39" s="408">
        <v>1.6</v>
      </c>
      <c r="J39" s="413">
        <f>ROUND(1/COS($E39*PI()/180)*$D39*H39*I39,-2)</f>
        <v>245400</v>
      </c>
      <c r="K39" s="413" t="s">
        <v>301</v>
      </c>
      <c r="L39" s="413">
        <f t="shared" si="24"/>
        <v>28800</v>
      </c>
      <c r="M39" s="413">
        <f t="shared" si="24"/>
        <v>16</v>
      </c>
      <c r="N39" s="408">
        <f>ROUND(V39/J39*F39,0)</f>
        <v>117</v>
      </c>
      <c r="O39" s="408">
        <f t="shared" si="25"/>
        <v>96</v>
      </c>
      <c r="P39" s="408">
        <f t="shared" si="25"/>
        <v>5.12</v>
      </c>
      <c r="Q39" s="408">
        <v>2.2000000000000002</v>
      </c>
      <c r="R39" s="414">
        <f>P39-Q39</f>
        <v>2.92</v>
      </c>
      <c r="S39" s="408">
        <f>I39</f>
        <v>1.6</v>
      </c>
      <c r="T39" s="413">
        <f>ROUND(N39*O39*Q39*0.95*S39,-3)</f>
        <v>38000</v>
      </c>
      <c r="U39" s="413">
        <f>V39-T39</f>
        <v>54100</v>
      </c>
      <c r="V39" s="413">
        <f t="shared" si="26"/>
        <v>92100</v>
      </c>
      <c r="W39" s="413">
        <f>J39-V39</f>
        <v>153300</v>
      </c>
      <c r="X39" s="415"/>
      <c r="Y39" s="415"/>
      <c r="Z39" s="331"/>
      <c r="AA39" s="331">
        <f t="shared" si="27"/>
        <v>0</v>
      </c>
      <c r="AB39" s="331"/>
      <c r="AC39" s="331"/>
      <c r="AD39" s="331">
        <f>550*AD17-3200</f>
        <v>11100</v>
      </c>
      <c r="AE39" s="331">
        <f>SUM(AB39:AD39)</f>
        <v>11100</v>
      </c>
      <c r="AF39" s="331">
        <f>ROUND(530*AF17,-2)</f>
        <v>14300</v>
      </c>
      <c r="AG39" s="331">
        <f>ROUND(530*AG17,-2)</f>
        <v>13800</v>
      </c>
      <c r="AH39" s="331">
        <f>ROUND(530*AH17,-2)</f>
        <v>13300</v>
      </c>
      <c r="AI39" s="331">
        <f t="shared" si="29"/>
        <v>41400</v>
      </c>
      <c r="AJ39" s="331">
        <f>ROUND(550*AJ17,-2)</f>
        <v>14300</v>
      </c>
      <c r="AK39" s="331">
        <f>ROUND(550*AK17,-2)</f>
        <v>13200</v>
      </c>
      <c r="AL39" s="331">
        <f>ROUND(550*AL17,-2)</f>
        <v>12100</v>
      </c>
      <c r="AM39" s="331">
        <f t="shared" si="30"/>
        <v>39600</v>
      </c>
      <c r="AN39" s="322"/>
      <c r="AO39" s="1" t="str">
        <f t="shared" si="23"/>
        <v>KT2.</v>
      </c>
      <c r="AP39" s="5" t="str">
        <f t="shared" si="21"/>
        <v>KT2.GX</v>
      </c>
      <c r="AQ39" s="5" t="str">
        <f t="shared" si="6"/>
        <v>KT2.LC N-6-5/V6KN(GD2)</v>
      </c>
    </row>
    <row r="40" spans="1:43" ht="18.75" hidden="1" customHeight="1" x14ac:dyDescent="0.25">
      <c r="A40" s="5" t="str">
        <f t="shared" si="3"/>
        <v>a</v>
      </c>
      <c r="B40" s="347"/>
      <c r="C40" s="336"/>
      <c r="D40" s="412"/>
      <c r="E40" s="337"/>
      <c r="F40" s="413" t="e">
        <f>1/COS($E40*PI()/180)*$D40/G40</f>
        <v>#DIV/0!</v>
      </c>
      <c r="G40" s="408"/>
      <c r="H40" s="408"/>
      <c r="I40" s="408">
        <v>1.63</v>
      </c>
      <c r="J40" s="413">
        <f>ROUND(1/COS($E40*PI()/180)*$D40*H40*I40,-2)</f>
        <v>0</v>
      </c>
      <c r="K40" s="413"/>
      <c r="L40" s="413">
        <f t="shared" si="24"/>
        <v>0</v>
      </c>
      <c r="M40" s="413">
        <f t="shared" si="24"/>
        <v>0</v>
      </c>
      <c r="N40" s="407"/>
      <c r="O40" s="408">
        <f t="shared" si="25"/>
        <v>0</v>
      </c>
      <c r="P40" s="408">
        <f t="shared" si="25"/>
        <v>0</v>
      </c>
      <c r="Q40" s="408">
        <v>2.2000000000000002</v>
      </c>
      <c r="R40" s="414">
        <f>P40-Q40</f>
        <v>-2.2000000000000002</v>
      </c>
      <c r="S40" s="408">
        <f>I40</f>
        <v>1.63</v>
      </c>
      <c r="T40" s="413">
        <f>ROUND(N40*O40*Q40*0.95*S40,-3)</f>
        <v>0</v>
      </c>
      <c r="U40" s="413">
        <f>V40-T40</f>
        <v>0</v>
      </c>
      <c r="V40" s="413">
        <f t="shared" si="26"/>
        <v>0</v>
      </c>
      <c r="W40" s="413"/>
      <c r="X40" s="415"/>
      <c r="Y40" s="415"/>
      <c r="Z40" s="331"/>
      <c r="AA40" s="331">
        <f t="shared" si="27"/>
        <v>0</v>
      </c>
      <c r="AB40" s="331"/>
      <c r="AC40" s="331"/>
      <c r="AD40" s="331"/>
      <c r="AE40" s="331">
        <f t="shared" si="28"/>
        <v>0</v>
      </c>
      <c r="AF40" s="331"/>
      <c r="AG40" s="331"/>
      <c r="AH40" s="331"/>
      <c r="AI40" s="331">
        <f t="shared" si="29"/>
        <v>0</v>
      </c>
      <c r="AJ40" s="331"/>
      <c r="AK40" s="331"/>
      <c r="AL40" s="331"/>
      <c r="AM40" s="331">
        <f t="shared" si="30"/>
        <v>0</v>
      </c>
      <c r="AN40" s="322"/>
      <c r="AO40" s="1" t="str">
        <f t="shared" si="23"/>
        <v>KT2.</v>
      </c>
      <c r="AP40" s="5" t="str">
        <f t="shared" si="21"/>
        <v>KT2.</v>
      </c>
      <c r="AQ40" s="5" t="str">
        <f t="shared" si="6"/>
        <v>KT2.</v>
      </c>
    </row>
    <row r="41" spans="1:43" ht="18.75" hidden="1" customHeight="1" x14ac:dyDescent="0.25">
      <c r="A41" s="5" t="str">
        <f t="shared" si="3"/>
        <v>a</v>
      </c>
      <c r="B41" s="345"/>
      <c r="C41" s="336"/>
      <c r="D41" s="336"/>
      <c r="E41" s="336"/>
      <c r="F41" s="408"/>
      <c r="G41" s="408"/>
      <c r="H41" s="407"/>
      <c r="I41" s="407"/>
      <c r="J41" s="407"/>
      <c r="K41" s="407"/>
      <c r="L41" s="407"/>
      <c r="M41" s="407"/>
      <c r="N41" s="407"/>
      <c r="O41" s="407"/>
      <c r="P41" s="407"/>
      <c r="Q41" s="407"/>
      <c r="R41" s="407"/>
      <c r="S41" s="407"/>
      <c r="T41" s="407"/>
      <c r="U41" s="407"/>
      <c r="V41" s="413">
        <f t="shared" si="26"/>
        <v>0</v>
      </c>
      <c r="W41" s="413"/>
      <c r="X41" s="415"/>
      <c r="Y41" s="415"/>
      <c r="Z41" s="331"/>
      <c r="AA41" s="331">
        <f t="shared" si="27"/>
        <v>0</v>
      </c>
      <c r="AB41" s="331"/>
      <c r="AC41" s="331"/>
      <c r="AD41" s="331"/>
      <c r="AE41" s="331">
        <f t="shared" si="28"/>
        <v>0</v>
      </c>
      <c r="AF41" s="331"/>
      <c r="AG41" s="331"/>
      <c r="AH41" s="331"/>
      <c r="AI41" s="331">
        <f t="shared" si="29"/>
        <v>0</v>
      </c>
      <c r="AJ41" s="331"/>
      <c r="AK41" s="331"/>
      <c r="AL41" s="331"/>
      <c r="AM41" s="331">
        <f t="shared" si="30"/>
        <v>0</v>
      </c>
      <c r="AN41" s="322"/>
      <c r="AO41" s="1" t="str">
        <f t="shared" si="23"/>
        <v>KT2.</v>
      </c>
      <c r="AP41" s="5" t="str">
        <f t="shared" si="21"/>
        <v>KT2.</v>
      </c>
      <c r="AQ41" s="5" t="str">
        <f t="shared" si="6"/>
        <v>KT2.</v>
      </c>
    </row>
    <row r="42" spans="1:43" ht="18.75" hidden="1" customHeight="1" x14ac:dyDescent="0.25">
      <c r="A42" s="5" t="str">
        <f t="shared" si="3"/>
        <v>a</v>
      </c>
      <c r="B42" s="345"/>
      <c r="C42" s="336"/>
      <c r="D42" s="336"/>
      <c r="E42" s="336"/>
      <c r="F42" s="408"/>
      <c r="G42" s="408"/>
      <c r="H42" s="407"/>
      <c r="I42" s="407"/>
      <c r="J42" s="407"/>
      <c r="K42" s="407"/>
      <c r="L42" s="407"/>
      <c r="M42" s="407"/>
      <c r="N42" s="407"/>
      <c r="O42" s="407"/>
      <c r="P42" s="407"/>
      <c r="Q42" s="407"/>
      <c r="R42" s="407"/>
      <c r="S42" s="407"/>
      <c r="T42" s="407"/>
      <c r="U42" s="407"/>
      <c r="V42" s="413">
        <f t="shared" si="26"/>
        <v>0</v>
      </c>
      <c r="W42" s="413"/>
      <c r="X42" s="415"/>
      <c r="Y42" s="415"/>
      <c r="Z42" s="331"/>
      <c r="AA42" s="331">
        <f t="shared" si="27"/>
        <v>0</v>
      </c>
      <c r="AB42" s="331"/>
      <c r="AC42" s="331"/>
      <c r="AD42" s="331"/>
      <c r="AE42" s="331">
        <f t="shared" si="28"/>
        <v>0</v>
      </c>
      <c r="AF42" s="418"/>
      <c r="AG42" s="331"/>
      <c r="AH42" s="331"/>
      <c r="AI42" s="331">
        <f t="shared" si="29"/>
        <v>0</v>
      </c>
      <c r="AJ42" s="331"/>
      <c r="AK42" s="331"/>
      <c r="AL42" s="331"/>
      <c r="AM42" s="331">
        <f t="shared" si="30"/>
        <v>0</v>
      </c>
      <c r="AN42" s="322"/>
      <c r="AO42" s="1" t="str">
        <f t="shared" si="23"/>
        <v>KT2.</v>
      </c>
      <c r="AP42" s="5" t="str">
        <f t="shared" si="21"/>
        <v>KT2.</v>
      </c>
      <c r="AQ42" s="5" t="str">
        <f t="shared" si="6"/>
        <v>KT2.</v>
      </c>
    </row>
    <row r="43" spans="1:43" ht="18.75" hidden="1" customHeight="1" x14ac:dyDescent="0.25">
      <c r="A43" s="5" t="str">
        <f t="shared" si="3"/>
        <v>a</v>
      </c>
      <c r="B43" s="345"/>
      <c r="C43" s="336"/>
      <c r="D43" s="336"/>
      <c r="E43" s="336"/>
      <c r="F43" s="408"/>
      <c r="G43" s="408"/>
      <c r="H43" s="407"/>
      <c r="I43" s="407"/>
      <c r="J43" s="407"/>
      <c r="K43" s="407"/>
      <c r="L43" s="407"/>
      <c r="M43" s="407"/>
      <c r="N43" s="407"/>
      <c r="O43" s="407"/>
      <c r="P43" s="407"/>
      <c r="Q43" s="407"/>
      <c r="R43" s="407"/>
      <c r="S43" s="407"/>
      <c r="T43" s="407"/>
      <c r="U43" s="407"/>
      <c r="V43" s="413">
        <f t="shared" si="26"/>
        <v>0</v>
      </c>
      <c r="W43" s="413"/>
      <c r="X43" s="415"/>
      <c r="Y43" s="415"/>
      <c r="Z43" s="331"/>
      <c r="AA43" s="331">
        <f t="shared" si="27"/>
        <v>0</v>
      </c>
      <c r="AB43" s="331"/>
      <c r="AC43" s="331"/>
      <c r="AD43" s="331"/>
      <c r="AE43" s="331">
        <f t="shared" si="28"/>
        <v>0</v>
      </c>
      <c r="AF43" s="331"/>
      <c r="AG43" s="331"/>
      <c r="AH43" s="331"/>
      <c r="AI43" s="331">
        <f t="shared" si="29"/>
        <v>0</v>
      </c>
      <c r="AJ43" s="331"/>
      <c r="AK43" s="331"/>
      <c r="AL43" s="331"/>
      <c r="AM43" s="331">
        <f t="shared" si="30"/>
        <v>0</v>
      </c>
      <c r="AN43" s="322"/>
      <c r="AO43" s="1" t="str">
        <f t="shared" si="23"/>
        <v>KT2.</v>
      </c>
      <c r="AP43" s="5" t="str">
        <f t="shared" si="21"/>
        <v>KT2.</v>
      </c>
      <c r="AQ43" s="5" t="str">
        <f t="shared" si="6"/>
        <v>KT2.</v>
      </c>
    </row>
    <row r="44" spans="1:43" ht="18.75" customHeight="1" x14ac:dyDescent="0.25">
      <c r="A44" s="5" t="str">
        <f t="shared" si="3"/>
        <v>a</v>
      </c>
      <c r="B44" s="347">
        <v>3</v>
      </c>
      <c r="C44" s="336" t="s">
        <v>445</v>
      </c>
      <c r="D44" s="336"/>
      <c r="E44" s="336"/>
      <c r="F44" s="407"/>
      <c r="G44" s="407"/>
      <c r="H44" s="407"/>
      <c r="I44" s="407"/>
      <c r="J44" s="407"/>
      <c r="K44" s="407"/>
      <c r="L44" s="407"/>
      <c r="M44" s="407"/>
      <c r="N44" s="407"/>
      <c r="O44" s="407"/>
      <c r="P44" s="407"/>
      <c r="Q44" s="407"/>
      <c r="R44" s="407"/>
      <c r="S44" s="407"/>
      <c r="T44" s="407"/>
      <c r="U44" s="407"/>
      <c r="V44" s="409">
        <f>AA44+AE44+AI44+AM44</f>
        <v>125100</v>
      </c>
      <c r="W44" s="409"/>
      <c r="X44" s="410">
        <f t="shared" ref="X44:AM44" si="31">X45+X46</f>
        <v>11200</v>
      </c>
      <c r="Y44" s="410">
        <f t="shared" si="31"/>
        <v>7000</v>
      </c>
      <c r="Z44" s="410">
        <f t="shared" si="31"/>
        <v>10200</v>
      </c>
      <c r="AA44" s="410">
        <f t="shared" si="31"/>
        <v>28400</v>
      </c>
      <c r="AB44" s="410">
        <f t="shared" si="31"/>
        <v>10500</v>
      </c>
      <c r="AC44" s="410">
        <f t="shared" si="31"/>
        <v>10800</v>
      </c>
      <c r="AD44" s="410">
        <f t="shared" si="31"/>
        <v>13700</v>
      </c>
      <c r="AE44" s="410">
        <f t="shared" si="31"/>
        <v>35000</v>
      </c>
      <c r="AF44" s="410">
        <f t="shared" si="31"/>
        <v>12800</v>
      </c>
      <c r="AG44" s="410">
        <f t="shared" si="31"/>
        <v>13700</v>
      </c>
      <c r="AH44" s="410">
        <f t="shared" si="31"/>
        <v>10500</v>
      </c>
      <c r="AI44" s="410">
        <f t="shared" si="31"/>
        <v>37000</v>
      </c>
      <c r="AJ44" s="410">
        <f t="shared" si="31"/>
        <v>11100</v>
      </c>
      <c r="AK44" s="410">
        <f t="shared" si="31"/>
        <v>3600</v>
      </c>
      <c r="AL44" s="410">
        <f t="shared" si="31"/>
        <v>10000</v>
      </c>
      <c r="AM44" s="410">
        <f t="shared" si="31"/>
        <v>24700</v>
      </c>
      <c r="AN44" s="322"/>
      <c r="AO44" s="5" t="s">
        <v>287</v>
      </c>
      <c r="AP44" s="5" t="str">
        <f t="shared" ref="AP44:AP51" si="32">AO44&amp;K44</f>
        <v>KT3.</v>
      </c>
      <c r="AQ44" s="5" t="str">
        <f t="shared" si="6"/>
        <v>KT3.PX KT3</v>
      </c>
    </row>
    <row r="45" spans="1:43" ht="18.75" customHeight="1" x14ac:dyDescent="0.25">
      <c r="A45" s="5" t="str">
        <f t="shared" si="3"/>
        <v>a</v>
      </c>
      <c r="B45" s="345" t="s">
        <v>8</v>
      </c>
      <c r="C45" s="336" t="s">
        <v>471</v>
      </c>
      <c r="D45" s="336"/>
      <c r="E45" s="336"/>
      <c r="F45" s="408"/>
      <c r="G45" s="408"/>
      <c r="H45" s="413"/>
      <c r="I45" s="413"/>
      <c r="J45" s="413"/>
      <c r="K45" s="408" t="s">
        <v>493</v>
      </c>
      <c r="L45" s="413"/>
      <c r="M45" s="413"/>
      <c r="N45" s="413"/>
      <c r="O45" s="413"/>
      <c r="P45" s="413"/>
      <c r="Q45" s="413"/>
      <c r="R45" s="413"/>
      <c r="S45" s="413"/>
      <c r="T45" s="413"/>
      <c r="U45" s="413"/>
      <c r="V45" s="409">
        <f>AA45+AE45+AI45+AM45</f>
        <v>9700</v>
      </c>
      <c r="W45" s="409"/>
      <c r="X45" s="410">
        <f>KH_ĐL!BK44</f>
        <v>1400</v>
      </c>
      <c r="Y45" s="410">
        <f>KH_ĐL!BL44</f>
        <v>1200</v>
      </c>
      <c r="Z45" s="410">
        <f>KH_ĐL!BM44</f>
        <v>2100</v>
      </c>
      <c r="AA45" s="410">
        <f>KH_ĐL!BN44-100</f>
        <v>4700</v>
      </c>
      <c r="AB45" s="410">
        <f>KH_ĐL!BO44</f>
        <v>1100</v>
      </c>
      <c r="AC45" s="410">
        <f>KH_ĐL!BP44</f>
        <v>1000</v>
      </c>
      <c r="AD45" s="410">
        <f>KH_ĐL!BQ44</f>
        <v>500</v>
      </c>
      <c r="AE45" s="410">
        <f>KH_ĐL!BR44</f>
        <v>2600</v>
      </c>
      <c r="AF45" s="410">
        <f>KH_ĐL!BS44</f>
        <v>600</v>
      </c>
      <c r="AG45" s="410">
        <f>KH_ĐL!BT44</f>
        <v>900</v>
      </c>
      <c r="AH45" s="410">
        <f>KH_ĐL!BU44</f>
        <v>700</v>
      </c>
      <c r="AI45" s="410">
        <f>KH_ĐL!BV44</f>
        <v>2200</v>
      </c>
      <c r="AJ45" s="410">
        <f>KH_ĐL!BW44</f>
        <v>100</v>
      </c>
      <c r="AK45" s="410">
        <f>KH_ĐL!BX44</f>
        <v>100</v>
      </c>
      <c r="AL45" s="410">
        <f>KH_ĐL!BY44</f>
        <v>0</v>
      </c>
      <c r="AM45" s="410">
        <f>KH_ĐL!BZ44</f>
        <v>200</v>
      </c>
      <c r="AN45" s="322"/>
      <c r="AO45" s="1" t="str">
        <f>AO44</f>
        <v>KT3.</v>
      </c>
      <c r="AP45" s="5" t="str">
        <f t="shared" si="32"/>
        <v>KT3.ĐX</v>
      </c>
      <c r="AQ45" s="5" t="str">
        <f t="shared" si="6"/>
        <v>KT3.SL đào, xén lò</v>
      </c>
    </row>
    <row r="46" spans="1:43" ht="18.75" customHeight="1" x14ac:dyDescent="0.25">
      <c r="A46" s="5" t="str">
        <f t="shared" si="3"/>
        <v>a</v>
      </c>
      <c r="B46" s="345" t="s">
        <v>37</v>
      </c>
      <c r="C46" s="336" t="s">
        <v>257</v>
      </c>
      <c r="D46" s="336"/>
      <c r="E46" s="336"/>
      <c r="F46" s="408"/>
      <c r="G46" s="408"/>
      <c r="H46" s="413"/>
      <c r="I46" s="413"/>
      <c r="J46" s="413"/>
      <c r="K46" s="413"/>
      <c r="L46" s="413"/>
      <c r="M46" s="413"/>
      <c r="N46" s="413"/>
      <c r="O46" s="413"/>
      <c r="P46" s="413"/>
      <c r="Q46" s="413"/>
      <c r="R46" s="413"/>
      <c r="S46" s="413"/>
      <c r="T46" s="413"/>
      <c r="U46" s="413"/>
      <c r="V46" s="410">
        <f>SUM(V47:V60)</f>
        <v>115400</v>
      </c>
      <c r="W46" s="410"/>
      <c r="X46" s="410">
        <f>SUM(X47:X58)</f>
        <v>9800</v>
      </c>
      <c r="Y46" s="410">
        <f>SUM(Y47:Y58)</f>
        <v>5800</v>
      </c>
      <c r="Z46" s="410">
        <f>SUM(Z47:Z58)</f>
        <v>8100</v>
      </c>
      <c r="AA46" s="410">
        <f t="shared" ref="AA46:AL46" si="33">SUM(AA47:AA60)</f>
        <v>23700</v>
      </c>
      <c r="AB46" s="410">
        <f t="shared" si="33"/>
        <v>9400</v>
      </c>
      <c r="AC46" s="410">
        <f t="shared" si="33"/>
        <v>9800</v>
      </c>
      <c r="AD46" s="410">
        <f t="shared" si="33"/>
        <v>13200</v>
      </c>
      <c r="AE46" s="410">
        <f t="shared" si="33"/>
        <v>32400</v>
      </c>
      <c r="AF46" s="410">
        <f t="shared" si="33"/>
        <v>12200</v>
      </c>
      <c r="AG46" s="410">
        <f t="shared" si="33"/>
        <v>12800</v>
      </c>
      <c r="AH46" s="410">
        <f t="shared" si="33"/>
        <v>9800</v>
      </c>
      <c r="AI46" s="410">
        <f t="shared" si="33"/>
        <v>34800</v>
      </c>
      <c r="AJ46" s="410">
        <f t="shared" si="33"/>
        <v>11000</v>
      </c>
      <c r="AK46" s="410">
        <f t="shared" si="33"/>
        <v>3500</v>
      </c>
      <c r="AL46" s="410">
        <f t="shared" si="33"/>
        <v>10000</v>
      </c>
      <c r="AM46" s="410">
        <f>SUM(AM47:AM60)</f>
        <v>24500</v>
      </c>
      <c r="AN46" s="1016">
        <f>(V46)/$AN$17</f>
        <v>393.85665529010237</v>
      </c>
      <c r="AO46" s="1" t="str">
        <f t="shared" ref="AO46:AO60" si="34">AO45</f>
        <v>KT3.</v>
      </c>
      <c r="AP46" s="5" t="str">
        <f t="shared" si="32"/>
        <v>KT3.</v>
      </c>
      <c r="AQ46" s="5" t="str">
        <f t="shared" si="6"/>
        <v>KT3.KT Lò chợ</v>
      </c>
    </row>
    <row r="47" spans="1:43" ht="18.75" customHeight="1" x14ac:dyDescent="0.25">
      <c r="A47" s="5" t="str">
        <f t="shared" si="3"/>
        <v>a</v>
      </c>
      <c r="B47" s="345"/>
      <c r="C47" s="336" t="s">
        <v>486</v>
      </c>
      <c r="D47" s="412">
        <v>1380</v>
      </c>
      <c r="E47" s="337">
        <v>52</v>
      </c>
      <c r="F47" s="413">
        <f>1/COS($E47*PI()/180)*$D47/G47</f>
        <v>37.358192646103113</v>
      </c>
      <c r="G47" s="408">
        <v>60</v>
      </c>
      <c r="H47" s="408">
        <v>3.3</v>
      </c>
      <c r="I47" s="408">
        <v>1.63</v>
      </c>
      <c r="J47" s="413">
        <f>ROUND(1/COS($E47*PI()/180)*$D47*H47*I47,-2)</f>
        <v>12100</v>
      </c>
      <c r="K47" s="413" t="s">
        <v>40</v>
      </c>
      <c r="L47" s="413">
        <f t="shared" ref="L47:M51" si="35">D47</f>
        <v>1380</v>
      </c>
      <c r="M47" s="413">
        <f t="shared" si="35"/>
        <v>52</v>
      </c>
      <c r="N47" s="408">
        <f t="shared" ref="N47:N52" si="36">ROUND(V47/J47*F47,0)</f>
        <v>37</v>
      </c>
      <c r="O47" s="408">
        <f t="shared" ref="O47:P51" si="37">G47</f>
        <v>60</v>
      </c>
      <c r="P47" s="408">
        <f t="shared" si="37"/>
        <v>3.3</v>
      </c>
      <c r="Q47" s="408">
        <v>2.2000000000000002</v>
      </c>
      <c r="R47" s="414">
        <f t="shared" ref="R47:R52" si="38">P47-Q47</f>
        <v>1.0999999999999996</v>
      </c>
      <c r="S47" s="408">
        <f t="shared" ref="S47:S52" si="39">I47</f>
        <v>1.63</v>
      </c>
      <c r="T47" s="413">
        <f t="shared" ref="T47:T52" si="40">V47-U47</f>
        <v>12100</v>
      </c>
      <c r="U47" s="413"/>
      <c r="V47" s="413">
        <f>AA47+AE47+AI47+AM47</f>
        <v>12100</v>
      </c>
      <c r="W47" s="413">
        <f t="shared" ref="W47:W52" si="41">J47-V47</f>
        <v>0</v>
      </c>
      <c r="X47" s="417">
        <f>ROUND(390*X17,-2)</f>
        <v>9800</v>
      </c>
      <c r="Y47" s="417">
        <v>2300</v>
      </c>
      <c r="Z47" s="417" t="s">
        <v>624</v>
      </c>
      <c r="AA47" s="331">
        <f>SUM(X47:Z47)</f>
        <v>12100</v>
      </c>
      <c r="AB47" s="417"/>
      <c r="AC47" s="331"/>
      <c r="AD47" s="331"/>
      <c r="AE47" s="331">
        <f>SUM(AB47:AD47)</f>
        <v>0</v>
      </c>
      <c r="AF47" s="331"/>
      <c r="AG47" s="417"/>
      <c r="AH47" s="331"/>
      <c r="AI47" s="331">
        <f>SUM(AF47:AH47)</f>
        <v>0</v>
      </c>
      <c r="AJ47" s="331"/>
      <c r="AK47" s="331"/>
      <c r="AL47" s="331"/>
      <c r="AM47" s="331">
        <f>SUM(AJ47:AL47)</f>
        <v>0</v>
      </c>
      <c r="AN47" s="322"/>
      <c r="AO47" s="1" t="str">
        <f t="shared" si="34"/>
        <v>KT3.</v>
      </c>
      <c r="AP47" s="5" t="str">
        <f t="shared" si="32"/>
        <v>KT3.ZRY</v>
      </c>
      <c r="AQ47" s="5" t="str">
        <f t="shared" si="6"/>
        <v>KT3.LC N-10-2.2</v>
      </c>
    </row>
    <row r="48" spans="1:43" ht="18.75" customHeight="1" x14ac:dyDescent="0.25">
      <c r="A48" s="5" t="str">
        <f t="shared" si="3"/>
        <v>a</v>
      </c>
      <c r="B48" s="345"/>
      <c r="C48" s="336" t="s">
        <v>622</v>
      </c>
      <c r="D48" s="412">
        <v>4940</v>
      </c>
      <c r="E48" s="337">
        <v>48</v>
      </c>
      <c r="F48" s="413">
        <f>1/COS($E48*PI()/180)*$D48/G48</f>
        <v>105.46734509044525</v>
      </c>
      <c r="G48" s="408">
        <v>70</v>
      </c>
      <c r="H48" s="408">
        <v>2.6</v>
      </c>
      <c r="I48" s="408">
        <v>1.63</v>
      </c>
      <c r="J48" s="413">
        <f>ROUND(1/COS($E48*PI()/180)*$D48*H48*I48,-2)</f>
        <v>31300</v>
      </c>
      <c r="K48" s="413" t="s">
        <v>40</v>
      </c>
      <c r="L48" s="413">
        <f>D48</f>
        <v>4940</v>
      </c>
      <c r="M48" s="413">
        <f>E48</f>
        <v>48</v>
      </c>
      <c r="N48" s="408">
        <f t="shared" si="36"/>
        <v>105</v>
      </c>
      <c r="O48" s="408">
        <f>G48</f>
        <v>70</v>
      </c>
      <c r="P48" s="408">
        <f>H48</f>
        <v>2.6</v>
      </c>
      <c r="Q48" s="408">
        <v>2.2000000000000002</v>
      </c>
      <c r="R48" s="414">
        <f t="shared" si="38"/>
        <v>0.39999999999999991</v>
      </c>
      <c r="S48" s="408">
        <f t="shared" si="39"/>
        <v>1.63</v>
      </c>
      <c r="T48" s="413">
        <f t="shared" si="40"/>
        <v>31300</v>
      </c>
      <c r="U48" s="413"/>
      <c r="V48" s="413">
        <f>AA48+AE48+AI48+AM48</f>
        <v>31300</v>
      </c>
      <c r="W48" s="413">
        <f t="shared" si="41"/>
        <v>0</v>
      </c>
      <c r="X48" s="417"/>
      <c r="Y48" s="938" t="s">
        <v>623</v>
      </c>
      <c r="Z48" s="939"/>
      <c r="AA48" s="331">
        <f>SUM(X48:Z48)</f>
        <v>0</v>
      </c>
      <c r="AB48" s="417">
        <f>ROUND(390*AB17,-2)</f>
        <v>9400</v>
      </c>
      <c r="AC48" s="417">
        <f>ROUND(390*AC17,-2)</f>
        <v>9800</v>
      </c>
      <c r="AD48" s="417">
        <f>ROUND(390*AD17,-2)</f>
        <v>10100</v>
      </c>
      <c r="AE48" s="331">
        <f>SUM(AB48:AD48)</f>
        <v>29300</v>
      </c>
      <c r="AF48" s="331">
        <v>2000</v>
      </c>
      <c r="AG48" s="417"/>
      <c r="AH48" s="331"/>
      <c r="AI48" s="331">
        <f>SUM(AF48:AH48)</f>
        <v>2000</v>
      </c>
      <c r="AJ48" s="331"/>
      <c r="AK48" s="331"/>
      <c r="AL48" s="331"/>
      <c r="AM48" s="331">
        <f>SUM(AJ48:AL48)</f>
        <v>0</v>
      </c>
      <c r="AN48" s="322"/>
      <c r="AO48" s="1" t="str">
        <f t="shared" si="34"/>
        <v>KT3.</v>
      </c>
      <c r="AP48" s="5" t="str">
        <f>AO48&amp;K48</f>
        <v>KT3.ZRY</v>
      </c>
      <c r="AQ48" s="5" t="str">
        <f>AO48&amp;C48</f>
        <v>KT3.LC N-10-2A</v>
      </c>
    </row>
    <row r="49" spans="1:43" ht="18.75" hidden="1" customHeight="1" x14ac:dyDescent="0.25">
      <c r="A49" s="5"/>
      <c r="B49" s="345"/>
      <c r="C49" s="336" t="s">
        <v>627</v>
      </c>
      <c r="D49" s="412">
        <v>10970</v>
      </c>
      <c r="E49" s="337">
        <v>45</v>
      </c>
      <c r="F49" s="413">
        <f>1/COS($E49*PI()/180)*$D49/G49</f>
        <v>282.0713232587791</v>
      </c>
      <c r="G49" s="408">
        <v>55</v>
      </c>
      <c r="H49" s="408">
        <v>3.8</v>
      </c>
      <c r="I49" s="408">
        <v>1.63</v>
      </c>
      <c r="J49" s="413">
        <f>ROUND(1/COS($E49*PI()/180)*$D49*H49*I49,-3)</f>
        <v>96000</v>
      </c>
      <c r="K49" s="413" t="s">
        <v>302</v>
      </c>
      <c r="L49" s="413">
        <f>D49</f>
        <v>10970</v>
      </c>
      <c r="M49" s="413">
        <f>E49</f>
        <v>45</v>
      </c>
      <c r="N49" s="408">
        <f t="shared" si="36"/>
        <v>0</v>
      </c>
      <c r="O49" s="408">
        <f>G49</f>
        <v>55</v>
      </c>
      <c r="P49" s="408">
        <f>H49</f>
        <v>3.8</v>
      </c>
      <c r="Q49" s="408">
        <v>3.2</v>
      </c>
      <c r="R49" s="414">
        <f t="shared" si="38"/>
        <v>0.59999999999999964</v>
      </c>
      <c r="S49" s="408">
        <f t="shared" si="39"/>
        <v>1.63</v>
      </c>
      <c r="T49" s="413">
        <f t="shared" si="40"/>
        <v>0</v>
      </c>
      <c r="U49" s="413">
        <f>ROUND(N49*O49*R49*S49*0.75,-3)</f>
        <v>0</v>
      </c>
      <c r="V49" s="413">
        <f>AA49+AE49+AI49+AM49</f>
        <v>0</v>
      </c>
      <c r="W49" s="413">
        <f t="shared" si="41"/>
        <v>96000</v>
      </c>
      <c r="X49" s="417"/>
      <c r="Y49" s="419"/>
      <c r="Z49" s="420"/>
      <c r="AA49" s="331"/>
      <c r="AB49" s="417"/>
      <c r="AC49" s="417"/>
      <c r="AD49" s="417"/>
      <c r="AE49" s="331"/>
      <c r="AF49" s="331"/>
      <c r="AG49" s="417"/>
      <c r="AH49" s="331"/>
      <c r="AI49" s="331">
        <f>SUM(AF49:AH49)</f>
        <v>0</v>
      </c>
      <c r="AJ49" s="331"/>
      <c r="AK49" s="331"/>
      <c r="AL49" s="331"/>
      <c r="AM49" s="331">
        <f>SUM(AJ49:AL49)</f>
        <v>0</v>
      </c>
      <c r="AN49" s="322"/>
      <c r="AO49" s="1" t="str">
        <f t="shared" si="34"/>
        <v>KT3.</v>
      </c>
      <c r="AP49" s="5" t="str">
        <f>AO49&amp;K49</f>
        <v>KT3.GK</v>
      </c>
      <c r="AQ49" s="5" t="str">
        <f>AO49&amp;C49</f>
        <v>KT3.LC N-9-4</v>
      </c>
    </row>
    <row r="50" spans="1:43" ht="18.75" customHeight="1" x14ac:dyDescent="0.25">
      <c r="A50" s="5" t="str">
        <f>A46</f>
        <v>a</v>
      </c>
      <c r="B50" s="346"/>
      <c r="C50" s="336" t="s">
        <v>487</v>
      </c>
      <c r="D50" s="412">
        <v>1760</v>
      </c>
      <c r="E50" s="337">
        <v>50</v>
      </c>
      <c r="F50" s="413">
        <f>1/COS($E50*PI()/180)*$D50/G50</f>
        <v>60.846087450540573</v>
      </c>
      <c r="G50" s="408">
        <v>45</v>
      </c>
      <c r="H50" s="408">
        <v>2.6</v>
      </c>
      <c r="I50" s="408">
        <v>1.63</v>
      </c>
      <c r="J50" s="413">
        <f>ROUND(1/COS($E50*PI()/180)*$D50*H50*I50,-2)</f>
        <v>11600</v>
      </c>
      <c r="K50" s="413" t="s">
        <v>40</v>
      </c>
      <c r="L50" s="413">
        <f t="shared" si="35"/>
        <v>1760</v>
      </c>
      <c r="M50" s="413">
        <f t="shared" si="35"/>
        <v>50</v>
      </c>
      <c r="N50" s="408">
        <f t="shared" si="36"/>
        <v>61</v>
      </c>
      <c r="O50" s="408">
        <f t="shared" si="37"/>
        <v>45</v>
      </c>
      <c r="P50" s="408">
        <f t="shared" si="37"/>
        <v>2.6</v>
      </c>
      <c r="Q50" s="408">
        <v>2.2000000000000002</v>
      </c>
      <c r="R50" s="414">
        <f t="shared" si="38"/>
        <v>0.39999999999999991</v>
      </c>
      <c r="S50" s="408">
        <f t="shared" si="39"/>
        <v>1.63</v>
      </c>
      <c r="T50" s="413">
        <f t="shared" si="40"/>
        <v>11600</v>
      </c>
      <c r="U50" s="413"/>
      <c r="V50" s="413">
        <f>AA50+AE50+AI50+AM50</f>
        <v>11600</v>
      </c>
      <c r="W50" s="413">
        <f t="shared" si="41"/>
        <v>0</v>
      </c>
      <c r="X50" s="417"/>
      <c r="Y50" s="417">
        <f>ROUND(360*Y17,-2)-2300</f>
        <v>3500</v>
      </c>
      <c r="Z50" s="417">
        <f>ROUND(300*Z17,-2)</f>
        <v>8100</v>
      </c>
      <c r="AA50" s="331">
        <f t="shared" ref="AA50:AA58" si="42">SUM(X50:Z50)</f>
        <v>11600</v>
      </c>
      <c r="AB50" s="331"/>
      <c r="AC50" s="331"/>
      <c r="AD50" s="331"/>
      <c r="AE50" s="331">
        <f t="shared" ref="AE50:AE58" si="43">SUM(AB50:AD50)</f>
        <v>0</v>
      </c>
      <c r="AF50" s="331"/>
      <c r="AG50" s="417"/>
      <c r="AH50" s="331"/>
      <c r="AI50" s="331">
        <f>SUM(AF50:AH50)</f>
        <v>0</v>
      </c>
      <c r="AJ50" s="331"/>
      <c r="AK50" s="331"/>
      <c r="AL50" s="331"/>
      <c r="AM50" s="331">
        <f>SUM(AJ50:AL50)</f>
        <v>0</v>
      </c>
      <c r="AN50" s="322"/>
      <c r="AO50" s="1" t="str">
        <f>AO47</f>
        <v>KT3.</v>
      </c>
      <c r="AP50" s="5" t="str">
        <f t="shared" si="32"/>
        <v>KT3.ZRY</v>
      </c>
      <c r="AQ50" s="5" t="str">
        <f t="shared" si="6"/>
        <v>KT3.LC N-9-3</v>
      </c>
    </row>
    <row r="51" spans="1:43" ht="18.75" customHeight="1" x14ac:dyDescent="0.25">
      <c r="A51" s="5" t="str">
        <f>A47</f>
        <v>a</v>
      </c>
      <c r="B51" s="346"/>
      <c r="C51" s="336" t="s">
        <v>626</v>
      </c>
      <c r="D51" s="412">
        <v>5620</v>
      </c>
      <c r="E51" s="337">
        <v>32</v>
      </c>
      <c r="F51" s="413">
        <f>1/COS($E51*PI()/180)*$D51/G51</f>
        <v>97.455626866102676</v>
      </c>
      <c r="G51" s="408">
        <v>68</v>
      </c>
      <c r="H51" s="421">
        <v>2.42</v>
      </c>
      <c r="I51" s="408">
        <v>1.63</v>
      </c>
      <c r="J51" s="413">
        <f>ROUND(1/COS($E51*PI()/180)*$D51*H51*I51,-2)</f>
        <v>26100</v>
      </c>
      <c r="K51" s="413" t="s">
        <v>302</v>
      </c>
      <c r="L51" s="413">
        <f t="shared" si="35"/>
        <v>5620</v>
      </c>
      <c r="M51" s="413">
        <f t="shared" si="35"/>
        <v>32</v>
      </c>
      <c r="N51" s="408">
        <f t="shared" si="36"/>
        <v>97</v>
      </c>
      <c r="O51" s="408">
        <f t="shared" si="37"/>
        <v>68</v>
      </c>
      <c r="P51" s="408">
        <f t="shared" si="37"/>
        <v>2.42</v>
      </c>
      <c r="Q51" s="408">
        <v>2.2000000000000002</v>
      </c>
      <c r="R51" s="414">
        <f t="shared" si="38"/>
        <v>0.21999999999999975</v>
      </c>
      <c r="S51" s="408">
        <f t="shared" si="39"/>
        <v>1.63</v>
      </c>
      <c r="T51" s="413">
        <f t="shared" si="40"/>
        <v>24100</v>
      </c>
      <c r="U51" s="413">
        <f t="shared" ref="U51:U57" si="44">ROUND(N51*O51*R51*S51*0.75,-3)</f>
        <v>2000</v>
      </c>
      <c r="V51" s="413">
        <f>AA51+AE51+AI51+AM51</f>
        <v>26100</v>
      </c>
      <c r="W51" s="413">
        <f t="shared" si="41"/>
        <v>0</v>
      </c>
      <c r="X51" s="331"/>
      <c r="Y51" s="331"/>
      <c r="Z51" s="417" t="s">
        <v>624</v>
      </c>
      <c r="AA51" s="331">
        <f t="shared" si="42"/>
        <v>0</v>
      </c>
      <c r="AB51" s="331"/>
      <c r="AC51" s="331"/>
      <c r="AD51" s="331">
        <f>120*AD17-20</f>
        <v>3100</v>
      </c>
      <c r="AE51" s="331">
        <f t="shared" si="43"/>
        <v>3100</v>
      </c>
      <c r="AF51" s="417">
        <f>ROUND(450*AF17,-2)-AF48</f>
        <v>10200</v>
      </c>
      <c r="AG51" s="331">
        <f>500*AG17-200</f>
        <v>12800</v>
      </c>
      <c r="AH51" s="331"/>
      <c r="AI51" s="331">
        <f t="shared" ref="AI51:AI58" si="45">SUM(AF51:AH51)</f>
        <v>23000</v>
      </c>
      <c r="AJ51" s="331"/>
      <c r="AK51" s="331"/>
      <c r="AL51" s="331"/>
      <c r="AM51" s="331">
        <f>SUM(AJ51:AL51)</f>
        <v>0</v>
      </c>
      <c r="AN51" s="322"/>
      <c r="AO51" s="1" t="str">
        <f t="shared" si="34"/>
        <v>KT3.</v>
      </c>
      <c r="AP51" s="5" t="str">
        <f t="shared" si="32"/>
        <v>KT3.GK</v>
      </c>
      <c r="AQ51" s="5" t="str">
        <f t="shared" si="6"/>
        <v>KT3.LC N-9-1B</v>
      </c>
    </row>
    <row r="52" spans="1:43" ht="18.75" customHeight="1" x14ac:dyDescent="0.25">
      <c r="A52" s="5" t="str">
        <f>A48</f>
        <v>a</v>
      </c>
      <c r="B52" s="346"/>
      <c r="C52" s="336" t="s">
        <v>625</v>
      </c>
      <c r="D52" s="412">
        <v>3900</v>
      </c>
      <c r="E52" s="337">
        <v>48</v>
      </c>
      <c r="F52" s="413">
        <f t="shared" ref="F52:F60" si="46">1/COS($E52*PI()/180)*$D52/G52</f>
        <v>68.570100523199699</v>
      </c>
      <c r="G52" s="408">
        <v>85</v>
      </c>
      <c r="H52" s="421">
        <v>2.6</v>
      </c>
      <c r="I52" s="408">
        <v>1.63</v>
      </c>
      <c r="J52" s="413">
        <f>ROUND(1/COS($E52*PI()/180)*$D52*H52*I52,-2)</f>
        <v>24700</v>
      </c>
      <c r="K52" s="413" t="s">
        <v>40</v>
      </c>
      <c r="L52" s="413">
        <f>D52</f>
        <v>3900</v>
      </c>
      <c r="M52" s="413">
        <f>E52</f>
        <v>48</v>
      </c>
      <c r="N52" s="408">
        <f t="shared" si="36"/>
        <v>67</v>
      </c>
      <c r="O52" s="408">
        <f>G52</f>
        <v>85</v>
      </c>
      <c r="P52" s="408">
        <f>H52</f>
        <v>2.6</v>
      </c>
      <c r="Q52" s="408">
        <v>2.2000000000000002</v>
      </c>
      <c r="R52" s="414">
        <f t="shared" si="38"/>
        <v>0.39999999999999991</v>
      </c>
      <c r="S52" s="408">
        <f t="shared" si="39"/>
        <v>1.63</v>
      </c>
      <c r="T52" s="413">
        <f t="shared" si="40"/>
        <v>24300</v>
      </c>
      <c r="U52" s="413"/>
      <c r="V52" s="413">
        <f t="shared" ref="V52:V60" si="47">AA52+AE52+AI52+AM52</f>
        <v>24300</v>
      </c>
      <c r="W52" s="413">
        <f t="shared" si="41"/>
        <v>400</v>
      </c>
      <c r="X52" s="331"/>
      <c r="Y52" s="331"/>
      <c r="Z52" s="331"/>
      <c r="AA52" s="331">
        <f>SUM(X52:Z52)</f>
        <v>0</v>
      </c>
      <c r="AB52" s="331"/>
      <c r="AC52" s="331"/>
      <c r="AD52" s="331"/>
      <c r="AE52" s="331">
        <f>SUM(AB52:AD52)</f>
        <v>0</v>
      </c>
      <c r="AF52" s="417"/>
      <c r="AG52" s="331"/>
      <c r="AH52" s="331">
        <f>ROUND(390*AH17,-2)</f>
        <v>9800</v>
      </c>
      <c r="AI52" s="331">
        <f>SUM(AF52:AH52)</f>
        <v>9800</v>
      </c>
      <c r="AJ52" s="331">
        <f>ROUND(420*AJ17,-2)+100</f>
        <v>11000</v>
      </c>
      <c r="AK52" s="331">
        <f>2900+600</f>
        <v>3500</v>
      </c>
      <c r="AL52" s="331"/>
      <c r="AM52" s="331">
        <f t="shared" ref="AM52:AM60" si="48">SUM(AJ52:AL52)</f>
        <v>14500</v>
      </c>
      <c r="AN52" s="322"/>
      <c r="AO52" s="1" t="str">
        <f t="shared" si="34"/>
        <v>KT3.</v>
      </c>
      <c r="AP52" s="5" t="str">
        <f>AO52&amp;K52</f>
        <v>KT3.ZRY</v>
      </c>
      <c r="AQ52" s="5" t="str">
        <f>AO52&amp;C52</f>
        <v>KT3.LC N-9-1C</v>
      </c>
    </row>
    <row r="53" spans="1:43" ht="18.75" hidden="1" customHeight="1" x14ac:dyDescent="0.25">
      <c r="A53" s="5" t="str">
        <f>A50</f>
        <v>a</v>
      </c>
      <c r="B53" s="346"/>
      <c r="C53" s="336" t="s">
        <v>561</v>
      </c>
      <c r="D53" s="422"/>
      <c r="E53" s="337">
        <v>20</v>
      </c>
      <c r="F53" s="413">
        <f t="shared" si="46"/>
        <v>0</v>
      </c>
      <c r="G53" s="408">
        <v>45</v>
      </c>
      <c r="H53" s="408">
        <v>3.2</v>
      </c>
      <c r="I53" s="408">
        <v>1.63</v>
      </c>
      <c r="J53" s="413">
        <f t="shared" ref="J53:J60" si="49">ROUND(1/COS($E53*PI()/180)*$D53*H53*I53,-2)</f>
        <v>0</v>
      </c>
      <c r="K53" s="413" t="s">
        <v>40</v>
      </c>
      <c r="L53" s="413">
        <f t="shared" ref="L53:L60" si="50">D53</f>
        <v>0</v>
      </c>
      <c r="M53" s="413">
        <f t="shared" ref="M53:M60" si="51">E53</f>
        <v>20</v>
      </c>
      <c r="N53" s="408" t="e">
        <f t="shared" ref="N53:N60" si="52">ROUND(V53/J53*F53,0)</f>
        <v>#DIV/0!</v>
      </c>
      <c r="O53" s="408">
        <f t="shared" ref="O53:O60" si="53">G53</f>
        <v>45</v>
      </c>
      <c r="P53" s="408">
        <f t="shared" ref="P53:P60" si="54">H53</f>
        <v>3.2</v>
      </c>
      <c r="Q53" s="408">
        <v>3.2</v>
      </c>
      <c r="R53" s="414">
        <f t="shared" ref="R53:R60" si="55">P53-Q53</f>
        <v>0</v>
      </c>
      <c r="S53" s="408">
        <f t="shared" ref="S53:S60" si="56">I53</f>
        <v>1.63</v>
      </c>
      <c r="T53" s="413" t="e">
        <f t="shared" ref="T53:T60" si="57">V53-U53</f>
        <v>#DIV/0!</v>
      </c>
      <c r="U53" s="413" t="e">
        <f t="shared" si="44"/>
        <v>#DIV/0!</v>
      </c>
      <c r="V53" s="413">
        <f t="shared" si="47"/>
        <v>0</v>
      </c>
      <c r="W53" s="413">
        <f t="shared" ref="W53:W60" si="58">J53-V53</f>
        <v>0</v>
      </c>
      <c r="X53" s="415"/>
      <c r="Y53" s="415"/>
      <c r="Z53" s="331"/>
      <c r="AA53" s="331">
        <f t="shared" si="42"/>
        <v>0</v>
      </c>
      <c r="AB53" s="331"/>
      <c r="AC53" s="331"/>
      <c r="AD53" s="331"/>
      <c r="AE53" s="331">
        <f t="shared" si="43"/>
        <v>0</v>
      </c>
      <c r="AF53" s="417"/>
      <c r="AG53" s="331"/>
      <c r="AH53" s="331"/>
      <c r="AI53" s="331">
        <f t="shared" si="45"/>
        <v>0</v>
      </c>
      <c r="AJ53" s="331"/>
      <c r="AK53" s="331"/>
      <c r="AL53" s="331"/>
      <c r="AM53" s="331">
        <f t="shared" si="48"/>
        <v>0</v>
      </c>
      <c r="AN53" s="322"/>
      <c r="AO53" s="1" t="str">
        <f t="shared" si="34"/>
        <v>KT3.</v>
      </c>
      <c r="AP53" s="5" t="str">
        <f t="shared" ref="AP53:AP60" si="59">AO53&amp;K53</f>
        <v>KT3.ZRY</v>
      </c>
      <c r="AQ53" s="5" t="str">
        <f t="shared" ref="AQ53:AQ60" si="60">AO53&amp;C53</f>
        <v>KT3.LC ĐB-12-3A</v>
      </c>
    </row>
    <row r="54" spans="1:43" ht="18.75" hidden="1" customHeight="1" x14ac:dyDescent="0.25">
      <c r="A54" s="5" t="str">
        <f>A51</f>
        <v>a</v>
      </c>
      <c r="B54" s="346"/>
      <c r="C54" s="336" t="s">
        <v>488</v>
      </c>
      <c r="D54" s="412"/>
      <c r="E54" s="337">
        <v>20</v>
      </c>
      <c r="F54" s="413" t="e">
        <f t="shared" si="46"/>
        <v>#DIV/0!</v>
      </c>
      <c r="G54" s="408"/>
      <c r="H54" s="408">
        <v>2.2000000000000002</v>
      </c>
      <c r="I54" s="408">
        <v>1.63</v>
      </c>
      <c r="J54" s="413">
        <f t="shared" si="49"/>
        <v>0</v>
      </c>
      <c r="K54" s="413"/>
      <c r="L54" s="413">
        <f t="shared" si="50"/>
        <v>0</v>
      </c>
      <c r="M54" s="413">
        <f t="shared" si="51"/>
        <v>20</v>
      </c>
      <c r="N54" s="408" t="e">
        <f t="shared" si="52"/>
        <v>#DIV/0!</v>
      </c>
      <c r="O54" s="408">
        <f t="shared" si="53"/>
        <v>0</v>
      </c>
      <c r="P54" s="408">
        <f t="shared" si="54"/>
        <v>2.2000000000000002</v>
      </c>
      <c r="Q54" s="408">
        <v>4.2</v>
      </c>
      <c r="R54" s="414">
        <f t="shared" si="55"/>
        <v>-2</v>
      </c>
      <c r="S54" s="408">
        <f t="shared" si="56"/>
        <v>1.63</v>
      </c>
      <c r="T54" s="413" t="e">
        <f t="shared" si="57"/>
        <v>#DIV/0!</v>
      </c>
      <c r="U54" s="413" t="e">
        <f t="shared" si="44"/>
        <v>#DIV/0!</v>
      </c>
      <c r="V54" s="413">
        <f t="shared" si="47"/>
        <v>0</v>
      </c>
      <c r="W54" s="413">
        <f t="shared" si="58"/>
        <v>0</v>
      </c>
      <c r="X54" s="415"/>
      <c r="Y54" s="415"/>
      <c r="Z54" s="331"/>
      <c r="AA54" s="331">
        <f>SUM(X54:Z54)</f>
        <v>0</v>
      </c>
      <c r="AB54" s="331"/>
      <c r="AC54" s="331"/>
      <c r="AD54" s="331"/>
      <c r="AE54" s="331">
        <f>SUM(AB54:AD54)</f>
        <v>0</v>
      </c>
      <c r="AF54" s="417"/>
      <c r="AG54" s="331"/>
      <c r="AH54" s="331"/>
      <c r="AI54" s="331">
        <f>SUM(AF54:AH54)</f>
        <v>0</v>
      </c>
      <c r="AJ54" s="331"/>
      <c r="AK54" s="331"/>
      <c r="AL54" s="331"/>
      <c r="AM54" s="331">
        <f t="shared" si="48"/>
        <v>0</v>
      </c>
      <c r="AN54" s="322"/>
      <c r="AO54" s="1" t="str">
        <f t="shared" si="34"/>
        <v>KT3.</v>
      </c>
      <c r="AP54" s="5" t="str">
        <f t="shared" si="59"/>
        <v>KT3.</v>
      </c>
      <c r="AQ54" s="5" t="str">
        <f t="shared" si="60"/>
        <v>KT3.LC ĐB-12-4</v>
      </c>
    </row>
    <row r="55" spans="1:43" ht="18.75" hidden="1" customHeight="1" x14ac:dyDescent="0.25">
      <c r="A55" s="5" t="str">
        <f t="shared" si="3"/>
        <v>a</v>
      </c>
      <c r="B55" s="346"/>
      <c r="C55" s="336" t="s">
        <v>587</v>
      </c>
      <c r="D55" s="412"/>
      <c r="E55" s="337">
        <v>52</v>
      </c>
      <c r="F55" s="413">
        <f t="shared" si="46"/>
        <v>0</v>
      </c>
      <c r="G55" s="408">
        <v>50</v>
      </c>
      <c r="H55" s="408">
        <v>3.6</v>
      </c>
      <c r="I55" s="408">
        <v>1.63</v>
      </c>
      <c r="J55" s="413">
        <f t="shared" si="49"/>
        <v>0</v>
      </c>
      <c r="K55" s="413" t="s">
        <v>40</v>
      </c>
      <c r="L55" s="413">
        <f t="shared" si="50"/>
        <v>0</v>
      </c>
      <c r="M55" s="413">
        <f t="shared" si="51"/>
        <v>52</v>
      </c>
      <c r="N55" s="408" t="e">
        <f t="shared" si="52"/>
        <v>#DIV/0!</v>
      </c>
      <c r="O55" s="408">
        <f t="shared" si="53"/>
        <v>50</v>
      </c>
      <c r="P55" s="408">
        <f t="shared" si="54"/>
        <v>3.6</v>
      </c>
      <c r="Q55" s="408">
        <v>5.2</v>
      </c>
      <c r="R55" s="414">
        <f t="shared" si="55"/>
        <v>-1.6</v>
      </c>
      <c r="S55" s="408">
        <f t="shared" si="56"/>
        <v>1.63</v>
      </c>
      <c r="T55" s="413" t="e">
        <f t="shared" si="57"/>
        <v>#DIV/0!</v>
      </c>
      <c r="U55" s="413" t="e">
        <f t="shared" si="44"/>
        <v>#DIV/0!</v>
      </c>
      <c r="V55" s="413">
        <f t="shared" si="47"/>
        <v>0</v>
      </c>
      <c r="W55" s="413">
        <f t="shared" si="58"/>
        <v>0</v>
      </c>
      <c r="X55" s="415"/>
      <c r="Y55" s="415"/>
      <c r="Z55" s="331"/>
      <c r="AA55" s="331">
        <f>SUM(X55:Z55)</f>
        <v>0</v>
      </c>
      <c r="AB55" s="331"/>
      <c r="AC55" s="331"/>
      <c r="AD55" s="331"/>
      <c r="AE55" s="331">
        <f>SUM(AB55:AD55)</f>
        <v>0</v>
      </c>
      <c r="AF55" s="423"/>
      <c r="AG55" s="331"/>
      <c r="AH55" s="331"/>
      <c r="AI55" s="331">
        <f>SUM(AF55:AH55)</f>
        <v>0</v>
      </c>
      <c r="AJ55" s="331"/>
      <c r="AK55" s="331"/>
      <c r="AL55" s="331"/>
      <c r="AM55" s="331">
        <f t="shared" si="48"/>
        <v>0</v>
      </c>
      <c r="AN55" s="322"/>
      <c r="AO55" s="1" t="str">
        <f t="shared" si="34"/>
        <v>KT3.</v>
      </c>
      <c r="AP55" s="5" t="str">
        <f t="shared" si="59"/>
        <v>KT3.ZRY</v>
      </c>
      <c r="AQ55" s="5" t="str">
        <f t="shared" si="60"/>
        <v>KT3.LC N-10-2.1</v>
      </c>
    </row>
    <row r="56" spans="1:43" ht="18.75" hidden="1" customHeight="1" x14ac:dyDescent="0.25">
      <c r="A56" s="5" t="str">
        <f t="shared" si="3"/>
        <v>a</v>
      </c>
      <c r="B56" s="346"/>
      <c r="C56" s="336" t="s">
        <v>489</v>
      </c>
      <c r="D56" s="412"/>
      <c r="E56" s="337">
        <v>20</v>
      </c>
      <c r="F56" s="413" t="e">
        <f t="shared" si="46"/>
        <v>#DIV/0!</v>
      </c>
      <c r="G56" s="408"/>
      <c r="H56" s="408">
        <v>2.2000000000000002</v>
      </c>
      <c r="I56" s="408">
        <v>1.63</v>
      </c>
      <c r="J56" s="413">
        <f t="shared" si="49"/>
        <v>0</v>
      </c>
      <c r="K56" s="413"/>
      <c r="L56" s="413">
        <f t="shared" si="50"/>
        <v>0</v>
      </c>
      <c r="M56" s="413">
        <f t="shared" si="51"/>
        <v>20</v>
      </c>
      <c r="N56" s="408" t="e">
        <f t="shared" si="52"/>
        <v>#DIV/0!</v>
      </c>
      <c r="O56" s="408">
        <f t="shared" si="53"/>
        <v>0</v>
      </c>
      <c r="P56" s="408">
        <f t="shared" si="54"/>
        <v>2.2000000000000002</v>
      </c>
      <c r="Q56" s="408">
        <v>6.2</v>
      </c>
      <c r="R56" s="414">
        <f t="shared" si="55"/>
        <v>-4</v>
      </c>
      <c r="S56" s="408">
        <f t="shared" si="56"/>
        <v>1.63</v>
      </c>
      <c r="T56" s="413" t="e">
        <f t="shared" si="57"/>
        <v>#DIV/0!</v>
      </c>
      <c r="U56" s="413" t="e">
        <f t="shared" si="44"/>
        <v>#DIV/0!</v>
      </c>
      <c r="V56" s="413">
        <f t="shared" si="47"/>
        <v>0</v>
      </c>
      <c r="W56" s="413">
        <f t="shared" si="58"/>
        <v>0</v>
      </c>
      <c r="X56" s="415"/>
      <c r="Y56" s="415"/>
      <c r="Z56" s="331"/>
      <c r="AA56" s="331">
        <f>SUM(X56:Z56)</f>
        <v>0</v>
      </c>
      <c r="AB56" s="331"/>
      <c r="AC56" s="331"/>
      <c r="AD56" s="331"/>
      <c r="AE56" s="331">
        <f>SUM(AB56:AD56)</f>
        <v>0</v>
      </c>
      <c r="AF56" s="423"/>
      <c r="AG56" s="331"/>
      <c r="AH56" s="331"/>
      <c r="AI56" s="331">
        <f>SUM(AF56:AH56)</f>
        <v>0</v>
      </c>
      <c r="AJ56" s="331"/>
      <c r="AK56" s="331"/>
      <c r="AL56" s="331"/>
      <c r="AM56" s="331">
        <f t="shared" si="48"/>
        <v>0</v>
      </c>
      <c r="AN56" s="322"/>
      <c r="AO56" s="1" t="str">
        <f t="shared" si="34"/>
        <v>KT3.</v>
      </c>
      <c r="AP56" s="5" t="str">
        <f t="shared" si="59"/>
        <v>KT3.</v>
      </c>
      <c r="AQ56" s="5" t="str">
        <f t="shared" si="60"/>
        <v>KT3.LC ĐB-11-4</v>
      </c>
    </row>
    <row r="57" spans="1:43" ht="18.75" hidden="1" customHeight="1" x14ac:dyDescent="0.25">
      <c r="A57" s="5" t="str">
        <f>A53</f>
        <v>a</v>
      </c>
      <c r="B57" s="345"/>
      <c r="C57" s="336" t="s">
        <v>476</v>
      </c>
      <c r="D57" s="422">
        <v>3386</v>
      </c>
      <c r="E57" s="337">
        <v>20</v>
      </c>
      <c r="F57" s="413">
        <f t="shared" si="46"/>
        <v>80.073465280076405</v>
      </c>
      <c r="G57" s="408">
        <v>45</v>
      </c>
      <c r="H57" s="408">
        <v>3.9</v>
      </c>
      <c r="I57" s="408">
        <v>1.63</v>
      </c>
      <c r="J57" s="413">
        <f t="shared" si="49"/>
        <v>22900</v>
      </c>
      <c r="K57" s="413" t="s">
        <v>40</v>
      </c>
      <c r="L57" s="413">
        <f t="shared" si="50"/>
        <v>3386</v>
      </c>
      <c r="M57" s="413">
        <f t="shared" si="51"/>
        <v>20</v>
      </c>
      <c r="N57" s="408">
        <f t="shared" si="52"/>
        <v>0</v>
      </c>
      <c r="O57" s="408">
        <f t="shared" si="53"/>
        <v>45</v>
      </c>
      <c r="P57" s="408">
        <f t="shared" si="54"/>
        <v>3.9</v>
      </c>
      <c r="Q57" s="408">
        <v>7.2</v>
      </c>
      <c r="R57" s="414">
        <f t="shared" si="55"/>
        <v>-3.3000000000000003</v>
      </c>
      <c r="S57" s="408">
        <f t="shared" si="56"/>
        <v>1.63</v>
      </c>
      <c r="T57" s="413">
        <f t="shared" si="57"/>
        <v>0</v>
      </c>
      <c r="U57" s="413">
        <f t="shared" si="44"/>
        <v>0</v>
      </c>
      <c r="V57" s="413">
        <f t="shared" si="47"/>
        <v>0</v>
      </c>
      <c r="W57" s="413">
        <f t="shared" si="58"/>
        <v>22900</v>
      </c>
      <c r="X57" s="415"/>
      <c r="Y57" s="415"/>
      <c r="Z57" s="331"/>
      <c r="AA57" s="331">
        <f t="shared" si="42"/>
        <v>0</v>
      </c>
      <c r="AB57" s="331"/>
      <c r="AC57" s="331"/>
      <c r="AD57" s="331"/>
      <c r="AE57" s="331">
        <f t="shared" si="43"/>
        <v>0</v>
      </c>
      <c r="AF57" s="423"/>
      <c r="AG57" s="331"/>
      <c r="AH57" s="331"/>
      <c r="AI57" s="331">
        <f t="shared" si="45"/>
        <v>0</v>
      </c>
      <c r="AJ57" s="331"/>
      <c r="AK57" s="331"/>
      <c r="AL57" s="331"/>
      <c r="AM57" s="331">
        <f t="shared" si="48"/>
        <v>0</v>
      </c>
      <c r="AN57" s="322"/>
      <c r="AO57" s="1" t="str">
        <f t="shared" si="34"/>
        <v>KT3.</v>
      </c>
      <c r="AP57" s="5" t="str">
        <f t="shared" si="59"/>
        <v>KT3.ZRY</v>
      </c>
      <c r="AQ57" s="5" t="str">
        <f t="shared" si="60"/>
        <v>KT3.LC ĐB-14-2</v>
      </c>
    </row>
    <row r="58" spans="1:43" ht="21.75" hidden="1" customHeight="1" x14ac:dyDescent="0.25">
      <c r="A58" s="5" t="str">
        <f t="shared" si="3"/>
        <v>a</v>
      </c>
      <c r="B58" s="345"/>
      <c r="C58" s="336"/>
      <c r="D58" s="336"/>
      <c r="E58" s="336"/>
      <c r="F58" s="413" t="e">
        <f t="shared" si="46"/>
        <v>#DIV/0!</v>
      </c>
      <c r="G58" s="408"/>
      <c r="H58" s="408"/>
      <c r="I58" s="408"/>
      <c r="J58" s="413">
        <f t="shared" si="49"/>
        <v>0</v>
      </c>
      <c r="K58" s="408"/>
      <c r="L58" s="413">
        <f t="shared" si="50"/>
        <v>0</v>
      </c>
      <c r="M58" s="413">
        <f t="shared" si="51"/>
        <v>0</v>
      </c>
      <c r="N58" s="408" t="e">
        <f t="shared" si="52"/>
        <v>#DIV/0!</v>
      </c>
      <c r="O58" s="408">
        <f t="shared" si="53"/>
        <v>0</v>
      </c>
      <c r="P58" s="408">
        <f t="shared" si="54"/>
        <v>0</v>
      </c>
      <c r="Q58" s="408">
        <v>8.1999999999999993</v>
      </c>
      <c r="R58" s="414">
        <f t="shared" si="55"/>
        <v>-8.1999999999999993</v>
      </c>
      <c r="S58" s="408">
        <f t="shared" si="56"/>
        <v>0</v>
      </c>
      <c r="T58" s="413">
        <f t="shared" si="57"/>
        <v>0</v>
      </c>
      <c r="U58" s="408"/>
      <c r="V58" s="413">
        <f t="shared" si="47"/>
        <v>0</v>
      </c>
      <c r="W58" s="413">
        <f t="shared" si="58"/>
        <v>0</v>
      </c>
      <c r="X58" s="415"/>
      <c r="Y58" s="415"/>
      <c r="Z58" s="331"/>
      <c r="AA58" s="331">
        <f t="shared" si="42"/>
        <v>0</v>
      </c>
      <c r="AB58" s="331"/>
      <c r="AC58" s="331"/>
      <c r="AD58" s="331"/>
      <c r="AE58" s="331">
        <f t="shared" si="43"/>
        <v>0</v>
      </c>
      <c r="AF58" s="331"/>
      <c r="AG58" s="331"/>
      <c r="AH58" s="331"/>
      <c r="AI58" s="331">
        <f t="shared" si="45"/>
        <v>0</v>
      </c>
      <c r="AJ58" s="331"/>
      <c r="AK58" s="331"/>
      <c r="AL58" s="331"/>
      <c r="AM58" s="331">
        <f t="shared" si="48"/>
        <v>0</v>
      </c>
      <c r="AN58" s="322"/>
      <c r="AO58" s="1" t="str">
        <f t="shared" si="34"/>
        <v>KT3.</v>
      </c>
      <c r="AP58" s="5" t="str">
        <f t="shared" si="59"/>
        <v>KT3.</v>
      </c>
      <c r="AQ58" s="5" t="str">
        <f t="shared" si="60"/>
        <v>KT3.</v>
      </c>
    </row>
    <row r="59" spans="1:43" ht="21.75" hidden="1" customHeight="1" x14ac:dyDescent="0.25">
      <c r="A59" s="5" t="str">
        <f t="shared" si="3"/>
        <v>a</v>
      </c>
      <c r="B59" s="345"/>
      <c r="C59" s="336"/>
      <c r="D59" s="336"/>
      <c r="E59" s="336"/>
      <c r="F59" s="413" t="e">
        <f t="shared" si="46"/>
        <v>#DIV/0!</v>
      </c>
      <c r="G59" s="408"/>
      <c r="H59" s="408"/>
      <c r="I59" s="408"/>
      <c r="J59" s="413">
        <f t="shared" si="49"/>
        <v>0</v>
      </c>
      <c r="K59" s="408"/>
      <c r="L59" s="413">
        <f t="shared" si="50"/>
        <v>0</v>
      </c>
      <c r="M59" s="413">
        <f t="shared" si="51"/>
        <v>0</v>
      </c>
      <c r="N59" s="408" t="e">
        <f t="shared" si="52"/>
        <v>#DIV/0!</v>
      </c>
      <c r="O59" s="408">
        <f t="shared" si="53"/>
        <v>0</v>
      </c>
      <c r="P59" s="408">
        <f t="shared" si="54"/>
        <v>0</v>
      </c>
      <c r="Q59" s="408">
        <v>9.1999999999999993</v>
      </c>
      <c r="R59" s="414">
        <f t="shared" si="55"/>
        <v>-9.1999999999999993</v>
      </c>
      <c r="S59" s="408">
        <f t="shared" si="56"/>
        <v>0</v>
      </c>
      <c r="T59" s="413">
        <f t="shared" si="57"/>
        <v>0</v>
      </c>
      <c r="U59" s="408"/>
      <c r="V59" s="413">
        <f t="shared" si="47"/>
        <v>0</v>
      </c>
      <c r="W59" s="413">
        <f t="shared" si="58"/>
        <v>0</v>
      </c>
      <c r="X59" s="415"/>
      <c r="Y59" s="415"/>
      <c r="Z59" s="331"/>
      <c r="AA59" s="331"/>
      <c r="AB59" s="331"/>
      <c r="AC59" s="331"/>
      <c r="AD59" s="331"/>
      <c r="AE59" s="331"/>
      <c r="AF59" s="331"/>
      <c r="AG59" s="331"/>
      <c r="AH59" s="331"/>
      <c r="AI59" s="331"/>
      <c r="AJ59" s="331"/>
      <c r="AK59" s="331"/>
      <c r="AL59" s="331"/>
      <c r="AM59" s="331">
        <f t="shared" si="48"/>
        <v>0</v>
      </c>
      <c r="AN59" s="322"/>
      <c r="AO59" s="1" t="str">
        <f t="shared" si="34"/>
        <v>KT3.</v>
      </c>
      <c r="AP59" s="5" t="str">
        <f t="shared" si="59"/>
        <v>KT3.</v>
      </c>
      <c r="AQ59" s="5" t="str">
        <f t="shared" si="60"/>
        <v>KT3.</v>
      </c>
    </row>
    <row r="60" spans="1:43" ht="21.75" customHeight="1" x14ac:dyDescent="0.25">
      <c r="A60" s="5"/>
      <c r="B60" s="345"/>
      <c r="C60" s="336" t="s">
        <v>823</v>
      </c>
      <c r="D60" s="336">
        <v>9104</v>
      </c>
      <c r="E60" s="336">
        <v>44</v>
      </c>
      <c r="F60" s="413">
        <f t="shared" si="46"/>
        <v>126.56049332615844</v>
      </c>
      <c r="G60" s="408">
        <v>100</v>
      </c>
      <c r="H60" s="408">
        <v>2.35</v>
      </c>
      <c r="I60" s="408">
        <v>1.63</v>
      </c>
      <c r="J60" s="413">
        <f t="shared" si="49"/>
        <v>48500</v>
      </c>
      <c r="K60" s="408" t="s">
        <v>824</v>
      </c>
      <c r="L60" s="413">
        <f t="shared" si="50"/>
        <v>9104</v>
      </c>
      <c r="M60" s="413">
        <f t="shared" si="51"/>
        <v>44</v>
      </c>
      <c r="N60" s="408">
        <f t="shared" si="52"/>
        <v>26</v>
      </c>
      <c r="O60" s="408">
        <f t="shared" si="53"/>
        <v>100</v>
      </c>
      <c r="P60" s="408">
        <f t="shared" si="54"/>
        <v>2.35</v>
      </c>
      <c r="Q60" s="408">
        <v>2.2000000000000002</v>
      </c>
      <c r="R60" s="414">
        <f t="shared" si="55"/>
        <v>0.14999999999999991</v>
      </c>
      <c r="S60" s="408">
        <f t="shared" si="56"/>
        <v>1.63</v>
      </c>
      <c r="T60" s="413">
        <f t="shared" si="57"/>
        <v>10000</v>
      </c>
      <c r="U60" s="408"/>
      <c r="V60" s="413">
        <f t="shared" si="47"/>
        <v>10000</v>
      </c>
      <c r="W60" s="413">
        <f t="shared" si="58"/>
        <v>38500</v>
      </c>
      <c r="X60" s="415"/>
      <c r="Y60" s="415"/>
      <c r="Z60" s="331"/>
      <c r="AA60" s="331"/>
      <c r="AB60" s="331"/>
      <c r="AC60" s="331"/>
      <c r="AD60" s="331"/>
      <c r="AE60" s="331"/>
      <c r="AF60" s="331"/>
      <c r="AG60" s="331"/>
      <c r="AH60" s="331"/>
      <c r="AI60" s="331"/>
      <c r="AJ60" s="331"/>
      <c r="AK60" s="331"/>
      <c r="AL60" s="331">
        <v>10000</v>
      </c>
      <c r="AM60" s="331">
        <f t="shared" si="48"/>
        <v>10000</v>
      </c>
      <c r="AN60" s="322"/>
      <c r="AO60" s="1" t="str">
        <f t="shared" si="34"/>
        <v>KT3.</v>
      </c>
      <c r="AP60" s="5" t="str">
        <f t="shared" si="59"/>
        <v>KT3.CGHD</v>
      </c>
      <c r="AQ60" s="5" t="str">
        <f t="shared" si="60"/>
        <v>KT3.LC TT-11-10B</v>
      </c>
    </row>
    <row r="61" spans="1:43" ht="18.75" customHeight="1" x14ac:dyDescent="0.25">
      <c r="A61" s="5" t="str">
        <f>A58</f>
        <v>a</v>
      </c>
      <c r="B61" s="347">
        <v>4</v>
      </c>
      <c r="C61" s="336" t="s">
        <v>521</v>
      </c>
      <c r="D61" s="336"/>
      <c r="E61" s="336"/>
      <c r="F61" s="407"/>
      <c r="G61" s="407"/>
      <c r="H61" s="407"/>
      <c r="I61" s="407"/>
      <c r="J61" s="407"/>
      <c r="K61" s="407"/>
      <c r="L61" s="407"/>
      <c r="M61" s="407"/>
      <c r="N61" s="407"/>
      <c r="O61" s="407"/>
      <c r="P61" s="407"/>
      <c r="Q61" s="407"/>
      <c r="R61" s="407"/>
      <c r="S61" s="407"/>
      <c r="T61" s="407"/>
      <c r="U61" s="407"/>
      <c r="V61" s="409">
        <f>AA61+AE61+AI61+AM61</f>
        <v>181800</v>
      </c>
      <c r="W61" s="409"/>
      <c r="X61" s="410">
        <f t="shared" ref="X61:AM61" si="61">X62+X63</f>
        <v>19100</v>
      </c>
      <c r="Y61" s="410">
        <f t="shared" si="61"/>
        <v>12200</v>
      </c>
      <c r="Z61" s="410">
        <f t="shared" si="61"/>
        <v>17300</v>
      </c>
      <c r="AA61" s="410">
        <f t="shared" si="61"/>
        <v>48600</v>
      </c>
      <c r="AB61" s="410">
        <f t="shared" si="61"/>
        <v>16000</v>
      </c>
      <c r="AC61" s="410">
        <f t="shared" si="61"/>
        <v>14900</v>
      </c>
      <c r="AD61" s="410">
        <f t="shared" si="61"/>
        <v>14500</v>
      </c>
      <c r="AE61" s="410">
        <f t="shared" si="61"/>
        <v>45400</v>
      </c>
      <c r="AF61" s="410">
        <f t="shared" si="61"/>
        <v>15400</v>
      </c>
      <c r="AG61" s="410">
        <f t="shared" si="61"/>
        <v>14800</v>
      </c>
      <c r="AH61" s="410">
        <f t="shared" si="61"/>
        <v>14300</v>
      </c>
      <c r="AI61" s="410">
        <f t="shared" si="61"/>
        <v>44500</v>
      </c>
      <c r="AJ61" s="410">
        <f t="shared" si="61"/>
        <v>15600</v>
      </c>
      <c r="AK61" s="410">
        <f t="shared" si="61"/>
        <v>14400</v>
      </c>
      <c r="AL61" s="410">
        <f t="shared" si="61"/>
        <v>13300</v>
      </c>
      <c r="AM61" s="410">
        <f t="shared" si="61"/>
        <v>43300</v>
      </c>
      <c r="AN61" s="322"/>
      <c r="AO61" s="5" t="s">
        <v>520</v>
      </c>
      <c r="AP61" s="5" t="str">
        <f t="shared" ref="AP61:AP71" si="62">AO61&amp;K61</f>
        <v>KT8.</v>
      </c>
      <c r="AQ61" s="5" t="str">
        <f t="shared" ref="AQ61:AQ71" si="63">AO61&amp;C61</f>
        <v>KT8.PX KT8 (KT4 cũ)</v>
      </c>
    </row>
    <row r="62" spans="1:43" ht="18.75" customHeight="1" x14ac:dyDescent="0.25">
      <c r="A62" s="5" t="str">
        <f>A59</f>
        <v>a</v>
      </c>
      <c r="B62" s="345" t="s">
        <v>8</v>
      </c>
      <c r="C62" s="336" t="s">
        <v>471</v>
      </c>
      <c r="D62" s="336"/>
      <c r="E62" s="336"/>
      <c r="F62" s="408"/>
      <c r="G62" s="408"/>
      <c r="H62" s="413"/>
      <c r="I62" s="413"/>
      <c r="J62" s="413"/>
      <c r="K62" s="408" t="s">
        <v>493</v>
      </c>
      <c r="L62" s="413"/>
      <c r="M62" s="413"/>
      <c r="N62" s="413"/>
      <c r="O62" s="413"/>
      <c r="P62" s="413"/>
      <c r="Q62" s="413"/>
      <c r="R62" s="413"/>
      <c r="S62" s="413"/>
      <c r="T62" s="413"/>
      <c r="U62" s="413"/>
      <c r="V62" s="409">
        <f>AA62+AE62+AI62+AM62</f>
        <v>1900</v>
      </c>
      <c r="W62" s="409"/>
      <c r="X62" s="410">
        <f>KH_ĐL!BK61</f>
        <v>300</v>
      </c>
      <c r="Y62" s="410">
        <f>KH_ĐL!BL61</f>
        <v>200</v>
      </c>
      <c r="Z62" s="410">
        <f>KH_ĐL!BM61</f>
        <v>500</v>
      </c>
      <c r="AA62" s="410">
        <f>KH_ĐL!BN61</f>
        <v>1000</v>
      </c>
      <c r="AB62" s="410">
        <f>KH_ĐL!BO61</f>
        <v>300</v>
      </c>
      <c r="AC62" s="410">
        <f>KH_ĐL!BP61</f>
        <v>400</v>
      </c>
      <c r="AD62" s="410">
        <f>KH_ĐL!BQ61</f>
        <v>200</v>
      </c>
      <c r="AE62" s="410">
        <f>KH_ĐL!BR61</f>
        <v>900</v>
      </c>
      <c r="AF62" s="410">
        <f>KH_ĐL!BS61</f>
        <v>0</v>
      </c>
      <c r="AG62" s="410">
        <f>KH_ĐL!BT61</f>
        <v>0</v>
      </c>
      <c r="AH62" s="410">
        <f>KH_ĐL!BU61</f>
        <v>0</v>
      </c>
      <c r="AI62" s="410">
        <f>KH_ĐL!BV61-100</f>
        <v>0</v>
      </c>
      <c r="AJ62" s="410">
        <f>KH_ĐL!BW61</f>
        <v>0</v>
      </c>
      <c r="AK62" s="410">
        <f>KH_ĐL!BX61</f>
        <v>0</v>
      </c>
      <c r="AL62" s="410">
        <f>KH_ĐL!BY61</f>
        <v>0</v>
      </c>
      <c r="AM62" s="410">
        <f>KH_ĐL!BZ61-100</f>
        <v>0</v>
      </c>
      <c r="AN62" s="322"/>
      <c r="AO62" s="1" t="str">
        <f t="shared" ref="AO62:AO70" si="64">AO61</f>
        <v>KT8.</v>
      </c>
      <c r="AP62" s="5" t="str">
        <f t="shared" si="62"/>
        <v>KT8.ĐX</v>
      </c>
      <c r="AQ62" s="5" t="str">
        <f t="shared" si="63"/>
        <v>KT8.SL đào, xén lò</v>
      </c>
    </row>
    <row r="63" spans="1:43" ht="18.75" customHeight="1" x14ac:dyDescent="0.25">
      <c r="A63" s="5" t="str">
        <f t="shared" ref="A63:A73" si="65">A61</f>
        <v>a</v>
      </c>
      <c r="B63" s="345" t="s">
        <v>37</v>
      </c>
      <c r="C63" s="336" t="s">
        <v>257</v>
      </c>
      <c r="D63" s="336"/>
      <c r="E63" s="336"/>
      <c r="F63" s="408"/>
      <c r="G63" s="408"/>
      <c r="H63" s="413"/>
      <c r="I63" s="413"/>
      <c r="J63" s="413"/>
      <c r="K63" s="413"/>
      <c r="L63" s="413"/>
      <c r="M63" s="413"/>
      <c r="N63" s="413"/>
      <c r="O63" s="413"/>
      <c r="P63" s="413"/>
      <c r="Q63" s="413"/>
      <c r="R63" s="413"/>
      <c r="S63" s="413"/>
      <c r="T63" s="413"/>
      <c r="U63" s="413"/>
      <c r="V63" s="410">
        <f>SUM(V64:V71)</f>
        <v>179900</v>
      </c>
      <c r="W63" s="410"/>
      <c r="X63" s="410">
        <f t="shared" ref="X63:AM63" si="66">SUM(X64:X71)</f>
        <v>18800</v>
      </c>
      <c r="Y63" s="410">
        <f t="shared" si="66"/>
        <v>12000</v>
      </c>
      <c r="Z63" s="410">
        <f t="shared" si="66"/>
        <v>16800</v>
      </c>
      <c r="AA63" s="410">
        <f t="shared" si="66"/>
        <v>47600</v>
      </c>
      <c r="AB63" s="410">
        <f t="shared" si="66"/>
        <v>15700</v>
      </c>
      <c r="AC63" s="410">
        <f t="shared" si="66"/>
        <v>14500</v>
      </c>
      <c r="AD63" s="410">
        <f t="shared" si="66"/>
        <v>14300</v>
      </c>
      <c r="AE63" s="410">
        <f t="shared" si="66"/>
        <v>44500</v>
      </c>
      <c r="AF63" s="410">
        <f t="shared" si="66"/>
        <v>15400</v>
      </c>
      <c r="AG63" s="410">
        <f t="shared" si="66"/>
        <v>14800</v>
      </c>
      <c r="AH63" s="410">
        <f t="shared" si="66"/>
        <v>14300</v>
      </c>
      <c r="AI63" s="410">
        <f t="shared" si="66"/>
        <v>44500</v>
      </c>
      <c r="AJ63" s="410">
        <f t="shared" si="66"/>
        <v>15600</v>
      </c>
      <c r="AK63" s="410">
        <f t="shared" si="66"/>
        <v>14400</v>
      </c>
      <c r="AL63" s="410">
        <f t="shared" si="66"/>
        <v>13300</v>
      </c>
      <c r="AM63" s="410">
        <f t="shared" si="66"/>
        <v>43300</v>
      </c>
      <c r="AN63" s="1016">
        <f>(V63)/$AN$17</f>
        <v>613.99317406143348</v>
      </c>
      <c r="AO63" s="1" t="str">
        <f t="shared" si="64"/>
        <v>KT8.</v>
      </c>
      <c r="AP63" s="5" t="str">
        <f t="shared" si="62"/>
        <v>KT8.</v>
      </c>
      <c r="AQ63" s="5" t="str">
        <f t="shared" si="63"/>
        <v>KT8.KT Lò chợ</v>
      </c>
    </row>
    <row r="64" spans="1:43" ht="21.75" customHeight="1" x14ac:dyDescent="0.25">
      <c r="A64" s="5" t="str">
        <f t="shared" si="65"/>
        <v>a</v>
      </c>
      <c r="B64" s="345"/>
      <c r="C64" s="336" t="s">
        <v>478</v>
      </c>
      <c r="D64" s="412">
        <v>2171</v>
      </c>
      <c r="E64" s="337">
        <v>30</v>
      </c>
      <c r="F64" s="413">
        <f>1/COS($E64*PI()/180)*$D64/G64</f>
        <v>31.335685860266938</v>
      </c>
      <c r="G64" s="408">
        <v>80</v>
      </c>
      <c r="H64" s="408">
        <v>9.1</v>
      </c>
      <c r="I64" s="408">
        <v>1.63</v>
      </c>
      <c r="J64" s="413">
        <f>ROUND(1/COS($E64*PI()/180)*$D64*H64*I64,-2)-1200</f>
        <v>36000</v>
      </c>
      <c r="K64" s="413" t="s">
        <v>302</v>
      </c>
      <c r="L64" s="413">
        <f t="shared" ref="L64:M67" si="67">D64</f>
        <v>2171</v>
      </c>
      <c r="M64" s="413">
        <f t="shared" si="67"/>
        <v>30</v>
      </c>
      <c r="N64" s="408">
        <f>ROUND(V64/J64*F64,0)</f>
        <v>31</v>
      </c>
      <c r="O64" s="408">
        <f t="shared" ref="O64:P67" si="68">G64</f>
        <v>80</v>
      </c>
      <c r="P64" s="408">
        <f t="shared" si="68"/>
        <v>9.1</v>
      </c>
      <c r="Q64" s="408">
        <v>2.2000000000000002</v>
      </c>
      <c r="R64" s="414">
        <f>P64-Q64</f>
        <v>6.8999999999999995</v>
      </c>
      <c r="S64" s="408">
        <f>I64</f>
        <v>1.63</v>
      </c>
      <c r="T64" s="413">
        <f>V64-U64</f>
        <v>15000</v>
      </c>
      <c r="U64" s="413">
        <f>ROUND(N64*O64*R64*S64*0.75,-3)</f>
        <v>21000</v>
      </c>
      <c r="V64" s="413">
        <f t="shared" ref="V64:V73" si="69">AA64+AE64+AI64+AM64</f>
        <v>36000</v>
      </c>
      <c r="W64" s="413">
        <f>J64-V64</f>
        <v>0</v>
      </c>
      <c r="X64" s="415">
        <f>ROUND(750*X17,-2)</f>
        <v>18800</v>
      </c>
      <c r="Y64" s="415">
        <f>ROUND(750*Y17,-2)</f>
        <v>12000</v>
      </c>
      <c r="Z64" s="331">
        <v>5200</v>
      </c>
      <c r="AA64" s="331">
        <f t="shared" ref="AA64:AA71" si="70">SUM(X64:Z64)</f>
        <v>36000</v>
      </c>
      <c r="AB64" s="417"/>
      <c r="AC64" s="331"/>
      <c r="AD64" s="331"/>
      <c r="AE64" s="331">
        <f t="shared" ref="AE64:AE71" si="71">SUM(AB64:AD64)</f>
        <v>0</v>
      </c>
      <c r="AF64" s="331"/>
      <c r="AG64" s="331"/>
      <c r="AH64" s="331"/>
      <c r="AI64" s="331">
        <f t="shared" ref="AI64:AI71" si="72">SUM(AF64:AH64)</f>
        <v>0</v>
      </c>
      <c r="AJ64" s="331"/>
      <c r="AK64" s="331"/>
      <c r="AL64" s="331"/>
      <c r="AM64" s="331">
        <f t="shared" ref="AM64:AM71" si="73">SUM(AJ64:AL64)</f>
        <v>0</v>
      </c>
      <c r="AN64" s="322"/>
      <c r="AO64" s="1" t="str">
        <f t="shared" si="64"/>
        <v>KT8.</v>
      </c>
      <c r="AP64" s="5" t="str">
        <f t="shared" si="62"/>
        <v>KT8.GK</v>
      </c>
      <c r="AQ64" s="5" t="str">
        <f t="shared" si="63"/>
        <v>KT8.LC N-6-11</v>
      </c>
    </row>
    <row r="65" spans="1:43" ht="21.75" customHeight="1" x14ac:dyDescent="0.25">
      <c r="A65" s="5" t="str">
        <f t="shared" si="65"/>
        <v>a</v>
      </c>
      <c r="B65" s="346"/>
      <c r="C65" s="336" t="s">
        <v>479</v>
      </c>
      <c r="D65" s="412">
        <v>2310</v>
      </c>
      <c r="E65" s="337">
        <v>30</v>
      </c>
      <c r="F65" s="413">
        <f>1/COS($E65*PI()/180)*$D65/G65</f>
        <v>48.497422611928563</v>
      </c>
      <c r="G65" s="408">
        <v>55</v>
      </c>
      <c r="H65" s="408">
        <v>5.8</v>
      </c>
      <c r="I65" s="408">
        <v>1.63</v>
      </c>
      <c r="J65" s="413">
        <f>ROUND(1/COS($E65*PI()/180)*$D65*H65*I65,-2)</f>
        <v>25200</v>
      </c>
      <c r="K65" s="413" t="s">
        <v>302</v>
      </c>
      <c r="L65" s="413">
        <f t="shared" si="67"/>
        <v>2310</v>
      </c>
      <c r="M65" s="413">
        <f t="shared" si="67"/>
        <v>30</v>
      </c>
      <c r="N65" s="408">
        <f>ROUND(V65/J65*F65,0)</f>
        <v>48</v>
      </c>
      <c r="O65" s="408">
        <f t="shared" si="68"/>
        <v>55</v>
      </c>
      <c r="P65" s="408">
        <f t="shared" si="68"/>
        <v>5.8</v>
      </c>
      <c r="Q65" s="408">
        <v>2.2000000000000002</v>
      </c>
      <c r="R65" s="414">
        <f>P65-Q65</f>
        <v>3.5999999999999996</v>
      </c>
      <c r="S65" s="408">
        <f>I65</f>
        <v>1.63</v>
      </c>
      <c r="T65" s="413">
        <f>V65-U65</f>
        <v>13200</v>
      </c>
      <c r="U65" s="413">
        <f>ROUND(N65*O65*R65*S65*0.75,-3)</f>
        <v>12000</v>
      </c>
      <c r="V65" s="413">
        <f t="shared" si="69"/>
        <v>25200</v>
      </c>
      <c r="W65" s="413">
        <f>J65-V65</f>
        <v>0</v>
      </c>
      <c r="X65" s="415"/>
      <c r="Y65" s="415"/>
      <c r="Z65" s="331">
        <f>ROUND(650*Z17,-2)-5200-800</f>
        <v>11600</v>
      </c>
      <c r="AA65" s="331">
        <f t="shared" si="70"/>
        <v>11600</v>
      </c>
      <c r="AB65" s="331">
        <f>2500+11100</f>
        <v>13600</v>
      </c>
      <c r="AC65" s="331"/>
      <c r="AD65" s="331"/>
      <c r="AE65" s="331">
        <f t="shared" si="71"/>
        <v>13600</v>
      </c>
      <c r="AF65" s="331"/>
      <c r="AG65" s="417"/>
      <c r="AH65" s="331"/>
      <c r="AI65" s="331">
        <f t="shared" si="72"/>
        <v>0</v>
      </c>
      <c r="AJ65" s="331"/>
      <c r="AK65" s="331"/>
      <c r="AL65" s="331"/>
      <c r="AM65" s="331">
        <f t="shared" si="73"/>
        <v>0</v>
      </c>
      <c r="AN65" s="322"/>
      <c r="AO65" s="1" t="str">
        <f t="shared" si="64"/>
        <v>KT8.</v>
      </c>
      <c r="AP65" s="5" t="str">
        <f t="shared" si="62"/>
        <v>KT8.GK</v>
      </c>
      <c r="AQ65" s="5" t="str">
        <f t="shared" si="63"/>
        <v>KT8.LC N-6-10.1</v>
      </c>
    </row>
    <row r="66" spans="1:43" ht="21.75" customHeight="1" x14ac:dyDescent="0.25">
      <c r="A66" s="5" t="str">
        <f t="shared" si="65"/>
        <v>a</v>
      </c>
      <c r="B66" s="346"/>
      <c r="C66" s="336" t="s">
        <v>613</v>
      </c>
      <c r="D66" s="412">
        <v>1280</v>
      </c>
      <c r="E66" s="337">
        <v>30</v>
      </c>
      <c r="F66" s="413">
        <f>1/COS($E66*PI()/180)*$D66/G66</f>
        <v>30.79201435678004</v>
      </c>
      <c r="G66" s="408">
        <v>48</v>
      </c>
      <c r="H66" s="408">
        <v>5.5</v>
      </c>
      <c r="I66" s="408">
        <v>1.63</v>
      </c>
      <c r="J66" s="413">
        <f>ROUND(1/COS($E66*PI()/180)*$D66*H66*I66,-2)</f>
        <v>13300</v>
      </c>
      <c r="K66" s="413" t="s">
        <v>302</v>
      </c>
      <c r="L66" s="413">
        <f t="shared" si="67"/>
        <v>1280</v>
      </c>
      <c r="M66" s="413">
        <f t="shared" si="67"/>
        <v>30</v>
      </c>
      <c r="N66" s="408">
        <f>ROUND(V66/J66*F66,0)</f>
        <v>31</v>
      </c>
      <c r="O66" s="408">
        <f t="shared" si="68"/>
        <v>48</v>
      </c>
      <c r="P66" s="408">
        <f t="shared" si="68"/>
        <v>5.5</v>
      </c>
      <c r="Q66" s="408">
        <v>2.2000000000000002</v>
      </c>
      <c r="R66" s="414">
        <f>P66-Q66</f>
        <v>3.3</v>
      </c>
      <c r="S66" s="408">
        <f>I66</f>
        <v>1.63</v>
      </c>
      <c r="T66" s="413">
        <f>V66-U66</f>
        <v>7300</v>
      </c>
      <c r="U66" s="413">
        <f>ROUND(N66*O66*R66*S66*0.75,-3)</f>
        <v>6000</v>
      </c>
      <c r="V66" s="413">
        <f t="shared" si="69"/>
        <v>13300</v>
      </c>
      <c r="W66" s="413">
        <f>J66-V66</f>
        <v>0</v>
      </c>
      <c r="X66" s="415"/>
      <c r="Y66" s="415"/>
      <c r="Z66" s="331"/>
      <c r="AA66" s="331">
        <f t="shared" si="70"/>
        <v>0</v>
      </c>
      <c r="AB66" s="331">
        <v>2100</v>
      </c>
      <c r="AC66" s="331">
        <f>ROUND(620*18,-2)</f>
        <v>11200</v>
      </c>
      <c r="AD66" s="331"/>
      <c r="AE66" s="331">
        <f t="shared" si="71"/>
        <v>13300</v>
      </c>
      <c r="AF66" s="417"/>
      <c r="AG66" s="331"/>
      <c r="AH66" s="331"/>
      <c r="AI66" s="331">
        <f t="shared" si="72"/>
        <v>0</v>
      </c>
      <c r="AJ66" s="331"/>
      <c r="AK66" s="331"/>
      <c r="AL66" s="331"/>
      <c r="AM66" s="331">
        <f t="shared" si="73"/>
        <v>0</v>
      </c>
      <c r="AN66" s="322"/>
      <c r="AO66" s="1" t="str">
        <f t="shared" si="64"/>
        <v>KT8.</v>
      </c>
      <c r="AP66" s="5" t="str">
        <f t="shared" si="62"/>
        <v>KT8.GK</v>
      </c>
      <c r="AQ66" s="5" t="str">
        <f t="shared" si="63"/>
        <v>KT8.LC N-6-11.1</v>
      </c>
    </row>
    <row r="67" spans="1:43" ht="18.75" hidden="1" customHeight="1" x14ac:dyDescent="0.25">
      <c r="A67" s="5" t="str">
        <f t="shared" si="65"/>
        <v>a</v>
      </c>
      <c r="B67" s="346"/>
      <c r="C67" s="337"/>
      <c r="D67" s="412">
        <v>4000</v>
      </c>
      <c r="E67" s="337">
        <v>30</v>
      </c>
      <c r="F67" s="413">
        <f>1/COS($E67*PI()/180)*$D67/G67</f>
        <v>57.735026918962568</v>
      </c>
      <c r="G67" s="408">
        <v>80</v>
      </c>
      <c r="H67" s="408">
        <v>5.45</v>
      </c>
      <c r="I67" s="408">
        <v>1.63</v>
      </c>
      <c r="J67" s="413">
        <f>ROUND(1/COS($E67*PI()/180)*$D67*H67*I67,-3)</f>
        <v>41000</v>
      </c>
      <c r="K67" s="413" t="s">
        <v>302</v>
      </c>
      <c r="L67" s="413">
        <f t="shared" si="67"/>
        <v>4000</v>
      </c>
      <c r="M67" s="413">
        <f t="shared" si="67"/>
        <v>30</v>
      </c>
      <c r="N67" s="408">
        <f>ROUND(V67/J67*F67,0)</f>
        <v>0</v>
      </c>
      <c r="O67" s="408">
        <f t="shared" si="68"/>
        <v>80</v>
      </c>
      <c r="P67" s="408">
        <f t="shared" si="68"/>
        <v>5.45</v>
      </c>
      <c r="Q67" s="408">
        <v>2.2000000000000002</v>
      </c>
      <c r="R67" s="414">
        <f>P67-Q67</f>
        <v>3.25</v>
      </c>
      <c r="S67" s="408">
        <f>I67</f>
        <v>1.63</v>
      </c>
      <c r="T67" s="413">
        <f>V67-U67</f>
        <v>0</v>
      </c>
      <c r="U67" s="413">
        <f>ROUND(N67*O67*R67*S67*0.75,-3)</f>
        <v>0</v>
      </c>
      <c r="V67" s="413">
        <f t="shared" si="69"/>
        <v>0</v>
      </c>
      <c r="W67" s="413"/>
      <c r="X67" s="415"/>
      <c r="Y67" s="415"/>
      <c r="Z67" s="331"/>
      <c r="AA67" s="331">
        <f t="shared" si="70"/>
        <v>0</v>
      </c>
      <c r="AB67" s="331"/>
      <c r="AC67" s="331"/>
      <c r="AD67" s="331"/>
      <c r="AE67" s="331">
        <f t="shared" si="71"/>
        <v>0</v>
      </c>
      <c r="AF67" s="423"/>
      <c r="AG67" s="331"/>
      <c r="AH67" s="331"/>
      <c r="AI67" s="331">
        <f t="shared" si="72"/>
        <v>0</v>
      </c>
      <c r="AJ67" s="331"/>
      <c r="AK67" s="331"/>
      <c r="AL67" s="331"/>
      <c r="AM67" s="331">
        <f t="shared" si="73"/>
        <v>0</v>
      </c>
      <c r="AN67" s="322"/>
      <c r="AO67" s="1" t="str">
        <f t="shared" si="64"/>
        <v>KT8.</v>
      </c>
      <c r="AP67" s="5" t="str">
        <f>AO67&amp;K67</f>
        <v>KT8.GK</v>
      </c>
      <c r="AQ67" s="5" t="str">
        <f>AO67&amp;C67</f>
        <v>KT8.</v>
      </c>
    </row>
    <row r="68" spans="1:43" ht="18.75" hidden="1" customHeight="1" x14ac:dyDescent="0.25">
      <c r="A68" s="5" t="str">
        <f t="shared" si="65"/>
        <v>a</v>
      </c>
      <c r="B68" s="347"/>
      <c r="C68" s="336"/>
      <c r="D68" s="336"/>
      <c r="E68" s="336"/>
      <c r="F68" s="408"/>
      <c r="G68" s="408"/>
      <c r="H68" s="408"/>
      <c r="I68" s="408"/>
      <c r="J68" s="408"/>
      <c r="K68" s="413" t="s">
        <v>302</v>
      </c>
      <c r="L68" s="408"/>
      <c r="M68" s="408"/>
      <c r="N68" s="408"/>
      <c r="O68" s="408"/>
      <c r="P68" s="408"/>
      <c r="Q68" s="408"/>
      <c r="R68" s="408"/>
      <c r="S68" s="408"/>
      <c r="T68" s="408"/>
      <c r="U68" s="408"/>
      <c r="V68" s="413">
        <f t="shared" si="69"/>
        <v>0</v>
      </c>
      <c r="W68" s="413"/>
      <c r="X68" s="415"/>
      <c r="Y68" s="415"/>
      <c r="Z68" s="331"/>
      <c r="AA68" s="331">
        <f t="shared" si="70"/>
        <v>0</v>
      </c>
      <c r="AB68" s="331"/>
      <c r="AC68" s="331"/>
      <c r="AD68" s="331"/>
      <c r="AE68" s="331">
        <f t="shared" si="71"/>
        <v>0</v>
      </c>
      <c r="AF68" s="423"/>
      <c r="AG68" s="331"/>
      <c r="AH68" s="331"/>
      <c r="AI68" s="331">
        <f t="shared" si="72"/>
        <v>0</v>
      </c>
      <c r="AJ68" s="331"/>
      <c r="AK68" s="331"/>
      <c r="AL68" s="331"/>
      <c r="AM68" s="331">
        <f t="shared" si="73"/>
        <v>0</v>
      </c>
      <c r="AN68" s="322"/>
      <c r="AO68" s="1" t="str">
        <f t="shared" si="64"/>
        <v>KT8.</v>
      </c>
      <c r="AP68" s="5" t="str">
        <f>AO68&amp;K68</f>
        <v>KT8.GK</v>
      </c>
      <c r="AQ68" s="5" t="str">
        <f>AO68&amp;C68</f>
        <v>KT8.</v>
      </c>
    </row>
    <row r="69" spans="1:43" ht="18.75" hidden="1" customHeight="1" x14ac:dyDescent="0.25">
      <c r="A69" s="5" t="str">
        <f t="shared" si="65"/>
        <v>a</v>
      </c>
      <c r="B69" s="345"/>
      <c r="C69" s="336"/>
      <c r="D69" s="336"/>
      <c r="E69" s="336"/>
      <c r="F69" s="408"/>
      <c r="G69" s="408"/>
      <c r="H69" s="408"/>
      <c r="I69" s="408"/>
      <c r="J69" s="408"/>
      <c r="K69" s="413" t="s">
        <v>302</v>
      </c>
      <c r="L69" s="408"/>
      <c r="M69" s="408"/>
      <c r="N69" s="408"/>
      <c r="O69" s="408"/>
      <c r="P69" s="408"/>
      <c r="Q69" s="408"/>
      <c r="R69" s="408"/>
      <c r="S69" s="408"/>
      <c r="T69" s="408"/>
      <c r="U69" s="408"/>
      <c r="V69" s="413">
        <f t="shared" si="69"/>
        <v>0</v>
      </c>
      <c r="W69" s="413"/>
      <c r="X69" s="415"/>
      <c r="Y69" s="415"/>
      <c r="Z69" s="331"/>
      <c r="AA69" s="331">
        <f t="shared" si="70"/>
        <v>0</v>
      </c>
      <c r="AB69" s="331"/>
      <c r="AC69" s="331"/>
      <c r="AD69" s="331"/>
      <c r="AE69" s="331">
        <f t="shared" si="71"/>
        <v>0</v>
      </c>
      <c r="AF69" s="423"/>
      <c r="AG69" s="331"/>
      <c r="AH69" s="331"/>
      <c r="AI69" s="331">
        <f t="shared" si="72"/>
        <v>0</v>
      </c>
      <c r="AJ69" s="331"/>
      <c r="AK69" s="331"/>
      <c r="AL69" s="331"/>
      <c r="AM69" s="331">
        <f t="shared" si="73"/>
        <v>0</v>
      </c>
      <c r="AN69" s="322"/>
      <c r="AO69" s="1" t="str">
        <f t="shared" si="64"/>
        <v>KT8.</v>
      </c>
      <c r="AP69" s="5" t="str">
        <f>AO69&amp;K69</f>
        <v>KT8.GK</v>
      </c>
      <c r="AQ69" s="5" t="str">
        <f>AO69&amp;C69</f>
        <v>KT8.</v>
      </c>
    </row>
    <row r="70" spans="1:43" ht="18.75" customHeight="1" x14ac:dyDescent="0.25">
      <c r="A70" s="5"/>
      <c r="B70" s="345"/>
      <c r="C70" s="336" t="s">
        <v>615</v>
      </c>
      <c r="D70" s="412">
        <v>1703</v>
      </c>
      <c r="E70" s="337">
        <v>30</v>
      </c>
      <c r="F70" s="413">
        <f>1/COS($E70*PI()/180)*$D70/G70</f>
        <v>35.753727579270276</v>
      </c>
      <c r="G70" s="408">
        <v>55</v>
      </c>
      <c r="H70" s="408">
        <v>5.5</v>
      </c>
      <c r="I70" s="408">
        <v>1.63</v>
      </c>
      <c r="J70" s="413">
        <f>ROUND(1/COS($E70*PI()/180)*$D70*H70*I70,-2)</f>
        <v>17600</v>
      </c>
      <c r="K70" s="413" t="s">
        <v>302</v>
      </c>
      <c r="L70" s="413">
        <f>D70</f>
        <v>1703</v>
      </c>
      <c r="M70" s="413">
        <f>E70</f>
        <v>30</v>
      </c>
      <c r="N70" s="408">
        <f>ROUND(V70/J70*F70,0)</f>
        <v>36</v>
      </c>
      <c r="O70" s="408">
        <f>G70</f>
        <v>55</v>
      </c>
      <c r="P70" s="408">
        <f>H70</f>
        <v>5.5</v>
      </c>
      <c r="Q70" s="408">
        <v>2.2000000000000002</v>
      </c>
      <c r="R70" s="414">
        <f>P70-Q70</f>
        <v>3.3</v>
      </c>
      <c r="S70" s="408">
        <f>I70</f>
        <v>1.63</v>
      </c>
      <c r="T70" s="413">
        <f>V70-U70</f>
        <v>9600</v>
      </c>
      <c r="U70" s="413">
        <f>ROUND(N70*O70*R70*S70*0.75,-3)</f>
        <v>8000</v>
      </c>
      <c r="V70" s="413">
        <f>AA70+AE70+AI70+AM70</f>
        <v>17600</v>
      </c>
      <c r="W70" s="413">
        <f>J70-V70</f>
        <v>0</v>
      </c>
      <c r="X70" s="415"/>
      <c r="Y70" s="415"/>
      <c r="Z70" s="331"/>
      <c r="AA70" s="331"/>
      <c r="AB70" s="331"/>
      <c r="AC70" s="331">
        <f>550*6</f>
        <v>3300</v>
      </c>
      <c r="AD70" s="331">
        <f>550*AD17</f>
        <v>14300</v>
      </c>
      <c r="AE70" s="331">
        <f t="shared" si="71"/>
        <v>17600</v>
      </c>
      <c r="AF70" s="423"/>
      <c r="AG70" s="331"/>
      <c r="AH70" s="331"/>
      <c r="AI70" s="331">
        <f t="shared" si="72"/>
        <v>0</v>
      </c>
      <c r="AJ70" s="331"/>
      <c r="AK70" s="331"/>
      <c r="AL70" s="331"/>
      <c r="AM70" s="331">
        <f t="shared" si="73"/>
        <v>0</v>
      </c>
      <c r="AN70" s="322"/>
      <c r="AO70" s="1" t="str">
        <f t="shared" si="64"/>
        <v>KT8.</v>
      </c>
      <c r="AP70" s="5" t="str">
        <f>AO70&amp;K70</f>
        <v>KT8.GK</v>
      </c>
      <c r="AQ70" s="5" t="str">
        <f>AO70&amp;C70</f>
        <v>KT8.LC N-6-11.2</v>
      </c>
    </row>
    <row r="71" spans="1:43" ht="21.75" customHeight="1" x14ac:dyDescent="0.25">
      <c r="A71" s="5" t="str">
        <f>A68</f>
        <v>a</v>
      </c>
      <c r="B71" s="345"/>
      <c r="C71" s="336" t="s">
        <v>477</v>
      </c>
      <c r="D71" s="336">
        <v>9000</v>
      </c>
      <c r="E71" s="336">
        <v>35</v>
      </c>
      <c r="F71" s="413">
        <f>1/COS($E71*PI()/180)*$D71/G71</f>
        <v>149.27950134311286</v>
      </c>
      <c r="G71" s="424">
        <v>73.599999999999994</v>
      </c>
      <c r="H71" s="408">
        <v>10</v>
      </c>
      <c r="I71" s="408">
        <v>1.6</v>
      </c>
      <c r="J71" s="413">
        <f>ROUND(1/COS($E71*PI()/180)*$D71*H71*I71,-2)</f>
        <v>175800</v>
      </c>
      <c r="K71" s="413" t="s">
        <v>302</v>
      </c>
      <c r="L71" s="413">
        <f>D71</f>
        <v>9000</v>
      </c>
      <c r="M71" s="413">
        <f>E71</f>
        <v>35</v>
      </c>
      <c r="N71" s="408">
        <f>ROUND(V71/J71*F71,0)</f>
        <v>75</v>
      </c>
      <c r="O71" s="408">
        <f>G71</f>
        <v>73.599999999999994</v>
      </c>
      <c r="P71" s="408">
        <f>H71</f>
        <v>10</v>
      </c>
      <c r="Q71" s="408">
        <v>2.2000000000000002</v>
      </c>
      <c r="R71" s="414">
        <f>P71-Q71</f>
        <v>7.8</v>
      </c>
      <c r="S71" s="408">
        <f>I71</f>
        <v>1.6</v>
      </c>
      <c r="T71" s="413">
        <f>V71-U71</f>
        <v>35800</v>
      </c>
      <c r="U71" s="413">
        <f>ROUND(N71*O71*R71*S71*0.75,-3)</f>
        <v>52000</v>
      </c>
      <c r="V71" s="413">
        <f>AA71+AE71+AI71+AM71</f>
        <v>87800</v>
      </c>
      <c r="W71" s="413">
        <f>J71-V71</f>
        <v>88000</v>
      </c>
      <c r="X71" s="415"/>
      <c r="Y71" s="415"/>
      <c r="Z71" s="331"/>
      <c r="AA71" s="331">
        <f t="shared" si="70"/>
        <v>0</v>
      </c>
      <c r="AB71" s="331"/>
      <c r="AC71" s="331"/>
      <c r="AD71" s="331"/>
      <c r="AE71" s="331">
        <f t="shared" si="71"/>
        <v>0</v>
      </c>
      <c r="AF71" s="331">
        <f>ROUND(570*AF17,-2)</f>
        <v>15400</v>
      </c>
      <c r="AG71" s="331">
        <f>ROUND(570*AG17,-2)</f>
        <v>14800</v>
      </c>
      <c r="AH71" s="331">
        <f>ROUND(570*AH17,-2)</f>
        <v>14300</v>
      </c>
      <c r="AI71" s="331">
        <f t="shared" si="72"/>
        <v>44500</v>
      </c>
      <c r="AJ71" s="331">
        <f>600*AJ17</f>
        <v>15600</v>
      </c>
      <c r="AK71" s="331">
        <f>600*AK17</f>
        <v>14400</v>
      </c>
      <c r="AL71" s="331">
        <f>600*AL17+100</f>
        <v>13300</v>
      </c>
      <c r="AM71" s="331">
        <f t="shared" si="73"/>
        <v>43300</v>
      </c>
      <c r="AN71" s="322"/>
      <c r="AO71" s="1" t="str">
        <f>AO69</f>
        <v>KT8.</v>
      </c>
      <c r="AP71" s="5" t="str">
        <f t="shared" si="62"/>
        <v>KT8.GK</v>
      </c>
      <c r="AQ71" s="5" t="str">
        <f t="shared" si="63"/>
        <v>KT8.LC ĐB-14-4</v>
      </c>
    </row>
    <row r="72" spans="1:43" ht="18.75" customHeight="1" x14ac:dyDescent="0.25">
      <c r="A72" s="5" t="str">
        <f>A69</f>
        <v>a</v>
      </c>
      <c r="B72" s="347">
        <v>5</v>
      </c>
      <c r="C72" s="336" t="s">
        <v>446</v>
      </c>
      <c r="D72" s="336"/>
      <c r="E72" s="336"/>
      <c r="F72" s="413"/>
      <c r="G72" s="424"/>
      <c r="H72" s="408"/>
      <c r="I72" s="408"/>
      <c r="J72" s="413"/>
      <c r="K72" s="407"/>
      <c r="L72" s="407"/>
      <c r="M72" s="407"/>
      <c r="N72" s="407"/>
      <c r="O72" s="407"/>
      <c r="P72" s="407"/>
      <c r="Q72" s="407"/>
      <c r="R72" s="407"/>
      <c r="S72" s="407"/>
      <c r="T72" s="407"/>
      <c r="U72" s="407"/>
      <c r="V72" s="409">
        <f t="shared" si="69"/>
        <v>130400</v>
      </c>
      <c r="W72" s="409"/>
      <c r="X72" s="410">
        <f t="shared" ref="X72:AM72" si="74">X73+X74</f>
        <v>10800</v>
      </c>
      <c r="Y72" s="410">
        <f t="shared" si="74"/>
        <v>7200</v>
      </c>
      <c r="Z72" s="410">
        <f t="shared" si="74"/>
        <v>13600</v>
      </c>
      <c r="AA72" s="410">
        <f t="shared" si="74"/>
        <v>31600</v>
      </c>
      <c r="AB72" s="410">
        <f t="shared" si="74"/>
        <v>13500</v>
      </c>
      <c r="AC72" s="410">
        <f t="shared" si="74"/>
        <v>12100</v>
      </c>
      <c r="AD72" s="410">
        <f t="shared" si="74"/>
        <v>10400</v>
      </c>
      <c r="AE72" s="410">
        <f t="shared" si="74"/>
        <v>36000</v>
      </c>
      <c r="AF72" s="410">
        <f t="shared" si="74"/>
        <v>10500</v>
      </c>
      <c r="AG72" s="410">
        <f t="shared" si="74"/>
        <v>10400</v>
      </c>
      <c r="AH72" s="410">
        <f t="shared" si="74"/>
        <v>11900</v>
      </c>
      <c r="AI72" s="410">
        <f t="shared" si="74"/>
        <v>32800</v>
      </c>
      <c r="AJ72" s="410">
        <f t="shared" si="74"/>
        <v>11500</v>
      </c>
      <c r="AK72" s="410">
        <f t="shared" si="74"/>
        <v>9400</v>
      </c>
      <c r="AL72" s="410">
        <f t="shared" si="74"/>
        <v>9100</v>
      </c>
      <c r="AM72" s="410">
        <f t="shared" si="74"/>
        <v>30000</v>
      </c>
      <c r="AN72" s="322"/>
      <c r="AO72" s="5" t="s">
        <v>288</v>
      </c>
      <c r="AP72" s="5" t="str">
        <f t="shared" ref="AP72:AP84" si="75">AO72&amp;K72</f>
        <v>KT5.</v>
      </c>
      <c r="AQ72" s="5" t="str">
        <f t="shared" si="6"/>
        <v>KT5.PX KT5</v>
      </c>
    </row>
    <row r="73" spans="1:43" ht="18.75" customHeight="1" x14ac:dyDescent="0.25">
      <c r="A73" s="5" t="str">
        <f t="shared" si="65"/>
        <v>a</v>
      </c>
      <c r="B73" s="345" t="s">
        <v>8</v>
      </c>
      <c r="C73" s="336" t="s">
        <v>471</v>
      </c>
      <c r="D73" s="336"/>
      <c r="E73" s="336"/>
      <c r="F73" s="408"/>
      <c r="G73" s="408"/>
      <c r="H73" s="413"/>
      <c r="I73" s="413"/>
      <c r="J73" s="413"/>
      <c r="K73" s="408" t="s">
        <v>493</v>
      </c>
      <c r="L73" s="413"/>
      <c r="M73" s="413"/>
      <c r="N73" s="413"/>
      <c r="O73" s="413"/>
      <c r="P73" s="413"/>
      <c r="Q73" s="413"/>
      <c r="R73" s="413"/>
      <c r="S73" s="413"/>
      <c r="T73" s="413"/>
      <c r="U73" s="413"/>
      <c r="V73" s="409">
        <f t="shared" si="69"/>
        <v>2400</v>
      </c>
      <c r="W73" s="409"/>
      <c r="X73" s="410">
        <f>KH_ĐL!BK76</f>
        <v>800</v>
      </c>
      <c r="Y73" s="410">
        <f>KH_ĐL!BL76</f>
        <v>600</v>
      </c>
      <c r="Z73" s="410">
        <f>KH_ĐL!BM76</f>
        <v>100</v>
      </c>
      <c r="AA73" s="410">
        <f>KH_ĐL!BN76+100</f>
        <v>1500</v>
      </c>
      <c r="AB73" s="410">
        <f>KH_ĐL!BO76</f>
        <v>500</v>
      </c>
      <c r="AC73" s="410">
        <f>KH_ĐL!BP76</f>
        <v>0</v>
      </c>
      <c r="AD73" s="410">
        <f>KH_ĐL!BQ76</f>
        <v>0</v>
      </c>
      <c r="AE73" s="410">
        <f>KH_ĐL!BR76</f>
        <v>500</v>
      </c>
      <c r="AF73" s="410">
        <f>KH_ĐL!BS76</f>
        <v>0</v>
      </c>
      <c r="AG73" s="410">
        <f>KH_ĐL!BT76</f>
        <v>0</v>
      </c>
      <c r="AH73" s="410">
        <f>KH_ĐL!BU76</f>
        <v>400</v>
      </c>
      <c r="AI73" s="410">
        <f>KH_ĐL!BV76</f>
        <v>400</v>
      </c>
      <c r="AJ73" s="410">
        <f>KH_ĐL!BW76</f>
        <v>0</v>
      </c>
      <c r="AK73" s="410">
        <f>KH_ĐL!BX76</f>
        <v>0</v>
      </c>
      <c r="AL73" s="410">
        <f>KH_ĐL!BY76</f>
        <v>0</v>
      </c>
      <c r="AM73" s="410">
        <f>KH_ĐL!BZ76</f>
        <v>0</v>
      </c>
      <c r="AN73" s="322"/>
      <c r="AO73" s="1" t="str">
        <f>AO72</f>
        <v>KT5.</v>
      </c>
      <c r="AP73" s="5" t="str">
        <f t="shared" si="75"/>
        <v>KT5.ĐX</v>
      </c>
      <c r="AQ73" s="5" t="str">
        <f t="shared" si="6"/>
        <v>KT5.SL đào, xén lò</v>
      </c>
    </row>
    <row r="74" spans="1:43" ht="18.75" customHeight="1" x14ac:dyDescent="0.25">
      <c r="A74" s="5" t="str">
        <f t="shared" si="3"/>
        <v>a</v>
      </c>
      <c r="B74" s="345" t="s">
        <v>37</v>
      </c>
      <c r="C74" s="336" t="s">
        <v>257</v>
      </c>
      <c r="D74" s="336"/>
      <c r="E74" s="336"/>
      <c r="F74" s="408"/>
      <c r="G74" s="408"/>
      <c r="H74" s="413"/>
      <c r="I74" s="413"/>
      <c r="J74" s="413"/>
      <c r="K74" s="413"/>
      <c r="L74" s="413"/>
      <c r="M74" s="413"/>
      <c r="N74" s="413"/>
      <c r="O74" s="413"/>
      <c r="P74" s="413"/>
      <c r="Q74" s="413"/>
      <c r="R74" s="413"/>
      <c r="S74" s="413"/>
      <c r="T74" s="413"/>
      <c r="U74" s="413"/>
      <c r="V74" s="410">
        <f>SUM(V75:V81)</f>
        <v>128000</v>
      </c>
      <c r="W74" s="410"/>
      <c r="X74" s="410">
        <f>SUM(X75:X81)</f>
        <v>10000</v>
      </c>
      <c r="Y74" s="410">
        <f t="shared" ref="Y74:AM74" si="76">SUM(Y75:Y81)</f>
        <v>6600</v>
      </c>
      <c r="Z74" s="410">
        <f t="shared" si="76"/>
        <v>13500</v>
      </c>
      <c r="AA74" s="410">
        <f>SUM(AA75:AA81)</f>
        <v>30100</v>
      </c>
      <c r="AB74" s="410">
        <f t="shared" si="76"/>
        <v>13000</v>
      </c>
      <c r="AC74" s="410">
        <f t="shared" si="76"/>
        <v>12100</v>
      </c>
      <c r="AD74" s="410">
        <f t="shared" si="76"/>
        <v>10400</v>
      </c>
      <c r="AE74" s="410">
        <f t="shared" si="76"/>
        <v>35500</v>
      </c>
      <c r="AF74" s="410">
        <f t="shared" si="76"/>
        <v>10500</v>
      </c>
      <c r="AG74" s="410">
        <f t="shared" si="76"/>
        <v>10400</v>
      </c>
      <c r="AH74" s="410">
        <f t="shared" si="76"/>
        <v>11500</v>
      </c>
      <c r="AI74" s="410">
        <f t="shared" si="76"/>
        <v>32400</v>
      </c>
      <c r="AJ74" s="410">
        <f t="shared" si="76"/>
        <v>11500</v>
      </c>
      <c r="AK74" s="410">
        <f t="shared" si="76"/>
        <v>9400</v>
      </c>
      <c r="AL74" s="410">
        <f t="shared" si="76"/>
        <v>9100</v>
      </c>
      <c r="AM74" s="410">
        <f t="shared" si="76"/>
        <v>30000</v>
      </c>
      <c r="AN74" s="1016">
        <f>(V74)/$AN$17</f>
        <v>436.86006825938568</v>
      </c>
      <c r="AO74" s="1" t="str">
        <f t="shared" ref="AO74:AO84" si="77">AO73</f>
        <v>KT5.</v>
      </c>
      <c r="AP74" s="5" t="str">
        <f t="shared" si="75"/>
        <v>KT5.</v>
      </c>
      <c r="AQ74" s="5" t="str">
        <f t="shared" si="6"/>
        <v>KT5.KT Lò chợ</v>
      </c>
    </row>
    <row r="75" spans="1:43" ht="18.75" customHeight="1" x14ac:dyDescent="0.25">
      <c r="A75" s="5" t="str">
        <f t="shared" si="3"/>
        <v>a</v>
      </c>
      <c r="B75" s="346"/>
      <c r="C75" s="336" t="s">
        <v>473</v>
      </c>
      <c r="D75" s="412">
        <v>6300</v>
      </c>
      <c r="E75" s="337">
        <v>12</v>
      </c>
      <c r="F75" s="413">
        <f t="shared" ref="F75:F84" si="78">1/COS($E75*PI()/180)*$D75/G75</f>
        <v>107.34576246082808</v>
      </c>
      <c r="G75" s="408">
        <v>60</v>
      </c>
      <c r="H75" s="408">
        <v>3.84</v>
      </c>
      <c r="I75" s="408">
        <v>1.63</v>
      </c>
      <c r="J75" s="413">
        <f>ROUND(1/COS($E75*PI()/180)*$D75*H75*I75,-3)-27600</f>
        <v>12400</v>
      </c>
      <c r="K75" s="413" t="s">
        <v>40</v>
      </c>
      <c r="L75" s="413">
        <f t="shared" ref="L75:M79" si="79">D75</f>
        <v>6300</v>
      </c>
      <c r="M75" s="413">
        <f t="shared" si="79"/>
        <v>12</v>
      </c>
      <c r="N75" s="408">
        <f t="shared" ref="N75:N84" si="80">ROUND(V75/J75*F75,0)</f>
        <v>107</v>
      </c>
      <c r="O75" s="408">
        <f t="shared" ref="O75:P79" si="81">G75</f>
        <v>60</v>
      </c>
      <c r="P75" s="408">
        <f t="shared" si="81"/>
        <v>3.84</v>
      </c>
      <c r="Q75" s="408">
        <v>2.2000000000000002</v>
      </c>
      <c r="R75" s="414">
        <f t="shared" ref="R75:R84" si="82">P75-Q75</f>
        <v>1.6399999999999997</v>
      </c>
      <c r="S75" s="408">
        <f t="shared" ref="S75:S84" si="83">I75</f>
        <v>1.63</v>
      </c>
      <c r="T75" s="413">
        <f t="shared" ref="T75:T84" si="84">V75-U75</f>
        <v>-600</v>
      </c>
      <c r="U75" s="413">
        <f t="shared" ref="U75:U84" si="85">ROUND(N75*O75*R75*S75*0.75,-3)</f>
        <v>13000</v>
      </c>
      <c r="V75" s="413">
        <f t="shared" ref="V75:V86" si="86">AA75+AE75+AI75+AM75</f>
        <v>12400</v>
      </c>
      <c r="W75" s="413">
        <f t="shared" ref="W75:W84" si="87">J75-V75</f>
        <v>0</v>
      </c>
      <c r="X75" s="415">
        <v>10000</v>
      </c>
      <c r="Y75" s="415">
        <v>2400</v>
      </c>
      <c r="Z75" s="331"/>
      <c r="AA75" s="331">
        <f>SUM(X75:Z75)</f>
        <v>12400</v>
      </c>
      <c r="AB75" s="331"/>
      <c r="AC75" s="331"/>
      <c r="AD75" s="331"/>
      <c r="AE75" s="331">
        <f t="shared" ref="AE75:AE84" si="88">SUM(AB75:AD75)</f>
        <v>0</v>
      </c>
      <c r="AF75" s="331"/>
      <c r="AG75" s="331"/>
      <c r="AH75" s="331"/>
      <c r="AI75" s="331">
        <f>SUM(AF75:AH75)</f>
        <v>0</v>
      </c>
      <c r="AJ75" s="331"/>
      <c r="AK75" s="331"/>
      <c r="AL75" s="331"/>
      <c r="AM75" s="331">
        <f>SUM(AJ75:AL75)</f>
        <v>0</v>
      </c>
      <c r="AN75" s="322"/>
      <c r="AO75" s="1" t="str">
        <f t="shared" si="77"/>
        <v>KT5.</v>
      </c>
      <c r="AP75" s="5" t="str">
        <f t="shared" si="75"/>
        <v>KT5.ZRY</v>
      </c>
      <c r="AQ75" s="5" t="str">
        <f t="shared" si="6"/>
        <v>KT5.LC N-6-8B</v>
      </c>
    </row>
    <row r="76" spans="1:43" ht="18.75" customHeight="1" x14ac:dyDescent="0.25">
      <c r="A76" s="5" t="str">
        <f t="shared" si="3"/>
        <v>a</v>
      </c>
      <c r="B76" s="346"/>
      <c r="C76" s="336" t="s">
        <v>616</v>
      </c>
      <c r="D76" s="412">
        <v>4290</v>
      </c>
      <c r="E76" s="337">
        <v>25</v>
      </c>
      <c r="F76" s="413">
        <f t="shared" si="78"/>
        <v>67.621303890701284</v>
      </c>
      <c r="G76" s="408">
        <v>70</v>
      </c>
      <c r="H76" s="408">
        <v>4.5</v>
      </c>
      <c r="I76" s="408">
        <v>1.63</v>
      </c>
      <c r="J76" s="413">
        <f>ROUND(1/COS($E76*PI()/180)*$D76*H76*I76,-2)</f>
        <v>34700</v>
      </c>
      <c r="K76" s="413" t="s">
        <v>302</v>
      </c>
      <c r="L76" s="413">
        <f t="shared" si="79"/>
        <v>4290</v>
      </c>
      <c r="M76" s="413">
        <f t="shared" si="79"/>
        <v>25</v>
      </c>
      <c r="N76" s="408">
        <f t="shared" si="80"/>
        <v>68</v>
      </c>
      <c r="O76" s="408">
        <f t="shared" si="81"/>
        <v>70</v>
      </c>
      <c r="P76" s="408">
        <f t="shared" si="81"/>
        <v>4.5</v>
      </c>
      <c r="Q76" s="408">
        <v>2.2000000000000002</v>
      </c>
      <c r="R76" s="414">
        <f t="shared" si="82"/>
        <v>2.2999999999999998</v>
      </c>
      <c r="S76" s="408">
        <f t="shared" si="83"/>
        <v>1.63</v>
      </c>
      <c r="T76" s="413">
        <f t="shared" si="84"/>
        <v>21700</v>
      </c>
      <c r="U76" s="413">
        <f t="shared" si="85"/>
        <v>13000</v>
      </c>
      <c r="V76" s="413">
        <f t="shared" si="86"/>
        <v>34700</v>
      </c>
      <c r="W76" s="413">
        <f t="shared" si="87"/>
        <v>0</v>
      </c>
      <c r="X76" s="415"/>
      <c r="Y76" s="415">
        <f>ROUND(500*(Y17-6-2),-2)+200</f>
        <v>4200</v>
      </c>
      <c r="Z76" s="331">
        <f>ROUND(520*Z17,-2)-500</f>
        <v>13500</v>
      </c>
      <c r="AA76" s="331">
        <f t="shared" ref="AA76:AA84" si="89">SUM(X76:Z76)</f>
        <v>17700</v>
      </c>
      <c r="AB76" s="331">
        <f>ROUND(540*AB17,-2)</f>
        <v>13000</v>
      </c>
      <c r="AC76" s="331">
        <f>ROUND(500*8,-2)</f>
        <v>4000</v>
      </c>
      <c r="AD76" s="331"/>
      <c r="AE76" s="331">
        <f t="shared" si="88"/>
        <v>17000</v>
      </c>
      <c r="AF76" s="331"/>
      <c r="AG76" s="417"/>
      <c r="AH76" s="331"/>
      <c r="AI76" s="331">
        <f t="shared" ref="AI76:AI84" si="90">SUM(AF76:AH76)</f>
        <v>0</v>
      </c>
      <c r="AJ76" s="331"/>
      <c r="AK76" s="331"/>
      <c r="AL76" s="331"/>
      <c r="AM76" s="331">
        <f t="shared" ref="AM76:AM84" si="91">SUM(AJ76:AL76)</f>
        <v>0</v>
      </c>
      <c r="AN76" s="322"/>
      <c r="AO76" s="1" t="str">
        <f t="shared" si="77"/>
        <v>KT5.</v>
      </c>
      <c r="AP76" s="5" t="str">
        <f t="shared" si="75"/>
        <v>KT5.GK</v>
      </c>
      <c r="AQ76" s="5" t="str">
        <f t="shared" si="6"/>
        <v>KT5.LC N-6-12.2</v>
      </c>
    </row>
    <row r="77" spans="1:43" ht="19.5" customHeight="1" x14ac:dyDescent="0.25">
      <c r="A77" s="5" t="str">
        <f t="shared" si="3"/>
        <v>a</v>
      </c>
      <c r="B77" s="346"/>
      <c r="C77" s="336" t="s">
        <v>617</v>
      </c>
      <c r="D77" s="412">
        <v>2070</v>
      </c>
      <c r="E77" s="337">
        <v>25</v>
      </c>
      <c r="F77" s="413">
        <f t="shared" si="78"/>
        <v>35.687379566443092</v>
      </c>
      <c r="G77" s="408">
        <v>64</v>
      </c>
      <c r="H77" s="408">
        <v>4.7</v>
      </c>
      <c r="I77" s="408">
        <v>1.63</v>
      </c>
      <c r="J77" s="413">
        <f>ROUND(1/COS($E77*PI()/180)*$D77*H77*I77,-2)</f>
        <v>17500</v>
      </c>
      <c r="K77" s="413" t="s">
        <v>302</v>
      </c>
      <c r="L77" s="413">
        <f t="shared" si="79"/>
        <v>2070</v>
      </c>
      <c r="M77" s="413">
        <f t="shared" si="79"/>
        <v>25</v>
      </c>
      <c r="N77" s="408">
        <f t="shared" si="80"/>
        <v>36</v>
      </c>
      <c r="O77" s="408">
        <f t="shared" si="81"/>
        <v>64</v>
      </c>
      <c r="P77" s="408">
        <f t="shared" si="81"/>
        <v>4.7</v>
      </c>
      <c r="Q77" s="408">
        <v>3.5</v>
      </c>
      <c r="R77" s="414">
        <f t="shared" si="82"/>
        <v>1.2000000000000002</v>
      </c>
      <c r="S77" s="408">
        <f t="shared" si="83"/>
        <v>1.63</v>
      </c>
      <c r="T77" s="413">
        <f t="shared" si="84"/>
        <v>14500</v>
      </c>
      <c r="U77" s="413">
        <f t="shared" si="85"/>
        <v>3000</v>
      </c>
      <c r="V77" s="413">
        <f t="shared" si="86"/>
        <v>17500</v>
      </c>
      <c r="W77" s="413">
        <f t="shared" si="87"/>
        <v>0</v>
      </c>
      <c r="X77" s="415"/>
      <c r="Y77" s="415"/>
      <c r="Z77" s="331"/>
      <c r="AA77" s="331">
        <f t="shared" si="89"/>
        <v>0</v>
      </c>
      <c r="AB77" s="331"/>
      <c r="AC77" s="331">
        <f>ROUND(540*(AC17-8-2),-2)</f>
        <v>8100</v>
      </c>
      <c r="AD77" s="331">
        <f>ROUND(520*18,-2)</f>
        <v>9400</v>
      </c>
      <c r="AE77" s="331">
        <f>SUM(AB77:AD77)</f>
        <v>17500</v>
      </c>
      <c r="AF77" s="331"/>
      <c r="AG77" s="331"/>
      <c r="AH77" s="331"/>
      <c r="AI77" s="331">
        <f t="shared" si="90"/>
        <v>0</v>
      </c>
      <c r="AJ77" s="331"/>
      <c r="AK77" s="331"/>
      <c r="AL77" s="331"/>
      <c r="AM77" s="331">
        <f t="shared" si="91"/>
        <v>0</v>
      </c>
      <c r="AN77" s="322"/>
      <c r="AO77" s="1" t="str">
        <f t="shared" si="77"/>
        <v>KT5.</v>
      </c>
      <c r="AP77" s="5" t="str">
        <f t="shared" si="75"/>
        <v>KT5.GK</v>
      </c>
      <c r="AQ77" s="5" t="str">
        <f t="shared" si="6"/>
        <v>KT5.LC N-6-12.3</v>
      </c>
    </row>
    <row r="78" spans="1:43" ht="18.75" customHeight="1" x14ac:dyDescent="0.25">
      <c r="A78" s="5" t="str">
        <f t="shared" si="3"/>
        <v>a</v>
      </c>
      <c r="B78" s="347"/>
      <c r="C78" s="336" t="s">
        <v>618</v>
      </c>
      <c r="D78" s="412"/>
      <c r="E78" s="337">
        <v>25</v>
      </c>
      <c r="F78" s="413"/>
      <c r="G78" s="408"/>
      <c r="H78" s="408">
        <v>2.02</v>
      </c>
      <c r="I78" s="408">
        <v>1.63</v>
      </c>
      <c r="J78" s="413">
        <f t="shared" ref="J78:J84" si="92">ROUND(1/COS($E78*PI()/180)*$D78*H78*I78,-2)</f>
        <v>0</v>
      </c>
      <c r="K78" s="413"/>
      <c r="L78" s="413">
        <f t="shared" si="79"/>
        <v>0</v>
      </c>
      <c r="M78" s="413">
        <f t="shared" si="79"/>
        <v>25</v>
      </c>
      <c r="N78" s="408"/>
      <c r="O78" s="408">
        <f t="shared" si="81"/>
        <v>0</v>
      </c>
      <c r="P78" s="408">
        <f t="shared" si="81"/>
        <v>2.02</v>
      </c>
      <c r="Q78" s="408">
        <v>2.2000000000000002</v>
      </c>
      <c r="R78" s="414">
        <f t="shared" si="82"/>
        <v>-0.18000000000000016</v>
      </c>
      <c r="S78" s="408">
        <f t="shared" si="83"/>
        <v>1.63</v>
      </c>
      <c r="T78" s="413">
        <f t="shared" si="84"/>
        <v>0</v>
      </c>
      <c r="U78" s="413"/>
      <c r="V78" s="413">
        <f t="shared" si="86"/>
        <v>0</v>
      </c>
      <c r="W78" s="413">
        <f t="shared" si="87"/>
        <v>0</v>
      </c>
      <c r="X78" s="444" t="s">
        <v>862</v>
      </c>
      <c r="Y78" s="415"/>
      <c r="Z78" s="331"/>
      <c r="AA78" s="331">
        <f t="shared" si="89"/>
        <v>0</v>
      </c>
      <c r="AB78" s="331"/>
      <c r="AC78" s="331"/>
      <c r="AD78" s="331"/>
      <c r="AE78" s="331">
        <f t="shared" si="88"/>
        <v>0</v>
      </c>
      <c r="AF78" s="331"/>
      <c r="AG78" s="331"/>
      <c r="AH78" s="331"/>
      <c r="AI78" s="331">
        <f t="shared" si="90"/>
        <v>0</v>
      </c>
      <c r="AJ78" s="331"/>
      <c r="AK78" s="331"/>
      <c r="AL78" s="331"/>
      <c r="AM78" s="331">
        <f t="shared" si="91"/>
        <v>0</v>
      </c>
      <c r="AN78" s="322"/>
      <c r="AO78" s="1" t="str">
        <f t="shared" si="77"/>
        <v>KT5.</v>
      </c>
      <c r="AP78" s="5" t="str">
        <f t="shared" si="75"/>
        <v>KT5.</v>
      </c>
      <c r="AQ78" s="5" t="str">
        <f t="shared" si="6"/>
        <v>KT5.LC N-8a-1</v>
      </c>
    </row>
    <row r="79" spans="1:43" ht="18.75" customHeight="1" x14ac:dyDescent="0.25">
      <c r="A79" s="5"/>
      <c r="B79" s="347"/>
      <c r="C79" s="336" t="s">
        <v>561</v>
      </c>
      <c r="D79" s="412">
        <v>2750</v>
      </c>
      <c r="E79" s="337">
        <v>31</v>
      </c>
      <c r="F79" s="413">
        <f>1/COS($E79*PI()/180)*$D79/G79</f>
        <v>69.744387877003447</v>
      </c>
      <c r="G79" s="408">
        <v>46</v>
      </c>
      <c r="H79" s="408">
        <v>2.54</v>
      </c>
      <c r="I79" s="408">
        <v>1.63</v>
      </c>
      <c r="J79" s="413">
        <f t="shared" si="92"/>
        <v>13300</v>
      </c>
      <c r="K79" s="413" t="s">
        <v>40</v>
      </c>
      <c r="L79" s="413">
        <f t="shared" si="79"/>
        <v>2750</v>
      </c>
      <c r="M79" s="413">
        <f t="shared" si="79"/>
        <v>31</v>
      </c>
      <c r="N79" s="408"/>
      <c r="O79" s="408"/>
      <c r="P79" s="408">
        <f t="shared" si="81"/>
        <v>2.54</v>
      </c>
      <c r="Q79" s="408"/>
      <c r="R79" s="414"/>
      <c r="S79" s="408">
        <f t="shared" si="83"/>
        <v>1.63</v>
      </c>
      <c r="T79" s="413"/>
      <c r="U79" s="413"/>
      <c r="V79" s="413">
        <f t="shared" si="86"/>
        <v>13300</v>
      </c>
      <c r="W79" s="413">
        <f>J79-V79</f>
        <v>0</v>
      </c>
      <c r="X79" s="415"/>
      <c r="Y79" s="415"/>
      <c r="Z79" s="331"/>
      <c r="AA79" s="331"/>
      <c r="AB79" s="331"/>
      <c r="AC79" s="331"/>
      <c r="AD79" s="331">
        <v>1000</v>
      </c>
      <c r="AE79" s="331">
        <f t="shared" si="88"/>
        <v>1000</v>
      </c>
      <c r="AF79" s="331">
        <f>ROUND(390*AF17,-2)</f>
        <v>10500</v>
      </c>
      <c r="AG79" s="331">
        <v>1800</v>
      </c>
      <c r="AH79" s="331"/>
      <c r="AI79" s="331">
        <f t="shared" si="90"/>
        <v>12300</v>
      </c>
      <c r="AJ79" s="331"/>
      <c r="AK79" s="331"/>
      <c r="AL79" s="331"/>
      <c r="AM79" s="331"/>
      <c r="AN79" s="322"/>
      <c r="AO79" s="1" t="str">
        <f t="shared" si="77"/>
        <v>KT5.</v>
      </c>
      <c r="AP79" s="5" t="str">
        <f>AO79&amp;K79</f>
        <v>KT5.ZRY</v>
      </c>
      <c r="AQ79" s="5" t="str">
        <f>AO79&amp;C79</f>
        <v>KT5.LC ĐB-12-3A</v>
      </c>
    </row>
    <row r="80" spans="1:43" ht="18.75" customHeight="1" x14ac:dyDescent="0.25">
      <c r="A80" s="5"/>
      <c r="B80" s="347"/>
      <c r="C80" s="336" t="s">
        <v>489</v>
      </c>
      <c r="D80" s="412">
        <v>3320</v>
      </c>
      <c r="E80" s="337">
        <v>31</v>
      </c>
      <c r="F80" s="413">
        <f>1/COS($E80*PI()/180)*$D80/G80</f>
        <v>70.422234159179951</v>
      </c>
      <c r="G80" s="408">
        <v>55</v>
      </c>
      <c r="H80" s="408">
        <v>3.35</v>
      </c>
      <c r="I80" s="408">
        <v>1.63</v>
      </c>
      <c r="J80" s="413">
        <f t="shared" si="92"/>
        <v>21100</v>
      </c>
      <c r="K80" s="413" t="s">
        <v>40</v>
      </c>
      <c r="L80" s="413">
        <f t="shared" ref="L80:M84" si="93">D80</f>
        <v>3320</v>
      </c>
      <c r="M80" s="413">
        <f t="shared" si="93"/>
        <v>31</v>
      </c>
      <c r="N80" s="408"/>
      <c r="O80" s="408"/>
      <c r="P80" s="408">
        <f>H80</f>
        <v>3.35</v>
      </c>
      <c r="Q80" s="408"/>
      <c r="R80" s="414"/>
      <c r="S80" s="408">
        <f>I80</f>
        <v>1.63</v>
      </c>
      <c r="T80" s="413"/>
      <c r="U80" s="413"/>
      <c r="V80" s="413">
        <f t="shared" si="86"/>
        <v>21100</v>
      </c>
      <c r="W80" s="413">
        <f>J80-V80</f>
        <v>0</v>
      </c>
      <c r="X80" s="415"/>
      <c r="Y80" s="415"/>
      <c r="Z80" s="331"/>
      <c r="AA80" s="331"/>
      <c r="AB80" s="331"/>
      <c r="AC80" s="331"/>
      <c r="AD80" s="331"/>
      <c r="AE80" s="331"/>
      <c r="AF80" s="331"/>
      <c r="AG80" s="331">
        <v>8600</v>
      </c>
      <c r="AH80" s="331">
        <v>11500</v>
      </c>
      <c r="AI80" s="331">
        <f t="shared" si="90"/>
        <v>20100</v>
      </c>
      <c r="AJ80" s="331">
        <v>1000</v>
      </c>
      <c r="AK80" s="331"/>
      <c r="AL80" s="331"/>
      <c r="AM80" s="331">
        <f>SUM(AJ80:AL80)</f>
        <v>1000</v>
      </c>
      <c r="AN80" s="322"/>
      <c r="AO80" s="1" t="str">
        <f t="shared" si="77"/>
        <v>KT5.</v>
      </c>
      <c r="AP80" s="5" t="str">
        <f>AO80&amp;K80</f>
        <v>KT5.ZRY</v>
      </c>
      <c r="AQ80" s="5" t="str">
        <f>AO80&amp;C80</f>
        <v>KT5.LC ĐB-11-4</v>
      </c>
    </row>
    <row r="81" spans="1:43" ht="18.75" customHeight="1" x14ac:dyDescent="0.25">
      <c r="A81" s="5"/>
      <c r="B81" s="347"/>
      <c r="C81" s="336" t="s">
        <v>741</v>
      </c>
      <c r="D81" s="412">
        <v>10150</v>
      </c>
      <c r="E81" s="337">
        <v>31</v>
      </c>
      <c r="F81" s="413">
        <f>1/COS($E81*PI()/180)*$D81/G81</f>
        <v>215.29689057701097</v>
      </c>
      <c r="G81" s="408">
        <v>55</v>
      </c>
      <c r="H81" s="408">
        <v>2.8</v>
      </c>
      <c r="I81" s="408">
        <v>1.63</v>
      </c>
      <c r="J81" s="413">
        <f t="shared" si="92"/>
        <v>54000</v>
      </c>
      <c r="K81" s="413" t="s">
        <v>40</v>
      </c>
      <c r="L81" s="413">
        <f t="shared" si="93"/>
        <v>10150</v>
      </c>
      <c r="M81" s="413">
        <f t="shared" si="93"/>
        <v>31</v>
      </c>
      <c r="N81" s="408"/>
      <c r="O81" s="408"/>
      <c r="P81" s="408">
        <f>H81</f>
        <v>2.8</v>
      </c>
      <c r="Q81" s="408"/>
      <c r="R81" s="414"/>
      <c r="S81" s="408">
        <f>I81</f>
        <v>1.63</v>
      </c>
      <c r="T81" s="413"/>
      <c r="U81" s="413"/>
      <c r="V81" s="413">
        <f t="shared" si="86"/>
        <v>29000</v>
      </c>
      <c r="W81" s="413">
        <f>J81-V81</f>
        <v>25000</v>
      </c>
      <c r="X81" s="415"/>
      <c r="Y81" s="415"/>
      <c r="Z81" s="331"/>
      <c r="AA81" s="331"/>
      <c r="AB81" s="331"/>
      <c r="AC81" s="331"/>
      <c r="AD81" s="331"/>
      <c r="AE81" s="331"/>
      <c r="AF81" s="331"/>
      <c r="AG81" s="331"/>
      <c r="AH81" s="331"/>
      <c r="AI81" s="331">
        <f>SUM(AF81:AH81)</f>
        <v>0</v>
      </c>
      <c r="AJ81" s="331">
        <v>10500</v>
      </c>
      <c r="AK81" s="331">
        <f>ROUND(390*AK17,-2)</f>
        <v>9400</v>
      </c>
      <c r="AL81" s="331">
        <v>9100</v>
      </c>
      <c r="AM81" s="331">
        <f>SUM(AJ81:AL81)</f>
        <v>29000</v>
      </c>
      <c r="AN81" s="322"/>
      <c r="AO81" s="1" t="str">
        <f t="shared" si="77"/>
        <v>KT5.</v>
      </c>
      <c r="AP81" s="5" t="str">
        <f>AO81&amp;K81</f>
        <v>KT5.ZRY</v>
      </c>
      <c r="AQ81" s="5" t="str">
        <f>AO81&amp;C81</f>
        <v>KT5.LC ĐB-11-5</v>
      </c>
    </row>
    <row r="82" spans="1:43" s="432" customFormat="1" ht="18.75" customHeight="1" x14ac:dyDescent="0.25">
      <c r="A82" s="384" t="str">
        <f>A77</f>
        <v>a</v>
      </c>
      <c r="B82" s="348" t="s">
        <v>492</v>
      </c>
      <c r="C82" s="338" t="s">
        <v>619</v>
      </c>
      <c r="D82" s="338">
        <v>9000</v>
      </c>
      <c r="E82" s="338">
        <v>5</v>
      </c>
      <c r="F82" s="425">
        <f t="shared" si="78"/>
        <v>112.92973172362659</v>
      </c>
      <c r="G82" s="426">
        <v>80</v>
      </c>
      <c r="H82" s="427">
        <v>1.7</v>
      </c>
      <c r="I82" s="426">
        <v>1.63</v>
      </c>
      <c r="J82" s="425">
        <f t="shared" si="92"/>
        <v>25000</v>
      </c>
      <c r="K82" s="425"/>
      <c r="L82" s="425">
        <f t="shared" si="93"/>
        <v>9000</v>
      </c>
      <c r="M82" s="425">
        <f t="shared" si="93"/>
        <v>5</v>
      </c>
      <c r="N82" s="426">
        <f t="shared" si="80"/>
        <v>113</v>
      </c>
      <c r="O82" s="426">
        <f>G82</f>
        <v>80</v>
      </c>
      <c r="P82" s="426">
        <f>H82</f>
        <v>1.7</v>
      </c>
      <c r="Q82" s="426">
        <v>2.2000000000000002</v>
      </c>
      <c r="R82" s="428">
        <f t="shared" si="82"/>
        <v>-0.50000000000000022</v>
      </c>
      <c r="S82" s="426">
        <f t="shared" si="83"/>
        <v>1.63</v>
      </c>
      <c r="T82" s="425">
        <f t="shared" si="84"/>
        <v>31000</v>
      </c>
      <c r="U82" s="425">
        <f t="shared" si="85"/>
        <v>-6000</v>
      </c>
      <c r="V82" s="429">
        <f t="shared" si="86"/>
        <v>25000</v>
      </c>
      <c r="W82" s="425">
        <f t="shared" si="87"/>
        <v>0</v>
      </c>
      <c r="X82" s="430"/>
      <c r="Y82" s="430"/>
      <c r="Z82" s="431"/>
      <c r="AA82" s="431">
        <f t="shared" si="89"/>
        <v>0</v>
      </c>
      <c r="AB82" s="431"/>
      <c r="AC82" s="431"/>
      <c r="AD82" s="431">
        <f>ROUND(500*(AD17-18-6),-2)</f>
        <v>1000</v>
      </c>
      <c r="AE82" s="431">
        <f t="shared" si="88"/>
        <v>1000</v>
      </c>
      <c r="AF82" s="431">
        <f>ROUND(500*AF17,-2)</f>
        <v>13500</v>
      </c>
      <c r="AG82" s="431">
        <f>ROUND(500*(AG17-5),-2)</f>
        <v>10500</v>
      </c>
      <c r="AH82" s="431"/>
      <c r="AI82" s="431">
        <f t="shared" si="90"/>
        <v>24000</v>
      </c>
      <c r="AJ82" s="431"/>
      <c r="AK82" s="431"/>
      <c r="AL82" s="431"/>
      <c r="AM82" s="431">
        <f t="shared" si="91"/>
        <v>0</v>
      </c>
      <c r="AN82" s="322"/>
      <c r="AO82" s="432" t="str">
        <f>AO78</f>
        <v>KT5.</v>
      </c>
      <c r="AP82" s="384" t="str">
        <f t="shared" si="75"/>
        <v>KT5.</v>
      </c>
      <c r="AQ82" s="384" t="str">
        <f t="shared" si="6"/>
        <v>KT5.LC N-6a-1.1</v>
      </c>
    </row>
    <row r="83" spans="1:43" ht="18.75" customHeight="1" x14ac:dyDescent="0.25">
      <c r="A83" s="5" t="str">
        <f>A78</f>
        <v>a</v>
      </c>
      <c r="B83" s="349"/>
      <c r="C83" s="338" t="s">
        <v>620</v>
      </c>
      <c r="D83" s="338">
        <v>8300</v>
      </c>
      <c r="E83" s="338">
        <v>19</v>
      </c>
      <c r="F83" s="425">
        <f t="shared" si="78"/>
        <v>162.56021581202529</v>
      </c>
      <c r="G83" s="426">
        <v>54</v>
      </c>
      <c r="H83" s="427">
        <v>1.7</v>
      </c>
      <c r="I83" s="426">
        <v>1.63</v>
      </c>
      <c r="J83" s="425">
        <f t="shared" si="92"/>
        <v>24300</v>
      </c>
      <c r="K83" s="425"/>
      <c r="L83" s="425">
        <f t="shared" si="93"/>
        <v>8300</v>
      </c>
      <c r="M83" s="425">
        <f t="shared" si="93"/>
        <v>19</v>
      </c>
      <c r="N83" s="426">
        <f t="shared" si="80"/>
        <v>159</v>
      </c>
      <c r="O83" s="426">
        <f>G83</f>
        <v>54</v>
      </c>
      <c r="P83" s="426">
        <f>H83</f>
        <v>1.7</v>
      </c>
      <c r="Q83" s="426">
        <v>2.2000000000000002</v>
      </c>
      <c r="R83" s="428">
        <f t="shared" si="82"/>
        <v>-0.50000000000000022</v>
      </c>
      <c r="S83" s="426">
        <f t="shared" si="83"/>
        <v>1.63</v>
      </c>
      <c r="T83" s="425">
        <f t="shared" si="84"/>
        <v>28700</v>
      </c>
      <c r="U83" s="425">
        <f t="shared" si="85"/>
        <v>-5000</v>
      </c>
      <c r="V83" s="429">
        <f t="shared" si="86"/>
        <v>23700</v>
      </c>
      <c r="W83" s="425">
        <f t="shared" si="87"/>
        <v>600</v>
      </c>
      <c r="X83" s="430"/>
      <c r="Y83" s="430"/>
      <c r="Z83" s="431"/>
      <c r="AA83" s="431">
        <f t="shared" si="89"/>
        <v>0</v>
      </c>
      <c r="AB83" s="431"/>
      <c r="AC83" s="431"/>
      <c r="AD83" s="431"/>
      <c r="AE83" s="431">
        <f t="shared" si="88"/>
        <v>0</v>
      </c>
      <c r="AF83" s="433"/>
      <c r="AG83" s="431"/>
      <c r="AH83" s="431">
        <f>ROUND(550*AH17,-2)</f>
        <v>13800</v>
      </c>
      <c r="AI83" s="431">
        <f t="shared" si="90"/>
        <v>13800</v>
      </c>
      <c r="AJ83" s="431">
        <f>ROUND(550*(AJ17-8),-2)</f>
        <v>9900</v>
      </c>
      <c r="AK83" s="431"/>
      <c r="AL83" s="431"/>
      <c r="AM83" s="431">
        <f t="shared" si="91"/>
        <v>9900</v>
      </c>
      <c r="AN83" s="322"/>
      <c r="AO83" s="1" t="str">
        <f t="shared" si="77"/>
        <v>KT5.</v>
      </c>
      <c r="AP83" s="5" t="str">
        <f t="shared" si="75"/>
        <v>KT5.</v>
      </c>
      <c r="AQ83" s="5" t="str">
        <f t="shared" si="6"/>
        <v>KT5.LC N-6a-1.2</v>
      </c>
    </row>
    <row r="84" spans="1:43" ht="18.75" customHeight="1" x14ac:dyDescent="0.25">
      <c r="A84" s="5" t="str">
        <f t="shared" si="3"/>
        <v>a</v>
      </c>
      <c r="B84" s="349"/>
      <c r="C84" s="338" t="s">
        <v>621</v>
      </c>
      <c r="D84" s="338">
        <v>11500</v>
      </c>
      <c r="E84" s="338">
        <v>21</v>
      </c>
      <c r="F84" s="425">
        <f t="shared" si="78"/>
        <v>228.11421160788581</v>
      </c>
      <c r="G84" s="426">
        <v>54</v>
      </c>
      <c r="H84" s="427">
        <v>1.7</v>
      </c>
      <c r="I84" s="426">
        <v>1.63</v>
      </c>
      <c r="J84" s="425">
        <f t="shared" si="92"/>
        <v>34100</v>
      </c>
      <c r="K84" s="425"/>
      <c r="L84" s="425">
        <f t="shared" si="93"/>
        <v>11500</v>
      </c>
      <c r="M84" s="425">
        <f t="shared" si="93"/>
        <v>21</v>
      </c>
      <c r="N84" s="426">
        <f t="shared" si="80"/>
        <v>182</v>
      </c>
      <c r="O84" s="426">
        <f>G84</f>
        <v>54</v>
      </c>
      <c r="P84" s="426">
        <f>H84</f>
        <v>1.7</v>
      </c>
      <c r="Q84" s="426">
        <v>2.2000000000000002</v>
      </c>
      <c r="R84" s="428">
        <f t="shared" si="82"/>
        <v>-0.50000000000000022</v>
      </c>
      <c r="S84" s="426">
        <f t="shared" si="83"/>
        <v>1.63</v>
      </c>
      <c r="T84" s="425">
        <f t="shared" si="84"/>
        <v>33200</v>
      </c>
      <c r="U84" s="425">
        <f t="shared" si="85"/>
        <v>-6000</v>
      </c>
      <c r="V84" s="429">
        <f t="shared" si="86"/>
        <v>27200</v>
      </c>
      <c r="W84" s="425">
        <f t="shared" si="87"/>
        <v>6900</v>
      </c>
      <c r="X84" s="430"/>
      <c r="Y84" s="430"/>
      <c r="Z84" s="431"/>
      <c r="AA84" s="431">
        <f t="shared" si="89"/>
        <v>0</v>
      </c>
      <c r="AB84" s="431"/>
      <c r="AC84" s="431"/>
      <c r="AD84" s="431"/>
      <c r="AE84" s="431">
        <f t="shared" si="88"/>
        <v>0</v>
      </c>
      <c r="AF84" s="431"/>
      <c r="AG84" s="431"/>
      <c r="AH84" s="431"/>
      <c r="AI84" s="431">
        <f t="shared" si="90"/>
        <v>0</v>
      </c>
      <c r="AJ84" s="431"/>
      <c r="AK84" s="431">
        <f>ROUND(590*AK17,-2)</f>
        <v>14200</v>
      </c>
      <c r="AL84" s="431">
        <f>ROUND(590*AL17,-2)</f>
        <v>13000</v>
      </c>
      <c r="AM84" s="431">
        <f t="shared" si="91"/>
        <v>27200</v>
      </c>
      <c r="AN84" s="322"/>
      <c r="AO84" s="1" t="str">
        <f t="shared" si="77"/>
        <v>KT5.</v>
      </c>
      <c r="AP84" s="5" t="str">
        <f t="shared" si="75"/>
        <v>KT5.</v>
      </c>
      <c r="AQ84" s="5" t="str">
        <f t="shared" si="6"/>
        <v>KT5.LC N-6a-1.3</v>
      </c>
    </row>
    <row r="85" spans="1:43" ht="18.75" customHeight="1" x14ac:dyDescent="0.25">
      <c r="A85" s="5" t="str">
        <f t="shared" si="3"/>
        <v>a</v>
      </c>
      <c r="B85" s="347">
        <v>6</v>
      </c>
      <c r="C85" s="336" t="s">
        <v>447</v>
      </c>
      <c r="D85" s="336"/>
      <c r="E85" s="336"/>
      <c r="F85" s="407"/>
      <c r="G85" s="407"/>
      <c r="H85" s="407"/>
      <c r="I85" s="407"/>
      <c r="J85" s="407"/>
      <c r="K85" s="407"/>
      <c r="L85" s="407"/>
      <c r="M85" s="407"/>
      <c r="N85" s="407"/>
      <c r="O85" s="407"/>
      <c r="P85" s="407"/>
      <c r="Q85" s="407"/>
      <c r="R85" s="407"/>
      <c r="S85" s="407"/>
      <c r="T85" s="407"/>
      <c r="U85" s="407"/>
      <c r="V85" s="409">
        <f t="shared" si="86"/>
        <v>176300</v>
      </c>
      <c r="W85" s="409"/>
      <c r="X85" s="410">
        <f t="shared" ref="X85:AM85" si="94">X86+X87</f>
        <v>16900</v>
      </c>
      <c r="Y85" s="410">
        <f t="shared" si="94"/>
        <v>11100</v>
      </c>
      <c r="Z85" s="410">
        <f t="shared" si="94"/>
        <v>18000</v>
      </c>
      <c r="AA85" s="410">
        <f t="shared" si="94"/>
        <v>46000</v>
      </c>
      <c r="AB85" s="410">
        <f t="shared" si="94"/>
        <v>16900</v>
      </c>
      <c r="AC85" s="410">
        <f t="shared" si="94"/>
        <v>17000</v>
      </c>
      <c r="AD85" s="410">
        <f t="shared" si="94"/>
        <v>17600</v>
      </c>
      <c r="AE85" s="410">
        <f t="shared" si="94"/>
        <v>51600</v>
      </c>
      <c r="AF85" s="410">
        <f t="shared" si="94"/>
        <v>17100</v>
      </c>
      <c r="AG85" s="410">
        <f t="shared" si="94"/>
        <v>10400</v>
      </c>
      <c r="AH85" s="410">
        <f t="shared" si="94"/>
        <v>12500</v>
      </c>
      <c r="AI85" s="410">
        <f t="shared" si="94"/>
        <v>40000</v>
      </c>
      <c r="AJ85" s="410">
        <f t="shared" si="94"/>
        <v>14000</v>
      </c>
      <c r="AK85" s="410">
        <f t="shared" si="94"/>
        <v>13200</v>
      </c>
      <c r="AL85" s="410">
        <f t="shared" si="94"/>
        <v>11500</v>
      </c>
      <c r="AM85" s="410">
        <f t="shared" si="94"/>
        <v>38700</v>
      </c>
      <c r="AN85" s="1016">
        <f>(V87)/AN17</f>
        <v>580.20477815699655</v>
      </c>
      <c r="AO85" s="5" t="s">
        <v>289</v>
      </c>
      <c r="AP85" s="5" t="str">
        <f t="shared" ref="AP85:AP96" si="95">AO85&amp;K85</f>
        <v>KT6.</v>
      </c>
      <c r="AQ85" s="5" t="str">
        <f t="shared" si="6"/>
        <v>KT6.PX KT6</v>
      </c>
    </row>
    <row r="86" spans="1:43" ht="18.75" customHeight="1" x14ac:dyDescent="0.25">
      <c r="A86" s="5" t="str">
        <f t="shared" si="3"/>
        <v>a</v>
      </c>
      <c r="B86" s="345" t="s">
        <v>8</v>
      </c>
      <c r="C86" s="336" t="s">
        <v>471</v>
      </c>
      <c r="D86" s="336"/>
      <c r="E86" s="336"/>
      <c r="F86" s="408"/>
      <c r="G86" s="408"/>
      <c r="H86" s="413"/>
      <c r="I86" s="413"/>
      <c r="J86" s="413"/>
      <c r="K86" s="408" t="s">
        <v>493</v>
      </c>
      <c r="L86" s="413"/>
      <c r="M86" s="413"/>
      <c r="N86" s="413"/>
      <c r="O86" s="413"/>
      <c r="P86" s="413"/>
      <c r="Q86" s="413"/>
      <c r="R86" s="413"/>
      <c r="S86" s="413"/>
      <c r="T86" s="413"/>
      <c r="U86" s="413"/>
      <c r="V86" s="409">
        <f t="shared" si="86"/>
        <v>6300</v>
      </c>
      <c r="W86" s="409"/>
      <c r="X86" s="410">
        <f>KH_ĐL!BK91</f>
        <v>600</v>
      </c>
      <c r="Y86" s="410">
        <f>KH_ĐL!BL91</f>
        <v>700</v>
      </c>
      <c r="Z86" s="410">
        <f>KH_ĐL!BM91</f>
        <v>700</v>
      </c>
      <c r="AA86" s="410">
        <f>KH_ĐL!BN91-100</f>
        <v>2000</v>
      </c>
      <c r="AB86" s="410">
        <f>KH_ĐL!BO91</f>
        <v>800</v>
      </c>
      <c r="AC86" s="410">
        <f>KH_ĐL!BP91</f>
        <v>700</v>
      </c>
      <c r="AD86" s="410">
        <f>KH_ĐL!BQ91</f>
        <v>700</v>
      </c>
      <c r="AE86" s="410">
        <f>KH_ĐL!BR91</f>
        <v>2300</v>
      </c>
      <c r="AF86" s="410">
        <f>KH_ĐL!BS91</f>
        <v>900</v>
      </c>
      <c r="AG86" s="410">
        <f>KH_ĐL!BT91</f>
        <v>800</v>
      </c>
      <c r="AH86" s="410">
        <f>KH_ĐL!BU91</f>
        <v>0</v>
      </c>
      <c r="AI86" s="410">
        <f>KH_ĐL!BV91-100</f>
        <v>1700</v>
      </c>
      <c r="AJ86" s="410">
        <f>KH_ĐL!BW91</f>
        <v>0</v>
      </c>
      <c r="AK86" s="410">
        <f>KH_ĐL!BX91</f>
        <v>0</v>
      </c>
      <c r="AL86" s="410">
        <f>KH_ĐL!BY91</f>
        <v>300</v>
      </c>
      <c r="AM86" s="410">
        <f>KH_ĐL!BZ91-100</f>
        <v>300</v>
      </c>
      <c r="AN86" s="322"/>
      <c r="AO86" s="1" t="str">
        <f>AO85</f>
        <v>KT6.</v>
      </c>
      <c r="AP86" s="5" t="str">
        <f t="shared" si="95"/>
        <v>KT6.ĐX</v>
      </c>
      <c r="AQ86" s="5" t="str">
        <f t="shared" si="6"/>
        <v>KT6.SL đào, xén lò</v>
      </c>
    </row>
    <row r="87" spans="1:43" ht="18.75" customHeight="1" x14ac:dyDescent="0.25">
      <c r="A87" s="5" t="str">
        <f t="shared" si="3"/>
        <v>a</v>
      </c>
      <c r="B87" s="345" t="s">
        <v>37</v>
      </c>
      <c r="C87" s="336" t="s">
        <v>257</v>
      </c>
      <c r="D87" s="336"/>
      <c r="E87" s="336"/>
      <c r="F87" s="408"/>
      <c r="G87" s="408"/>
      <c r="H87" s="413"/>
      <c r="I87" s="413"/>
      <c r="J87" s="413"/>
      <c r="K87" s="413"/>
      <c r="L87" s="413"/>
      <c r="M87" s="413"/>
      <c r="N87" s="413"/>
      <c r="O87" s="413"/>
      <c r="P87" s="413"/>
      <c r="Q87" s="413"/>
      <c r="R87" s="413"/>
      <c r="S87" s="413"/>
      <c r="T87" s="413"/>
      <c r="U87" s="413"/>
      <c r="V87" s="410">
        <f>SUM(V88:V95)</f>
        <v>170000</v>
      </c>
      <c r="W87" s="410"/>
      <c r="X87" s="410">
        <f t="shared" ref="X87:AM87" si="96">SUM(X88:X95)</f>
        <v>16300</v>
      </c>
      <c r="Y87" s="410">
        <f t="shared" si="96"/>
        <v>10400</v>
      </c>
      <c r="Z87" s="410">
        <f t="shared" si="96"/>
        <v>17300</v>
      </c>
      <c r="AA87" s="410">
        <f t="shared" si="96"/>
        <v>44000</v>
      </c>
      <c r="AB87" s="410">
        <f t="shared" si="96"/>
        <v>16100</v>
      </c>
      <c r="AC87" s="410">
        <f t="shared" si="96"/>
        <v>16300</v>
      </c>
      <c r="AD87" s="410">
        <f t="shared" si="96"/>
        <v>16900</v>
      </c>
      <c r="AE87" s="410">
        <f t="shared" si="96"/>
        <v>49300</v>
      </c>
      <c r="AF87" s="410">
        <f t="shared" si="96"/>
        <v>16200</v>
      </c>
      <c r="AG87" s="410">
        <f t="shared" si="96"/>
        <v>9600</v>
      </c>
      <c r="AH87" s="410">
        <f t="shared" si="96"/>
        <v>12500</v>
      </c>
      <c r="AI87" s="410">
        <f t="shared" si="96"/>
        <v>38300</v>
      </c>
      <c r="AJ87" s="410">
        <f t="shared" si="96"/>
        <v>14000</v>
      </c>
      <c r="AK87" s="410">
        <f t="shared" si="96"/>
        <v>13200</v>
      </c>
      <c r="AL87" s="410">
        <f t="shared" si="96"/>
        <v>11200</v>
      </c>
      <c r="AM87" s="410">
        <f t="shared" si="96"/>
        <v>38400</v>
      </c>
      <c r="AN87" s="1016">
        <f>(V87)/$AN$17</f>
        <v>580.20477815699655</v>
      </c>
      <c r="AO87" s="1" t="str">
        <f t="shared" ref="AO87:AO96" si="97">AO86</f>
        <v>KT6.</v>
      </c>
      <c r="AP87" s="5" t="str">
        <f t="shared" si="95"/>
        <v>KT6.</v>
      </c>
      <c r="AQ87" s="5" t="str">
        <f t="shared" si="6"/>
        <v>KT6.KT Lò chợ</v>
      </c>
    </row>
    <row r="88" spans="1:43" ht="18.75" hidden="1" customHeight="1" x14ac:dyDescent="0.25">
      <c r="A88" s="5" t="str">
        <f t="shared" si="3"/>
        <v>a</v>
      </c>
      <c r="B88" s="345"/>
      <c r="C88" s="336" t="s">
        <v>474</v>
      </c>
      <c r="D88" s="412"/>
      <c r="E88" s="337">
        <v>27</v>
      </c>
      <c r="F88" s="413">
        <f>1/COS($E88*PI()/180)*$D88/G88</f>
        <v>0</v>
      </c>
      <c r="G88" s="408">
        <v>65</v>
      </c>
      <c r="H88" s="408">
        <v>2.2000000000000002</v>
      </c>
      <c r="I88" s="408">
        <v>1.63</v>
      </c>
      <c r="J88" s="413">
        <f>ROUND(1/COS(E88*PI()/180)*D88*H88*I88,-2)</f>
        <v>0</v>
      </c>
      <c r="K88" s="413" t="s">
        <v>302</v>
      </c>
      <c r="L88" s="413">
        <f t="shared" ref="L88:M92" si="98">D88</f>
        <v>0</v>
      </c>
      <c r="M88" s="413">
        <f t="shared" si="98"/>
        <v>27</v>
      </c>
      <c r="N88" s="408" t="e">
        <f>ROUND(V88/J88*F88,0)</f>
        <v>#DIV/0!</v>
      </c>
      <c r="O88" s="408">
        <f t="shared" ref="O88:P92" si="99">G88</f>
        <v>65</v>
      </c>
      <c r="P88" s="408">
        <f t="shared" si="99"/>
        <v>2.2000000000000002</v>
      </c>
      <c r="Q88" s="408">
        <v>2.2000000000000002</v>
      </c>
      <c r="R88" s="414">
        <f>P88-Q88</f>
        <v>0</v>
      </c>
      <c r="S88" s="408">
        <f>I88</f>
        <v>1.63</v>
      </c>
      <c r="T88" s="413" t="e">
        <f>V88-U88</f>
        <v>#DIV/0!</v>
      </c>
      <c r="U88" s="413" t="e">
        <f>ROUND(N88*O88*R88*S88*0.75,-3)</f>
        <v>#DIV/0!</v>
      </c>
      <c r="V88" s="413">
        <f>AA88+AE88+AI88+AM88</f>
        <v>0</v>
      </c>
      <c r="W88" s="413">
        <f>J88-V88</f>
        <v>0</v>
      </c>
      <c r="X88" s="415"/>
      <c r="Y88" s="415"/>
      <c r="Z88" s="331"/>
      <c r="AA88" s="331">
        <f>X88+Y88+Z88</f>
        <v>0</v>
      </c>
      <c r="AB88" s="417"/>
      <c r="AC88" s="331"/>
      <c r="AD88" s="331"/>
      <c r="AE88" s="331"/>
      <c r="AF88" s="331"/>
      <c r="AG88" s="331"/>
      <c r="AH88" s="331"/>
      <c r="AI88" s="331"/>
      <c r="AJ88" s="331"/>
      <c r="AK88" s="331"/>
      <c r="AL88" s="331"/>
      <c r="AM88" s="331"/>
      <c r="AN88" s="322"/>
      <c r="AO88" s="1" t="str">
        <f t="shared" si="97"/>
        <v>KT6.</v>
      </c>
      <c r="AP88" s="5" t="str">
        <f t="shared" si="95"/>
        <v>KT6.GK</v>
      </c>
      <c r="AQ88" s="5" t="str">
        <f t="shared" si="6"/>
        <v>KT6.LC TT-8-11</v>
      </c>
    </row>
    <row r="89" spans="1:43" ht="18.75" customHeight="1" x14ac:dyDescent="0.25">
      <c r="A89" s="5" t="str">
        <f t="shared" si="3"/>
        <v>a</v>
      </c>
      <c r="B89" s="346"/>
      <c r="C89" s="336" t="s">
        <v>605</v>
      </c>
      <c r="D89" s="412">
        <v>28420</v>
      </c>
      <c r="E89" s="337">
        <v>10</v>
      </c>
      <c r="F89" s="413">
        <f>1/COS($E89*PI()/180)*$D89/G89</f>
        <v>240.48686924827399</v>
      </c>
      <c r="G89" s="408">
        <v>120</v>
      </c>
      <c r="H89" s="408">
        <v>2.44</v>
      </c>
      <c r="I89" s="408">
        <v>1.63</v>
      </c>
      <c r="J89" s="413">
        <f>ROUND(1/COS($E89*PI()/180)*$D89*H89*I89,-2)</f>
        <v>114800</v>
      </c>
      <c r="K89" s="413" t="s">
        <v>302</v>
      </c>
      <c r="L89" s="413">
        <f t="shared" si="98"/>
        <v>28420</v>
      </c>
      <c r="M89" s="413">
        <f t="shared" si="98"/>
        <v>10</v>
      </c>
      <c r="N89" s="408">
        <f>ROUND(V89/J89*F89,0)</f>
        <v>240</v>
      </c>
      <c r="O89" s="408">
        <f t="shared" si="99"/>
        <v>120</v>
      </c>
      <c r="P89" s="408">
        <f t="shared" si="99"/>
        <v>2.44</v>
      </c>
      <c r="Q89" s="408">
        <v>2.2000000000000002</v>
      </c>
      <c r="R89" s="414">
        <f>P89-Q89</f>
        <v>0.23999999999999977</v>
      </c>
      <c r="S89" s="408">
        <f>I89</f>
        <v>1.63</v>
      </c>
      <c r="T89" s="413">
        <f>V89-U89</f>
        <v>106800</v>
      </c>
      <c r="U89" s="413">
        <f>ROUND(N89*O89*R89*S89*0.75,-3)</f>
        <v>8000</v>
      </c>
      <c r="V89" s="413">
        <f t="shared" ref="V89:V95" si="100">AA89+AE89+AI89+AM89</f>
        <v>114800</v>
      </c>
      <c r="W89" s="413">
        <f>J89-V89</f>
        <v>0</v>
      </c>
      <c r="X89" s="415">
        <f>ROUND(650*X17,-2)</f>
        <v>16300</v>
      </c>
      <c r="Y89" s="415">
        <f>ROUND(650*Y17,-2)</f>
        <v>10400</v>
      </c>
      <c r="Z89" s="415">
        <f>ROUND(650*Z17,-2)-300</f>
        <v>17300</v>
      </c>
      <c r="AA89" s="331">
        <f t="shared" ref="AA89:AA95" si="101">SUM(X89:Z89)</f>
        <v>44000</v>
      </c>
      <c r="AB89" s="331">
        <f>ROUND(650*AB17,-2)+500</f>
        <v>16100</v>
      </c>
      <c r="AC89" s="331">
        <f>ROUND(650*AC17,-2)</f>
        <v>16300</v>
      </c>
      <c r="AD89" s="331">
        <f>ROUND(650*AD17,-2)</f>
        <v>16900</v>
      </c>
      <c r="AE89" s="331">
        <f t="shared" ref="AE89:AE95" si="102">SUM(AB89:AD89)</f>
        <v>49300</v>
      </c>
      <c r="AF89" s="331">
        <f>ROUND(600*AF17,-2)</f>
        <v>16200</v>
      </c>
      <c r="AG89" s="331">
        <f>ROUND(650*(AG17-19),-2)+700</f>
        <v>5300</v>
      </c>
      <c r="AH89" s="331"/>
      <c r="AI89" s="331">
        <f t="shared" ref="AI89:AI95" si="103">SUM(AF89:AH89)</f>
        <v>21500</v>
      </c>
      <c r="AJ89" s="331"/>
      <c r="AK89" s="331"/>
      <c r="AL89" s="331"/>
      <c r="AM89" s="331">
        <f t="shared" ref="AM89:AM95" si="104">SUM(AJ89:AL89)</f>
        <v>0</v>
      </c>
      <c r="AN89" s="322"/>
      <c r="AO89" s="1" t="str">
        <f t="shared" si="97"/>
        <v>KT6.</v>
      </c>
      <c r="AP89" s="5" t="str">
        <f t="shared" si="95"/>
        <v>KT6.GK</v>
      </c>
      <c r="AQ89" s="5" t="str">
        <f t="shared" si="6"/>
        <v>KT6.LC TT9-10V9KTT</v>
      </c>
    </row>
    <row r="90" spans="1:43" ht="18.75" customHeight="1" x14ac:dyDescent="0.25">
      <c r="A90" s="5"/>
      <c r="C90" s="336" t="s">
        <v>822</v>
      </c>
      <c r="D90" s="412">
        <v>12210</v>
      </c>
      <c r="E90" s="337">
        <v>10</v>
      </c>
      <c r="F90" s="413">
        <f>1/COS($E90*PI()/180)*$D90/G90</f>
        <v>196.7993481130944</v>
      </c>
      <c r="G90" s="408">
        <v>63</v>
      </c>
      <c r="H90" s="408">
        <v>2.2000000000000002</v>
      </c>
      <c r="I90" s="408">
        <v>1.63</v>
      </c>
      <c r="J90" s="413">
        <f>ROUND(1/COS($E90*PI()/180)*$D90*H90*I90,-2)</f>
        <v>44500</v>
      </c>
      <c r="K90" s="413" t="s">
        <v>302</v>
      </c>
      <c r="L90" s="413"/>
      <c r="M90" s="413">
        <f>E90</f>
        <v>10</v>
      </c>
      <c r="N90" s="408">
        <f>ROUND(V90/J90*F90,0)</f>
        <v>197</v>
      </c>
      <c r="O90" s="408">
        <f>G90</f>
        <v>63</v>
      </c>
      <c r="P90" s="408">
        <f>H90</f>
        <v>2.2000000000000002</v>
      </c>
      <c r="Q90" s="408">
        <v>2.2000000000000002</v>
      </c>
      <c r="R90" s="414">
        <f>P90-Q90</f>
        <v>0</v>
      </c>
      <c r="S90" s="408">
        <f>I90</f>
        <v>1.63</v>
      </c>
      <c r="T90" s="413">
        <f>V90-U90</f>
        <v>44500</v>
      </c>
      <c r="U90" s="413">
        <f>ROUND(N90*O90*R90*S90*0.75,-3)</f>
        <v>0</v>
      </c>
      <c r="V90" s="413">
        <f t="shared" si="100"/>
        <v>44500</v>
      </c>
      <c r="W90" s="413">
        <f>J90-V90</f>
        <v>0</v>
      </c>
      <c r="X90" s="415"/>
      <c r="Y90" s="415"/>
      <c r="Z90" s="415"/>
      <c r="AA90" s="331"/>
      <c r="AB90" s="331"/>
      <c r="AC90" s="331"/>
      <c r="AD90" s="331"/>
      <c r="AE90" s="331"/>
      <c r="AF90" s="331"/>
      <c r="AG90" s="331">
        <f>5000-700</f>
        <v>4300</v>
      </c>
      <c r="AH90" s="331">
        <f>ROUND(500*AH17,-2)</f>
        <v>12500</v>
      </c>
      <c r="AI90" s="331">
        <f t="shared" si="103"/>
        <v>16800</v>
      </c>
      <c r="AJ90" s="331">
        <f>ROUND(540*AJ17,-2)</f>
        <v>14000</v>
      </c>
      <c r="AK90" s="331">
        <f>ROUND(550*AK17,-2)</f>
        <v>13200</v>
      </c>
      <c r="AL90" s="331">
        <f>1500-1000</f>
        <v>500</v>
      </c>
      <c r="AM90" s="331">
        <f t="shared" si="104"/>
        <v>27700</v>
      </c>
      <c r="AN90" s="322"/>
      <c r="AO90" s="1" t="str">
        <f t="shared" si="97"/>
        <v>KT6.</v>
      </c>
      <c r="AP90" s="5" t="str">
        <f>AO90&amp;K90</f>
        <v>KT6.GK</v>
      </c>
      <c r="AQ90" s="5" t="str">
        <f>AO90&amp;C90</f>
        <v>KT6.LC TT9-11/V9KTT</v>
      </c>
    </row>
    <row r="91" spans="1:43" ht="18.75" customHeight="1" x14ac:dyDescent="0.25">
      <c r="A91" s="5" t="str">
        <f>A88</f>
        <v>a</v>
      </c>
      <c r="C91" s="336" t="s">
        <v>863</v>
      </c>
      <c r="D91" s="412">
        <v>12178</v>
      </c>
      <c r="E91" s="337">
        <v>10</v>
      </c>
      <c r="F91" s="413">
        <f>1/COS($E91*PI()/180)*$D91/G91</f>
        <v>196.28357586578736</v>
      </c>
      <c r="G91" s="408">
        <v>63</v>
      </c>
      <c r="H91" s="408">
        <v>2.2000000000000002</v>
      </c>
      <c r="I91" s="408">
        <v>1.63</v>
      </c>
      <c r="J91" s="413">
        <f>ROUND(1/COS($E91*PI()/180)*$D91*H91*I91,-2)</f>
        <v>44300</v>
      </c>
      <c r="K91" s="413" t="s">
        <v>302</v>
      </c>
      <c r="L91" s="413"/>
      <c r="M91" s="413">
        <f>E91</f>
        <v>10</v>
      </c>
      <c r="N91" s="408">
        <f>ROUND(V91/J91*F91,0)</f>
        <v>47</v>
      </c>
      <c r="O91" s="408">
        <f>G91</f>
        <v>63</v>
      </c>
      <c r="P91" s="408">
        <f>H91</f>
        <v>2.2000000000000002</v>
      </c>
      <c r="Q91" s="408">
        <v>2.2000000000000002</v>
      </c>
      <c r="R91" s="414">
        <f>P91-Q91</f>
        <v>0</v>
      </c>
      <c r="S91" s="408">
        <f>I91</f>
        <v>1.63</v>
      </c>
      <c r="T91" s="413">
        <f>V91-U91</f>
        <v>10700</v>
      </c>
      <c r="U91" s="413">
        <f>ROUND(N91*O91*R91*S91*0.75,-3)</f>
        <v>0</v>
      </c>
      <c r="V91" s="413">
        <f>AA91+AE91+AI91+AM91</f>
        <v>10700</v>
      </c>
      <c r="W91" s="413">
        <f>J91-V91</f>
        <v>33600</v>
      </c>
      <c r="X91" s="415"/>
      <c r="Y91" s="415"/>
      <c r="Z91" s="331"/>
      <c r="AA91" s="331">
        <f t="shared" si="101"/>
        <v>0</v>
      </c>
      <c r="AB91" s="331"/>
      <c r="AC91" s="331"/>
      <c r="AD91" s="331"/>
      <c r="AE91" s="331">
        <f t="shared" si="102"/>
        <v>0</v>
      </c>
      <c r="AF91" s="417"/>
      <c r="AG91" s="331"/>
      <c r="AH91" s="331"/>
      <c r="AI91" s="331">
        <f t="shared" si="103"/>
        <v>0</v>
      </c>
      <c r="AJ91" s="331"/>
      <c r="AK91" s="331"/>
      <c r="AL91" s="331">
        <f>550*18+800</f>
        <v>10700</v>
      </c>
      <c r="AM91" s="331">
        <f t="shared" si="104"/>
        <v>10700</v>
      </c>
      <c r="AN91" s="322"/>
      <c r="AO91" s="1" t="str">
        <f>AO89</f>
        <v>KT6.</v>
      </c>
      <c r="AP91" s="5" t="str">
        <f>AO91&amp;K135</f>
        <v>KT6.GK</v>
      </c>
      <c r="AQ91" s="5" t="str">
        <f>AO91&amp;C135</f>
        <v>KT6.LC TT-11-10</v>
      </c>
    </row>
    <row r="92" spans="1:43" ht="18.75" hidden="1" customHeight="1" x14ac:dyDescent="0.25">
      <c r="A92" s="5" t="str">
        <f>A89</f>
        <v>a</v>
      </c>
      <c r="B92" s="346" t="s">
        <v>492</v>
      </c>
      <c r="C92" s="337"/>
      <c r="D92" s="412"/>
      <c r="E92" s="337">
        <v>20</v>
      </c>
      <c r="F92" s="413" t="e">
        <f>1/COS($E92*PI()/180)*$D92/G92</f>
        <v>#DIV/0!</v>
      </c>
      <c r="G92" s="408"/>
      <c r="H92" s="408"/>
      <c r="I92" s="408">
        <v>1.63</v>
      </c>
      <c r="J92" s="413">
        <f>ROUND(1/COS($E92*PI()/180)*$D92*H92*I92,-2)</f>
        <v>0</v>
      </c>
      <c r="K92" s="413"/>
      <c r="L92" s="413">
        <f t="shared" si="98"/>
        <v>0</v>
      </c>
      <c r="M92" s="413">
        <f t="shared" si="98"/>
        <v>20</v>
      </c>
      <c r="N92" s="408" t="e">
        <f>ROUND(V92/J92*F92,0)</f>
        <v>#DIV/0!</v>
      </c>
      <c r="O92" s="408">
        <f t="shared" si="99"/>
        <v>0</v>
      </c>
      <c r="P92" s="408">
        <f t="shared" si="99"/>
        <v>0</v>
      </c>
      <c r="Q92" s="408">
        <v>2.2000000000000002</v>
      </c>
      <c r="R92" s="414">
        <f>P92-Q92</f>
        <v>-2.2000000000000002</v>
      </c>
      <c r="S92" s="408">
        <f>I92</f>
        <v>1.63</v>
      </c>
      <c r="T92" s="413" t="e">
        <f>V92-U92</f>
        <v>#DIV/0!</v>
      </c>
      <c r="U92" s="413" t="e">
        <f>ROUND(N92*O92*R92*S92*0.75,-3)</f>
        <v>#DIV/0!</v>
      </c>
      <c r="V92" s="413">
        <f t="shared" si="100"/>
        <v>0</v>
      </c>
      <c r="W92" s="413"/>
      <c r="X92" s="415"/>
      <c r="Y92" s="415"/>
      <c r="Z92" s="331"/>
      <c r="AA92" s="331">
        <f t="shared" si="101"/>
        <v>0</v>
      </c>
      <c r="AB92" s="331"/>
      <c r="AC92" s="331"/>
      <c r="AD92" s="331"/>
      <c r="AE92" s="331">
        <f t="shared" si="102"/>
        <v>0</v>
      </c>
      <c r="AF92" s="423"/>
      <c r="AG92" s="331"/>
      <c r="AH92" s="331"/>
      <c r="AI92" s="331">
        <f t="shared" si="103"/>
        <v>0</v>
      </c>
      <c r="AJ92" s="331"/>
      <c r="AK92" s="331"/>
      <c r="AL92" s="331"/>
      <c r="AM92" s="331">
        <f t="shared" si="104"/>
        <v>0</v>
      </c>
      <c r="AN92" s="322"/>
      <c r="AO92" s="1" t="str">
        <f>AO91</f>
        <v>KT6.</v>
      </c>
      <c r="AP92" s="5" t="str">
        <f t="shared" si="95"/>
        <v>KT6.</v>
      </c>
      <c r="AQ92" s="5" t="str">
        <f t="shared" si="6"/>
        <v>KT6.</v>
      </c>
    </row>
    <row r="93" spans="1:43" ht="18.75" hidden="1" customHeight="1" x14ac:dyDescent="0.25">
      <c r="A93" s="5" t="str">
        <f>A91</f>
        <v>a</v>
      </c>
      <c r="B93" s="347"/>
      <c r="C93" s="336"/>
      <c r="D93" s="336"/>
      <c r="E93" s="336"/>
      <c r="F93" s="408"/>
      <c r="G93" s="408"/>
      <c r="H93" s="408"/>
      <c r="I93" s="408"/>
      <c r="J93" s="408"/>
      <c r="K93" s="408"/>
      <c r="L93" s="408"/>
      <c r="M93" s="408"/>
      <c r="N93" s="408"/>
      <c r="O93" s="408"/>
      <c r="P93" s="408"/>
      <c r="Q93" s="408"/>
      <c r="R93" s="408"/>
      <c r="S93" s="408"/>
      <c r="T93" s="408"/>
      <c r="U93" s="408"/>
      <c r="V93" s="413">
        <f t="shared" si="100"/>
        <v>0</v>
      </c>
      <c r="W93" s="413"/>
      <c r="X93" s="415"/>
      <c r="Y93" s="415"/>
      <c r="Z93" s="331"/>
      <c r="AA93" s="331">
        <f t="shared" si="101"/>
        <v>0</v>
      </c>
      <c r="AB93" s="331"/>
      <c r="AC93" s="331"/>
      <c r="AD93" s="331"/>
      <c r="AE93" s="331">
        <f t="shared" si="102"/>
        <v>0</v>
      </c>
      <c r="AF93" s="423"/>
      <c r="AG93" s="331"/>
      <c r="AH93" s="331"/>
      <c r="AI93" s="331">
        <f t="shared" si="103"/>
        <v>0</v>
      </c>
      <c r="AJ93" s="331"/>
      <c r="AK93" s="331"/>
      <c r="AL93" s="331"/>
      <c r="AM93" s="331">
        <f t="shared" si="104"/>
        <v>0</v>
      </c>
      <c r="AN93" s="322"/>
      <c r="AO93" s="1" t="str">
        <f t="shared" si="97"/>
        <v>KT6.</v>
      </c>
      <c r="AP93" s="5" t="str">
        <f t="shared" si="95"/>
        <v>KT6.</v>
      </c>
      <c r="AQ93" s="5" t="str">
        <f t="shared" si="6"/>
        <v>KT6.</v>
      </c>
    </row>
    <row r="94" spans="1:43" ht="18.75" hidden="1" customHeight="1" x14ac:dyDescent="0.25">
      <c r="A94" s="5" t="str">
        <f t="shared" si="3"/>
        <v>a</v>
      </c>
      <c r="B94" s="345"/>
      <c r="C94" s="336"/>
      <c r="D94" s="336"/>
      <c r="E94" s="336"/>
      <c r="F94" s="408"/>
      <c r="G94" s="408"/>
      <c r="H94" s="408"/>
      <c r="I94" s="408"/>
      <c r="J94" s="408"/>
      <c r="K94" s="408"/>
      <c r="L94" s="408"/>
      <c r="M94" s="408"/>
      <c r="N94" s="408"/>
      <c r="O94" s="408"/>
      <c r="P94" s="408"/>
      <c r="Q94" s="408"/>
      <c r="R94" s="408"/>
      <c r="S94" s="408"/>
      <c r="T94" s="408"/>
      <c r="U94" s="408"/>
      <c r="V94" s="413">
        <f t="shared" si="100"/>
        <v>0</v>
      </c>
      <c r="W94" s="413"/>
      <c r="X94" s="415"/>
      <c r="Y94" s="415"/>
      <c r="Z94" s="331"/>
      <c r="AA94" s="331">
        <f t="shared" si="101"/>
        <v>0</v>
      </c>
      <c r="AB94" s="331"/>
      <c r="AC94" s="331"/>
      <c r="AD94" s="331"/>
      <c r="AE94" s="331">
        <f t="shared" si="102"/>
        <v>0</v>
      </c>
      <c r="AF94" s="423"/>
      <c r="AG94" s="331"/>
      <c r="AH94" s="331"/>
      <c r="AI94" s="331">
        <f t="shared" si="103"/>
        <v>0</v>
      </c>
      <c r="AJ94" s="331"/>
      <c r="AK94" s="331"/>
      <c r="AL94" s="331"/>
      <c r="AM94" s="331">
        <f t="shared" si="104"/>
        <v>0</v>
      </c>
      <c r="AN94" s="322"/>
      <c r="AO94" s="1" t="str">
        <f t="shared" si="97"/>
        <v>KT6.</v>
      </c>
      <c r="AP94" s="5" t="str">
        <f t="shared" si="95"/>
        <v>KT6.</v>
      </c>
      <c r="AQ94" s="5" t="str">
        <f t="shared" si="6"/>
        <v>KT6.</v>
      </c>
    </row>
    <row r="95" spans="1:43" ht="21.75" hidden="1" customHeight="1" x14ac:dyDescent="0.25">
      <c r="A95" s="5" t="str">
        <f t="shared" si="3"/>
        <v>a</v>
      </c>
      <c r="B95" s="345"/>
      <c r="C95" s="336"/>
      <c r="D95" s="336"/>
      <c r="E95" s="336"/>
      <c r="F95" s="408"/>
      <c r="G95" s="408"/>
      <c r="H95" s="408"/>
      <c r="I95" s="408"/>
      <c r="J95" s="408"/>
      <c r="K95" s="408"/>
      <c r="L95" s="408"/>
      <c r="M95" s="408"/>
      <c r="N95" s="408"/>
      <c r="O95" s="408"/>
      <c r="P95" s="408"/>
      <c r="Q95" s="408"/>
      <c r="R95" s="408"/>
      <c r="S95" s="408"/>
      <c r="T95" s="408"/>
      <c r="U95" s="408"/>
      <c r="V95" s="413">
        <f t="shared" si="100"/>
        <v>0</v>
      </c>
      <c r="W95" s="413"/>
      <c r="X95" s="415"/>
      <c r="Y95" s="415"/>
      <c r="Z95" s="331"/>
      <c r="AA95" s="331">
        <f t="shared" si="101"/>
        <v>0</v>
      </c>
      <c r="AB95" s="331"/>
      <c r="AC95" s="331"/>
      <c r="AD95" s="331"/>
      <c r="AE95" s="331">
        <f t="shared" si="102"/>
        <v>0</v>
      </c>
      <c r="AF95" s="331"/>
      <c r="AG95" s="331"/>
      <c r="AH95" s="331"/>
      <c r="AI95" s="331">
        <f t="shared" si="103"/>
        <v>0</v>
      </c>
      <c r="AJ95" s="331"/>
      <c r="AK95" s="331"/>
      <c r="AL95" s="331"/>
      <c r="AM95" s="331">
        <f t="shared" si="104"/>
        <v>0</v>
      </c>
      <c r="AN95" s="322"/>
      <c r="AO95" s="1" t="str">
        <f t="shared" si="97"/>
        <v>KT6.</v>
      </c>
      <c r="AP95" s="5" t="str">
        <f t="shared" si="95"/>
        <v>KT6.</v>
      </c>
      <c r="AQ95" s="5" t="str">
        <f t="shared" si="6"/>
        <v>KT6.</v>
      </c>
    </row>
    <row r="96" spans="1:43" ht="21.75" hidden="1" customHeight="1" x14ac:dyDescent="0.25">
      <c r="A96" s="5" t="str">
        <f t="shared" si="3"/>
        <v>a</v>
      </c>
      <c r="B96" s="345"/>
      <c r="C96" s="336"/>
      <c r="D96" s="336"/>
      <c r="E96" s="336"/>
      <c r="F96" s="408"/>
      <c r="G96" s="408"/>
      <c r="H96" s="408"/>
      <c r="I96" s="408"/>
      <c r="J96" s="408"/>
      <c r="K96" s="408"/>
      <c r="L96" s="408"/>
      <c r="M96" s="408"/>
      <c r="N96" s="408"/>
      <c r="O96" s="408"/>
      <c r="P96" s="408"/>
      <c r="Q96" s="408"/>
      <c r="R96" s="408"/>
      <c r="S96" s="408"/>
      <c r="T96" s="408"/>
      <c r="U96" s="408"/>
      <c r="V96" s="413"/>
      <c r="W96" s="413"/>
      <c r="X96" s="415"/>
      <c r="Y96" s="415"/>
      <c r="Z96" s="331"/>
      <c r="AA96" s="331"/>
      <c r="AB96" s="331"/>
      <c r="AC96" s="331"/>
      <c r="AD96" s="331"/>
      <c r="AE96" s="331"/>
      <c r="AF96" s="331"/>
      <c r="AG96" s="331"/>
      <c r="AH96" s="331"/>
      <c r="AI96" s="331"/>
      <c r="AJ96" s="331"/>
      <c r="AK96" s="331"/>
      <c r="AL96" s="331"/>
      <c r="AM96" s="434"/>
      <c r="AN96" s="322"/>
      <c r="AO96" s="1" t="str">
        <f t="shared" si="97"/>
        <v>KT6.</v>
      </c>
      <c r="AP96" s="5" t="str">
        <f t="shared" si="95"/>
        <v>KT6.</v>
      </c>
      <c r="AQ96" s="5" t="str">
        <f t="shared" si="6"/>
        <v>KT6.</v>
      </c>
    </row>
    <row r="97" spans="1:43" ht="18.75" customHeight="1" x14ac:dyDescent="0.25">
      <c r="A97" s="5" t="str">
        <f t="shared" si="3"/>
        <v>a</v>
      </c>
      <c r="B97" s="347">
        <v>7</v>
      </c>
      <c r="C97" s="336" t="s">
        <v>407</v>
      </c>
      <c r="D97" s="336"/>
      <c r="E97" s="336"/>
      <c r="F97" s="407"/>
      <c r="G97" s="407"/>
      <c r="H97" s="407"/>
      <c r="I97" s="407"/>
      <c r="J97" s="407"/>
      <c r="K97" s="407"/>
      <c r="L97" s="407"/>
      <c r="M97" s="407"/>
      <c r="N97" s="407"/>
      <c r="O97" s="407"/>
      <c r="P97" s="407"/>
      <c r="Q97" s="407"/>
      <c r="R97" s="407"/>
      <c r="S97" s="407"/>
      <c r="T97" s="407"/>
      <c r="U97" s="407"/>
      <c r="V97" s="409">
        <f>AA97+AE97+AI97+AM97</f>
        <v>346100</v>
      </c>
      <c r="W97" s="409"/>
      <c r="X97" s="410">
        <f t="shared" ref="X97:AM97" si="105">X98+X99</f>
        <v>33400</v>
      </c>
      <c r="Y97" s="410">
        <f t="shared" si="105"/>
        <v>21300</v>
      </c>
      <c r="Z97" s="410">
        <f t="shared" si="105"/>
        <v>36100</v>
      </c>
      <c r="AA97" s="410">
        <f t="shared" si="105"/>
        <v>90800</v>
      </c>
      <c r="AB97" s="410">
        <f t="shared" si="105"/>
        <v>18900</v>
      </c>
      <c r="AC97" s="410">
        <f t="shared" si="105"/>
        <v>15500</v>
      </c>
      <c r="AD97" s="410">
        <f t="shared" si="105"/>
        <v>40600</v>
      </c>
      <c r="AE97" s="410">
        <f t="shared" si="105"/>
        <v>75000</v>
      </c>
      <c r="AF97" s="410">
        <f t="shared" si="105"/>
        <v>35400</v>
      </c>
      <c r="AG97" s="410">
        <f t="shared" si="105"/>
        <v>34700</v>
      </c>
      <c r="AH97" s="410">
        <f t="shared" si="105"/>
        <v>32500</v>
      </c>
      <c r="AI97" s="410">
        <f t="shared" si="105"/>
        <v>102600</v>
      </c>
      <c r="AJ97" s="410">
        <f t="shared" si="105"/>
        <v>33000</v>
      </c>
      <c r="AK97" s="410">
        <f t="shared" si="105"/>
        <v>18300</v>
      </c>
      <c r="AL97" s="410">
        <f t="shared" si="105"/>
        <v>26400</v>
      </c>
      <c r="AM97" s="410">
        <f t="shared" si="105"/>
        <v>77700</v>
      </c>
      <c r="AN97" s="322"/>
      <c r="AO97" s="5" t="s">
        <v>290</v>
      </c>
      <c r="AP97" s="5" t="str">
        <f t="shared" ref="AP97:AP106" si="106">AO97&amp;K97</f>
        <v>CGH2.</v>
      </c>
      <c r="AQ97" s="5" t="str">
        <f t="shared" si="6"/>
        <v>CGH2.PX CGH2</v>
      </c>
    </row>
    <row r="98" spans="1:43" ht="18.75" customHeight="1" x14ac:dyDescent="0.25">
      <c r="A98" s="5" t="str">
        <f t="shared" si="3"/>
        <v>a</v>
      </c>
      <c r="B98" s="345" t="s">
        <v>8</v>
      </c>
      <c r="C98" s="336" t="s">
        <v>471</v>
      </c>
      <c r="D98" s="336"/>
      <c r="E98" s="336"/>
      <c r="F98" s="408"/>
      <c r="G98" s="408"/>
      <c r="H98" s="413"/>
      <c r="I98" s="413"/>
      <c r="J98" s="413"/>
      <c r="K98" s="408" t="s">
        <v>493</v>
      </c>
      <c r="L98" s="413"/>
      <c r="M98" s="413"/>
      <c r="N98" s="413"/>
      <c r="O98" s="413"/>
      <c r="P98" s="413"/>
      <c r="Q98" s="413"/>
      <c r="R98" s="413"/>
      <c r="S98" s="413"/>
      <c r="T98" s="413"/>
      <c r="U98" s="413"/>
      <c r="V98" s="409">
        <f>AA98+AE98+AI98+AM98</f>
        <v>6100</v>
      </c>
      <c r="W98" s="409"/>
      <c r="X98" s="410">
        <f>KH_ĐL!BK106</f>
        <v>900</v>
      </c>
      <c r="Y98" s="410">
        <f>KH_ĐL!BL106</f>
        <v>500</v>
      </c>
      <c r="Z98" s="410">
        <f>KH_ĐL!BM106</f>
        <v>1100</v>
      </c>
      <c r="AA98" s="410">
        <f>KH_ĐL!BN106</f>
        <v>2500</v>
      </c>
      <c r="AB98" s="410">
        <f>KH_ĐL!BO106</f>
        <v>300</v>
      </c>
      <c r="AC98" s="410">
        <f>KH_ĐL!BP106</f>
        <v>500</v>
      </c>
      <c r="AD98" s="410">
        <f>KH_ĐL!BQ106</f>
        <v>1600</v>
      </c>
      <c r="AE98" s="410">
        <f>KH_ĐL!BR106</f>
        <v>2400</v>
      </c>
      <c r="AF98" s="410">
        <f>KH_ĐL!BS106</f>
        <v>300</v>
      </c>
      <c r="AG98" s="410">
        <f>KH_ĐL!BT106</f>
        <v>900</v>
      </c>
      <c r="AH98" s="410">
        <f>KH_ĐL!BU106</f>
        <v>0</v>
      </c>
      <c r="AI98" s="410">
        <f>KH_ĐL!BV106</f>
        <v>1200</v>
      </c>
      <c r="AJ98" s="410">
        <f>KH_ĐL!BW106</f>
        <v>0</v>
      </c>
      <c r="AK98" s="410">
        <f>KH_ĐL!BX106</f>
        <v>0</v>
      </c>
      <c r="AL98" s="410">
        <f>KH_ĐL!BY106</f>
        <v>0</v>
      </c>
      <c r="AM98" s="410">
        <f>KH_ĐL!BZ106</f>
        <v>0</v>
      </c>
      <c r="AN98" s="322"/>
      <c r="AO98" s="1" t="str">
        <f>AO97</f>
        <v>CGH2.</v>
      </c>
      <c r="AP98" s="5" t="str">
        <f t="shared" si="106"/>
        <v>CGH2.ĐX</v>
      </c>
      <c r="AQ98" s="5" t="str">
        <f t="shared" ref="AQ98:AQ165" si="107">AO98&amp;C98</f>
        <v>CGH2.SL đào, xén lò</v>
      </c>
    </row>
    <row r="99" spans="1:43" ht="18.75" customHeight="1" x14ac:dyDescent="0.25">
      <c r="A99" s="5" t="str">
        <f t="shared" si="3"/>
        <v>a</v>
      </c>
      <c r="B99" s="345" t="s">
        <v>37</v>
      </c>
      <c r="C99" s="336" t="s">
        <v>257</v>
      </c>
      <c r="D99" s="412">
        <v>13080</v>
      </c>
      <c r="E99" s="337">
        <v>22</v>
      </c>
      <c r="F99" s="413">
        <f>1/COS($E99*PI()/180)*$D99/G99</f>
        <v>128.24758576566174</v>
      </c>
      <c r="G99" s="408">
        <v>110</v>
      </c>
      <c r="H99" s="337">
        <v>2.5499999999999998</v>
      </c>
      <c r="I99" s="408">
        <v>1.63</v>
      </c>
      <c r="J99" s="413">
        <f t="shared" ref="J99:J105" si="108">ROUND(1/COS($E99*PI()/180)*$D99*H99*I99,-2)</f>
        <v>58600</v>
      </c>
      <c r="K99" s="413"/>
      <c r="L99" s="413"/>
      <c r="M99" s="413"/>
      <c r="N99" s="407"/>
      <c r="O99" s="408"/>
      <c r="P99" s="408"/>
      <c r="Q99" s="408"/>
      <c r="R99" s="414"/>
      <c r="S99" s="408"/>
      <c r="T99" s="407"/>
      <c r="U99" s="407"/>
      <c r="V99" s="410">
        <f>SUM(V100:V106)</f>
        <v>340000</v>
      </c>
      <c r="W99" s="410"/>
      <c r="X99" s="410">
        <f t="shared" ref="X99:AM99" si="109">SUM(X100:X106)</f>
        <v>32500</v>
      </c>
      <c r="Y99" s="410">
        <f t="shared" si="109"/>
        <v>20800</v>
      </c>
      <c r="Z99" s="410">
        <f t="shared" si="109"/>
        <v>35000</v>
      </c>
      <c r="AA99" s="410">
        <f t="shared" si="109"/>
        <v>88300</v>
      </c>
      <c r="AB99" s="410">
        <f t="shared" si="109"/>
        <v>18600</v>
      </c>
      <c r="AC99" s="410">
        <f t="shared" si="109"/>
        <v>15000</v>
      </c>
      <c r="AD99" s="410">
        <f t="shared" si="109"/>
        <v>39000</v>
      </c>
      <c r="AE99" s="410">
        <f t="shared" si="109"/>
        <v>72600</v>
      </c>
      <c r="AF99" s="410">
        <f t="shared" si="109"/>
        <v>35100</v>
      </c>
      <c r="AG99" s="410">
        <f t="shared" si="109"/>
        <v>33800</v>
      </c>
      <c r="AH99" s="410">
        <f t="shared" si="109"/>
        <v>32500</v>
      </c>
      <c r="AI99" s="410">
        <f t="shared" si="109"/>
        <v>101400</v>
      </c>
      <c r="AJ99" s="410">
        <f t="shared" si="109"/>
        <v>33000</v>
      </c>
      <c r="AK99" s="410">
        <f t="shared" si="109"/>
        <v>18300</v>
      </c>
      <c r="AL99" s="410">
        <f t="shared" si="109"/>
        <v>26400</v>
      </c>
      <c r="AM99" s="410">
        <f t="shared" si="109"/>
        <v>77700</v>
      </c>
      <c r="AN99" s="322"/>
      <c r="AO99" s="1" t="str">
        <f t="shared" ref="AO99:AO106" si="110">AO98</f>
        <v>CGH2.</v>
      </c>
      <c r="AP99" s="5" t="str">
        <f t="shared" si="106"/>
        <v>CGH2.</v>
      </c>
      <c r="AQ99" s="5" t="str">
        <f t="shared" si="107"/>
        <v>CGH2.KT Lò chợ</v>
      </c>
    </row>
    <row r="100" spans="1:43" ht="21.75" customHeight="1" x14ac:dyDescent="0.25">
      <c r="A100" s="5" t="str">
        <f t="shared" ref="A100:A168" si="111">A98</f>
        <v>a</v>
      </c>
      <c r="B100" s="345"/>
      <c r="C100" s="336" t="s">
        <v>470</v>
      </c>
      <c r="D100" s="412">
        <v>22526</v>
      </c>
      <c r="E100" s="337">
        <v>22</v>
      </c>
      <c r="F100" s="413">
        <f t="shared" ref="F100:F105" si="112">1/COS($E100*PI()/180)*$D100/G100</f>
        <v>211.26150968308906</v>
      </c>
      <c r="G100" s="408">
        <v>115</v>
      </c>
      <c r="H100" s="337">
        <v>2.7</v>
      </c>
      <c r="I100" s="408">
        <v>1.63</v>
      </c>
      <c r="J100" s="413">
        <f t="shared" si="108"/>
        <v>106900</v>
      </c>
      <c r="K100" s="413" t="s">
        <v>303</v>
      </c>
      <c r="L100" s="413">
        <f t="shared" ref="L100:M103" si="113">D100</f>
        <v>22526</v>
      </c>
      <c r="M100" s="413">
        <f t="shared" si="113"/>
        <v>22</v>
      </c>
      <c r="N100" s="408">
        <f>ROUND(V100/J100*F100,0)</f>
        <v>211</v>
      </c>
      <c r="O100" s="408">
        <f t="shared" ref="O100:P103" si="114">G100</f>
        <v>115</v>
      </c>
      <c r="P100" s="408">
        <f t="shared" si="114"/>
        <v>2.7</v>
      </c>
      <c r="Q100" s="408">
        <v>2.4</v>
      </c>
      <c r="R100" s="414">
        <f>P100-Q100</f>
        <v>0.30000000000000027</v>
      </c>
      <c r="S100" s="408">
        <f>I100</f>
        <v>1.63</v>
      </c>
      <c r="T100" s="413">
        <f>V100-U100</f>
        <v>97900</v>
      </c>
      <c r="U100" s="413">
        <f>ROUND(N100*O100*R100*S100*0.75,-3)</f>
        <v>9000</v>
      </c>
      <c r="V100" s="413">
        <f>AA100+AE100+AI100+AM100</f>
        <v>106900</v>
      </c>
      <c r="W100" s="413">
        <f>J100-V100</f>
        <v>0</v>
      </c>
      <c r="X100" s="331">
        <f>1300*X17</f>
        <v>32500</v>
      </c>
      <c r="Y100" s="331">
        <f>1300*Y17</f>
        <v>20800</v>
      </c>
      <c r="Z100" s="331">
        <f>(1300*Z17)-100</f>
        <v>35000</v>
      </c>
      <c r="AA100" s="331">
        <f>SUM(X100:Z100)</f>
        <v>88300</v>
      </c>
      <c r="AB100" s="417">
        <f>1500*9+1100+3900+100</f>
        <v>18600</v>
      </c>
      <c r="AC100" s="331"/>
      <c r="AD100" s="331"/>
      <c r="AE100" s="331">
        <f>SUM(AB100:AD100)</f>
        <v>18600</v>
      </c>
      <c r="AF100" s="423"/>
      <c r="AG100" s="331"/>
      <c r="AH100" s="331"/>
      <c r="AI100" s="331">
        <f>SUM(AF100:AH100)</f>
        <v>0</v>
      </c>
      <c r="AJ100" s="331"/>
      <c r="AK100" s="331"/>
      <c r="AL100" s="331"/>
      <c r="AM100" s="331">
        <f>SUM(AJ100:AL100)</f>
        <v>0</v>
      </c>
      <c r="AN100" s="322"/>
      <c r="AO100" s="1" t="str">
        <f t="shared" si="110"/>
        <v>CGH2.</v>
      </c>
      <c r="AP100" s="5" t="str">
        <f t="shared" si="106"/>
        <v>CGH2.CGH</v>
      </c>
      <c r="AQ100" s="5" t="str">
        <f t="shared" si="107"/>
        <v>CGH2.LC TT-9-8A</v>
      </c>
    </row>
    <row r="101" spans="1:43" ht="21.75" hidden="1" customHeight="1" x14ac:dyDescent="0.25">
      <c r="A101" s="5" t="str">
        <f t="shared" si="111"/>
        <v>a</v>
      </c>
      <c r="B101" s="346"/>
      <c r="C101" s="336"/>
      <c r="D101" s="412"/>
      <c r="E101" s="337"/>
      <c r="F101" s="413">
        <f t="shared" si="112"/>
        <v>0</v>
      </c>
      <c r="G101" s="408">
        <v>110</v>
      </c>
      <c r="H101" s="337"/>
      <c r="I101" s="408">
        <v>1.63</v>
      </c>
      <c r="J101" s="413">
        <f t="shared" si="108"/>
        <v>0</v>
      </c>
      <c r="K101" s="413" t="s">
        <v>303</v>
      </c>
      <c r="L101" s="413">
        <f t="shared" si="113"/>
        <v>0</v>
      </c>
      <c r="M101" s="413">
        <f t="shared" si="113"/>
        <v>0</v>
      </c>
      <c r="N101" s="408" t="e">
        <f>ROUND(V101/J101*F101,0)</f>
        <v>#DIV/0!</v>
      </c>
      <c r="O101" s="408">
        <f t="shared" si="114"/>
        <v>110</v>
      </c>
      <c r="P101" s="408">
        <f t="shared" si="114"/>
        <v>0</v>
      </c>
      <c r="Q101" s="408">
        <v>2.4</v>
      </c>
      <c r="R101" s="414">
        <f>P101-Q101</f>
        <v>-2.4</v>
      </c>
      <c r="S101" s="408">
        <f>I101</f>
        <v>1.63</v>
      </c>
      <c r="T101" s="413">
        <f>V101-U101</f>
        <v>0</v>
      </c>
      <c r="U101" s="413"/>
      <c r="V101" s="413">
        <f t="shared" ref="V101:V106" si="115">AA101+AE101+AI101+AM101</f>
        <v>0</v>
      </c>
      <c r="W101" s="413">
        <f>J101-V101</f>
        <v>0</v>
      </c>
      <c r="X101" s="417"/>
      <c r="Y101" s="331"/>
      <c r="Z101" s="331"/>
      <c r="AA101" s="331">
        <f t="shared" ref="AA101:AA106" si="116">SUM(X101:Z101)</f>
        <v>0</v>
      </c>
      <c r="AB101" s="435" t="s">
        <v>588</v>
      </c>
      <c r="AC101" s="331"/>
      <c r="AD101" s="331"/>
      <c r="AE101" s="331">
        <f t="shared" ref="AE101:AE106" si="117">SUM(AB101:AD101)</f>
        <v>0</v>
      </c>
      <c r="AF101" s="331"/>
      <c r="AG101" s="417"/>
      <c r="AH101" s="331"/>
      <c r="AI101" s="331">
        <f t="shared" ref="AI101:AI106" si="118">SUM(AF101:AH101)</f>
        <v>0</v>
      </c>
      <c r="AJ101" s="331"/>
      <c r="AK101" s="331"/>
      <c r="AL101" s="331"/>
      <c r="AM101" s="331">
        <f t="shared" ref="AM101:AM106" si="119">SUM(AJ101:AL101)</f>
        <v>0</v>
      </c>
      <c r="AN101" s="322"/>
      <c r="AO101" s="1" t="str">
        <f t="shared" si="110"/>
        <v>CGH2.</v>
      </c>
      <c r="AP101" s="5" t="str">
        <f t="shared" si="106"/>
        <v>CGH2.CGH</v>
      </c>
      <c r="AQ101" s="5" t="str">
        <f t="shared" si="107"/>
        <v>CGH2.</v>
      </c>
    </row>
    <row r="102" spans="1:43" ht="21.75" customHeight="1" x14ac:dyDescent="0.25">
      <c r="A102" s="5" t="str">
        <f t="shared" si="111"/>
        <v>a</v>
      </c>
      <c r="B102" s="346"/>
      <c r="C102" s="336" t="s">
        <v>606</v>
      </c>
      <c r="D102" s="412">
        <v>39701</v>
      </c>
      <c r="E102" s="337">
        <v>22</v>
      </c>
      <c r="F102" s="413">
        <f t="shared" si="112"/>
        <v>372.33832886124117</v>
      </c>
      <c r="G102" s="408">
        <v>115</v>
      </c>
      <c r="H102" s="337">
        <v>2.7</v>
      </c>
      <c r="I102" s="408">
        <v>1.63</v>
      </c>
      <c r="J102" s="413">
        <f t="shared" si="108"/>
        <v>188400</v>
      </c>
      <c r="K102" s="413" t="s">
        <v>303</v>
      </c>
      <c r="L102" s="413">
        <f t="shared" si="113"/>
        <v>39701</v>
      </c>
      <c r="M102" s="413">
        <f t="shared" si="113"/>
        <v>22</v>
      </c>
      <c r="N102" s="408">
        <f>ROUND(V102/J102*F102,0)</f>
        <v>372</v>
      </c>
      <c r="O102" s="408">
        <f t="shared" si="114"/>
        <v>115</v>
      </c>
      <c r="P102" s="408">
        <f t="shared" si="114"/>
        <v>2.7</v>
      </c>
      <c r="Q102" s="408">
        <v>2.4</v>
      </c>
      <c r="R102" s="414">
        <f>P102-Q102</f>
        <v>0.30000000000000027</v>
      </c>
      <c r="S102" s="408">
        <f>I102</f>
        <v>1.63</v>
      </c>
      <c r="T102" s="413">
        <f>V102-U102</f>
        <v>172400</v>
      </c>
      <c r="U102" s="413">
        <f>ROUND(N102*O102*R102*S102*0.75,-3)</f>
        <v>16000</v>
      </c>
      <c r="V102" s="413">
        <f t="shared" si="115"/>
        <v>188400</v>
      </c>
      <c r="W102" s="413">
        <f>J102-V102</f>
        <v>0</v>
      </c>
      <c r="X102" s="415"/>
      <c r="Y102" s="415"/>
      <c r="Z102" s="331"/>
      <c r="AA102" s="331">
        <f t="shared" si="116"/>
        <v>0</v>
      </c>
      <c r="AB102" s="331"/>
      <c r="AC102" s="331">
        <f>ROUND(1500*(AC17-15),-2)</f>
        <v>15000</v>
      </c>
      <c r="AD102" s="331">
        <f>1500*AD17</f>
        <v>39000</v>
      </c>
      <c r="AE102" s="331">
        <f t="shared" si="117"/>
        <v>54000</v>
      </c>
      <c r="AF102" s="417">
        <f>1300*AF17</f>
        <v>35100</v>
      </c>
      <c r="AG102" s="331">
        <f>1300*AG17</f>
        <v>33800</v>
      </c>
      <c r="AH102" s="331">
        <f>ROUND(1300*AH17,-2)</f>
        <v>32500</v>
      </c>
      <c r="AI102" s="331">
        <f t="shared" si="118"/>
        <v>101400</v>
      </c>
      <c r="AJ102" s="331">
        <f>22500+2700+7800</f>
        <v>33000</v>
      </c>
      <c r="AK102" s="331"/>
      <c r="AL102" s="331"/>
      <c r="AM102" s="331">
        <f t="shared" si="119"/>
        <v>33000</v>
      </c>
      <c r="AN102" s="322"/>
      <c r="AO102" s="1" t="str">
        <f t="shared" si="110"/>
        <v>CGH2.</v>
      </c>
      <c r="AP102" s="5" t="str">
        <f t="shared" si="106"/>
        <v>CGH2.CGH</v>
      </c>
      <c r="AQ102" s="5" t="str">
        <f t="shared" si="107"/>
        <v>CGH2.LC TT-9-9</v>
      </c>
    </row>
    <row r="103" spans="1:43" ht="18.75" customHeight="1" x14ac:dyDescent="0.25">
      <c r="A103" s="5" t="str">
        <f t="shared" si="111"/>
        <v>a</v>
      </c>
      <c r="B103" s="346"/>
      <c r="C103" s="336" t="s">
        <v>628</v>
      </c>
      <c r="D103" s="412">
        <v>32180</v>
      </c>
      <c r="E103" s="337">
        <v>22</v>
      </c>
      <c r="F103" s="413">
        <f t="shared" si="112"/>
        <v>315.52043653967849</v>
      </c>
      <c r="G103" s="408">
        <v>110</v>
      </c>
      <c r="H103" s="408">
        <v>2.5499999999999998</v>
      </c>
      <c r="I103" s="408">
        <v>1.63</v>
      </c>
      <c r="J103" s="413">
        <f t="shared" si="108"/>
        <v>144300</v>
      </c>
      <c r="K103" s="413" t="s">
        <v>303</v>
      </c>
      <c r="L103" s="413">
        <f t="shared" si="113"/>
        <v>32180</v>
      </c>
      <c r="M103" s="413">
        <f t="shared" si="113"/>
        <v>22</v>
      </c>
      <c r="N103" s="408">
        <f>ROUND(V103/J103*F103,0)</f>
        <v>98</v>
      </c>
      <c r="O103" s="408">
        <f t="shared" si="114"/>
        <v>110</v>
      </c>
      <c r="P103" s="408">
        <f t="shared" si="114"/>
        <v>2.5499999999999998</v>
      </c>
      <c r="Q103" s="408">
        <v>2.4</v>
      </c>
      <c r="R103" s="414">
        <f>P103-Q103</f>
        <v>0.14999999999999991</v>
      </c>
      <c r="S103" s="408">
        <f>I103</f>
        <v>1.63</v>
      </c>
      <c r="T103" s="413">
        <f>V103-U103</f>
        <v>42700</v>
      </c>
      <c r="U103" s="413">
        <f>ROUND(N103*O103*R103*S103*0.75,-3)</f>
        <v>2000</v>
      </c>
      <c r="V103" s="413">
        <f t="shared" si="115"/>
        <v>44700</v>
      </c>
      <c r="W103" s="574">
        <f>J103-V103</f>
        <v>99600</v>
      </c>
      <c r="X103" s="415"/>
      <c r="Y103" s="415"/>
      <c r="Z103" s="331"/>
      <c r="AA103" s="331">
        <f t="shared" si="116"/>
        <v>0</v>
      </c>
      <c r="AB103" s="331"/>
      <c r="AC103" s="331"/>
      <c r="AD103" s="331"/>
      <c r="AE103" s="331">
        <f t="shared" si="117"/>
        <v>0</v>
      </c>
      <c r="AF103" s="423"/>
      <c r="AG103" s="331"/>
      <c r="AH103" s="331"/>
      <c r="AI103" s="331">
        <f t="shared" si="118"/>
        <v>0</v>
      </c>
      <c r="AJ103" s="436"/>
      <c r="AK103" s="331">
        <f>1400*AK17-5300-5000-5000</f>
        <v>18300</v>
      </c>
      <c r="AL103" s="331">
        <f>1400*AL17-4400</f>
        <v>26400</v>
      </c>
      <c r="AM103" s="331">
        <f t="shared" si="119"/>
        <v>44700</v>
      </c>
      <c r="AN103" s="322"/>
      <c r="AO103" s="1" t="str">
        <f t="shared" si="110"/>
        <v>CGH2.</v>
      </c>
      <c r="AP103" s="5" t="str">
        <f t="shared" si="106"/>
        <v>CGH2.CGH</v>
      </c>
      <c r="AQ103" s="5" t="str">
        <f t="shared" si="107"/>
        <v>CGH2.LC TT-10-16</v>
      </c>
    </row>
    <row r="104" spans="1:43" ht="18.75" hidden="1" customHeight="1" x14ac:dyDescent="0.25">
      <c r="A104" s="5" t="str">
        <f t="shared" si="111"/>
        <v>a</v>
      </c>
      <c r="B104" s="347"/>
      <c r="C104" s="336"/>
      <c r="D104" s="412"/>
      <c r="E104" s="337">
        <v>25</v>
      </c>
      <c r="F104" s="413">
        <f t="shared" si="112"/>
        <v>0</v>
      </c>
      <c r="G104" s="408">
        <v>110</v>
      </c>
      <c r="H104" s="337">
        <v>3.22</v>
      </c>
      <c r="I104" s="408">
        <v>1.63</v>
      </c>
      <c r="J104" s="413">
        <f t="shared" si="108"/>
        <v>0</v>
      </c>
      <c r="K104" s="408"/>
      <c r="L104" s="408"/>
      <c r="M104" s="408"/>
      <c r="N104" s="408"/>
      <c r="O104" s="408"/>
      <c r="P104" s="408"/>
      <c r="Q104" s="408"/>
      <c r="R104" s="408"/>
      <c r="S104" s="408"/>
      <c r="T104" s="408"/>
      <c r="U104" s="408"/>
      <c r="V104" s="413">
        <f t="shared" si="115"/>
        <v>0</v>
      </c>
      <c r="W104" s="413"/>
      <c r="X104" s="415"/>
      <c r="Y104" s="415"/>
      <c r="Z104" s="331"/>
      <c r="AA104" s="331">
        <f t="shared" si="116"/>
        <v>0</v>
      </c>
      <c r="AB104" s="331"/>
      <c r="AC104" s="331"/>
      <c r="AD104" s="331"/>
      <c r="AE104" s="331">
        <f t="shared" si="117"/>
        <v>0</v>
      </c>
      <c r="AF104" s="423"/>
      <c r="AG104" s="331"/>
      <c r="AH104" s="331"/>
      <c r="AI104" s="331">
        <f t="shared" si="118"/>
        <v>0</v>
      </c>
      <c r="AJ104" s="331"/>
      <c r="AK104" s="331"/>
      <c r="AL104" s="331"/>
      <c r="AM104" s="331">
        <f t="shared" si="119"/>
        <v>0</v>
      </c>
      <c r="AN104" s="322"/>
      <c r="AO104" s="1" t="str">
        <f t="shared" si="110"/>
        <v>CGH2.</v>
      </c>
      <c r="AP104" s="5" t="str">
        <f t="shared" si="106"/>
        <v>CGH2.</v>
      </c>
      <c r="AQ104" s="5" t="str">
        <f t="shared" si="107"/>
        <v>CGH2.</v>
      </c>
    </row>
    <row r="105" spans="1:43" ht="18.75" hidden="1" customHeight="1" x14ac:dyDescent="0.25">
      <c r="A105" s="5" t="str">
        <f t="shared" si="111"/>
        <v>a</v>
      </c>
      <c r="B105" s="345"/>
      <c r="C105" s="336"/>
      <c r="D105" s="412"/>
      <c r="E105" s="337">
        <v>25</v>
      </c>
      <c r="F105" s="413">
        <f t="shared" si="112"/>
        <v>0</v>
      </c>
      <c r="G105" s="408">
        <v>110</v>
      </c>
      <c r="H105" s="337">
        <v>3.22</v>
      </c>
      <c r="I105" s="408">
        <v>1.63</v>
      </c>
      <c r="J105" s="413">
        <f t="shared" si="108"/>
        <v>0</v>
      </c>
      <c r="K105" s="408"/>
      <c r="L105" s="408"/>
      <c r="M105" s="408"/>
      <c r="N105" s="408"/>
      <c r="O105" s="408"/>
      <c r="P105" s="408"/>
      <c r="Q105" s="408"/>
      <c r="R105" s="408"/>
      <c r="S105" s="408"/>
      <c r="T105" s="408"/>
      <c r="U105" s="408"/>
      <c r="V105" s="413">
        <f t="shared" si="115"/>
        <v>0</v>
      </c>
      <c r="W105" s="413"/>
      <c r="X105" s="415"/>
      <c r="Y105" s="415"/>
      <c r="Z105" s="331"/>
      <c r="AA105" s="331">
        <f t="shared" si="116"/>
        <v>0</v>
      </c>
      <c r="AB105" s="331"/>
      <c r="AC105" s="331"/>
      <c r="AD105" s="331"/>
      <c r="AE105" s="331">
        <f t="shared" si="117"/>
        <v>0</v>
      </c>
      <c r="AF105" s="423"/>
      <c r="AG105" s="331"/>
      <c r="AH105" s="331"/>
      <c r="AI105" s="331">
        <f t="shared" si="118"/>
        <v>0</v>
      </c>
      <c r="AJ105" s="331"/>
      <c r="AK105" s="331"/>
      <c r="AL105" s="331"/>
      <c r="AM105" s="331">
        <f t="shared" si="119"/>
        <v>0</v>
      </c>
      <c r="AN105" s="322"/>
      <c r="AO105" s="1" t="str">
        <f t="shared" si="110"/>
        <v>CGH2.</v>
      </c>
      <c r="AP105" s="5" t="str">
        <f t="shared" si="106"/>
        <v>CGH2.</v>
      </c>
      <c r="AQ105" s="5" t="str">
        <f t="shared" si="107"/>
        <v>CGH2.</v>
      </c>
    </row>
    <row r="106" spans="1:43" ht="21.75" hidden="1" customHeight="1" x14ac:dyDescent="0.25">
      <c r="A106" s="5" t="str">
        <f t="shared" si="111"/>
        <v>a</v>
      </c>
      <c r="B106" s="345"/>
      <c r="C106" s="336"/>
      <c r="D106" s="336"/>
      <c r="E106" s="336"/>
      <c r="F106" s="408"/>
      <c r="G106" s="408"/>
      <c r="H106" s="408"/>
      <c r="I106" s="408"/>
      <c r="J106" s="413"/>
      <c r="K106" s="408"/>
      <c r="L106" s="408"/>
      <c r="M106" s="408"/>
      <c r="N106" s="408"/>
      <c r="O106" s="408"/>
      <c r="P106" s="408"/>
      <c r="Q106" s="408"/>
      <c r="R106" s="408"/>
      <c r="S106" s="408"/>
      <c r="T106" s="408"/>
      <c r="U106" s="408"/>
      <c r="V106" s="413">
        <f t="shared" si="115"/>
        <v>0</v>
      </c>
      <c r="W106" s="413"/>
      <c r="X106" s="415"/>
      <c r="Y106" s="415"/>
      <c r="Z106" s="331"/>
      <c r="AA106" s="331">
        <f t="shared" si="116"/>
        <v>0</v>
      </c>
      <c r="AB106" s="331"/>
      <c r="AC106" s="331"/>
      <c r="AD106" s="331"/>
      <c r="AE106" s="331">
        <f t="shared" si="117"/>
        <v>0</v>
      </c>
      <c r="AF106" s="331"/>
      <c r="AG106" s="331"/>
      <c r="AH106" s="331"/>
      <c r="AI106" s="331">
        <f t="shared" si="118"/>
        <v>0</v>
      </c>
      <c r="AJ106" s="331"/>
      <c r="AK106" s="331"/>
      <c r="AL106" s="331"/>
      <c r="AM106" s="331">
        <f t="shared" si="119"/>
        <v>0</v>
      </c>
      <c r="AN106" s="322"/>
      <c r="AO106" s="1" t="str">
        <f t="shared" si="110"/>
        <v>CGH2.</v>
      </c>
      <c r="AP106" s="5" t="str">
        <f t="shared" si="106"/>
        <v>CGH2.</v>
      </c>
      <c r="AQ106" s="5" t="str">
        <f t="shared" si="107"/>
        <v>CGH2.</v>
      </c>
    </row>
    <row r="107" spans="1:43" ht="18.75" customHeight="1" x14ac:dyDescent="0.25">
      <c r="A107" s="5" t="str">
        <f t="shared" si="111"/>
        <v>a</v>
      </c>
      <c r="B107" s="347">
        <v>8</v>
      </c>
      <c r="C107" s="336" t="s">
        <v>410</v>
      </c>
      <c r="D107" s="412"/>
      <c r="E107" s="337"/>
      <c r="F107" s="413"/>
      <c r="G107" s="408"/>
      <c r="H107" s="408"/>
      <c r="I107" s="408"/>
      <c r="J107" s="413"/>
      <c r="K107" s="407"/>
      <c r="L107" s="407"/>
      <c r="M107" s="407"/>
      <c r="N107" s="407"/>
      <c r="O107" s="407"/>
      <c r="P107" s="407"/>
      <c r="Q107" s="407"/>
      <c r="R107" s="407"/>
      <c r="S107" s="407"/>
      <c r="T107" s="407"/>
      <c r="U107" s="407"/>
      <c r="V107" s="409">
        <f>AA107+AE107+AI107+AM107</f>
        <v>434600</v>
      </c>
      <c r="W107" s="409"/>
      <c r="X107" s="410">
        <f t="shared" ref="X107:AM107" si="120">X108+X109</f>
        <v>41000</v>
      </c>
      <c r="Y107" s="410">
        <f t="shared" si="120"/>
        <v>26100</v>
      </c>
      <c r="Z107" s="410">
        <f t="shared" si="120"/>
        <v>39000</v>
      </c>
      <c r="AA107" s="410">
        <f t="shared" si="120"/>
        <v>106100</v>
      </c>
      <c r="AB107" s="410">
        <f t="shared" si="120"/>
        <v>37800</v>
      </c>
      <c r="AC107" s="410">
        <f t="shared" si="120"/>
        <v>45000</v>
      </c>
      <c r="AD107" s="410">
        <f t="shared" si="120"/>
        <v>46800</v>
      </c>
      <c r="AE107" s="410">
        <f t="shared" si="120"/>
        <v>129600</v>
      </c>
      <c r="AF107" s="410">
        <f t="shared" si="120"/>
        <v>21500</v>
      </c>
      <c r="AG107" s="410">
        <f t="shared" si="120"/>
        <v>20900</v>
      </c>
      <c r="AH107" s="410">
        <f t="shared" si="120"/>
        <v>33400</v>
      </c>
      <c r="AI107" s="410">
        <f t="shared" si="120"/>
        <v>75800</v>
      </c>
      <c r="AJ107" s="410">
        <f t="shared" si="120"/>
        <v>46300</v>
      </c>
      <c r="AK107" s="410">
        <f t="shared" si="120"/>
        <v>43200</v>
      </c>
      <c r="AL107" s="410">
        <f t="shared" si="120"/>
        <v>33600</v>
      </c>
      <c r="AM107" s="410">
        <f t="shared" si="120"/>
        <v>123100</v>
      </c>
      <c r="AN107" s="322"/>
      <c r="AO107" s="5" t="s">
        <v>291</v>
      </c>
      <c r="AP107" s="5" t="str">
        <f t="shared" ref="AP107:AP116" si="121">AO107&amp;K107</f>
        <v>CGH1.</v>
      </c>
      <c r="AQ107" s="5" t="str">
        <f t="shared" si="107"/>
        <v>CGH1.PX CGH1</v>
      </c>
    </row>
    <row r="108" spans="1:43" ht="18.75" customHeight="1" x14ac:dyDescent="0.25">
      <c r="A108" s="5" t="str">
        <f t="shared" si="111"/>
        <v>a</v>
      </c>
      <c r="B108" s="345" t="s">
        <v>8</v>
      </c>
      <c r="C108" s="336" t="s">
        <v>471</v>
      </c>
      <c r="D108" s="336"/>
      <c r="E108" s="336"/>
      <c r="F108" s="408"/>
      <c r="G108" s="408"/>
      <c r="H108" s="413"/>
      <c r="I108" s="413"/>
      <c r="J108" s="413"/>
      <c r="K108" s="408" t="s">
        <v>493</v>
      </c>
      <c r="L108" s="413"/>
      <c r="M108" s="413"/>
      <c r="N108" s="413"/>
      <c r="O108" s="413"/>
      <c r="P108" s="413"/>
      <c r="Q108" s="413"/>
      <c r="R108" s="413"/>
      <c r="S108" s="413"/>
      <c r="T108" s="413"/>
      <c r="U108" s="413"/>
      <c r="V108" s="409">
        <f>AA108+AE108+AI108+AM108</f>
        <v>4600</v>
      </c>
      <c r="W108" s="409"/>
      <c r="X108" s="410">
        <f>KH_ĐL!BK116</f>
        <v>1000</v>
      </c>
      <c r="Y108" s="410">
        <f>KH_ĐL!BL116</f>
        <v>500</v>
      </c>
      <c r="Z108" s="410">
        <f>KH_ĐL!BM116</f>
        <v>800</v>
      </c>
      <c r="AA108" s="410">
        <f>KH_ĐL!BN116+100</f>
        <v>2300</v>
      </c>
      <c r="AB108" s="410">
        <f>KH_ĐL!BO116</f>
        <v>0</v>
      </c>
      <c r="AC108" s="410">
        <f>KH_ĐL!BP116</f>
        <v>0</v>
      </c>
      <c r="AD108" s="410">
        <f>KH_ĐL!BQ116</f>
        <v>0</v>
      </c>
      <c r="AE108" s="410">
        <f>KH_ĐL!BR116</f>
        <v>0</v>
      </c>
      <c r="AF108" s="410">
        <f>KH_ĐL!BS116</f>
        <v>900</v>
      </c>
      <c r="AG108" s="410">
        <f>KH_ĐL!BT116</f>
        <v>900</v>
      </c>
      <c r="AH108" s="410">
        <f>KH_ĐL!BU116</f>
        <v>400</v>
      </c>
      <c r="AI108" s="410">
        <f>KH_ĐL!BV116+100</f>
        <v>2200</v>
      </c>
      <c r="AJ108" s="410">
        <f>KH_ĐL!BW116</f>
        <v>100</v>
      </c>
      <c r="AK108" s="410">
        <f>KH_ĐL!BX116</f>
        <v>0</v>
      </c>
      <c r="AL108" s="410">
        <f>KH_ĐL!BY116</f>
        <v>0</v>
      </c>
      <c r="AM108" s="410">
        <f>KH_ĐL!BZ116</f>
        <v>100</v>
      </c>
      <c r="AN108" s="322"/>
      <c r="AO108" s="1" t="str">
        <f>AO107</f>
        <v>CGH1.</v>
      </c>
      <c r="AP108" s="5" t="str">
        <f t="shared" si="121"/>
        <v>CGH1.ĐX</v>
      </c>
      <c r="AQ108" s="5" t="str">
        <f t="shared" si="107"/>
        <v>CGH1.SL đào, xén lò</v>
      </c>
    </row>
    <row r="109" spans="1:43" ht="18.75" customHeight="1" x14ac:dyDescent="0.25">
      <c r="A109" s="5" t="str">
        <f t="shared" si="111"/>
        <v>a</v>
      </c>
      <c r="B109" s="345" t="s">
        <v>37</v>
      </c>
      <c r="C109" s="336" t="s">
        <v>257</v>
      </c>
      <c r="D109" s="412"/>
      <c r="E109" s="337"/>
      <c r="F109" s="413"/>
      <c r="G109" s="408"/>
      <c r="H109" s="337"/>
      <c r="I109" s="408"/>
      <c r="J109" s="413"/>
      <c r="K109" s="413"/>
      <c r="L109" s="413"/>
      <c r="M109" s="413"/>
      <c r="N109" s="413"/>
      <c r="O109" s="413"/>
      <c r="P109" s="413"/>
      <c r="Q109" s="413"/>
      <c r="R109" s="413"/>
      <c r="S109" s="413"/>
      <c r="T109" s="413"/>
      <c r="U109" s="413"/>
      <c r="V109" s="410">
        <f>SUM(V110:V116)</f>
        <v>430000</v>
      </c>
      <c r="W109" s="410"/>
      <c r="X109" s="410">
        <f t="shared" ref="X109:AM109" si="122">SUM(X110:X116)</f>
        <v>40000</v>
      </c>
      <c r="Y109" s="410">
        <f t="shared" si="122"/>
        <v>25600</v>
      </c>
      <c r="Z109" s="410">
        <f t="shared" si="122"/>
        <v>38200</v>
      </c>
      <c r="AA109" s="410">
        <f t="shared" si="122"/>
        <v>103800</v>
      </c>
      <c r="AB109" s="410">
        <f t="shared" si="122"/>
        <v>37800</v>
      </c>
      <c r="AC109" s="410">
        <f t="shared" si="122"/>
        <v>45000</v>
      </c>
      <c r="AD109" s="410">
        <f t="shared" si="122"/>
        <v>46800</v>
      </c>
      <c r="AE109" s="410">
        <f t="shared" si="122"/>
        <v>129600</v>
      </c>
      <c r="AF109" s="410">
        <f t="shared" si="122"/>
        <v>20600</v>
      </c>
      <c r="AG109" s="410">
        <f t="shared" si="122"/>
        <v>20000</v>
      </c>
      <c r="AH109" s="410">
        <f t="shared" si="122"/>
        <v>33000</v>
      </c>
      <c r="AI109" s="410">
        <f t="shared" si="122"/>
        <v>73600</v>
      </c>
      <c r="AJ109" s="410">
        <f t="shared" si="122"/>
        <v>46200</v>
      </c>
      <c r="AK109" s="410">
        <f t="shared" si="122"/>
        <v>43200</v>
      </c>
      <c r="AL109" s="410">
        <f t="shared" si="122"/>
        <v>33600</v>
      </c>
      <c r="AM109" s="410">
        <f t="shared" si="122"/>
        <v>123000</v>
      </c>
      <c r="AN109" s="1016">
        <f>(V109)/$AN$17</f>
        <v>1467.5767918088736</v>
      </c>
      <c r="AO109" s="1" t="str">
        <f t="shared" ref="AO109:AO116" si="123">AO108</f>
        <v>CGH1.</v>
      </c>
      <c r="AP109" s="5" t="str">
        <f t="shared" si="121"/>
        <v>CGH1.</v>
      </c>
      <c r="AQ109" s="5" t="str">
        <f t="shared" si="107"/>
        <v>CGH1.KT Lò chợ</v>
      </c>
    </row>
    <row r="110" spans="1:43" ht="18.75" customHeight="1" x14ac:dyDescent="0.25">
      <c r="A110" s="5" t="str">
        <f t="shared" si="111"/>
        <v>a</v>
      </c>
      <c r="B110" s="346"/>
      <c r="C110" s="336" t="s">
        <v>468</v>
      </c>
      <c r="D110" s="412">
        <v>19940</v>
      </c>
      <c r="E110" s="337">
        <v>20</v>
      </c>
      <c r="F110" s="413">
        <f>1/COS($E110*PI()/180)*$D110/G110</f>
        <v>184.51917202756249</v>
      </c>
      <c r="G110" s="408">
        <v>115</v>
      </c>
      <c r="H110" s="337">
        <v>3</v>
      </c>
      <c r="I110" s="408">
        <v>1.63</v>
      </c>
      <c r="J110" s="413">
        <f>ROUND(1/COS($E110*PI()/180)*$D110*H110*I110,-2)</f>
        <v>103800</v>
      </c>
      <c r="K110" s="413" t="s">
        <v>303</v>
      </c>
      <c r="L110" s="413">
        <f t="shared" ref="L110:M113" si="124">D110</f>
        <v>19940</v>
      </c>
      <c r="M110" s="413">
        <f t="shared" si="124"/>
        <v>20</v>
      </c>
      <c r="N110" s="408">
        <f>ROUND(V110/J110*F110,0)</f>
        <v>185</v>
      </c>
      <c r="O110" s="408">
        <f t="shared" ref="O110:P113" si="125">G110</f>
        <v>115</v>
      </c>
      <c r="P110" s="408">
        <f t="shared" si="125"/>
        <v>3</v>
      </c>
      <c r="Q110" s="408">
        <f>H110</f>
        <v>3</v>
      </c>
      <c r="R110" s="414">
        <f>P110-Q110</f>
        <v>0</v>
      </c>
      <c r="S110" s="408">
        <f>I110</f>
        <v>1.63</v>
      </c>
      <c r="T110" s="413">
        <f>V110-U110</f>
        <v>103800</v>
      </c>
      <c r="U110" s="413">
        <f>ROUND(N110*O110*R110*S110*0.75,-3)</f>
        <v>0</v>
      </c>
      <c r="V110" s="413">
        <f>AA110+AE110+AI110+AM110</f>
        <v>103800</v>
      </c>
      <c r="W110" s="413">
        <f>J110-V110</f>
        <v>0</v>
      </c>
      <c r="X110" s="415">
        <f>ROUND(1600*X17,-2)</f>
        <v>40000</v>
      </c>
      <c r="Y110" s="415">
        <f>ROUND(1600*Y17,-2)</f>
        <v>25600</v>
      </c>
      <c r="Z110" s="415">
        <f>ROUND(1600*(Z17-3),-2)-200</f>
        <v>38200</v>
      </c>
      <c r="AA110" s="331">
        <f t="shared" ref="AA110:AA116" si="126">SUM(X110:Z110)</f>
        <v>103800</v>
      </c>
      <c r="AB110" s="331"/>
      <c r="AC110" s="331"/>
      <c r="AD110" s="331"/>
      <c r="AE110" s="331">
        <f>SUM(AB110:AD110)</f>
        <v>0</v>
      </c>
      <c r="AF110" s="331"/>
      <c r="AG110" s="331"/>
      <c r="AH110" s="331"/>
      <c r="AI110" s="331">
        <f>SUM(AF110:AH110)</f>
        <v>0</v>
      </c>
      <c r="AJ110" s="331"/>
      <c r="AK110" s="331"/>
      <c r="AL110" s="331"/>
      <c r="AM110" s="331">
        <f>SUM(AJ110:AL110)</f>
        <v>0</v>
      </c>
      <c r="AN110" s="322"/>
      <c r="AO110" s="1" t="str">
        <f t="shared" si="123"/>
        <v>CGH1.</v>
      </c>
      <c r="AP110" s="5" t="str">
        <f t="shared" si="121"/>
        <v>CGH1.CGH</v>
      </c>
      <c r="AQ110" s="5" t="str">
        <f t="shared" si="107"/>
        <v>CGH1.LC TT-12-6</v>
      </c>
    </row>
    <row r="111" spans="1:43" ht="18.75" customHeight="1" x14ac:dyDescent="0.25">
      <c r="A111" s="5" t="str">
        <f t="shared" si="111"/>
        <v>a</v>
      </c>
      <c r="B111" s="346"/>
      <c r="C111" s="336" t="s">
        <v>607</v>
      </c>
      <c r="D111" s="412">
        <v>25980</v>
      </c>
      <c r="E111" s="337">
        <v>24</v>
      </c>
      <c r="F111" s="413">
        <f>1/COS($E111*PI()/180)*$D111/G111</f>
        <v>247.29261317901825</v>
      </c>
      <c r="G111" s="408">
        <v>115</v>
      </c>
      <c r="H111" s="337">
        <v>3.24</v>
      </c>
      <c r="I111" s="408">
        <v>1.63</v>
      </c>
      <c r="J111" s="413">
        <f>ROUND(1/COS($E111*PI()/180)*$D111*H111*I111,-2)</f>
        <v>150200</v>
      </c>
      <c r="K111" s="413" t="s">
        <v>303</v>
      </c>
      <c r="L111" s="413">
        <f t="shared" si="124"/>
        <v>25980</v>
      </c>
      <c r="M111" s="413">
        <f t="shared" si="124"/>
        <v>24</v>
      </c>
      <c r="N111" s="408">
        <f>ROUND(V111/J111*F111,0)</f>
        <v>247</v>
      </c>
      <c r="O111" s="408">
        <f t="shared" si="125"/>
        <v>115</v>
      </c>
      <c r="P111" s="408">
        <f t="shared" si="125"/>
        <v>3.24</v>
      </c>
      <c r="Q111" s="408">
        <f>H111</f>
        <v>3.24</v>
      </c>
      <c r="R111" s="414">
        <f>P111-Q111</f>
        <v>0</v>
      </c>
      <c r="S111" s="408">
        <f>I111</f>
        <v>1.63</v>
      </c>
      <c r="T111" s="413">
        <f>V111-U111</f>
        <v>150200</v>
      </c>
      <c r="U111" s="413">
        <f>ROUND(N111*O111*R111*S111*0.75,-3)</f>
        <v>0</v>
      </c>
      <c r="V111" s="413">
        <f t="shared" ref="V111:V116" si="127">AA111+AE111+AI111+AM111</f>
        <v>150200</v>
      </c>
      <c r="W111" s="413">
        <f>J111-V111</f>
        <v>0</v>
      </c>
      <c r="X111" s="417"/>
      <c r="Y111" s="415">
        <v>0</v>
      </c>
      <c r="Z111" s="331"/>
      <c r="AA111" s="331">
        <f t="shared" si="126"/>
        <v>0</v>
      </c>
      <c r="AB111" s="331">
        <f>ROUND(1600*AB17,-2)-600</f>
        <v>37800</v>
      </c>
      <c r="AC111" s="331">
        <f>ROUND(1800*AC17,-2)</f>
        <v>45000</v>
      </c>
      <c r="AD111" s="331">
        <f>ROUND(1800*AD17,-2)</f>
        <v>46800</v>
      </c>
      <c r="AE111" s="331">
        <f t="shared" ref="AE111:AE116" si="128">SUM(AB111:AD111)</f>
        <v>129600</v>
      </c>
      <c r="AF111" s="331">
        <f>1500*AF17-19900</f>
        <v>20600</v>
      </c>
      <c r="AG111" s="331"/>
      <c r="AH111" s="331"/>
      <c r="AI111" s="331">
        <f t="shared" ref="AI111:AI116" si="129">SUM(AF111:AH111)</f>
        <v>20600</v>
      </c>
      <c r="AJ111" s="331"/>
      <c r="AK111" s="331"/>
      <c r="AL111" s="331"/>
      <c r="AM111" s="331">
        <f t="shared" ref="AM111:AM116" si="130">SUM(AJ111:AL111)</f>
        <v>0</v>
      </c>
      <c r="AN111" s="322"/>
      <c r="AO111" s="1" t="str">
        <f t="shared" si="123"/>
        <v>CGH1.</v>
      </c>
      <c r="AP111" s="5" t="str">
        <f t="shared" si="121"/>
        <v>CGH1.CGH</v>
      </c>
      <c r="AQ111" s="5" t="str">
        <f t="shared" si="107"/>
        <v>CGH1.LC TT-8-13</v>
      </c>
    </row>
    <row r="112" spans="1:43" ht="18" customHeight="1" x14ac:dyDescent="0.25">
      <c r="A112" s="5" t="str">
        <f t="shared" si="111"/>
        <v>a</v>
      </c>
      <c r="B112" s="346"/>
      <c r="C112" s="336" t="s">
        <v>608</v>
      </c>
      <c r="D112" s="412">
        <v>35202</v>
      </c>
      <c r="E112" s="337">
        <v>24</v>
      </c>
      <c r="F112" s="413">
        <f>1/COS($E112*PI()/180)*$D112/G112</f>
        <v>335.07292413886836</v>
      </c>
      <c r="G112" s="408">
        <v>115</v>
      </c>
      <c r="H112" s="337">
        <v>3.97</v>
      </c>
      <c r="I112" s="408">
        <v>1.63</v>
      </c>
      <c r="J112" s="413">
        <f>ROUND(1/COS($E112*PI()/180)*$D112*H112*I112,-3)</f>
        <v>249000</v>
      </c>
      <c r="K112" s="413" t="s">
        <v>303</v>
      </c>
      <c r="L112" s="413">
        <f t="shared" si="124"/>
        <v>35202</v>
      </c>
      <c r="M112" s="413">
        <f t="shared" si="124"/>
        <v>24</v>
      </c>
      <c r="N112" s="408">
        <f>ROUND(V112/J112*F112,0)</f>
        <v>237</v>
      </c>
      <c r="O112" s="408">
        <f t="shared" si="125"/>
        <v>115</v>
      </c>
      <c r="P112" s="408">
        <f t="shared" si="125"/>
        <v>3.97</v>
      </c>
      <c r="Q112" s="408">
        <f>H112</f>
        <v>3.97</v>
      </c>
      <c r="R112" s="414">
        <f>P112-Q112</f>
        <v>0</v>
      </c>
      <c r="S112" s="408">
        <f>I112</f>
        <v>1.63</v>
      </c>
      <c r="T112" s="413">
        <f>V112-U112</f>
        <v>176000</v>
      </c>
      <c r="U112" s="413">
        <f>ROUND(N112*O112*R112*S112*0.75,-3)</f>
        <v>0</v>
      </c>
      <c r="V112" s="413">
        <f t="shared" si="127"/>
        <v>176000</v>
      </c>
      <c r="W112" s="574">
        <f>J112-V112</f>
        <v>73000</v>
      </c>
      <c r="X112" s="417"/>
      <c r="Y112" s="415"/>
      <c r="Z112" s="331"/>
      <c r="AA112" s="331">
        <f t="shared" si="126"/>
        <v>0</v>
      </c>
      <c r="AB112" s="417"/>
      <c r="AC112" s="331"/>
      <c r="AD112" s="331">
        <v>0</v>
      </c>
      <c r="AE112" s="331"/>
      <c r="AF112" s="331"/>
      <c r="AG112" s="331">
        <f>1300*(AG17-10)-800</f>
        <v>20000</v>
      </c>
      <c r="AH112" s="331">
        <f>1400*AH17-2000</f>
        <v>33000</v>
      </c>
      <c r="AI112" s="331">
        <f>SUM(AF112:AH112)</f>
        <v>53000</v>
      </c>
      <c r="AJ112" s="331">
        <f>ROUND(1800*AJ17,-2)-600</f>
        <v>46200</v>
      </c>
      <c r="AK112" s="331">
        <f>1800*AK17</f>
        <v>43200</v>
      </c>
      <c r="AL112" s="331">
        <f>ROUND(1500*AL17,-2)+600</f>
        <v>33600</v>
      </c>
      <c r="AM112" s="331">
        <f t="shared" si="130"/>
        <v>123000</v>
      </c>
      <c r="AN112" s="322"/>
      <c r="AO112" s="1" t="str">
        <f t="shared" si="123"/>
        <v>CGH1.</v>
      </c>
      <c r="AP112" s="5" t="str">
        <f t="shared" si="121"/>
        <v>CGH1.CGH</v>
      </c>
      <c r="AQ112" s="5" t="str">
        <f t="shared" si="107"/>
        <v>CGH1.LC TT-8-17</v>
      </c>
    </row>
    <row r="113" spans="1:43" ht="18.75" hidden="1" customHeight="1" x14ac:dyDescent="0.25">
      <c r="A113" s="5" t="str">
        <f t="shared" si="111"/>
        <v>a</v>
      </c>
      <c r="B113" s="347"/>
      <c r="C113" s="336" t="s">
        <v>609</v>
      </c>
      <c r="D113" s="412"/>
      <c r="E113" s="337">
        <v>25</v>
      </c>
      <c r="F113" s="413">
        <f>1/COS($E113*PI()/180)*$D113/G113</f>
        <v>0</v>
      </c>
      <c r="G113" s="408">
        <v>110</v>
      </c>
      <c r="H113" s="337">
        <v>2.4700000000000002</v>
      </c>
      <c r="I113" s="408">
        <v>1.63</v>
      </c>
      <c r="J113" s="413">
        <f>ROUND(1/COS($E113*PI()/180)*$D113*H113*I113,-3)</f>
        <v>0</v>
      </c>
      <c r="K113" s="413" t="s">
        <v>303</v>
      </c>
      <c r="L113" s="413">
        <f t="shared" si="124"/>
        <v>0</v>
      </c>
      <c r="M113" s="413">
        <f t="shared" si="124"/>
        <v>25</v>
      </c>
      <c r="N113" s="407"/>
      <c r="O113" s="408">
        <f t="shared" si="125"/>
        <v>110</v>
      </c>
      <c r="P113" s="408">
        <f t="shared" si="125"/>
        <v>2.4700000000000002</v>
      </c>
      <c r="Q113" s="408">
        <f>H113</f>
        <v>2.4700000000000002</v>
      </c>
      <c r="R113" s="414">
        <f>P113-Q113</f>
        <v>0</v>
      </c>
      <c r="S113" s="408">
        <f>I113</f>
        <v>1.63</v>
      </c>
      <c r="T113" s="413">
        <f>V113-U113</f>
        <v>0</v>
      </c>
      <c r="U113" s="413">
        <f>ROUND(N113*O113*R113*S113*0.75,-3)</f>
        <v>0</v>
      </c>
      <c r="V113" s="413">
        <f t="shared" si="127"/>
        <v>0</v>
      </c>
      <c r="W113" s="413">
        <f>J113-V113</f>
        <v>0</v>
      </c>
      <c r="X113" s="415"/>
      <c r="Y113" s="415"/>
      <c r="Z113" s="331"/>
      <c r="AA113" s="331">
        <f t="shared" si="126"/>
        <v>0</v>
      </c>
      <c r="AB113" s="331"/>
      <c r="AC113" s="331"/>
      <c r="AD113" s="331"/>
      <c r="AE113" s="331">
        <f t="shared" si="128"/>
        <v>0</v>
      </c>
      <c r="AF113" s="331"/>
      <c r="AG113" s="331"/>
      <c r="AH113" s="331"/>
      <c r="AI113" s="331">
        <f t="shared" si="129"/>
        <v>0</v>
      </c>
      <c r="AJ113" s="331"/>
      <c r="AK113" s="331"/>
      <c r="AL113" s="331"/>
      <c r="AM113" s="331"/>
      <c r="AN113" s="322"/>
      <c r="AO113" s="1" t="str">
        <f t="shared" si="123"/>
        <v>CGH1.</v>
      </c>
      <c r="AP113" s="5" t="str">
        <f t="shared" si="121"/>
        <v>CGH1.CGH</v>
      </c>
      <c r="AQ113" s="5" t="str">
        <f t="shared" si="107"/>
        <v>CGH1.LC TT-4-1</v>
      </c>
    </row>
    <row r="114" spans="1:43" ht="18.75" hidden="1" customHeight="1" x14ac:dyDescent="0.25">
      <c r="A114" s="5" t="str">
        <f t="shared" si="111"/>
        <v>a</v>
      </c>
      <c r="B114" s="345"/>
      <c r="C114" s="336"/>
      <c r="D114" s="336"/>
      <c r="E114" s="336"/>
      <c r="F114" s="408"/>
      <c r="G114" s="408"/>
      <c r="H114" s="407"/>
      <c r="I114" s="407"/>
      <c r="J114" s="407"/>
      <c r="K114" s="407"/>
      <c r="L114" s="407"/>
      <c r="M114" s="407"/>
      <c r="N114" s="407"/>
      <c r="O114" s="407"/>
      <c r="P114" s="407"/>
      <c r="Q114" s="407"/>
      <c r="R114" s="407"/>
      <c r="S114" s="407"/>
      <c r="T114" s="407"/>
      <c r="U114" s="407"/>
      <c r="V114" s="413">
        <f t="shared" si="127"/>
        <v>0</v>
      </c>
      <c r="W114" s="413"/>
      <c r="X114" s="415"/>
      <c r="Y114" s="415"/>
      <c r="Z114" s="331"/>
      <c r="AA114" s="331">
        <f t="shared" si="126"/>
        <v>0</v>
      </c>
      <c r="AB114" s="331"/>
      <c r="AC114" s="331"/>
      <c r="AD114" s="331"/>
      <c r="AE114" s="331">
        <f t="shared" si="128"/>
        <v>0</v>
      </c>
      <c r="AF114" s="331"/>
      <c r="AG114" s="331"/>
      <c r="AH114" s="331"/>
      <c r="AI114" s="331">
        <f t="shared" si="129"/>
        <v>0</v>
      </c>
      <c r="AJ114" s="331"/>
      <c r="AK114" s="331"/>
      <c r="AL114" s="331"/>
      <c r="AM114" s="331">
        <f t="shared" si="130"/>
        <v>0</v>
      </c>
      <c r="AN114" s="322"/>
      <c r="AO114" s="1" t="str">
        <f t="shared" si="123"/>
        <v>CGH1.</v>
      </c>
      <c r="AP114" s="5" t="str">
        <f t="shared" si="121"/>
        <v>CGH1.</v>
      </c>
      <c r="AQ114" s="5" t="str">
        <f t="shared" si="107"/>
        <v>CGH1.</v>
      </c>
    </row>
    <row r="115" spans="1:43" ht="18.75" hidden="1" customHeight="1" x14ac:dyDescent="0.25">
      <c r="A115" s="5" t="str">
        <f>A113</f>
        <v>a</v>
      </c>
      <c r="B115" s="345"/>
      <c r="C115" s="336"/>
      <c r="D115" s="412"/>
      <c r="E115" s="337">
        <v>25</v>
      </c>
      <c r="F115" s="413">
        <f>1/COS($E115*PI()/180)*$D115/G115</f>
        <v>0</v>
      </c>
      <c r="G115" s="408">
        <v>110</v>
      </c>
      <c r="H115" s="337">
        <v>2.6579999999999999</v>
      </c>
      <c r="I115" s="408">
        <v>1.63</v>
      </c>
      <c r="J115" s="413">
        <f>ROUND(1/COS($E115*PI()/180)*$D115*H115*I115,-3)</f>
        <v>0</v>
      </c>
      <c r="K115" s="407"/>
      <c r="L115" s="407"/>
      <c r="M115" s="407"/>
      <c r="N115" s="407"/>
      <c r="O115" s="407"/>
      <c r="P115" s="407"/>
      <c r="Q115" s="407"/>
      <c r="R115" s="407"/>
      <c r="S115" s="407"/>
      <c r="T115" s="407"/>
      <c r="U115" s="407"/>
      <c r="V115" s="413">
        <f t="shared" si="127"/>
        <v>0</v>
      </c>
      <c r="W115" s="413"/>
      <c r="X115" s="415"/>
      <c r="Y115" s="415"/>
      <c r="Z115" s="331"/>
      <c r="AA115" s="331">
        <f t="shared" si="126"/>
        <v>0</v>
      </c>
      <c r="AB115" s="331"/>
      <c r="AC115" s="331"/>
      <c r="AD115" s="331"/>
      <c r="AE115" s="331">
        <f t="shared" si="128"/>
        <v>0</v>
      </c>
      <c r="AF115" s="418"/>
      <c r="AG115" s="331"/>
      <c r="AH115" s="331"/>
      <c r="AI115" s="331">
        <f t="shared" si="129"/>
        <v>0</v>
      </c>
      <c r="AJ115" s="331"/>
      <c r="AK115" s="331"/>
      <c r="AL115" s="331"/>
      <c r="AM115" s="331">
        <f t="shared" si="130"/>
        <v>0</v>
      </c>
      <c r="AN115" s="322"/>
      <c r="AO115" s="1" t="str">
        <f>AO114</f>
        <v>CGH1.</v>
      </c>
      <c r="AP115" s="5" t="str">
        <f t="shared" si="121"/>
        <v>CGH1.</v>
      </c>
      <c r="AQ115" s="5" t="str">
        <f t="shared" si="107"/>
        <v>CGH1.</v>
      </c>
    </row>
    <row r="116" spans="1:43" ht="18.75" hidden="1" customHeight="1" x14ac:dyDescent="0.25">
      <c r="A116" s="5" t="str">
        <f>A114</f>
        <v>a</v>
      </c>
      <c r="B116" s="345"/>
      <c r="C116" s="336"/>
      <c r="D116" s="336"/>
      <c r="E116" s="336"/>
      <c r="F116" s="408"/>
      <c r="G116" s="408"/>
      <c r="H116" s="407"/>
      <c r="I116" s="407"/>
      <c r="J116" s="407"/>
      <c r="K116" s="407"/>
      <c r="L116" s="407"/>
      <c r="M116" s="407"/>
      <c r="N116" s="407"/>
      <c r="O116" s="407"/>
      <c r="P116" s="407"/>
      <c r="Q116" s="407"/>
      <c r="R116" s="407"/>
      <c r="S116" s="407"/>
      <c r="T116" s="407"/>
      <c r="U116" s="407"/>
      <c r="V116" s="413">
        <f t="shared" si="127"/>
        <v>0</v>
      </c>
      <c r="W116" s="413"/>
      <c r="X116" s="415"/>
      <c r="Y116" s="415"/>
      <c r="Z116" s="331"/>
      <c r="AA116" s="331">
        <f t="shared" si="126"/>
        <v>0</v>
      </c>
      <c r="AB116" s="331"/>
      <c r="AC116" s="331"/>
      <c r="AD116" s="331"/>
      <c r="AE116" s="331">
        <f t="shared" si="128"/>
        <v>0</v>
      </c>
      <c r="AF116" s="331"/>
      <c r="AG116" s="331"/>
      <c r="AH116" s="331"/>
      <c r="AI116" s="331">
        <f t="shared" si="129"/>
        <v>0</v>
      </c>
      <c r="AJ116" s="331"/>
      <c r="AK116" s="331"/>
      <c r="AL116" s="331"/>
      <c r="AM116" s="331">
        <f t="shared" si="130"/>
        <v>0</v>
      </c>
      <c r="AN116" s="322"/>
      <c r="AO116" s="1" t="str">
        <f t="shared" si="123"/>
        <v>CGH1.</v>
      </c>
      <c r="AP116" s="5" t="str">
        <f t="shared" si="121"/>
        <v>CGH1.</v>
      </c>
      <c r="AQ116" s="5" t="str">
        <f t="shared" si="107"/>
        <v>CGH1.</v>
      </c>
    </row>
    <row r="117" spans="1:43" ht="18.75" customHeight="1" x14ac:dyDescent="0.25">
      <c r="A117" s="5" t="str">
        <f t="shared" si="111"/>
        <v>a</v>
      </c>
      <c r="B117" s="347">
        <v>9</v>
      </c>
      <c r="C117" s="336" t="s">
        <v>450</v>
      </c>
      <c r="D117" s="336"/>
      <c r="E117" s="336"/>
      <c r="F117" s="407"/>
      <c r="G117" s="407"/>
      <c r="H117" s="407"/>
      <c r="I117" s="407"/>
      <c r="J117" s="407"/>
      <c r="K117" s="407"/>
      <c r="L117" s="407"/>
      <c r="M117" s="407"/>
      <c r="N117" s="407"/>
      <c r="O117" s="407"/>
      <c r="P117" s="407"/>
      <c r="Q117" s="407"/>
      <c r="R117" s="407"/>
      <c r="S117" s="407"/>
      <c r="T117" s="407"/>
      <c r="U117" s="407"/>
      <c r="V117" s="409">
        <f>AA117+AE117+AI117+AM117</f>
        <v>176400</v>
      </c>
      <c r="W117" s="409"/>
      <c r="X117" s="410">
        <f t="shared" ref="X117:AM117" si="131">X118+X119</f>
        <v>17600</v>
      </c>
      <c r="Y117" s="410">
        <f t="shared" si="131"/>
        <v>11200</v>
      </c>
      <c r="Z117" s="410">
        <f t="shared" si="131"/>
        <v>17900</v>
      </c>
      <c r="AA117" s="410">
        <f t="shared" si="131"/>
        <v>46700</v>
      </c>
      <c r="AB117" s="410">
        <f t="shared" si="131"/>
        <v>16800</v>
      </c>
      <c r="AC117" s="410">
        <f t="shared" si="131"/>
        <v>17600</v>
      </c>
      <c r="AD117" s="410">
        <f t="shared" si="131"/>
        <v>16900</v>
      </c>
      <c r="AE117" s="410">
        <f t="shared" si="131"/>
        <v>51300</v>
      </c>
      <c r="AF117" s="410">
        <f t="shared" si="131"/>
        <v>6700</v>
      </c>
      <c r="AG117" s="410">
        <f t="shared" si="131"/>
        <v>14800</v>
      </c>
      <c r="AH117" s="410">
        <f t="shared" si="131"/>
        <v>13800</v>
      </c>
      <c r="AI117" s="410">
        <f t="shared" si="131"/>
        <v>35300</v>
      </c>
      <c r="AJ117" s="410">
        <f t="shared" si="131"/>
        <v>15900</v>
      </c>
      <c r="AK117" s="410">
        <f t="shared" si="131"/>
        <v>14000</v>
      </c>
      <c r="AL117" s="410">
        <f t="shared" si="131"/>
        <v>13200</v>
      </c>
      <c r="AM117" s="410">
        <f t="shared" si="131"/>
        <v>43100</v>
      </c>
      <c r="AN117" s="322"/>
      <c r="AO117" s="5" t="s">
        <v>292</v>
      </c>
      <c r="AP117" s="5" t="str">
        <f t="shared" ref="AP117:AP130" si="132">AO117&amp;K117</f>
        <v>KT9.</v>
      </c>
      <c r="AQ117" s="5" t="str">
        <f t="shared" si="107"/>
        <v>KT9.PX KT9</v>
      </c>
    </row>
    <row r="118" spans="1:43" ht="18.75" customHeight="1" x14ac:dyDescent="0.25">
      <c r="A118" s="5" t="str">
        <f t="shared" si="111"/>
        <v>a</v>
      </c>
      <c r="B118" s="345" t="s">
        <v>8</v>
      </c>
      <c r="C118" s="336" t="s">
        <v>471</v>
      </c>
      <c r="D118" s="336"/>
      <c r="E118" s="336"/>
      <c r="F118" s="408"/>
      <c r="G118" s="408"/>
      <c r="H118" s="413"/>
      <c r="I118" s="413"/>
      <c r="J118" s="413"/>
      <c r="K118" s="408" t="s">
        <v>493</v>
      </c>
      <c r="L118" s="413"/>
      <c r="M118" s="413"/>
      <c r="N118" s="413"/>
      <c r="O118" s="413"/>
      <c r="P118" s="413"/>
      <c r="Q118" s="413"/>
      <c r="R118" s="413"/>
      <c r="S118" s="413"/>
      <c r="T118" s="413"/>
      <c r="U118" s="413"/>
      <c r="V118" s="409">
        <f>AA118+AE118+AI118+AM118</f>
        <v>2700</v>
      </c>
      <c r="W118" s="409"/>
      <c r="X118" s="410">
        <f>KH_ĐL!BK126</f>
        <v>100</v>
      </c>
      <c r="Y118" s="410">
        <f>KH_ĐL!BL126</f>
        <v>0</v>
      </c>
      <c r="Z118" s="410">
        <f>KH_ĐL!BM126</f>
        <v>0</v>
      </c>
      <c r="AA118" s="410">
        <f>KH_ĐL!BN126-100</f>
        <v>100</v>
      </c>
      <c r="AB118" s="410">
        <f>KH_ĐL!BO126</f>
        <v>0</v>
      </c>
      <c r="AC118" s="410">
        <f>KH_ĐL!BP126</f>
        <v>100</v>
      </c>
      <c r="AD118" s="410">
        <f>KH_ĐL!BQ126</f>
        <v>0</v>
      </c>
      <c r="AE118" s="410">
        <f>KH_ĐL!BR126</f>
        <v>100</v>
      </c>
      <c r="AF118" s="410">
        <f>KH_ĐL!BS126</f>
        <v>1000</v>
      </c>
      <c r="AG118" s="410">
        <f>KH_ĐL!BT126</f>
        <v>500</v>
      </c>
      <c r="AH118" s="410">
        <f>KH_ĐL!BU126</f>
        <v>0</v>
      </c>
      <c r="AI118" s="410">
        <f>KH_ĐL!BV126</f>
        <v>1500</v>
      </c>
      <c r="AJ118" s="410">
        <f>KH_ĐL!BW126</f>
        <v>500</v>
      </c>
      <c r="AK118" s="410">
        <f>KH_ĐL!BX126</f>
        <v>500</v>
      </c>
      <c r="AL118" s="410">
        <f>KH_ĐL!BY126</f>
        <v>0</v>
      </c>
      <c r="AM118" s="410">
        <f>KH_ĐL!BZ126</f>
        <v>1000</v>
      </c>
      <c r="AN118" s="322"/>
      <c r="AO118" s="1" t="str">
        <f>AO117</f>
        <v>KT9.</v>
      </c>
      <c r="AP118" s="5" t="str">
        <f t="shared" si="132"/>
        <v>KT9.ĐX</v>
      </c>
      <c r="AQ118" s="5" t="str">
        <f t="shared" si="107"/>
        <v>KT9.SL đào, xén lò</v>
      </c>
    </row>
    <row r="119" spans="1:43" ht="18.75" customHeight="1" x14ac:dyDescent="0.25">
      <c r="A119" s="5" t="str">
        <f t="shared" si="111"/>
        <v>a</v>
      </c>
      <c r="B119" s="345" t="s">
        <v>37</v>
      </c>
      <c r="C119" s="336" t="s">
        <v>257</v>
      </c>
      <c r="D119" s="412"/>
      <c r="E119" s="337"/>
      <c r="F119" s="413"/>
      <c r="G119" s="408"/>
      <c r="H119" s="408"/>
      <c r="I119" s="408"/>
      <c r="J119" s="413"/>
      <c r="K119" s="413"/>
      <c r="L119" s="413"/>
      <c r="M119" s="413"/>
      <c r="N119" s="413"/>
      <c r="O119" s="413"/>
      <c r="P119" s="413"/>
      <c r="Q119" s="413"/>
      <c r="R119" s="413"/>
      <c r="S119" s="413"/>
      <c r="T119" s="413"/>
      <c r="U119" s="413"/>
      <c r="V119" s="410">
        <f>SUM(V120:V129)</f>
        <v>173700</v>
      </c>
      <c r="W119" s="410"/>
      <c r="X119" s="410">
        <f t="shared" ref="X119:AM119" si="133">SUM(X120:X129)</f>
        <v>17500</v>
      </c>
      <c r="Y119" s="410">
        <f t="shared" si="133"/>
        <v>11200</v>
      </c>
      <c r="Z119" s="410">
        <f t="shared" si="133"/>
        <v>17900</v>
      </c>
      <c r="AA119" s="410">
        <f t="shared" si="133"/>
        <v>46600</v>
      </c>
      <c r="AB119" s="410">
        <f t="shared" si="133"/>
        <v>16800</v>
      </c>
      <c r="AC119" s="410">
        <f t="shared" si="133"/>
        <v>17500</v>
      </c>
      <c r="AD119" s="410">
        <f t="shared" si="133"/>
        <v>16900</v>
      </c>
      <c r="AE119" s="410">
        <f t="shared" si="133"/>
        <v>51200</v>
      </c>
      <c r="AF119" s="410">
        <f t="shared" si="133"/>
        <v>5700</v>
      </c>
      <c r="AG119" s="410">
        <f t="shared" si="133"/>
        <v>14300</v>
      </c>
      <c r="AH119" s="410">
        <f t="shared" si="133"/>
        <v>13800</v>
      </c>
      <c r="AI119" s="410">
        <f t="shared" si="133"/>
        <v>33800</v>
      </c>
      <c r="AJ119" s="410">
        <f t="shared" si="133"/>
        <v>15400</v>
      </c>
      <c r="AK119" s="410">
        <f t="shared" si="133"/>
        <v>13500</v>
      </c>
      <c r="AL119" s="410">
        <f t="shared" si="133"/>
        <v>13200</v>
      </c>
      <c r="AM119" s="410">
        <f t="shared" si="133"/>
        <v>42100</v>
      </c>
      <c r="AN119" s="1016">
        <f>(V119)/$AN$17</f>
        <v>592.83276450511948</v>
      </c>
      <c r="AO119" s="1" t="str">
        <f t="shared" ref="AO119:AO130" si="134">AO118</f>
        <v>KT9.</v>
      </c>
      <c r="AP119" s="5" t="str">
        <f t="shared" si="132"/>
        <v>KT9.</v>
      </c>
      <c r="AQ119" s="5" t="str">
        <f t="shared" si="107"/>
        <v>KT9.KT Lò chợ</v>
      </c>
    </row>
    <row r="120" spans="1:43" ht="18.75" customHeight="1" x14ac:dyDescent="0.25">
      <c r="A120" s="5" t="str">
        <f t="shared" si="111"/>
        <v>a</v>
      </c>
      <c r="B120" s="345"/>
      <c r="C120" s="336" t="s">
        <v>610</v>
      </c>
      <c r="D120" s="412">
        <v>17290</v>
      </c>
      <c r="E120" s="337">
        <v>24</v>
      </c>
      <c r="F120" s="413">
        <f>1/COS($E120*PI()/180)*$D120/G120</f>
        <v>180.25010719399572</v>
      </c>
      <c r="G120" s="408">
        <v>105</v>
      </c>
      <c r="H120" s="414">
        <v>3.23</v>
      </c>
      <c r="I120" s="408">
        <v>1.63</v>
      </c>
      <c r="J120" s="413">
        <f>ROUND(1/COS($E120*PI()/180)*$D120*H120*I120,-2)</f>
        <v>99600</v>
      </c>
      <c r="K120" s="413" t="s">
        <v>302</v>
      </c>
      <c r="L120" s="413">
        <f t="shared" ref="L120:M123" si="135">D120</f>
        <v>17290</v>
      </c>
      <c r="M120" s="413">
        <f t="shared" si="135"/>
        <v>24</v>
      </c>
      <c r="N120" s="408">
        <f>ROUND(V120/J120*F120,0)</f>
        <v>180</v>
      </c>
      <c r="O120" s="408">
        <f t="shared" ref="O120:P123" si="136">G120</f>
        <v>105</v>
      </c>
      <c r="P120" s="408">
        <f t="shared" si="136"/>
        <v>3.23</v>
      </c>
      <c r="Q120" s="408">
        <v>2.2000000000000002</v>
      </c>
      <c r="R120" s="414">
        <f>P120-Q120</f>
        <v>1.0299999999999998</v>
      </c>
      <c r="S120" s="408">
        <f>I120</f>
        <v>1.63</v>
      </c>
      <c r="T120" s="413">
        <f>V120-U120</f>
        <v>75600</v>
      </c>
      <c r="U120" s="413">
        <f>ROUND(N120*O120*R120*S120*0.75,-3)</f>
        <v>24000</v>
      </c>
      <c r="V120" s="413">
        <f>AA120+AE120+AI120+AM120</f>
        <v>99600</v>
      </c>
      <c r="W120" s="413">
        <f>J120-V120</f>
        <v>0</v>
      </c>
      <c r="X120" s="331">
        <f>700*X17</f>
        <v>17500</v>
      </c>
      <c r="Y120" s="331">
        <f>700*Y17</f>
        <v>11200</v>
      </c>
      <c r="Z120" s="331">
        <f>700*Z17-1000</f>
        <v>17900</v>
      </c>
      <c r="AA120" s="331">
        <f>SUM(X120:Z120)</f>
        <v>46600</v>
      </c>
      <c r="AB120" s="331">
        <f>700*AB17</f>
        <v>16800</v>
      </c>
      <c r="AC120" s="331">
        <f>700*AC17</f>
        <v>17500</v>
      </c>
      <c r="AD120" s="331">
        <f>ROUND(650*AD17,-2)</f>
        <v>16900</v>
      </c>
      <c r="AE120" s="331">
        <f>SUM(AB120:AD120)</f>
        <v>51200</v>
      </c>
      <c r="AF120" s="331">
        <v>1800</v>
      </c>
      <c r="AG120" s="331"/>
      <c r="AH120" s="331"/>
      <c r="AI120" s="331">
        <f>SUM(AF120:AH120)</f>
        <v>1800</v>
      </c>
      <c r="AJ120" s="331"/>
      <c r="AK120" s="331"/>
      <c r="AL120" s="331"/>
      <c r="AM120" s="331">
        <f>SUM(AJ120:AL120)</f>
        <v>0</v>
      </c>
      <c r="AN120" s="322"/>
      <c r="AO120" s="1" t="str">
        <f t="shared" si="134"/>
        <v>KT9.</v>
      </c>
      <c r="AP120" s="5" t="str">
        <f t="shared" si="132"/>
        <v>KT9.GK</v>
      </c>
      <c r="AQ120" s="5" t="str">
        <f t="shared" si="107"/>
        <v>KT9.LC TT-5-4A</v>
      </c>
    </row>
    <row r="121" spans="1:43" ht="18.75" customHeight="1" x14ac:dyDescent="0.25">
      <c r="A121" s="5" t="str">
        <f t="shared" si="111"/>
        <v>a</v>
      </c>
      <c r="B121" s="346"/>
      <c r="C121" s="336" t="s">
        <v>612</v>
      </c>
      <c r="D121" s="412">
        <v>52400</v>
      </c>
      <c r="E121" s="337">
        <v>25</v>
      </c>
      <c r="F121" s="413">
        <f>1/COS($E121*PI()/180)*$D121/G121</f>
        <v>578.17002953634574</v>
      </c>
      <c r="G121" s="408">
        <v>100</v>
      </c>
      <c r="H121" s="414">
        <v>3.16</v>
      </c>
      <c r="I121" s="408">
        <v>1.63</v>
      </c>
      <c r="J121" s="413">
        <f>ROUND(1/COS($E121*PI()/180)*$D121*H121*I121,-2)</f>
        <v>297800</v>
      </c>
      <c r="K121" s="413" t="s">
        <v>302</v>
      </c>
      <c r="L121" s="413">
        <f t="shared" si="135"/>
        <v>52400</v>
      </c>
      <c r="M121" s="413">
        <f t="shared" si="135"/>
        <v>25</v>
      </c>
      <c r="N121" s="408">
        <f>ROUND(V121/J121*F121,0)</f>
        <v>144</v>
      </c>
      <c r="O121" s="408">
        <f t="shared" si="136"/>
        <v>100</v>
      </c>
      <c r="P121" s="408">
        <f t="shared" si="136"/>
        <v>3.16</v>
      </c>
      <c r="Q121" s="408">
        <v>2.2000000000000002</v>
      </c>
      <c r="R121" s="414">
        <f>P121-Q121</f>
        <v>0.96</v>
      </c>
      <c r="S121" s="408">
        <f>I121</f>
        <v>1.63</v>
      </c>
      <c r="T121" s="413">
        <f>V121-U121</f>
        <v>57100</v>
      </c>
      <c r="U121" s="413">
        <f>ROUND(N121*O121*R121*S121*0.75,-3)</f>
        <v>17000</v>
      </c>
      <c r="V121" s="413">
        <f t="shared" ref="V121:V129" si="137">AA121+AE121+AI121+AM121</f>
        <v>74100</v>
      </c>
      <c r="W121" s="413">
        <f>J121-V121</f>
        <v>223700</v>
      </c>
      <c r="X121" s="331"/>
      <c r="Y121" s="331"/>
      <c r="Z121" s="331"/>
      <c r="AA121" s="331">
        <f t="shared" ref="AA121:AA129" si="138">SUM(X121:Z121)</f>
        <v>0</v>
      </c>
      <c r="AB121" s="331"/>
      <c r="AC121" s="331"/>
      <c r="AD121" s="331"/>
      <c r="AE121" s="331">
        <f t="shared" ref="AE121:AE129" si="139">SUM(AB121:AD121)</f>
        <v>0</v>
      </c>
      <c r="AF121" s="331">
        <f>ROUND(7*550,-2)</f>
        <v>3900</v>
      </c>
      <c r="AG121" s="417">
        <f>550*AG17</f>
        <v>14300</v>
      </c>
      <c r="AH121" s="417">
        <f>ROUND(550*AH17,-2)</f>
        <v>13800</v>
      </c>
      <c r="AI121" s="331">
        <f t="shared" ref="AI121:AI129" si="140">SUM(AF121:AH121)</f>
        <v>32000</v>
      </c>
      <c r="AJ121" s="417">
        <f>ROUND(600*AJ17,-2)-200</f>
        <v>15400</v>
      </c>
      <c r="AK121" s="417">
        <f>ROUND(570*AK17,-2)-200</f>
        <v>13500</v>
      </c>
      <c r="AL121" s="417">
        <f>600*AL17</f>
        <v>13200</v>
      </c>
      <c r="AM121" s="331">
        <f t="shared" ref="AM121:AM129" si="141">SUM(AJ121:AL121)</f>
        <v>42100</v>
      </c>
      <c r="AN121" s="322"/>
      <c r="AO121" s="1" t="str">
        <f t="shared" si="134"/>
        <v>KT9.</v>
      </c>
      <c r="AP121" s="5" t="str">
        <f t="shared" si="132"/>
        <v>KT9.GK</v>
      </c>
      <c r="AQ121" s="5" t="str">
        <f t="shared" si="107"/>
        <v>KT9.LC TT-6-5</v>
      </c>
    </row>
    <row r="122" spans="1:43" ht="18.75" hidden="1" customHeight="1" x14ac:dyDescent="0.25">
      <c r="A122" s="5" t="str">
        <f t="shared" si="111"/>
        <v>a</v>
      </c>
      <c r="B122" s="346"/>
      <c r="C122" s="336" t="s">
        <v>475</v>
      </c>
      <c r="D122" s="412"/>
      <c r="E122" s="337">
        <v>30</v>
      </c>
      <c r="F122" s="413">
        <f>1/COS($E122*PI()/180)*$D122/G122</f>
        <v>0</v>
      </c>
      <c r="G122" s="408">
        <v>100</v>
      </c>
      <c r="H122" s="408">
        <f>H120</f>
        <v>3.23</v>
      </c>
      <c r="I122" s="408">
        <v>1.63</v>
      </c>
      <c r="J122" s="413">
        <f>ROUND(1/COS($E122*PI()/180)*$D122*H122*I122,-3)</f>
        <v>0</v>
      </c>
      <c r="K122" s="413" t="s">
        <v>302</v>
      </c>
      <c r="L122" s="413">
        <f t="shared" si="135"/>
        <v>0</v>
      </c>
      <c r="M122" s="413">
        <f t="shared" si="135"/>
        <v>30</v>
      </c>
      <c r="N122" s="408" t="e">
        <f>ROUND(V122/J122*F122,0)</f>
        <v>#DIV/0!</v>
      </c>
      <c r="O122" s="408">
        <f t="shared" si="136"/>
        <v>100</v>
      </c>
      <c r="P122" s="408">
        <f t="shared" si="136"/>
        <v>3.23</v>
      </c>
      <c r="Q122" s="408">
        <v>2.2000000000000002</v>
      </c>
      <c r="R122" s="414">
        <f>P122-Q122</f>
        <v>1.0299999999999998</v>
      </c>
      <c r="S122" s="408">
        <f>I122</f>
        <v>1.63</v>
      </c>
      <c r="T122" s="413" t="e">
        <f>V122-U122</f>
        <v>#DIV/0!</v>
      </c>
      <c r="U122" s="413" t="e">
        <f>ROUND(N122*O122*R122*S122*0.75,-3)</f>
        <v>#DIV/0!</v>
      </c>
      <c r="V122" s="413">
        <f t="shared" si="137"/>
        <v>0</v>
      </c>
      <c r="W122" s="413">
        <f>J122-V122</f>
        <v>0</v>
      </c>
      <c r="X122" s="415"/>
      <c r="Y122" s="415"/>
      <c r="Z122" s="331"/>
      <c r="AA122" s="331">
        <f t="shared" si="138"/>
        <v>0</v>
      </c>
      <c r="AB122" s="331"/>
      <c r="AC122" s="331"/>
      <c r="AD122" s="331"/>
      <c r="AE122" s="331">
        <f t="shared" si="139"/>
        <v>0</v>
      </c>
      <c r="AF122" s="417"/>
      <c r="AG122" s="331"/>
      <c r="AH122" s="331"/>
      <c r="AI122" s="331">
        <f t="shared" si="140"/>
        <v>0</v>
      </c>
      <c r="AJ122" s="331"/>
      <c r="AK122" s="331"/>
      <c r="AL122" s="331"/>
      <c r="AM122" s="331">
        <f t="shared" si="141"/>
        <v>0</v>
      </c>
      <c r="AN122" s="322"/>
      <c r="AO122" s="1" t="str">
        <f t="shared" si="134"/>
        <v>KT9.</v>
      </c>
      <c r="AP122" s="5" t="str">
        <f t="shared" si="132"/>
        <v>KT9.GK</v>
      </c>
      <c r="AQ122" s="5" t="str">
        <f t="shared" si="107"/>
        <v>KT9.LC ĐB-10-1A (GK)</v>
      </c>
    </row>
    <row r="123" spans="1:43" ht="18.75" hidden="1" customHeight="1" x14ac:dyDescent="0.25">
      <c r="A123" s="5" t="str">
        <f t="shared" si="111"/>
        <v>a</v>
      </c>
      <c r="B123" s="346"/>
      <c r="C123" s="336" t="s">
        <v>476</v>
      </c>
      <c r="D123" s="412"/>
      <c r="E123" s="337"/>
      <c r="F123" s="413" t="e">
        <f>1/COS($E123*PI()/180)*$D123/G123</f>
        <v>#DIV/0!</v>
      </c>
      <c r="G123" s="408"/>
      <c r="H123" s="408"/>
      <c r="I123" s="408">
        <v>1.63</v>
      </c>
      <c r="J123" s="413">
        <f>ROUND(1/COS($E123*PI()/180)*$D123*H123*I123,-2)</f>
        <v>0</v>
      </c>
      <c r="K123" s="413" t="s">
        <v>302</v>
      </c>
      <c r="L123" s="413">
        <f t="shared" si="135"/>
        <v>0</v>
      </c>
      <c r="M123" s="413">
        <f t="shared" si="135"/>
        <v>0</v>
      </c>
      <c r="N123" s="408" t="e">
        <f>ROUND(V123/J123*F123,0)</f>
        <v>#DIV/0!</v>
      </c>
      <c r="O123" s="408">
        <f t="shared" si="136"/>
        <v>0</v>
      </c>
      <c r="P123" s="408">
        <f t="shared" si="136"/>
        <v>0</v>
      </c>
      <c r="Q123" s="408">
        <v>2.2000000000000002</v>
      </c>
      <c r="R123" s="414">
        <f>P123-Q123</f>
        <v>-2.2000000000000002</v>
      </c>
      <c r="S123" s="408">
        <f>I123</f>
        <v>1.63</v>
      </c>
      <c r="T123" s="413" t="e">
        <f>V123-U123</f>
        <v>#DIV/0!</v>
      </c>
      <c r="U123" s="413" t="e">
        <f>ROUND(N123*O123*R123*S123*0.75,-3)</f>
        <v>#DIV/0!</v>
      </c>
      <c r="V123" s="413">
        <f t="shared" si="137"/>
        <v>0</v>
      </c>
      <c r="W123" s="413"/>
      <c r="X123" s="415"/>
      <c r="Y123" s="415"/>
      <c r="Z123" s="331"/>
      <c r="AA123" s="331">
        <f t="shared" si="138"/>
        <v>0</v>
      </c>
      <c r="AB123" s="331"/>
      <c r="AC123" s="331"/>
      <c r="AD123" s="331"/>
      <c r="AE123" s="331">
        <f t="shared" si="139"/>
        <v>0</v>
      </c>
      <c r="AF123" s="423"/>
      <c r="AG123" s="331"/>
      <c r="AH123" s="331"/>
      <c r="AI123" s="331">
        <f t="shared" si="140"/>
        <v>0</v>
      </c>
      <c r="AJ123" s="331"/>
      <c r="AK123" s="331"/>
      <c r="AL123" s="331"/>
      <c r="AM123" s="331">
        <f t="shared" si="141"/>
        <v>0</v>
      </c>
      <c r="AN123" s="322"/>
      <c r="AO123" s="1" t="str">
        <f t="shared" si="134"/>
        <v>KT9.</v>
      </c>
      <c r="AP123" s="5" t="str">
        <f t="shared" si="132"/>
        <v>KT9.GK</v>
      </c>
      <c r="AQ123" s="5" t="str">
        <f t="shared" si="107"/>
        <v>KT9.LC ĐB-14-2</v>
      </c>
    </row>
    <row r="124" spans="1:43" ht="18.75" hidden="1" customHeight="1" x14ac:dyDescent="0.25">
      <c r="A124" s="5" t="str">
        <f t="shared" si="111"/>
        <v>a</v>
      </c>
      <c r="B124" s="347"/>
      <c r="C124" s="336" t="s">
        <v>477</v>
      </c>
      <c r="D124" s="336"/>
      <c r="E124" s="336"/>
      <c r="F124" s="408"/>
      <c r="G124" s="408"/>
      <c r="H124" s="408"/>
      <c r="I124" s="408"/>
      <c r="J124" s="408"/>
      <c r="K124" s="408"/>
      <c r="L124" s="408"/>
      <c r="M124" s="408"/>
      <c r="N124" s="408"/>
      <c r="O124" s="408"/>
      <c r="P124" s="408"/>
      <c r="Q124" s="408"/>
      <c r="R124" s="408"/>
      <c r="S124" s="408"/>
      <c r="T124" s="408"/>
      <c r="U124" s="408"/>
      <c r="V124" s="413">
        <f t="shared" si="137"/>
        <v>0</v>
      </c>
      <c r="W124" s="413"/>
      <c r="X124" s="415"/>
      <c r="Y124" s="415"/>
      <c r="Z124" s="331"/>
      <c r="AA124" s="331">
        <f t="shared" si="138"/>
        <v>0</v>
      </c>
      <c r="AB124" s="331"/>
      <c r="AC124" s="331"/>
      <c r="AD124" s="331"/>
      <c r="AE124" s="331">
        <f t="shared" si="139"/>
        <v>0</v>
      </c>
      <c r="AF124" s="423"/>
      <c r="AG124" s="331"/>
      <c r="AH124" s="331"/>
      <c r="AI124" s="331">
        <f t="shared" si="140"/>
        <v>0</v>
      </c>
      <c r="AJ124" s="331"/>
      <c r="AK124" s="331"/>
      <c r="AL124" s="331"/>
      <c r="AM124" s="331">
        <f t="shared" si="141"/>
        <v>0</v>
      </c>
      <c r="AN124" s="322"/>
      <c r="AO124" s="1" t="str">
        <f t="shared" si="134"/>
        <v>KT9.</v>
      </c>
      <c r="AP124" s="5" t="str">
        <f t="shared" si="132"/>
        <v>KT9.</v>
      </c>
      <c r="AQ124" s="5" t="str">
        <f t="shared" si="107"/>
        <v>KT9.LC ĐB-14-4</v>
      </c>
    </row>
    <row r="125" spans="1:43" ht="18.75" hidden="1" customHeight="1" x14ac:dyDescent="0.25">
      <c r="A125" s="5" t="str">
        <f t="shared" si="111"/>
        <v>a</v>
      </c>
      <c r="B125" s="346"/>
      <c r="C125" s="336" t="s">
        <v>469</v>
      </c>
      <c r="D125" s="412"/>
      <c r="E125" s="337">
        <v>21</v>
      </c>
      <c r="F125" s="413">
        <f>1/COS($E125*PI()/180)*$D125/G125</f>
        <v>0</v>
      </c>
      <c r="G125" s="408">
        <v>100</v>
      </c>
      <c r="H125" s="408">
        <v>3.26</v>
      </c>
      <c r="I125" s="408">
        <v>1.63</v>
      </c>
      <c r="J125" s="413">
        <f>ROUND(1/COS($E125*PI()/180)*$D125*H125*I125,-3)</f>
        <v>0</v>
      </c>
      <c r="K125" s="413" t="s">
        <v>302</v>
      </c>
      <c r="L125" s="413">
        <f>D125</f>
        <v>0</v>
      </c>
      <c r="M125" s="413">
        <f>E125</f>
        <v>21</v>
      </c>
      <c r="N125" s="408" t="e">
        <f>ROUND(V125/J125*F125,0)</f>
        <v>#DIV/0!</v>
      </c>
      <c r="O125" s="408">
        <f>G125</f>
        <v>100</v>
      </c>
      <c r="P125" s="408">
        <f>H125</f>
        <v>3.26</v>
      </c>
      <c r="Q125" s="408">
        <v>2.2000000000000002</v>
      </c>
      <c r="R125" s="414">
        <f>P125-Q125</f>
        <v>1.0599999999999996</v>
      </c>
      <c r="S125" s="408">
        <f>I125</f>
        <v>1.63</v>
      </c>
      <c r="T125" s="413" t="e">
        <f>V125-U125</f>
        <v>#DIV/0!</v>
      </c>
      <c r="U125" s="413" t="e">
        <f>ROUND(N125*O125*R125*S125*0.75,-3)</f>
        <v>#DIV/0!</v>
      </c>
      <c r="V125" s="413">
        <f t="shared" si="137"/>
        <v>0</v>
      </c>
      <c r="W125" s="413">
        <f>J125-V125</f>
        <v>0</v>
      </c>
      <c r="X125" s="415"/>
      <c r="Y125" s="415"/>
      <c r="Z125" s="331"/>
      <c r="AA125" s="331">
        <f t="shared" si="138"/>
        <v>0</v>
      </c>
      <c r="AB125" s="331"/>
      <c r="AC125" s="331"/>
      <c r="AD125" s="331"/>
      <c r="AE125" s="331">
        <f t="shared" si="139"/>
        <v>0</v>
      </c>
      <c r="AF125" s="331"/>
      <c r="AG125" s="417"/>
      <c r="AH125" s="331"/>
      <c r="AI125" s="331">
        <f t="shared" si="140"/>
        <v>0</v>
      </c>
      <c r="AJ125" s="331"/>
      <c r="AK125" s="331"/>
      <c r="AL125" s="331"/>
      <c r="AM125" s="331">
        <f t="shared" si="141"/>
        <v>0</v>
      </c>
      <c r="AN125" s="322"/>
      <c r="AO125" s="1" t="str">
        <f t="shared" si="134"/>
        <v>KT9.</v>
      </c>
      <c r="AP125" s="5" t="str">
        <f t="shared" si="132"/>
        <v>KT9.GK</v>
      </c>
      <c r="AQ125" s="5" t="str">
        <f>AO125&amp;C125</f>
        <v>KT9.LC TT-13-8B</v>
      </c>
    </row>
    <row r="126" spans="1:43" ht="18.75" hidden="1" customHeight="1" x14ac:dyDescent="0.25">
      <c r="A126" s="5" t="str">
        <f>A123</f>
        <v>a</v>
      </c>
      <c r="B126" s="345"/>
      <c r="C126" s="336" t="s">
        <v>531</v>
      </c>
      <c r="D126" s="412"/>
      <c r="E126" s="337">
        <v>25</v>
      </c>
      <c r="F126" s="413">
        <f>1/COS($E126*PI()/180)*$D126/G126</f>
        <v>0</v>
      </c>
      <c r="G126" s="408">
        <v>110</v>
      </c>
      <c r="H126" s="337">
        <v>3</v>
      </c>
      <c r="I126" s="408">
        <v>1.63</v>
      </c>
      <c r="J126" s="413">
        <f>ROUND(1/COS($E126*PI()/180)*$D126*H126*I126,-2)</f>
        <v>0</v>
      </c>
      <c r="K126" s="408" t="s">
        <v>302</v>
      </c>
      <c r="L126" s="408"/>
      <c r="M126" s="408"/>
      <c r="N126" s="408"/>
      <c r="O126" s="408"/>
      <c r="P126" s="408"/>
      <c r="Q126" s="408"/>
      <c r="R126" s="408"/>
      <c r="S126" s="408"/>
      <c r="T126" s="408"/>
      <c r="U126" s="408"/>
      <c r="V126" s="413">
        <f t="shared" si="137"/>
        <v>0</v>
      </c>
      <c r="W126" s="413">
        <f>J126-V126</f>
        <v>0</v>
      </c>
      <c r="X126" s="415"/>
      <c r="Y126" s="415"/>
      <c r="Z126" s="331"/>
      <c r="AA126" s="331">
        <f t="shared" si="138"/>
        <v>0</v>
      </c>
      <c r="AB126" s="331"/>
      <c r="AC126" s="331"/>
      <c r="AD126" s="331"/>
      <c r="AE126" s="331">
        <f t="shared" si="139"/>
        <v>0</v>
      </c>
      <c r="AF126" s="423"/>
      <c r="AG126" s="331"/>
      <c r="AH126" s="331"/>
      <c r="AI126" s="331">
        <f t="shared" si="140"/>
        <v>0</v>
      </c>
      <c r="AJ126" s="331"/>
      <c r="AK126" s="331"/>
      <c r="AL126" s="331"/>
      <c r="AM126" s="331">
        <f t="shared" si="141"/>
        <v>0</v>
      </c>
      <c r="AN126" s="322"/>
      <c r="AO126" s="1" t="str">
        <f>AO124</f>
        <v>KT9.</v>
      </c>
      <c r="AP126" s="5" t="str">
        <f t="shared" si="132"/>
        <v>KT9.GK</v>
      </c>
      <c r="AQ126" s="5" t="str">
        <f t="shared" si="107"/>
        <v>KT9.LC TT-12-7</v>
      </c>
    </row>
    <row r="127" spans="1:43" ht="21.75" hidden="1" customHeight="1" x14ac:dyDescent="0.25">
      <c r="A127" s="5" t="str">
        <f>A122</f>
        <v>a</v>
      </c>
      <c r="B127" s="345"/>
      <c r="C127" s="336"/>
      <c r="D127" s="336"/>
      <c r="E127" s="336"/>
      <c r="F127" s="408"/>
      <c r="G127" s="408"/>
      <c r="H127" s="408"/>
      <c r="I127" s="408"/>
      <c r="J127" s="408"/>
      <c r="K127" s="408"/>
      <c r="L127" s="408"/>
      <c r="M127" s="408"/>
      <c r="N127" s="408"/>
      <c r="O127" s="408"/>
      <c r="P127" s="408"/>
      <c r="Q127" s="408"/>
      <c r="R127" s="408"/>
      <c r="S127" s="408"/>
      <c r="T127" s="408"/>
      <c r="U127" s="408"/>
      <c r="V127" s="413">
        <f t="shared" si="137"/>
        <v>0</v>
      </c>
      <c r="W127" s="413"/>
      <c r="X127" s="415"/>
      <c r="Y127" s="415"/>
      <c r="Z127" s="331"/>
      <c r="AA127" s="331">
        <f t="shared" si="138"/>
        <v>0</v>
      </c>
      <c r="AB127" s="331"/>
      <c r="AC127" s="331"/>
      <c r="AD127" s="331"/>
      <c r="AE127" s="331">
        <f t="shared" si="139"/>
        <v>0</v>
      </c>
      <c r="AF127" s="331"/>
      <c r="AG127" s="331"/>
      <c r="AH127" s="331"/>
      <c r="AI127" s="331">
        <f t="shared" si="140"/>
        <v>0</v>
      </c>
      <c r="AJ127" s="331"/>
      <c r="AK127" s="331"/>
      <c r="AL127" s="331"/>
      <c r="AM127" s="331">
        <f t="shared" si="141"/>
        <v>0</v>
      </c>
      <c r="AN127" s="322"/>
      <c r="AO127" s="1" t="str">
        <f>AO124</f>
        <v>KT9.</v>
      </c>
      <c r="AP127" s="5" t="str">
        <f t="shared" si="132"/>
        <v>KT9.</v>
      </c>
      <c r="AQ127" s="5" t="str">
        <f t="shared" si="107"/>
        <v>KT9.</v>
      </c>
    </row>
    <row r="128" spans="1:43" ht="21.75" hidden="1" customHeight="1" x14ac:dyDescent="0.25">
      <c r="A128" s="5" t="str">
        <f>A123</f>
        <v>a</v>
      </c>
      <c r="B128" s="345"/>
      <c r="C128" s="336"/>
      <c r="D128" s="412"/>
      <c r="E128" s="337">
        <v>25</v>
      </c>
      <c r="F128" s="413">
        <f>1/COS($E128*PI()/180)*$D128/G128</f>
        <v>0</v>
      </c>
      <c r="G128" s="408">
        <v>110</v>
      </c>
      <c r="H128" s="337">
        <v>3</v>
      </c>
      <c r="I128" s="408">
        <v>1.63</v>
      </c>
      <c r="J128" s="413">
        <f>ROUND(1/COS($E128*PI()/180)*$D128*H128*I128,-2)</f>
        <v>0</v>
      </c>
      <c r="K128" s="408"/>
      <c r="L128" s="408"/>
      <c r="M128" s="408"/>
      <c r="N128" s="408"/>
      <c r="O128" s="408"/>
      <c r="P128" s="408"/>
      <c r="Q128" s="408"/>
      <c r="R128" s="408"/>
      <c r="S128" s="408"/>
      <c r="T128" s="408"/>
      <c r="U128" s="408"/>
      <c r="V128" s="413">
        <f>AA128+AE128+AI128+AM128</f>
        <v>0</v>
      </c>
      <c r="W128" s="413"/>
      <c r="X128" s="415"/>
      <c r="Y128" s="415"/>
      <c r="Z128" s="331"/>
      <c r="AA128" s="331">
        <f>SUM(X128:Z128)</f>
        <v>0</v>
      </c>
      <c r="AB128" s="331"/>
      <c r="AC128" s="331"/>
      <c r="AD128" s="331"/>
      <c r="AE128" s="331">
        <f>SUM(AB128:AD128)</f>
        <v>0</v>
      </c>
      <c r="AF128" s="331"/>
      <c r="AG128" s="331"/>
      <c r="AH128" s="331"/>
      <c r="AI128" s="331">
        <f>SUM(AF128:AH128)</f>
        <v>0</v>
      </c>
      <c r="AJ128" s="331"/>
      <c r="AK128" s="331"/>
      <c r="AL128" s="331"/>
      <c r="AM128" s="331">
        <f>SUM(AJ128:AL128)</f>
        <v>0</v>
      </c>
      <c r="AN128" s="322"/>
      <c r="AO128" s="1" t="str">
        <f>AO125</f>
        <v>KT9.</v>
      </c>
      <c r="AP128" s="5" t="str">
        <f>AO128&amp;K128</f>
        <v>KT9.</v>
      </c>
      <c r="AQ128" s="5" t="str">
        <f>AO128&amp;C128</f>
        <v>KT9.</v>
      </c>
    </row>
    <row r="129" spans="1:43" ht="21.75" hidden="1" customHeight="1" x14ac:dyDescent="0.25">
      <c r="A129" s="5" t="str">
        <f>A124</f>
        <v>a</v>
      </c>
      <c r="B129" s="345"/>
      <c r="C129" s="336"/>
      <c r="D129" s="336"/>
      <c r="E129" s="336"/>
      <c r="F129" s="408"/>
      <c r="G129" s="408"/>
      <c r="H129" s="408"/>
      <c r="I129" s="408"/>
      <c r="J129" s="408"/>
      <c r="K129" s="408"/>
      <c r="L129" s="408"/>
      <c r="M129" s="408"/>
      <c r="N129" s="408"/>
      <c r="O129" s="408"/>
      <c r="P129" s="408"/>
      <c r="Q129" s="408"/>
      <c r="R129" s="408"/>
      <c r="S129" s="408"/>
      <c r="T129" s="408"/>
      <c r="U129" s="408"/>
      <c r="V129" s="413">
        <f t="shared" si="137"/>
        <v>0</v>
      </c>
      <c r="W129" s="413"/>
      <c r="X129" s="415"/>
      <c r="Y129" s="415"/>
      <c r="Z129" s="331"/>
      <c r="AA129" s="331">
        <f t="shared" si="138"/>
        <v>0</v>
      </c>
      <c r="AB129" s="331"/>
      <c r="AC129" s="331"/>
      <c r="AD129" s="331"/>
      <c r="AE129" s="331">
        <f t="shared" si="139"/>
        <v>0</v>
      </c>
      <c r="AF129" s="331"/>
      <c r="AG129" s="331"/>
      <c r="AH129" s="331"/>
      <c r="AI129" s="331">
        <f t="shared" si="140"/>
        <v>0</v>
      </c>
      <c r="AJ129" s="331"/>
      <c r="AK129" s="331"/>
      <c r="AL129" s="331"/>
      <c r="AM129" s="331">
        <f t="shared" si="141"/>
        <v>0</v>
      </c>
      <c r="AN129" s="322"/>
      <c r="AO129" s="1" t="str">
        <f>AO126</f>
        <v>KT9.</v>
      </c>
      <c r="AP129" s="5" t="str">
        <f t="shared" si="132"/>
        <v>KT9.</v>
      </c>
      <c r="AQ129" s="5" t="str">
        <f t="shared" si="107"/>
        <v>KT9.</v>
      </c>
    </row>
    <row r="130" spans="1:43" ht="21.75" hidden="1" customHeight="1" x14ac:dyDescent="0.25">
      <c r="A130" s="5" t="str">
        <f>A126</f>
        <v>a</v>
      </c>
      <c r="B130" s="345"/>
      <c r="C130" s="336"/>
      <c r="D130" s="336"/>
      <c r="E130" s="336"/>
      <c r="F130" s="408"/>
      <c r="G130" s="408"/>
      <c r="H130" s="408"/>
      <c r="I130" s="408"/>
      <c r="J130" s="408"/>
      <c r="K130" s="408"/>
      <c r="L130" s="408"/>
      <c r="M130" s="408"/>
      <c r="N130" s="408"/>
      <c r="O130" s="408"/>
      <c r="P130" s="408"/>
      <c r="Q130" s="408"/>
      <c r="R130" s="408"/>
      <c r="S130" s="408"/>
      <c r="T130" s="408"/>
      <c r="U130" s="408"/>
      <c r="V130" s="413"/>
      <c r="W130" s="413"/>
      <c r="X130" s="415"/>
      <c r="Y130" s="415"/>
      <c r="Z130" s="331"/>
      <c r="AA130" s="331"/>
      <c r="AB130" s="331"/>
      <c r="AC130" s="331"/>
      <c r="AD130" s="331"/>
      <c r="AE130" s="331"/>
      <c r="AF130" s="331"/>
      <c r="AG130" s="331"/>
      <c r="AH130" s="331"/>
      <c r="AI130" s="331"/>
      <c r="AJ130" s="331"/>
      <c r="AK130" s="331"/>
      <c r="AL130" s="331"/>
      <c r="AM130" s="434"/>
      <c r="AN130" s="322"/>
      <c r="AO130" s="1" t="str">
        <f t="shared" si="134"/>
        <v>KT9.</v>
      </c>
      <c r="AP130" s="5" t="str">
        <f t="shared" si="132"/>
        <v>KT9.</v>
      </c>
      <c r="AQ130" s="5" t="str">
        <f t="shared" si="107"/>
        <v>KT9.</v>
      </c>
    </row>
    <row r="131" spans="1:43" ht="18.75" customHeight="1" x14ac:dyDescent="0.25">
      <c r="A131" s="5" t="str">
        <f t="shared" si="111"/>
        <v>a</v>
      </c>
      <c r="B131" s="347">
        <v>10</v>
      </c>
      <c r="C131" s="336" t="s">
        <v>459</v>
      </c>
      <c r="D131" s="336"/>
      <c r="E131" s="336"/>
      <c r="F131" s="407"/>
      <c r="G131" s="407"/>
      <c r="H131" s="407"/>
      <c r="I131" s="407"/>
      <c r="J131" s="407"/>
      <c r="K131" s="407"/>
      <c r="L131" s="407"/>
      <c r="M131" s="407"/>
      <c r="N131" s="407"/>
      <c r="O131" s="407"/>
      <c r="P131" s="407"/>
      <c r="Q131" s="407"/>
      <c r="R131" s="407"/>
      <c r="S131" s="407"/>
      <c r="T131" s="407"/>
      <c r="U131" s="407"/>
      <c r="V131" s="409">
        <f>AA131+AE131+AI131+AM131</f>
        <v>183100</v>
      </c>
      <c r="W131" s="409"/>
      <c r="X131" s="410">
        <f t="shared" ref="X131:AM131" si="142">X132+X133</f>
        <v>17800</v>
      </c>
      <c r="Y131" s="410">
        <f t="shared" si="142"/>
        <v>11500</v>
      </c>
      <c r="Z131" s="410">
        <f t="shared" si="142"/>
        <v>17900</v>
      </c>
      <c r="AA131" s="410">
        <f t="shared" si="142"/>
        <v>47200</v>
      </c>
      <c r="AB131" s="410">
        <f t="shared" si="142"/>
        <v>11400</v>
      </c>
      <c r="AC131" s="410">
        <f t="shared" si="142"/>
        <v>15000</v>
      </c>
      <c r="AD131" s="410">
        <f t="shared" si="142"/>
        <v>15900</v>
      </c>
      <c r="AE131" s="410">
        <f t="shared" si="142"/>
        <v>42300</v>
      </c>
      <c r="AF131" s="410">
        <f t="shared" si="142"/>
        <v>16200</v>
      </c>
      <c r="AG131" s="410">
        <f t="shared" si="142"/>
        <v>16500</v>
      </c>
      <c r="AH131" s="410">
        <f t="shared" si="142"/>
        <v>15900</v>
      </c>
      <c r="AI131" s="410">
        <f t="shared" si="142"/>
        <v>48600</v>
      </c>
      <c r="AJ131" s="410">
        <f t="shared" si="142"/>
        <v>16400</v>
      </c>
      <c r="AK131" s="410">
        <f t="shared" si="142"/>
        <v>14900</v>
      </c>
      <c r="AL131" s="410">
        <f t="shared" si="142"/>
        <v>13700</v>
      </c>
      <c r="AM131" s="410">
        <f t="shared" si="142"/>
        <v>45000</v>
      </c>
      <c r="AN131" s="322"/>
      <c r="AO131" s="5" t="s">
        <v>293</v>
      </c>
      <c r="AP131" s="5" t="str">
        <f>AO131&amp;K131</f>
        <v>KT10.</v>
      </c>
      <c r="AQ131" s="5" t="str">
        <f t="shared" si="107"/>
        <v>KT10.PX KT10</v>
      </c>
    </row>
    <row r="132" spans="1:43" ht="18.75" customHeight="1" x14ac:dyDescent="0.25">
      <c r="A132" s="5" t="str">
        <f t="shared" si="111"/>
        <v>a</v>
      </c>
      <c r="B132" s="345" t="s">
        <v>8</v>
      </c>
      <c r="C132" s="336" t="s">
        <v>471</v>
      </c>
      <c r="D132" s="336"/>
      <c r="E132" s="336"/>
      <c r="F132" s="408"/>
      <c r="G132" s="408"/>
      <c r="H132" s="413"/>
      <c r="I132" s="413"/>
      <c r="J132" s="413"/>
      <c r="K132" s="408" t="s">
        <v>493</v>
      </c>
      <c r="L132" s="413"/>
      <c r="M132" s="413"/>
      <c r="N132" s="413"/>
      <c r="O132" s="413"/>
      <c r="P132" s="413"/>
      <c r="Q132" s="413"/>
      <c r="R132" s="413"/>
      <c r="S132" s="413"/>
      <c r="T132" s="413"/>
      <c r="U132" s="413"/>
      <c r="V132" s="409">
        <f>AA132+AE132+AI132+AM132</f>
        <v>4500</v>
      </c>
      <c r="W132" s="409"/>
      <c r="X132" s="410">
        <f>KH_ĐL!BK138</f>
        <v>300</v>
      </c>
      <c r="Y132" s="410">
        <f>KH_ĐL!BL138</f>
        <v>300</v>
      </c>
      <c r="Z132" s="410">
        <f>KH_ĐL!BM138</f>
        <v>0</v>
      </c>
      <c r="AA132" s="410">
        <f>KH_ĐL!BN138+100</f>
        <v>600</v>
      </c>
      <c r="AB132" s="410">
        <f>KH_ĐL!BO138</f>
        <v>0</v>
      </c>
      <c r="AC132" s="410">
        <f>KH_ĐL!BP138</f>
        <v>0</v>
      </c>
      <c r="AD132" s="410">
        <f>KH_ĐL!BQ138</f>
        <v>300</v>
      </c>
      <c r="AE132" s="410">
        <f>KH_ĐL!BR138</f>
        <v>300</v>
      </c>
      <c r="AF132" s="410">
        <f>KH_ĐL!BS138</f>
        <v>0</v>
      </c>
      <c r="AG132" s="410">
        <f>KH_ĐL!BT138</f>
        <v>900</v>
      </c>
      <c r="AH132" s="410">
        <f>KH_ĐL!BU138</f>
        <v>900</v>
      </c>
      <c r="AI132" s="410">
        <f>KH_ĐL!BV138</f>
        <v>1800</v>
      </c>
      <c r="AJ132" s="410">
        <f>KH_ĐL!BW138</f>
        <v>800</v>
      </c>
      <c r="AK132" s="410">
        <f>KH_ĐL!BX138</f>
        <v>500</v>
      </c>
      <c r="AL132" s="410">
        <f>KH_ĐL!BY138</f>
        <v>500</v>
      </c>
      <c r="AM132" s="410">
        <f>KH_ĐL!BZ138-300</f>
        <v>1800</v>
      </c>
      <c r="AN132" s="322"/>
      <c r="AO132" s="1" t="str">
        <f>AO131</f>
        <v>KT10.</v>
      </c>
      <c r="AP132" s="5" t="str">
        <f>AO132&amp;K132</f>
        <v>KT10.ĐX</v>
      </c>
      <c r="AQ132" s="5" t="str">
        <f t="shared" si="107"/>
        <v>KT10.SL đào, xén lò</v>
      </c>
    </row>
    <row r="133" spans="1:43" ht="18.75" customHeight="1" x14ac:dyDescent="0.25">
      <c r="A133" s="5" t="str">
        <f t="shared" si="111"/>
        <v>a</v>
      </c>
      <c r="B133" s="345" t="s">
        <v>37</v>
      </c>
      <c r="C133" s="336" t="s">
        <v>257</v>
      </c>
      <c r="D133" s="412"/>
      <c r="E133" s="337"/>
      <c r="F133" s="413"/>
      <c r="G133" s="408"/>
      <c r="H133" s="408"/>
      <c r="I133" s="408"/>
      <c r="J133" s="413"/>
      <c r="K133" s="413"/>
      <c r="L133" s="413"/>
      <c r="M133" s="413"/>
      <c r="N133" s="413"/>
      <c r="O133" s="413"/>
      <c r="P133" s="413"/>
      <c r="Q133" s="413"/>
      <c r="R133" s="413"/>
      <c r="S133" s="413"/>
      <c r="T133" s="413"/>
      <c r="U133" s="413"/>
      <c r="V133" s="410">
        <f>SUM(V134:V140)</f>
        <v>178600</v>
      </c>
      <c r="W133" s="410"/>
      <c r="X133" s="410">
        <f t="shared" ref="X133:AM133" si="143">SUM(X134:X140)</f>
        <v>17500</v>
      </c>
      <c r="Y133" s="410">
        <f t="shared" si="143"/>
        <v>11200</v>
      </c>
      <c r="Z133" s="410">
        <f t="shared" si="143"/>
        <v>17900</v>
      </c>
      <c r="AA133" s="410">
        <f t="shared" si="143"/>
        <v>46600</v>
      </c>
      <c r="AB133" s="410">
        <f t="shared" si="143"/>
        <v>11400</v>
      </c>
      <c r="AC133" s="410">
        <f t="shared" si="143"/>
        <v>15000</v>
      </c>
      <c r="AD133" s="410">
        <f t="shared" si="143"/>
        <v>15600</v>
      </c>
      <c r="AE133" s="410">
        <f t="shared" si="143"/>
        <v>42000</v>
      </c>
      <c r="AF133" s="410">
        <f t="shared" si="143"/>
        <v>16200</v>
      </c>
      <c r="AG133" s="410">
        <f t="shared" si="143"/>
        <v>15600</v>
      </c>
      <c r="AH133" s="410">
        <f t="shared" si="143"/>
        <v>15000</v>
      </c>
      <c r="AI133" s="410">
        <f t="shared" si="143"/>
        <v>46800</v>
      </c>
      <c r="AJ133" s="410">
        <f t="shared" si="143"/>
        <v>15600</v>
      </c>
      <c r="AK133" s="410">
        <f t="shared" si="143"/>
        <v>14400</v>
      </c>
      <c r="AL133" s="410">
        <f t="shared" si="143"/>
        <v>13200</v>
      </c>
      <c r="AM133" s="410">
        <f t="shared" si="143"/>
        <v>43200</v>
      </c>
      <c r="AN133" s="1016">
        <f>(V133)/$AN$17</f>
        <v>609.55631399317406</v>
      </c>
      <c r="AO133" s="1" t="str">
        <f t="shared" ref="AO133:AO140" si="144">AO132</f>
        <v>KT10.</v>
      </c>
      <c r="AP133" s="5" t="str">
        <f>AO133&amp;K133</f>
        <v>KT10.</v>
      </c>
      <c r="AQ133" s="5" t="str">
        <f t="shared" si="107"/>
        <v>KT10.KT Lò chợ</v>
      </c>
    </row>
    <row r="134" spans="1:43" ht="18.75" customHeight="1" x14ac:dyDescent="0.25">
      <c r="A134" s="5" t="str">
        <f t="shared" si="111"/>
        <v>a</v>
      </c>
      <c r="B134" s="345"/>
      <c r="C134" s="336" t="s">
        <v>531</v>
      </c>
      <c r="D134" s="412">
        <v>14004</v>
      </c>
      <c r="E134" s="337">
        <v>20</v>
      </c>
      <c r="F134" s="413">
        <f>1/COS($E134*PI()/180)*$D134/G134</f>
        <v>181.7407990945448</v>
      </c>
      <c r="G134" s="408">
        <v>82</v>
      </c>
      <c r="H134" s="408">
        <v>2.2000000000000002</v>
      </c>
      <c r="I134" s="408">
        <v>1.63</v>
      </c>
      <c r="J134" s="413">
        <f>ROUND(1/COS($E134*PI()/180)*$D134*H134*I134,-3)</f>
        <v>53000</v>
      </c>
      <c r="K134" s="413" t="s">
        <v>302</v>
      </c>
      <c r="L134" s="413">
        <f t="shared" ref="L134:M137" si="145">D134</f>
        <v>14004</v>
      </c>
      <c r="M134" s="413">
        <f t="shared" si="145"/>
        <v>20</v>
      </c>
      <c r="N134" s="408">
        <f>ROUND(V134/J134*F134,0)</f>
        <v>182</v>
      </c>
      <c r="O134" s="408">
        <f t="shared" ref="O134:P137" si="146">G134</f>
        <v>82</v>
      </c>
      <c r="P134" s="408">
        <f t="shared" si="146"/>
        <v>2.2000000000000002</v>
      </c>
      <c r="Q134" s="408">
        <v>2.2000000000000002</v>
      </c>
      <c r="R134" s="414">
        <f>P134-Q134</f>
        <v>0</v>
      </c>
      <c r="S134" s="408">
        <f>I134</f>
        <v>1.63</v>
      </c>
      <c r="T134" s="413">
        <f>V134-U134</f>
        <v>53000</v>
      </c>
      <c r="U134" s="413">
        <f>ROUND(N134*O134*R134*S134*0.75,-3)</f>
        <v>0</v>
      </c>
      <c r="V134" s="413">
        <f t="shared" ref="V134:V142" si="147">AA134+AE134+AI134+AM134</f>
        <v>53000</v>
      </c>
      <c r="W134" s="413">
        <f>J134-V134</f>
        <v>0</v>
      </c>
      <c r="X134" s="415">
        <f>700*X17</f>
        <v>17500</v>
      </c>
      <c r="Y134" s="415">
        <f>700*Y17</f>
        <v>11200</v>
      </c>
      <c r="Z134" s="415">
        <f>700*Z17-1000</f>
        <v>17900</v>
      </c>
      <c r="AA134" s="331">
        <f t="shared" ref="AA134:AA140" si="148">SUM(X134:Z134)</f>
        <v>46600</v>
      </c>
      <c r="AB134" s="415">
        <f>650*(AB17-14)-100</f>
        <v>6400</v>
      </c>
      <c r="AC134" s="415"/>
      <c r="AD134" s="415"/>
      <c r="AE134" s="331">
        <f>SUM(AB134:AD134)</f>
        <v>6400</v>
      </c>
      <c r="AF134" s="415"/>
      <c r="AG134" s="331"/>
      <c r="AH134" s="331"/>
      <c r="AI134" s="331">
        <f>SUM(AF134:AH134)</f>
        <v>0</v>
      </c>
      <c r="AJ134" s="331"/>
      <c r="AK134" s="331"/>
      <c r="AL134" s="331"/>
      <c r="AM134" s="331">
        <f>SUM(AJ134:AL134)</f>
        <v>0</v>
      </c>
      <c r="AN134" s="322"/>
      <c r="AO134" s="1" t="str">
        <f t="shared" si="144"/>
        <v>KT10.</v>
      </c>
      <c r="AP134" s="5" t="str">
        <f>AO134&amp;K134</f>
        <v>KT10.GK</v>
      </c>
      <c r="AQ134" s="5" t="str">
        <f t="shared" si="107"/>
        <v>KT10.LC TT-12-7</v>
      </c>
    </row>
    <row r="135" spans="1:43" ht="18.75" customHeight="1" x14ac:dyDescent="0.25">
      <c r="A135" s="5" t="str">
        <f t="shared" si="111"/>
        <v>a</v>
      </c>
      <c r="B135" s="346"/>
      <c r="C135" s="336" t="s">
        <v>614</v>
      </c>
      <c r="D135" s="336">
        <v>25728</v>
      </c>
      <c r="E135" s="336">
        <v>10</v>
      </c>
      <c r="F135" s="413">
        <f>1/COS($E135*PI()/180)*$D135/G135</f>
        <v>225.21461957410733</v>
      </c>
      <c r="G135" s="408">
        <v>116</v>
      </c>
      <c r="H135" s="408">
        <v>3.6</v>
      </c>
      <c r="I135" s="408">
        <v>1.6</v>
      </c>
      <c r="J135" s="413">
        <f>ROUND(1/COS($E135*PI()/180)*$D135*H135*I135,-2)</f>
        <v>150500</v>
      </c>
      <c r="K135" s="413" t="s">
        <v>302</v>
      </c>
      <c r="L135" s="413">
        <f>D135</f>
        <v>25728</v>
      </c>
      <c r="M135" s="413">
        <f>E135</f>
        <v>10</v>
      </c>
      <c r="N135" s="408">
        <f>ROUND(V135/J135*F135,0)</f>
        <v>188</v>
      </c>
      <c r="O135" s="408">
        <f>G135</f>
        <v>116</v>
      </c>
      <c r="P135" s="408">
        <f>H135</f>
        <v>3.6</v>
      </c>
      <c r="Q135" s="408">
        <v>2.2000000000000002</v>
      </c>
      <c r="R135" s="414">
        <f>P135-Q135</f>
        <v>1.4</v>
      </c>
      <c r="S135" s="408">
        <f>I135</f>
        <v>1.6</v>
      </c>
      <c r="T135" s="413">
        <f>V135-U135</f>
        <v>88600</v>
      </c>
      <c r="U135" s="413">
        <f>ROUND(N135*O135*R135*S135*0.75,-3)</f>
        <v>37000</v>
      </c>
      <c r="V135" s="413">
        <f t="shared" si="147"/>
        <v>125600</v>
      </c>
      <c r="W135" s="413">
        <f>J135-V135</f>
        <v>24900</v>
      </c>
      <c r="X135" s="415"/>
      <c r="Y135" s="415"/>
      <c r="Z135" s="331"/>
      <c r="AA135" s="331">
        <f t="shared" si="148"/>
        <v>0</v>
      </c>
      <c r="AB135" s="331">
        <f>500*10</f>
        <v>5000</v>
      </c>
      <c r="AC135" s="331">
        <f>600*AC17</f>
        <v>15000</v>
      </c>
      <c r="AD135" s="331">
        <f>600*AD17</f>
        <v>15600</v>
      </c>
      <c r="AE135" s="437">
        <f t="shared" ref="AE135:AE140" si="149">SUM(AB135:AD135)</f>
        <v>35600</v>
      </c>
      <c r="AF135" s="331">
        <f>600*AF17</f>
        <v>16200</v>
      </c>
      <c r="AG135" s="331">
        <f>600*AG17</f>
        <v>15600</v>
      </c>
      <c r="AH135" s="331">
        <f>600*AH17</f>
        <v>15000</v>
      </c>
      <c r="AI135" s="437">
        <f t="shared" ref="AI135:AI140" si="150">SUM(AF135:AH135)</f>
        <v>46800</v>
      </c>
      <c r="AJ135" s="331">
        <f>600*AJ17</f>
        <v>15600</v>
      </c>
      <c r="AK135" s="331">
        <f>600*AK17</f>
        <v>14400</v>
      </c>
      <c r="AL135" s="331">
        <f>600*AL17</f>
        <v>13200</v>
      </c>
      <c r="AM135" s="437">
        <f t="shared" ref="AM135:AM140" si="151">SUM(AJ135:AL135)</f>
        <v>43200</v>
      </c>
      <c r="AN135" s="322"/>
      <c r="AO135" s="1" t="str">
        <f t="shared" si="144"/>
        <v>KT10.</v>
      </c>
      <c r="AP135" s="5" t="str">
        <f t="shared" ref="AP135:AP140" si="152">AO135&amp;K135</f>
        <v>KT10.GK</v>
      </c>
      <c r="AQ135" s="5" t="str">
        <f t="shared" ref="AQ135:AQ140" si="153">AO135&amp;C135</f>
        <v>KT10.LC TT-11-10</v>
      </c>
    </row>
    <row r="136" spans="1:43" ht="18.75" hidden="1" customHeight="1" x14ac:dyDescent="0.25">
      <c r="A136" s="5" t="str">
        <f t="shared" si="111"/>
        <v>a</v>
      </c>
      <c r="B136" s="346"/>
      <c r="C136" s="336"/>
      <c r="D136" s="412"/>
      <c r="E136" s="337">
        <v>20</v>
      </c>
      <c r="F136" s="413" t="e">
        <f>1/COS($E136*PI()/180)*$D136/G136</f>
        <v>#DIV/0!</v>
      </c>
      <c r="G136" s="408"/>
      <c r="H136" s="408"/>
      <c r="I136" s="408">
        <v>1.63</v>
      </c>
      <c r="J136" s="413">
        <f>ROUND(1/COS($E136*PI()/180)*$D136*H136*I136,-2)</f>
        <v>0</v>
      </c>
      <c r="K136" s="413"/>
      <c r="L136" s="413">
        <f t="shared" si="145"/>
        <v>0</v>
      </c>
      <c r="M136" s="413">
        <f t="shared" si="145"/>
        <v>20</v>
      </c>
      <c r="N136" s="408" t="e">
        <f>ROUND(V136/J136*F136,0)</f>
        <v>#DIV/0!</v>
      </c>
      <c r="O136" s="408">
        <f t="shared" si="146"/>
        <v>0</v>
      </c>
      <c r="P136" s="408">
        <f t="shared" si="146"/>
        <v>0</v>
      </c>
      <c r="Q136" s="408">
        <v>2.2000000000000002</v>
      </c>
      <c r="R136" s="414">
        <f>P136-Q136</f>
        <v>-2.2000000000000002</v>
      </c>
      <c r="S136" s="408">
        <f>I136</f>
        <v>1.63</v>
      </c>
      <c r="T136" s="413" t="e">
        <f>V136-U136</f>
        <v>#DIV/0!</v>
      </c>
      <c r="U136" s="413" t="e">
        <f>ROUND(N136*O136*R136*S136*0.75,-3)</f>
        <v>#DIV/0!</v>
      </c>
      <c r="V136" s="413">
        <f t="shared" si="147"/>
        <v>0</v>
      </c>
      <c r="W136" s="413"/>
      <c r="X136" s="415"/>
      <c r="Y136" s="415"/>
      <c r="Z136" s="331"/>
      <c r="AA136" s="331">
        <f t="shared" si="148"/>
        <v>0</v>
      </c>
      <c r="AB136" s="331"/>
      <c r="AC136" s="331"/>
      <c r="AD136" s="331"/>
      <c r="AE136" s="331">
        <f t="shared" si="149"/>
        <v>0</v>
      </c>
      <c r="AF136" s="417"/>
      <c r="AG136" s="331"/>
      <c r="AH136" s="331"/>
      <c r="AI136" s="331">
        <f t="shared" si="150"/>
        <v>0</v>
      </c>
      <c r="AJ136" s="331"/>
      <c r="AK136" s="331"/>
      <c r="AL136" s="331"/>
      <c r="AM136" s="331">
        <f t="shared" si="151"/>
        <v>0</v>
      </c>
      <c r="AN136" s="322"/>
      <c r="AO136" s="1" t="str">
        <f t="shared" si="144"/>
        <v>KT10.</v>
      </c>
      <c r="AP136" s="5" t="str">
        <f t="shared" si="152"/>
        <v>KT10.</v>
      </c>
      <c r="AQ136" s="5" t="str">
        <f t="shared" si="153"/>
        <v>KT10.</v>
      </c>
    </row>
    <row r="137" spans="1:43" ht="18.75" hidden="1" customHeight="1" x14ac:dyDescent="0.25">
      <c r="A137" s="5" t="str">
        <f t="shared" si="111"/>
        <v>a</v>
      </c>
      <c r="B137" s="346"/>
      <c r="C137" s="336"/>
      <c r="D137" s="412"/>
      <c r="E137" s="337">
        <v>20</v>
      </c>
      <c r="F137" s="413" t="e">
        <f>1/COS($E137*PI()/180)*$D137/G137</f>
        <v>#DIV/0!</v>
      </c>
      <c r="G137" s="408"/>
      <c r="H137" s="408"/>
      <c r="I137" s="408">
        <v>1.63</v>
      </c>
      <c r="J137" s="413">
        <f>ROUND(1/COS($E137*PI()/180)*$D137*H137*I137,-2)</f>
        <v>0</v>
      </c>
      <c r="K137" s="413"/>
      <c r="L137" s="413">
        <f t="shared" si="145"/>
        <v>0</v>
      </c>
      <c r="M137" s="413">
        <f t="shared" si="145"/>
        <v>20</v>
      </c>
      <c r="N137" s="408" t="e">
        <f>ROUND(V137/J137*F137,0)</f>
        <v>#DIV/0!</v>
      </c>
      <c r="O137" s="408">
        <f t="shared" si="146"/>
        <v>0</v>
      </c>
      <c r="P137" s="408">
        <f t="shared" si="146"/>
        <v>0</v>
      </c>
      <c r="Q137" s="408">
        <v>2.2000000000000002</v>
      </c>
      <c r="R137" s="414">
        <f>P137-Q137</f>
        <v>-2.2000000000000002</v>
      </c>
      <c r="S137" s="408">
        <f>I137</f>
        <v>1.63</v>
      </c>
      <c r="T137" s="413" t="e">
        <f>V137-U137</f>
        <v>#DIV/0!</v>
      </c>
      <c r="U137" s="413" t="e">
        <f>ROUND(N137*O137*R137*S137*0.75,-3)</f>
        <v>#DIV/0!</v>
      </c>
      <c r="V137" s="413">
        <f t="shared" si="147"/>
        <v>0</v>
      </c>
      <c r="W137" s="413"/>
      <c r="X137" s="415"/>
      <c r="Y137" s="415"/>
      <c r="Z137" s="331"/>
      <c r="AA137" s="331">
        <f t="shared" si="148"/>
        <v>0</v>
      </c>
      <c r="AB137" s="331"/>
      <c r="AC137" s="331"/>
      <c r="AD137" s="331"/>
      <c r="AE137" s="331">
        <f t="shared" si="149"/>
        <v>0</v>
      </c>
      <c r="AF137" s="423"/>
      <c r="AG137" s="331"/>
      <c r="AH137" s="331"/>
      <c r="AI137" s="331">
        <f t="shared" si="150"/>
        <v>0</v>
      </c>
      <c r="AJ137" s="331"/>
      <c r="AK137" s="331"/>
      <c r="AL137" s="331"/>
      <c r="AM137" s="331">
        <f t="shared" si="151"/>
        <v>0</v>
      </c>
      <c r="AN137" s="322"/>
      <c r="AO137" s="1" t="str">
        <f t="shared" si="144"/>
        <v>KT10.</v>
      </c>
      <c r="AP137" s="5" t="str">
        <f t="shared" si="152"/>
        <v>KT10.</v>
      </c>
      <c r="AQ137" s="5" t="str">
        <f t="shared" si="153"/>
        <v>KT10.</v>
      </c>
    </row>
    <row r="138" spans="1:43" ht="18.75" hidden="1" customHeight="1" x14ac:dyDescent="0.25">
      <c r="A138" s="5" t="str">
        <f t="shared" si="111"/>
        <v>a</v>
      </c>
      <c r="B138" s="347"/>
      <c r="C138" s="336"/>
      <c r="D138" s="412">
        <v>6300</v>
      </c>
      <c r="E138" s="337">
        <v>38</v>
      </c>
      <c r="F138" s="413">
        <f>1/COS($E138*PI()/180)*$D138/G138</f>
        <v>79.948147549572468</v>
      </c>
      <c r="G138" s="408">
        <v>100</v>
      </c>
      <c r="H138" s="408">
        <v>3</v>
      </c>
      <c r="I138" s="408">
        <v>1.63</v>
      </c>
      <c r="J138" s="413">
        <f>ROUND(1/COS($E138*PI()/180)*$D138*H138*I138,-3)</f>
        <v>39000</v>
      </c>
      <c r="K138" s="408"/>
      <c r="L138" s="408"/>
      <c r="M138" s="408"/>
      <c r="N138" s="408"/>
      <c r="O138" s="408"/>
      <c r="P138" s="408"/>
      <c r="Q138" s="408"/>
      <c r="R138" s="408"/>
      <c r="S138" s="408"/>
      <c r="T138" s="408"/>
      <c r="U138" s="408"/>
      <c r="V138" s="413">
        <f t="shared" si="147"/>
        <v>0</v>
      </c>
      <c r="W138" s="413"/>
      <c r="X138" s="415"/>
      <c r="Y138" s="415"/>
      <c r="Z138" s="331"/>
      <c r="AA138" s="331">
        <f t="shared" si="148"/>
        <v>0</v>
      </c>
      <c r="AB138" s="331"/>
      <c r="AC138" s="331"/>
      <c r="AD138" s="331"/>
      <c r="AE138" s="331">
        <f t="shared" si="149"/>
        <v>0</v>
      </c>
      <c r="AF138" s="423"/>
      <c r="AG138" s="331"/>
      <c r="AH138" s="331"/>
      <c r="AI138" s="331">
        <f t="shared" si="150"/>
        <v>0</v>
      </c>
      <c r="AJ138" s="331"/>
      <c r="AK138" s="331"/>
      <c r="AL138" s="331"/>
      <c r="AM138" s="331">
        <f t="shared" si="151"/>
        <v>0</v>
      </c>
      <c r="AN138" s="322"/>
      <c r="AO138" s="1" t="str">
        <f t="shared" si="144"/>
        <v>KT10.</v>
      </c>
      <c r="AP138" s="5" t="str">
        <f t="shared" si="152"/>
        <v>KT10.</v>
      </c>
      <c r="AQ138" s="5" t="str">
        <f t="shared" si="153"/>
        <v>KT10.</v>
      </c>
    </row>
    <row r="139" spans="1:43" ht="18.75" hidden="1" customHeight="1" x14ac:dyDescent="0.25">
      <c r="A139" s="5" t="str">
        <f t="shared" si="111"/>
        <v>a</v>
      </c>
      <c r="B139" s="345"/>
      <c r="C139" s="336"/>
      <c r="D139" s="336"/>
      <c r="E139" s="336"/>
      <c r="F139" s="408"/>
      <c r="G139" s="408"/>
      <c r="H139" s="408"/>
      <c r="I139" s="408"/>
      <c r="J139" s="408"/>
      <c r="K139" s="408"/>
      <c r="L139" s="408"/>
      <c r="M139" s="408"/>
      <c r="N139" s="408"/>
      <c r="O139" s="408"/>
      <c r="P139" s="408"/>
      <c r="Q139" s="408"/>
      <c r="R139" s="408"/>
      <c r="S139" s="408"/>
      <c r="T139" s="408"/>
      <c r="U139" s="408"/>
      <c r="V139" s="413">
        <f t="shared" si="147"/>
        <v>0</v>
      </c>
      <c r="W139" s="413"/>
      <c r="X139" s="415"/>
      <c r="Y139" s="415"/>
      <c r="Z139" s="331"/>
      <c r="AA139" s="331">
        <f t="shared" si="148"/>
        <v>0</v>
      </c>
      <c r="AB139" s="331"/>
      <c r="AC139" s="331"/>
      <c r="AD139" s="331"/>
      <c r="AE139" s="331">
        <f t="shared" si="149"/>
        <v>0</v>
      </c>
      <c r="AF139" s="423"/>
      <c r="AG139" s="331"/>
      <c r="AH139" s="331"/>
      <c r="AI139" s="331">
        <f t="shared" si="150"/>
        <v>0</v>
      </c>
      <c r="AJ139" s="331"/>
      <c r="AK139" s="331"/>
      <c r="AL139" s="331"/>
      <c r="AM139" s="331">
        <f t="shared" si="151"/>
        <v>0</v>
      </c>
      <c r="AN139" s="322"/>
      <c r="AO139" s="1" t="str">
        <f t="shared" si="144"/>
        <v>KT10.</v>
      </c>
      <c r="AP139" s="5" t="str">
        <f t="shared" si="152"/>
        <v>KT10.</v>
      </c>
      <c r="AQ139" s="5" t="str">
        <f t="shared" si="153"/>
        <v>KT10.</v>
      </c>
    </row>
    <row r="140" spans="1:43" ht="21.75" hidden="1" customHeight="1" x14ac:dyDescent="0.25">
      <c r="A140" s="5" t="str">
        <f t="shared" si="111"/>
        <v>a</v>
      </c>
      <c r="B140" s="345"/>
      <c r="C140" s="336"/>
      <c r="D140" s="336"/>
      <c r="E140" s="336"/>
      <c r="F140" s="408"/>
      <c r="G140" s="408"/>
      <c r="H140" s="408"/>
      <c r="I140" s="408"/>
      <c r="J140" s="408"/>
      <c r="K140" s="408"/>
      <c r="L140" s="408"/>
      <c r="M140" s="408"/>
      <c r="N140" s="408"/>
      <c r="O140" s="408"/>
      <c r="P140" s="408"/>
      <c r="Q140" s="408"/>
      <c r="R140" s="408"/>
      <c r="S140" s="408"/>
      <c r="T140" s="408"/>
      <c r="U140" s="408"/>
      <c r="V140" s="413">
        <f t="shared" si="147"/>
        <v>0</v>
      </c>
      <c r="W140" s="413"/>
      <c r="X140" s="415"/>
      <c r="Y140" s="415"/>
      <c r="Z140" s="331"/>
      <c r="AA140" s="331">
        <f t="shared" si="148"/>
        <v>0</v>
      </c>
      <c r="AB140" s="331"/>
      <c r="AC140" s="331"/>
      <c r="AD140" s="331"/>
      <c r="AE140" s="331">
        <f t="shared" si="149"/>
        <v>0</v>
      </c>
      <c r="AF140" s="331"/>
      <c r="AG140" s="331"/>
      <c r="AH140" s="331"/>
      <c r="AI140" s="331">
        <f t="shared" si="150"/>
        <v>0</v>
      </c>
      <c r="AJ140" s="331"/>
      <c r="AK140" s="331"/>
      <c r="AL140" s="331"/>
      <c r="AM140" s="331">
        <f t="shared" si="151"/>
        <v>0</v>
      </c>
      <c r="AN140" s="322"/>
      <c r="AO140" s="1" t="str">
        <f t="shared" si="144"/>
        <v>KT10.</v>
      </c>
      <c r="AP140" s="5" t="str">
        <f t="shared" si="152"/>
        <v>KT10.</v>
      </c>
      <c r="AQ140" s="5" t="str">
        <f t="shared" si="153"/>
        <v>KT10.</v>
      </c>
    </row>
    <row r="141" spans="1:43" ht="18.75" customHeight="1" x14ac:dyDescent="0.25">
      <c r="A141" s="5" t="str">
        <f t="shared" si="111"/>
        <v>a</v>
      </c>
      <c r="B141" s="347">
        <v>11</v>
      </c>
      <c r="C141" s="336" t="s">
        <v>460</v>
      </c>
      <c r="D141" s="336"/>
      <c r="E141" s="336"/>
      <c r="F141" s="407"/>
      <c r="G141" s="407"/>
      <c r="H141" s="407"/>
      <c r="I141" s="407"/>
      <c r="J141" s="407"/>
      <c r="K141" s="407"/>
      <c r="L141" s="407"/>
      <c r="M141" s="407"/>
      <c r="N141" s="407"/>
      <c r="O141" s="407"/>
      <c r="P141" s="407"/>
      <c r="Q141" s="407"/>
      <c r="R141" s="407"/>
      <c r="S141" s="407"/>
      <c r="T141" s="407"/>
      <c r="U141" s="407"/>
      <c r="V141" s="409">
        <f t="shared" si="147"/>
        <v>172200</v>
      </c>
      <c r="W141" s="409"/>
      <c r="X141" s="410">
        <f t="shared" ref="X141:AM141" si="154">X142+X143</f>
        <v>16200</v>
      </c>
      <c r="Y141" s="410">
        <f t="shared" si="154"/>
        <v>10500</v>
      </c>
      <c r="Z141" s="410">
        <f t="shared" si="154"/>
        <v>16200</v>
      </c>
      <c r="AA141" s="410">
        <f t="shared" si="154"/>
        <v>42900</v>
      </c>
      <c r="AB141" s="410">
        <f t="shared" si="154"/>
        <v>15000</v>
      </c>
      <c r="AC141" s="410">
        <f t="shared" si="154"/>
        <v>15000</v>
      </c>
      <c r="AD141" s="410">
        <f t="shared" si="154"/>
        <v>15700</v>
      </c>
      <c r="AE141" s="410">
        <f t="shared" si="154"/>
        <v>45700</v>
      </c>
      <c r="AF141" s="410">
        <f t="shared" si="154"/>
        <v>15300</v>
      </c>
      <c r="AG141" s="410">
        <f t="shared" si="154"/>
        <v>14700</v>
      </c>
      <c r="AH141" s="410">
        <f t="shared" si="154"/>
        <v>13800</v>
      </c>
      <c r="AI141" s="410">
        <f t="shared" si="154"/>
        <v>43800</v>
      </c>
      <c r="AJ141" s="410">
        <f t="shared" si="154"/>
        <v>14300</v>
      </c>
      <c r="AK141" s="410">
        <f t="shared" si="154"/>
        <v>13300</v>
      </c>
      <c r="AL141" s="410">
        <f t="shared" si="154"/>
        <v>12200</v>
      </c>
      <c r="AM141" s="410">
        <f t="shared" si="154"/>
        <v>39800</v>
      </c>
      <c r="AN141" s="322"/>
      <c r="AO141" s="5" t="s">
        <v>294</v>
      </c>
      <c r="AP141" s="5" t="str">
        <f t="shared" ref="AP141:AP152" si="155">AO141&amp;K141</f>
        <v>KT11.</v>
      </c>
      <c r="AQ141" s="5" t="str">
        <f t="shared" si="107"/>
        <v>KT11.PX KT11</v>
      </c>
    </row>
    <row r="142" spans="1:43" ht="18.75" customHeight="1" x14ac:dyDescent="0.25">
      <c r="A142" s="5" t="str">
        <f t="shared" si="111"/>
        <v>a</v>
      </c>
      <c r="B142" s="345" t="s">
        <v>8</v>
      </c>
      <c r="C142" s="336" t="s">
        <v>471</v>
      </c>
      <c r="D142" s="412"/>
      <c r="E142" s="337"/>
      <c r="F142" s="413"/>
      <c r="G142" s="408"/>
      <c r="H142" s="408"/>
      <c r="I142" s="408"/>
      <c r="J142" s="413"/>
      <c r="K142" s="408" t="s">
        <v>493</v>
      </c>
      <c r="L142" s="413"/>
      <c r="M142" s="413"/>
      <c r="N142" s="413"/>
      <c r="O142" s="413"/>
      <c r="P142" s="413"/>
      <c r="Q142" s="413"/>
      <c r="R142" s="413"/>
      <c r="S142" s="413"/>
      <c r="T142" s="413"/>
      <c r="U142" s="413"/>
      <c r="V142" s="409">
        <f t="shared" si="147"/>
        <v>3900</v>
      </c>
      <c r="W142" s="409"/>
      <c r="X142" s="410">
        <f>KH_ĐL!BK148</f>
        <v>600</v>
      </c>
      <c r="Y142" s="410">
        <f>KH_ĐL!BL148</f>
        <v>900</v>
      </c>
      <c r="Z142" s="410">
        <f>KH_ĐL!BM148</f>
        <v>200</v>
      </c>
      <c r="AA142" s="410">
        <f>KH_ĐL!BN148</f>
        <v>1700</v>
      </c>
      <c r="AB142" s="410">
        <f>KH_ĐL!BO148</f>
        <v>600</v>
      </c>
      <c r="AC142" s="410">
        <f>KH_ĐL!BP148</f>
        <v>600</v>
      </c>
      <c r="AD142" s="410">
        <f>KH_ĐL!BQ148</f>
        <v>100</v>
      </c>
      <c r="AE142" s="410">
        <f>KH_ĐL!BR148+100</f>
        <v>1300</v>
      </c>
      <c r="AF142" s="410">
        <f>KH_ĐL!BS148</f>
        <v>400</v>
      </c>
      <c r="AG142" s="410">
        <f>KH_ĐL!BT148</f>
        <v>400</v>
      </c>
      <c r="AH142" s="410">
        <f>KH_ĐL!BU148</f>
        <v>0</v>
      </c>
      <c r="AI142" s="410">
        <f>KH_ĐL!BV148</f>
        <v>800</v>
      </c>
      <c r="AJ142" s="410">
        <f>KH_ĐL!BW148</f>
        <v>0</v>
      </c>
      <c r="AK142" s="410">
        <f>KH_ĐL!BX148</f>
        <v>100</v>
      </c>
      <c r="AL142" s="410">
        <f>KH_ĐL!BY148</f>
        <v>0</v>
      </c>
      <c r="AM142" s="410">
        <f>KH_ĐL!BZ148</f>
        <v>100</v>
      </c>
      <c r="AN142" s="322"/>
      <c r="AO142" s="1" t="str">
        <f>AO141</f>
        <v>KT11.</v>
      </c>
      <c r="AP142" s="5" t="str">
        <f t="shared" si="155"/>
        <v>KT11.ĐX</v>
      </c>
      <c r="AQ142" s="5" t="str">
        <f t="shared" si="107"/>
        <v>KT11.SL đào, xén lò</v>
      </c>
    </row>
    <row r="143" spans="1:43" ht="18.75" customHeight="1" x14ac:dyDescent="0.25">
      <c r="A143" s="5" t="str">
        <f t="shared" si="111"/>
        <v>a</v>
      </c>
      <c r="B143" s="345" t="s">
        <v>37</v>
      </c>
      <c r="C143" s="336" t="s">
        <v>257</v>
      </c>
      <c r="D143" s="412"/>
      <c r="E143" s="337"/>
      <c r="F143" s="413"/>
      <c r="G143" s="408"/>
      <c r="H143" s="408"/>
      <c r="I143" s="408"/>
      <c r="J143" s="413"/>
      <c r="K143" s="413"/>
      <c r="L143" s="413"/>
      <c r="M143" s="413"/>
      <c r="N143" s="413"/>
      <c r="O143" s="413"/>
      <c r="P143" s="413"/>
      <c r="Q143" s="413"/>
      <c r="R143" s="413"/>
      <c r="S143" s="413"/>
      <c r="T143" s="413"/>
      <c r="U143" s="413"/>
      <c r="V143" s="410">
        <f>SUM(V144:V152)</f>
        <v>168300</v>
      </c>
      <c r="W143" s="410"/>
      <c r="X143" s="410">
        <f>SUM(X144:X152)</f>
        <v>15600</v>
      </c>
      <c r="Y143" s="410">
        <f t="shared" ref="Y143:AM143" si="156">SUM(Y145:Y152)</f>
        <v>9600</v>
      </c>
      <c r="Z143" s="410">
        <f t="shared" si="156"/>
        <v>16000</v>
      </c>
      <c r="AA143" s="410">
        <f>SUM(AA144:AA152)</f>
        <v>41200</v>
      </c>
      <c r="AB143" s="410">
        <f t="shared" si="156"/>
        <v>14400</v>
      </c>
      <c r="AC143" s="410">
        <f t="shared" si="156"/>
        <v>14400</v>
      </c>
      <c r="AD143" s="410">
        <f t="shared" si="156"/>
        <v>15600</v>
      </c>
      <c r="AE143" s="410">
        <f t="shared" si="156"/>
        <v>44400</v>
      </c>
      <c r="AF143" s="410">
        <f t="shared" si="156"/>
        <v>14900</v>
      </c>
      <c r="AG143" s="410">
        <f t="shared" si="156"/>
        <v>14300</v>
      </c>
      <c r="AH143" s="410">
        <f t="shared" si="156"/>
        <v>13800</v>
      </c>
      <c r="AI143" s="410">
        <f t="shared" si="156"/>
        <v>43000</v>
      </c>
      <c r="AJ143" s="410">
        <f t="shared" si="156"/>
        <v>14300</v>
      </c>
      <c r="AK143" s="410">
        <f t="shared" si="156"/>
        <v>13200</v>
      </c>
      <c r="AL143" s="410">
        <f t="shared" si="156"/>
        <v>12200</v>
      </c>
      <c r="AM143" s="410">
        <f t="shared" si="156"/>
        <v>39700</v>
      </c>
      <c r="AN143" s="1016">
        <f>(V143)/$AN$17</f>
        <v>574.40273037542659</v>
      </c>
      <c r="AO143" s="1" t="str">
        <f t="shared" ref="AO143:AO152" si="157">AO142</f>
        <v>KT11.</v>
      </c>
      <c r="AP143" s="5" t="str">
        <f t="shared" si="155"/>
        <v>KT11.</v>
      </c>
      <c r="AQ143" s="5" t="str">
        <f t="shared" si="107"/>
        <v>KT11.KT Lò chợ</v>
      </c>
    </row>
    <row r="144" spans="1:43" ht="18.75" customHeight="1" x14ac:dyDescent="0.25">
      <c r="A144" s="5"/>
      <c r="B144" s="345"/>
      <c r="C144" s="336" t="s">
        <v>819</v>
      </c>
      <c r="D144" s="412">
        <v>2300</v>
      </c>
      <c r="E144" s="337">
        <v>23</v>
      </c>
      <c r="F144" s="413">
        <f>1/COS($E144*PI()/180)*$D144/G144</f>
        <v>27.762542978135343</v>
      </c>
      <c r="G144" s="408">
        <v>90</v>
      </c>
      <c r="H144" s="408">
        <v>3.2440000000000002</v>
      </c>
      <c r="I144" s="408">
        <v>1.63</v>
      </c>
      <c r="J144" s="413">
        <f>ROUND(1/COS($E144*PI()/180)*$D144*H144*I144,-2)</f>
        <v>13200</v>
      </c>
      <c r="K144" s="413" t="s">
        <v>302</v>
      </c>
      <c r="L144" s="413">
        <f>D144</f>
        <v>2300</v>
      </c>
      <c r="M144" s="413">
        <f>E144</f>
        <v>23</v>
      </c>
      <c r="N144" s="408">
        <f t="shared" ref="N144:N149" si="158">ROUND(V144/J144*F144,0)</f>
        <v>28</v>
      </c>
      <c r="O144" s="408">
        <f>G144</f>
        <v>90</v>
      </c>
      <c r="P144" s="408">
        <f>H144</f>
        <v>3.2440000000000002</v>
      </c>
      <c r="Q144" s="408">
        <v>2.2000000000000002</v>
      </c>
      <c r="R144" s="414">
        <f t="shared" ref="R144:R149" si="159">P144-Q144</f>
        <v>1.044</v>
      </c>
      <c r="S144" s="408">
        <f t="shared" ref="S144:S149" si="160">I144</f>
        <v>1.63</v>
      </c>
      <c r="T144" s="413">
        <f t="shared" ref="T144:T149" si="161">V144-U144</f>
        <v>10200</v>
      </c>
      <c r="U144" s="413">
        <f t="shared" ref="U144:U149" si="162">ROUND(N144*O144*R144*S144*0.75,-3)</f>
        <v>3000</v>
      </c>
      <c r="V144" s="413">
        <f>AA144+AE144+AI144+AM144</f>
        <v>13200</v>
      </c>
      <c r="W144" s="413">
        <f>J144-V144</f>
        <v>0</v>
      </c>
      <c r="X144" s="415">
        <v>13200</v>
      </c>
      <c r="Y144" s="410"/>
      <c r="Z144" s="410"/>
      <c r="AA144" s="331">
        <f t="shared" ref="AA144:AA152" si="163">SUM(X144:Z144)</f>
        <v>13200</v>
      </c>
      <c r="AB144" s="410"/>
      <c r="AC144" s="410"/>
      <c r="AD144" s="410"/>
      <c r="AE144" s="410"/>
      <c r="AF144" s="410"/>
      <c r="AG144" s="410"/>
      <c r="AH144" s="410"/>
      <c r="AI144" s="410"/>
      <c r="AJ144" s="410"/>
      <c r="AK144" s="410"/>
      <c r="AL144" s="410"/>
      <c r="AM144" s="410"/>
      <c r="AN144" s="1016"/>
      <c r="AO144" s="1" t="str">
        <f t="shared" si="157"/>
        <v>KT11.</v>
      </c>
      <c r="AP144" s="5" t="str">
        <f>AO144&amp;K144</f>
        <v>KT11.GK</v>
      </c>
      <c r="AQ144" s="5" t="str">
        <f>AO144&amp;C144</f>
        <v>KT11.LC TT-8-3C</v>
      </c>
    </row>
    <row r="145" spans="1:43" ht="18.75" customHeight="1" x14ac:dyDescent="0.25">
      <c r="A145" s="5" t="str">
        <f>A142</f>
        <v>a</v>
      </c>
      <c r="B145" s="346"/>
      <c r="C145" s="336" t="s">
        <v>820</v>
      </c>
      <c r="D145" s="412">
        <v>9744</v>
      </c>
      <c r="E145" s="337">
        <v>25</v>
      </c>
      <c r="F145" s="413">
        <f t="shared" ref="F145:F150" si="164">1/COS($E145*PI()/180)*$D145/G145</f>
        <v>71.675429615803466</v>
      </c>
      <c r="G145" s="408">
        <v>150</v>
      </c>
      <c r="H145" s="408">
        <v>3.2440000000000002</v>
      </c>
      <c r="I145" s="408">
        <v>1.63</v>
      </c>
      <c r="J145" s="413">
        <f>ROUND(1/COS($E145*PI()/180)*$D145*H145*I145,-2)</f>
        <v>56800</v>
      </c>
      <c r="K145" s="413" t="s">
        <v>302</v>
      </c>
      <c r="L145" s="413">
        <f t="shared" ref="L145:M149" si="165">D145</f>
        <v>9744</v>
      </c>
      <c r="M145" s="413">
        <f t="shared" si="165"/>
        <v>25</v>
      </c>
      <c r="N145" s="408">
        <f t="shared" si="158"/>
        <v>72</v>
      </c>
      <c r="O145" s="408">
        <f t="shared" ref="O145:P149" si="166">G145</f>
        <v>150</v>
      </c>
      <c r="P145" s="408">
        <f t="shared" si="166"/>
        <v>3.2440000000000002</v>
      </c>
      <c r="Q145" s="408">
        <v>2.2000000000000002</v>
      </c>
      <c r="R145" s="414">
        <f t="shared" si="159"/>
        <v>1.044</v>
      </c>
      <c r="S145" s="408">
        <f t="shared" si="160"/>
        <v>1.63</v>
      </c>
      <c r="T145" s="413">
        <f t="shared" si="161"/>
        <v>42800</v>
      </c>
      <c r="U145" s="413">
        <f t="shared" si="162"/>
        <v>14000</v>
      </c>
      <c r="V145" s="413">
        <f>AA145+AE145+AI145+AM145</f>
        <v>56800</v>
      </c>
      <c r="W145" s="413">
        <f>J145-V145</f>
        <v>0</v>
      </c>
      <c r="X145" s="415">
        <f>600*(X17-21)</f>
        <v>2400</v>
      </c>
      <c r="Y145" s="415">
        <f>600*Y17</f>
        <v>9600</v>
      </c>
      <c r="Z145" s="415">
        <f>600*Z17-200</f>
        <v>16000</v>
      </c>
      <c r="AA145" s="331">
        <f t="shared" si="163"/>
        <v>28000</v>
      </c>
      <c r="AB145" s="415">
        <f>600*AB17</f>
        <v>14400</v>
      </c>
      <c r="AC145" s="415">
        <f>600*24</f>
        <v>14400</v>
      </c>
      <c r="AD145" s="331"/>
      <c r="AE145" s="331">
        <f>SUM(AB145:AD145)</f>
        <v>28800</v>
      </c>
      <c r="AF145" s="331"/>
      <c r="AG145" s="331"/>
      <c r="AH145" s="331"/>
      <c r="AI145" s="331">
        <f>SUM(AF145:AH145)</f>
        <v>0</v>
      </c>
      <c r="AJ145" s="331"/>
      <c r="AK145" s="331"/>
      <c r="AL145" s="331"/>
      <c r="AM145" s="331">
        <f>SUM(AJ145:AL145)</f>
        <v>0</v>
      </c>
      <c r="AN145" s="322"/>
      <c r="AO145" s="1" t="str">
        <f>AO143</f>
        <v>KT11.</v>
      </c>
      <c r="AP145" s="5" t="str">
        <f t="shared" si="155"/>
        <v>KT11.GK</v>
      </c>
      <c r="AQ145" s="5" t="str">
        <f t="shared" si="107"/>
        <v>KT11.LC TT-8-4 ( GD1)</v>
      </c>
    </row>
    <row r="146" spans="1:43" ht="18.75" customHeight="1" x14ac:dyDescent="0.25">
      <c r="A146" s="5" t="str">
        <f>A143</f>
        <v>a</v>
      </c>
      <c r="B146" s="346"/>
      <c r="C146" s="336" t="s">
        <v>821</v>
      </c>
      <c r="D146" s="412">
        <v>26800</v>
      </c>
      <c r="E146" s="337">
        <v>23</v>
      </c>
      <c r="F146" s="413">
        <f t="shared" si="164"/>
        <v>346.60069183883257</v>
      </c>
      <c r="G146" s="408">
        <v>84</v>
      </c>
      <c r="H146" s="408">
        <v>3.2</v>
      </c>
      <c r="I146" s="408">
        <v>1.63</v>
      </c>
      <c r="J146" s="413">
        <f>ROUND(1/COS($E146*PI()/180)*$D146*H146*I146,-3)</f>
        <v>152000</v>
      </c>
      <c r="K146" s="413" t="s">
        <v>302</v>
      </c>
      <c r="L146" s="413">
        <f t="shared" si="165"/>
        <v>26800</v>
      </c>
      <c r="M146" s="413">
        <f t="shared" si="165"/>
        <v>23</v>
      </c>
      <c r="N146" s="408">
        <f t="shared" si="158"/>
        <v>224</v>
      </c>
      <c r="O146" s="408">
        <f t="shared" si="166"/>
        <v>84</v>
      </c>
      <c r="P146" s="408">
        <f t="shared" si="166"/>
        <v>3.2</v>
      </c>
      <c r="Q146" s="408">
        <v>2.2000000000000002</v>
      </c>
      <c r="R146" s="414">
        <f t="shared" si="159"/>
        <v>1</v>
      </c>
      <c r="S146" s="408">
        <f t="shared" si="160"/>
        <v>1.63</v>
      </c>
      <c r="T146" s="413">
        <f t="shared" si="161"/>
        <v>75300</v>
      </c>
      <c r="U146" s="413">
        <f t="shared" si="162"/>
        <v>23000</v>
      </c>
      <c r="V146" s="413">
        <f>AA146+AE146+AI146+AM146</f>
        <v>98300</v>
      </c>
      <c r="W146" s="413">
        <f>J146-V146</f>
        <v>53700</v>
      </c>
      <c r="X146" s="415"/>
      <c r="Y146" s="415"/>
      <c r="Z146" s="331"/>
      <c r="AA146" s="331">
        <f t="shared" si="163"/>
        <v>0</v>
      </c>
      <c r="AB146" s="331"/>
      <c r="AC146" s="331"/>
      <c r="AD146" s="331">
        <f>600*AD17</f>
        <v>15600</v>
      </c>
      <c r="AE146" s="331">
        <f>SUM(AB146:AD146)</f>
        <v>15600</v>
      </c>
      <c r="AF146" s="331">
        <f>ROUND(550*AF17,-2)</f>
        <v>14900</v>
      </c>
      <c r="AG146" s="331">
        <f>550*AG17</f>
        <v>14300</v>
      </c>
      <c r="AH146" s="331">
        <f>ROUND(550*AH17,-2)</f>
        <v>13800</v>
      </c>
      <c r="AI146" s="331">
        <f>SUM(AF146:AH146)</f>
        <v>43000</v>
      </c>
      <c r="AJ146" s="331">
        <f>ROUND(550*AJ17,-2)</f>
        <v>14300</v>
      </c>
      <c r="AK146" s="331">
        <f>550*AK17</f>
        <v>13200</v>
      </c>
      <c r="AL146" s="331">
        <f>ROUND(550*AL17,-2)+100</f>
        <v>12200</v>
      </c>
      <c r="AM146" s="331">
        <f>SUM(AJ146:AL146)</f>
        <v>39700</v>
      </c>
      <c r="AN146" s="322"/>
      <c r="AO146" s="1" t="str">
        <f t="shared" si="157"/>
        <v>KT11.</v>
      </c>
      <c r="AP146" s="5" t="str">
        <f t="shared" si="155"/>
        <v>KT11.GK</v>
      </c>
      <c r="AQ146" s="5" t="str">
        <f t="shared" si="107"/>
        <v>KT11.LC TT-8-4 ( GD2)</v>
      </c>
    </row>
    <row r="147" spans="1:43" ht="18.75" hidden="1" customHeight="1" x14ac:dyDescent="0.25">
      <c r="A147" s="5" t="str">
        <f>A143</f>
        <v>a</v>
      </c>
      <c r="B147" s="346"/>
      <c r="C147" s="336" t="s">
        <v>490</v>
      </c>
      <c r="D147" s="412">
        <v>6700</v>
      </c>
      <c r="E147" s="337">
        <v>22</v>
      </c>
      <c r="F147" s="413">
        <f t="shared" si="164"/>
        <v>80.290919732664534</v>
      </c>
      <c r="G147" s="408">
        <v>90</v>
      </c>
      <c r="H147" s="408">
        <v>2.6</v>
      </c>
      <c r="I147" s="408">
        <v>1.63</v>
      </c>
      <c r="J147" s="413">
        <f>ROUND(1/COS($E147*PI()/180)*$D147*H147*I147,-3)</f>
        <v>31000</v>
      </c>
      <c r="K147" s="413" t="s">
        <v>302</v>
      </c>
      <c r="L147" s="413">
        <f t="shared" si="165"/>
        <v>6700</v>
      </c>
      <c r="M147" s="413">
        <f t="shared" si="165"/>
        <v>22</v>
      </c>
      <c r="N147" s="408">
        <f t="shared" si="158"/>
        <v>0</v>
      </c>
      <c r="O147" s="408">
        <f t="shared" si="166"/>
        <v>90</v>
      </c>
      <c r="P147" s="408">
        <f t="shared" si="166"/>
        <v>2.6</v>
      </c>
      <c r="Q147" s="408">
        <v>2.2000000000000002</v>
      </c>
      <c r="R147" s="414">
        <f t="shared" si="159"/>
        <v>0.39999999999999991</v>
      </c>
      <c r="S147" s="408">
        <f t="shared" si="160"/>
        <v>1.63</v>
      </c>
      <c r="T147" s="413">
        <f t="shared" si="161"/>
        <v>0</v>
      </c>
      <c r="U147" s="413">
        <f t="shared" si="162"/>
        <v>0</v>
      </c>
      <c r="V147" s="413">
        <f t="shared" ref="V147:V152" si="167">AA147+AE147+AI147+AM147</f>
        <v>0</v>
      </c>
      <c r="W147" s="413"/>
      <c r="X147" s="415"/>
      <c r="Y147" s="415"/>
      <c r="Z147" s="331"/>
      <c r="AA147" s="331">
        <f t="shared" si="163"/>
        <v>0</v>
      </c>
      <c r="AB147" s="331"/>
      <c r="AC147" s="331"/>
      <c r="AD147" s="331"/>
      <c r="AE147" s="331">
        <f t="shared" ref="AE147:AE152" si="168">SUM(AB147:AD147)</f>
        <v>0</v>
      </c>
      <c r="AF147" s="331"/>
      <c r="AG147" s="417"/>
      <c r="AH147" s="331"/>
      <c r="AI147" s="331">
        <f t="shared" ref="AI147:AI152" si="169">SUM(AF147:AH147)</f>
        <v>0</v>
      </c>
      <c r="AJ147" s="331"/>
      <c r="AK147" s="331"/>
      <c r="AL147" s="331"/>
      <c r="AM147" s="331">
        <f t="shared" ref="AM147:AM152" si="170">SUM(AJ147:AL147)</f>
        <v>0</v>
      </c>
      <c r="AN147" s="322"/>
      <c r="AO147" s="1" t="str">
        <f t="shared" si="157"/>
        <v>KT11.</v>
      </c>
      <c r="AP147" s="5" t="str">
        <f t="shared" si="155"/>
        <v>KT11.GK</v>
      </c>
      <c r="AQ147" s="5" t="str">
        <f t="shared" si="107"/>
        <v>KT11.LC TT-8-3C.1</v>
      </c>
    </row>
    <row r="148" spans="1:43" ht="17.25" hidden="1" customHeight="1" x14ac:dyDescent="0.25">
      <c r="A148" s="5" t="str">
        <f>A145</f>
        <v>a</v>
      </c>
      <c r="B148" s="346"/>
      <c r="C148" s="336" t="s">
        <v>532</v>
      </c>
      <c r="D148" s="412">
        <f>15691+12643+4146</f>
        <v>32480</v>
      </c>
      <c r="E148" s="337">
        <v>22</v>
      </c>
      <c r="F148" s="413">
        <f t="shared" si="164"/>
        <v>389.23120491297675</v>
      </c>
      <c r="G148" s="408">
        <v>90</v>
      </c>
      <c r="H148" s="408">
        <v>2.2999999999999998</v>
      </c>
      <c r="I148" s="408">
        <v>1.63</v>
      </c>
      <c r="J148" s="413">
        <f>ROUND(1/COS($E148*PI()/180)*$D148*H148*I148,-3)</f>
        <v>131000</v>
      </c>
      <c r="K148" s="413" t="s">
        <v>302</v>
      </c>
      <c r="L148" s="413">
        <f t="shared" si="165"/>
        <v>32480</v>
      </c>
      <c r="M148" s="413">
        <f t="shared" si="165"/>
        <v>22</v>
      </c>
      <c r="N148" s="408">
        <f t="shared" si="158"/>
        <v>0</v>
      </c>
      <c r="O148" s="408">
        <f t="shared" si="166"/>
        <v>90</v>
      </c>
      <c r="P148" s="408">
        <f t="shared" si="166"/>
        <v>2.2999999999999998</v>
      </c>
      <c r="Q148" s="408">
        <v>2.2000000000000002</v>
      </c>
      <c r="R148" s="414">
        <f t="shared" si="159"/>
        <v>9.9999999999999645E-2</v>
      </c>
      <c r="S148" s="408">
        <f t="shared" si="160"/>
        <v>1.63</v>
      </c>
      <c r="T148" s="413">
        <f t="shared" si="161"/>
        <v>0</v>
      </c>
      <c r="U148" s="413">
        <f t="shared" si="162"/>
        <v>0</v>
      </c>
      <c r="V148" s="413">
        <f t="shared" si="167"/>
        <v>0</v>
      </c>
      <c r="W148" s="413"/>
      <c r="X148" s="415"/>
      <c r="Y148" s="415"/>
      <c r="AA148" s="331">
        <f t="shared" si="163"/>
        <v>0</v>
      </c>
      <c r="AB148" s="331"/>
      <c r="AC148" s="331"/>
      <c r="AD148" s="331"/>
      <c r="AE148" s="331">
        <f t="shared" si="168"/>
        <v>0</v>
      </c>
      <c r="AF148" s="331"/>
      <c r="AG148" s="331"/>
      <c r="AH148" s="331"/>
      <c r="AI148" s="331">
        <f t="shared" si="169"/>
        <v>0</v>
      </c>
      <c r="AJ148" s="331"/>
      <c r="AK148" s="331"/>
      <c r="AL148" s="331"/>
      <c r="AM148" s="331">
        <f t="shared" si="170"/>
        <v>0</v>
      </c>
      <c r="AN148" s="322"/>
      <c r="AO148" s="1" t="str">
        <f t="shared" si="157"/>
        <v>KT11.</v>
      </c>
      <c r="AP148" s="5" t="str">
        <f t="shared" si="155"/>
        <v>KT11.GK</v>
      </c>
      <c r="AQ148" s="5" t="str">
        <f t="shared" si="107"/>
        <v>KT11.LC TT-8-4</v>
      </c>
    </row>
    <row r="149" spans="1:43" ht="18.75" hidden="1" customHeight="1" x14ac:dyDescent="0.25">
      <c r="A149" s="5" t="str">
        <f t="shared" si="111"/>
        <v>a</v>
      </c>
      <c r="B149" s="347"/>
      <c r="C149" s="336"/>
      <c r="D149" s="412"/>
      <c r="E149" s="337">
        <v>20</v>
      </c>
      <c r="F149" s="413" t="e">
        <f t="shared" si="164"/>
        <v>#DIV/0!</v>
      </c>
      <c r="G149" s="408"/>
      <c r="H149" s="408"/>
      <c r="I149" s="408">
        <v>1.63</v>
      </c>
      <c r="J149" s="413">
        <f>ROUND(1/COS($E149*PI()/180)*$D149*H149*I149,-2)</f>
        <v>0</v>
      </c>
      <c r="K149" s="413"/>
      <c r="L149" s="413">
        <f t="shared" si="165"/>
        <v>0</v>
      </c>
      <c r="M149" s="413">
        <f t="shared" si="165"/>
        <v>20</v>
      </c>
      <c r="N149" s="408" t="e">
        <f t="shared" si="158"/>
        <v>#DIV/0!</v>
      </c>
      <c r="O149" s="408">
        <f t="shared" si="166"/>
        <v>0</v>
      </c>
      <c r="P149" s="408">
        <f t="shared" si="166"/>
        <v>0</v>
      </c>
      <c r="Q149" s="408">
        <v>2.2000000000000002</v>
      </c>
      <c r="R149" s="414">
        <f t="shared" si="159"/>
        <v>-2.2000000000000002</v>
      </c>
      <c r="S149" s="408">
        <f t="shared" si="160"/>
        <v>1.63</v>
      </c>
      <c r="T149" s="413" t="e">
        <f t="shared" si="161"/>
        <v>#DIV/0!</v>
      </c>
      <c r="U149" s="413" t="e">
        <f t="shared" si="162"/>
        <v>#DIV/0!</v>
      </c>
      <c r="V149" s="413">
        <f t="shared" si="167"/>
        <v>0</v>
      </c>
      <c r="W149" s="413"/>
      <c r="X149" s="415"/>
      <c r="Y149" s="415"/>
      <c r="Z149" s="331"/>
      <c r="AA149" s="331">
        <f t="shared" si="163"/>
        <v>0</v>
      </c>
      <c r="AB149" s="331"/>
      <c r="AC149" s="331"/>
      <c r="AD149" s="331"/>
      <c r="AE149" s="331">
        <f t="shared" si="168"/>
        <v>0</v>
      </c>
      <c r="AF149" s="331"/>
      <c r="AG149" s="331"/>
      <c r="AH149" s="331"/>
      <c r="AI149" s="331">
        <f t="shared" si="169"/>
        <v>0</v>
      </c>
      <c r="AJ149" s="331"/>
      <c r="AK149" s="331"/>
      <c r="AL149" s="331"/>
      <c r="AM149" s="331">
        <f t="shared" si="170"/>
        <v>0</v>
      </c>
      <c r="AN149" s="322"/>
      <c r="AO149" s="1" t="str">
        <f t="shared" si="157"/>
        <v>KT11.</v>
      </c>
      <c r="AP149" s="5" t="str">
        <f t="shared" si="155"/>
        <v>KT11.</v>
      </c>
      <c r="AQ149" s="5" t="str">
        <f t="shared" si="107"/>
        <v>KT11.</v>
      </c>
    </row>
    <row r="150" spans="1:43" ht="18.75" hidden="1" customHeight="1" x14ac:dyDescent="0.25">
      <c r="A150" s="5" t="str">
        <f t="shared" si="111"/>
        <v>a</v>
      </c>
      <c r="B150" s="345"/>
      <c r="C150" s="336"/>
      <c r="D150" s="438">
        <v>10000</v>
      </c>
      <c r="E150" s="439">
        <v>22</v>
      </c>
      <c r="F150" s="425">
        <f t="shared" si="164"/>
        <v>119.83719363084259</v>
      </c>
      <c r="G150" s="426">
        <v>90</v>
      </c>
      <c r="H150" s="426">
        <v>2.2999999999999998</v>
      </c>
      <c r="I150" s="426">
        <v>1.63</v>
      </c>
      <c r="J150" s="425">
        <f>ROUND(1/COS($E150*PI()/180)*$D150*H150*I150,-3)</f>
        <v>40000</v>
      </c>
      <c r="K150" s="407"/>
      <c r="L150" s="407"/>
      <c r="M150" s="407"/>
      <c r="N150" s="407"/>
      <c r="O150" s="407"/>
      <c r="P150" s="407"/>
      <c r="Q150" s="407"/>
      <c r="R150" s="407"/>
      <c r="S150" s="407"/>
      <c r="T150" s="407"/>
      <c r="U150" s="407"/>
      <c r="V150" s="413">
        <f t="shared" si="167"/>
        <v>0</v>
      </c>
      <c r="W150" s="413"/>
      <c r="X150" s="415"/>
      <c r="Y150" s="415"/>
      <c r="Z150" s="331"/>
      <c r="AA150" s="331">
        <f t="shared" si="163"/>
        <v>0</v>
      </c>
      <c r="AB150" s="331"/>
      <c r="AC150" s="331"/>
      <c r="AD150" s="331"/>
      <c r="AE150" s="331">
        <f t="shared" si="168"/>
        <v>0</v>
      </c>
      <c r="AF150" s="331"/>
      <c r="AG150" s="331"/>
      <c r="AH150" s="331"/>
      <c r="AI150" s="331">
        <f t="shared" si="169"/>
        <v>0</v>
      </c>
      <c r="AJ150" s="331"/>
      <c r="AK150" s="331"/>
      <c r="AL150" s="331"/>
      <c r="AM150" s="331">
        <f t="shared" si="170"/>
        <v>0</v>
      </c>
      <c r="AN150" s="322"/>
      <c r="AO150" s="1" t="str">
        <f t="shared" si="157"/>
        <v>KT11.</v>
      </c>
      <c r="AP150" s="5" t="str">
        <f t="shared" si="155"/>
        <v>KT11.</v>
      </c>
      <c r="AQ150" s="5" t="str">
        <f t="shared" si="107"/>
        <v>KT11.</v>
      </c>
    </row>
    <row r="151" spans="1:43" ht="18.75" hidden="1" customHeight="1" x14ac:dyDescent="0.25">
      <c r="A151" s="5" t="str">
        <f t="shared" si="111"/>
        <v>a</v>
      </c>
      <c r="B151" s="345"/>
      <c r="C151" s="336"/>
      <c r="D151" s="336"/>
      <c r="E151" s="336"/>
      <c r="F151" s="408"/>
      <c r="G151" s="408"/>
      <c r="H151" s="407"/>
      <c r="I151" s="407"/>
      <c r="J151" s="407"/>
      <c r="K151" s="407"/>
      <c r="L151" s="407"/>
      <c r="M151" s="407"/>
      <c r="N151" s="407"/>
      <c r="O151" s="407"/>
      <c r="P151" s="407"/>
      <c r="Q151" s="407"/>
      <c r="R151" s="407"/>
      <c r="S151" s="407"/>
      <c r="T151" s="407"/>
      <c r="U151" s="407"/>
      <c r="V151" s="413">
        <f t="shared" si="167"/>
        <v>0</v>
      </c>
      <c r="W151" s="413"/>
      <c r="X151" s="415"/>
      <c r="Y151" s="415"/>
      <c r="Z151" s="331"/>
      <c r="AA151" s="331">
        <f t="shared" si="163"/>
        <v>0</v>
      </c>
      <c r="AB151" s="331"/>
      <c r="AC151" s="331"/>
      <c r="AD151" s="331"/>
      <c r="AE151" s="331">
        <f t="shared" si="168"/>
        <v>0</v>
      </c>
      <c r="AF151" s="418"/>
      <c r="AG151" s="331"/>
      <c r="AH151" s="331"/>
      <c r="AI151" s="331">
        <f t="shared" si="169"/>
        <v>0</v>
      </c>
      <c r="AJ151" s="331"/>
      <c r="AK151" s="331"/>
      <c r="AL151" s="331"/>
      <c r="AM151" s="331">
        <f t="shared" si="170"/>
        <v>0</v>
      </c>
      <c r="AN151" s="322"/>
      <c r="AO151" s="1" t="str">
        <f t="shared" si="157"/>
        <v>KT11.</v>
      </c>
      <c r="AP151" s="5" t="str">
        <f t="shared" si="155"/>
        <v>KT11.</v>
      </c>
      <c r="AQ151" s="5" t="str">
        <f t="shared" si="107"/>
        <v>KT11.</v>
      </c>
    </row>
    <row r="152" spans="1:43" ht="18.75" hidden="1" customHeight="1" x14ac:dyDescent="0.25">
      <c r="A152" s="5" t="str">
        <f t="shared" si="111"/>
        <v>a</v>
      </c>
      <c r="B152" s="345"/>
      <c r="C152" s="336"/>
      <c r="D152" s="336"/>
      <c r="E152" s="336"/>
      <c r="F152" s="408"/>
      <c r="G152" s="408"/>
      <c r="H152" s="407"/>
      <c r="I152" s="407"/>
      <c r="J152" s="407"/>
      <c r="K152" s="407"/>
      <c r="L152" s="407"/>
      <c r="M152" s="407"/>
      <c r="N152" s="407"/>
      <c r="O152" s="407"/>
      <c r="P152" s="407"/>
      <c r="Q152" s="407"/>
      <c r="R152" s="407"/>
      <c r="S152" s="407"/>
      <c r="T152" s="407"/>
      <c r="U152" s="407"/>
      <c r="V152" s="413">
        <f t="shared" si="167"/>
        <v>0</v>
      </c>
      <c r="W152" s="413"/>
      <c r="X152" s="415"/>
      <c r="Y152" s="415"/>
      <c r="Z152" s="331"/>
      <c r="AA152" s="331">
        <f t="shared" si="163"/>
        <v>0</v>
      </c>
      <c r="AB152" s="331"/>
      <c r="AC152" s="331"/>
      <c r="AD152" s="331"/>
      <c r="AE152" s="331">
        <f t="shared" si="168"/>
        <v>0</v>
      </c>
      <c r="AF152" s="331"/>
      <c r="AG152" s="331"/>
      <c r="AH152" s="331"/>
      <c r="AI152" s="331">
        <f t="shared" si="169"/>
        <v>0</v>
      </c>
      <c r="AJ152" s="331"/>
      <c r="AK152" s="331"/>
      <c r="AL152" s="331"/>
      <c r="AM152" s="331">
        <f t="shared" si="170"/>
        <v>0</v>
      </c>
      <c r="AN152" s="322"/>
      <c r="AO152" s="1" t="str">
        <f t="shared" si="157"/>
        <v>KT11.</v>
      </c>
      <c r="AP152" s="5" t="str">
        <f t="shared" si="155"/>
        <v>KT11.</v>
      </c>
      <c r="AQ152" s="5" t="str">
        <f t="shared" si="107"/>
        <v>KT11.</v>
      </c>
    </row>
    <row r="153" spans="1:43" ht="18.75" customHeight="1" x14ac:dyDescent="0.25">
      <c r="A153" s="5" t="str">
        <f t="shared" si="111"/>
        <v>a</v>
      </c>
      <c r="B153" s="347">
        <v>12</v>
      </c>
      <c r="C153" s="336" t="s">
        <v>461</v>
      </c>
      <c r="D153" s="336"/>
      <c r="E153" s="336"/>
      <c r="F153" s="407"/>
      <c r="G153" s="407"/>
      <c r="H153" s="407"/>
      <c r="I153" s="407"/>
      <c r="J153" s="407"/>
      <c r="K153" s="407"/>
      <c r="L153" s="407"/>
      <c r="M153" s="407"/>
      <c r="N153" s="407"/>
      <c r="O153" s="407"/>
      <c r="P153" s="407"/>
      <c r="Q153" s="407"/>
      <c r="R153" s="407"/>
      <c r="S153" s="407"/>
      <c r="T153" s="407"/>
      <c r="U153" s="407"/>
      <c r="V153" s="409">
        <f>AA153+AE153+AI153+AM153</f>
        <v>45700</v>
      </c>
      <c r="W153" s="409"/>
      <c r="X153" s="410">
        <f>X154+X155</f>
        <v>3700</v>
      </c>
      <c r="Y153" s="410">
        <f>Y154+Y155</f>
        <v>2300</v>
      </c>
      <c r="Z153" s="410">
        <f t="shared" ref="Z153:AL153" si="171">Z154+Z155</f>
        <v>4000</v>
      </c>
      <c r="AA153" s="410">
        <f>AA154</f>
        <v>10000</v>
      </c>
      <c r="AB153" s="410">
        <f t="shared" si="171"/>
        <v>3300</v>
      </c>
      <c r="AC153" s="410">
        <f t="shared" si="171"/>
        <v>4100</v>
      </c>
      <c r="AD153" s="410">
        <f t="shared" si="171"/>
        <v>3600</v>
      </c>
      <c r="AE153" s="410">
        <f>AE154</f>
        <v>11000</v>
      </c>
      <c r="AF153" s="410">
        <f t="shared" si="171"/>
        <v>3700</v>
      </c>
      <c r="AG153" s="410">
        <f t="shared" si="171"/>
        <v>3700</v>
      </c>
      <c r="AH153" s="410">
        <f t="shared" si="171"/>
        <v>3900</v>
      </c>
      <c r="AI153" s="410">
        <f>AI154</f>
        <v>11300</v>
      </c>
      <c r="AJ153" s="410">
        <f t="shared" si="171"/>
        <v>4400</v>
      </c>
      <c r="AK153" s="410">
        <f t="shared" si="171"/>
        <v>4300</v>
      </c>
      <c r="AL153" s="410">
        <f t="shared" si="171"/>
        <v>4700</v>
      </c>
      <c r="AM153" s="410">
        <f>AM154</f>
        <v>13400</v>
      </c>
      <c r="AN153" s="322"/>
      <c r="AO153" s="1" t="s">
        <v>295</v>
      </c>
      <c r="AP153" s="5" t="str">
        <f t="shared" ref="AP153:AP178" si="172">AO153&amp;K153</f>
        <v>CGĐB.</v>
      </c>
      <c r="AQ153" s="5" t="str">
        <f t="shared" si="107"/>
        <v>CGĐB.PXĐL CGĐB</v>
      </c>
    </row>
    <row r="154" spans="1:43" ht="18.75" customHeight="1" x14ac:dyDescent="0.25">
      <c r="A154" s="5" t="str">
        <f t="shared" si="111"/>
        <v>a</v>
      </c>
      <c r="B154" s="346" t="s">
        <v>8</v>
      </c>
      <c r="C154" s="336" t="s">
        <v>471</v>
      </c>
      <c r="D154" s="336"/>
      <c r="E154" s="336"/>
      <c r="F154" s="408"/>
      <c r="G154" s="408"/>
      <c r="H154" s="413"/>
      <c r="I154" s="413"/>
      <c r="J154" s="413"/>
      <c r="K154" s="413" t="s">
        <v>493</v>
      </c>
      <c r="L154" s="413"/>
      <c r="M154" s="413"/>
      <c r="N154" s="413"/>
      <c r="O154" s="413"/>
      <c r="P154" s="413"/>
      <c r="Q154" s="413"/>
      <c r="R154" s="413"/>
      <c r="S154" s="413"/>
      <c r="T154" s="413"/>
      <c r="U154" s="413"/>
      <c r="V154" s="409">
        <f>AA154+AE154+AI154+AM154</f>
        <v>45700</v>
      </c>
      <c r="W154" s="409"/>
      <c r="X154" s="415">
        <f>KH_ĐL!BK165</f>
        <v>3700</v>
      </c>
      <c r="Y154" s="415">
        <f>KH_ĐL!BL165</f>
        <v>2300</v>
      </c>
      <c r="Z154" s="415">
        <f>KH_ĐL!BM165</f>
        <v>4000</v>
      </c>
      <c r="AA154" s="415">
        <f>KH_ĐL!BN165+200</f>
        <v>10000</v>
      </c>
      <c r="AB154" s="415">
        <f>KH_ĐL!BO165</f>
        <v>3300</v>
      </c>
      <c r="AC154" s="415">
        <f>KH_ĐL!BP165</f>
        <v>4100</v>
      </c>
      <c r="AD154" s="415">
        <f>KH_ĐL!BQ165</f>
        <v>3600</v>
      </c>
      <c r="AE154" s="415">
        <f>KH_ĐL!BR165+100</f>
        <v>11000</v>
      </c>
      <c r="AF154" s="415">
        <f>KH_ĐL!BS165</f>
        <v>3700</v>
      </c>
      <c r="AG154" s="415">
        <f>KH_ĐL!BT165</f>
        <v>3700</v>
      </c>
      <c r="AH154" s="415">
        <f>KH_ĐL!BU165</f>
        <v>3900</v>
      </c>
      <c r="AI154" s="415">
        <f>KH_ĐL!BV165</f>
        <v>11300</v>
      </c>
      <c r="AJ154" s="415">
        <f>KH_ĐL!BW165</f>
        <v>4400</v>
      </c>
      <c r="AK154" s="415">
        <f>KH_ĐL!BX165</f>
        <v>4300</v>
      </c>
      <c r="AL154" s="415">
        <f>KH_ĐL!BY165</f>
        <v>4700</v>
      </c>
      <c r="AM154" s="415">
        <f>KH_ĐL!BZ165-100</f>
        <v>13400</v>
      </c>
      <c r="AN154" s="322"/>
      <c r="AO154" s="5" t="str">
        <f>AO153</f>
        <v>CGĐB.</v>
      </c>
      <c r="AP154" s="5" t="str">
        <f t="shared" si="172"/>
        <v>CGĐB.ĐX</v>
      </c>
      <c r="AQ154" s="5" t="str">
        <f t="shared" si="107"/>
        <v>CGĐB.SL đào, xén lò</v>
      </c>
    </row>
    <row r="155" spans="1:43" ht="18.75" hidden="1" customHeight="1" x14ac:dyDescent="0.25">
      <c r="A155" s="5" t="str">
        <f t="shared" si="111"/>
        <v>a</v>
      </c>
      <c r="B155" s="346"/>
      <c r="C155" s="336"/>
      <c r="D155" s="336"/>
      <c r="E155" s="336"/>
      <c r="F155" s="408"/>
      <c r="G155" s="408"/>
      <c r="H155" s="413"/>
      <c r="I155" s="413"/>
      <c r="J155" s="413"/>
      <c r="K155" s="413"/>
      <c r="L155" s="413"/>
      <c r="M155" s="413"/>
      <c r="N155" s="413"/>
      <c r="O155" s="413"/>
      <c r="P155" s="413"/>
      <c r="Q155" s="413"/>
      <c r="R155" s="413"/>
      <c r="S155" s="413"/>
      <c r="T155" s="413"/>
      <c r="U155" s="413"/>
      <c r="V155" s="409">
        <f>AA155+AE155+AI155+AM155</f>
        <v>0</v>
      </c>
      <c r="W155" s="409"/>
      <c r="X155" s="410"/>
      <c r="Y155" s="410"/>
      <c r="Z155" s="410"/>
      <c r="AA155" s="410"/>
      <c r="AB155" s="410"/>
      <c r="AC155" s="410"/>
      <c r="AD155" s="410"/>
      <c r="AE155" s="410"/>
      <c r="AF155" s="410"/>
      <c r="AG155" s="410"/>
      <c r="AH155" s="410"/>
      <c r="AI155" s="410"/>
      <c r="AJ155" s="410"/>
      <c r="AK155" s="410"/>
      <c r="AL155" s="410"/>
      <c r="AM155" s="440"/>
      <c r="AN155" s="322"/>
      <c r="AO155" s="5" t="str">
        <f>AO154</f>
        <v>CGĐB.</v>
      </c>
      <c r="AP155" s="5" t="str">
        <f t="shared" si="172"/>
        <v>CGĐB.</v>
      </c>
      <c r="AQ155" s="5" t="str">
        <f t="shared" si="107"/>
        <v>CGĐB.</v>
      </c>
    </row>
    <row r="156" spans="1:43" ht="18.75" hidden="1" customHeight="1" x14ac:dyDescent="0.25">
      <c r="A156" s="5" t="str">
        <f t="shared" si="111"/>
        <v>a</v>
      </c>
      <c r="B156" s="345"/>
      <c r="C156" s="336"/>
      <c r="D156" s="336"/>
      <c r="E156" s="336"/>
      <c r="F156" s="408"/>
      <c r="G156" s="408"/>
      <c r="H156" s="407"/>
      <c r="I156" s="407"/>
      <c r="J156" s="407"/>
      <c r="K156" s="407"/>
      <c r="L156" s="407"/>
      <c r="M156" s="407"/>
      <c r="N156" s="407"/>
      <c r="O156" s="407"/>
      <c r="P156" s="407"/>
      <c r="Q156" s="407"/>
      <c r="R156" s="407"/>
      <c r="S156" s="407"/>
      <c r="T156" s="407"/>
      <c r="U156" s="407"/>
      <c r="V156" s="408"/>
      <c r="W156" s="408"/>
      <c r="X156" s="415"/>
      <c r="Y156" s="415"/>
      <c r="Z156" s="331"/>
      <c r="AA156" s="331"/>
      <c r="AB156" s="417"/>
      <c r="AC156" s="331"/>
      <c r="AD156" s="331"/>
      <c r="AE156" s="331"/>
      <c r="AF156" s="423"/>
      <c r="AG156" s="331"/>
      <c r="AH156" s="331"/>
      <c r="AI156" s="331"/>
      <c r="AJ156" s="331"/>
      <c r="AK156" s="331"/>
      <c r="AL156" s="331"/>
      <c r="AM156" s="434"/>
      <c r="AN156" s="322"/>
      <c r="AO156" s="5" t="str">
        <f>AO155</f>
        <v>CGĐB.</v>
      </c>
      <c r="AP156" s="5" t="str">
        <f t="shared" si="172"/>
        <v>CGĐB.</v>
      </c>
      <c r="AQ156" s="5" t="str">
        <f t="shared" si="107"/>
        <v>CGĐB.</v>
      </c>
    </row>
    <row r="157" spans="1:43" ht="18.75" customHeight="1" x14ac:dyDescent="0.25">
      <c r="A157" s="5" t="str">
        <f t="shared" si="111"/>
        <v>a</v>
      </c>
      <c r="B157" s="347">
        <v>13</v>
      </c>
      <c r="C157" s="336" t="s">
        <v>462</v>
      </c>
      <c r="D157" s="336"/>
      <c r="E157" s="336"/>
      <c r="F157" s="407"/>
      <c r="G157" s="407"/>
      <c r="H157" s="407"/>
      <c r="I157" s="407"/>
      <c r="J157" s="407"/>
      <c r="K157" s="407"/>
      <c r="L157" s="407"/>
      <c r="M157" s="407"/>
      <c r="N157" s="407"/>
      <c r="O157" s="407"/>
      <c r="P157" s="407"/>
      <c r="Q157" s="407"/>
      <c r="R157" s="407"/>
      <c r="S157" s="407"/>
      <c r="T157" s="407"/>
      <c r="U157" s="407"/>
      <c r="V157" s="409">
        <f>AA157+AE157+AI157+AM157</f>
        <v>11800</v>
      </c>
      <c r="W157" s="409"/>
      <c r="X157" s="410">
        <f>X158+X159</f>
        <v>1000</v>
      </c>
      <c r="Y157" s="410">
        <f>Y158+Y159</f>
        <v>700</v>
      </c>
      <c r="Z157" s="410">
        <f t="shared" ref="Z157:AL157" si="173">Z158+Z159</f>
        <v>900</v>
      </c>
      <c r="AA157" s="410">
        <f>AA158</f>
        <v>2600</v>
      </c>
      <c r="AB157" s="410">
        <f t="shared" si="173"/>
        <v>1000</v>
      </c>
      <c r="AC157" s="410">
        <f t="shared" si="173"/>
        <v>1100</v>
      </c>
      <c r="AD157" s="410">
        <f t="shared" si="173"/>
        <v>1200</v>
      </c>
      <c r="AE157" s="410">
        <f>AE158</f>
        <v>3300</v>
      </c>
      <c r="AF157" s="410">
        <f t="shared" si="173"/>
        <v>2500</v>
      </c>
      <c r="AG157" s="410">
        <f t="shared" si="173"/>
        <v>1400</v>
      </c>
      <c r="AH157" s="410">
        <f t="shared" si="173"/>
        <v>500</v>
      </c>
      <c r="AI157" s="410">
        <f>AI158</f>
        <v>4400</v>
      </c>
      <c r="AJ157" s="410">
        <f t="shared" si="173"/>
        <v>500</v>
      </c>
      <c r="AK157" s="410">
        <f t="shared" si="173"/>
        <v>500</v>
      </c>
      <c r="AL157" s="410">
        <f t="shared" si="173"/>
        <v>500</v>
      </c>
      <c r="AM157" s="410">
        <f>AM158</f>
        <v>1500</v>
      </c>
      <c r="AN157" s="322"/>
      <c r="AO157" s="5" t="s">
        <v>296</v>
      </c>
      <c r="AP157" s="5" t="str">
        <f t="shared" si="172"/>
        <v>BCG.</v>
      </c>
      <c r="AQ157" s="5" t="str">
        <f t="shared" si="107"/>
        <v>BCG.PXĐL BCG</v>
      </c>
    </row>
    <row r="158" spans="1:43" ht="18.75" customHeight="1" x14ac:dyDescent="0.25">
      <c r="A158" s="5" t="str">
        <f t="shared" si="111"/>
        <v>a</v>
      </c>
      <c r="B158" s="346" t="s">
        <v>8</v>
      </c>
      <c r="C158" s="336" t="s">
        <v>471</v>
      </c>
      <c r="D158" s="336"/>
      <c r="E158" s="336"/>
      <c r="F158" s="408"/>
      <c r="G158" s="408"/>
      <c r="H158" s="413"/>
      <c r="I158" s="413"/>
      <c r="J158" s="413"/>
      <c r="K158" s="413" t="s">
        <v>493</v>
      </c>
      <c r="L158" s="413"/>
      <c r="M158" s="413"/>
      <c r="N158" s="413"/>
      <c r="O158" s="413"/>
      <c r="P158" s="413"/>
      <c r="Q158" s="413"/>
      <c r="R158" s="413"/>
      <c r="S158" s="413"/>
      <c r="T158" s="413"/>
      <c r="U158" s="413"/>
      <c r="V158" s="409">
        <f>AA158+AE158+AI158+AM158</f>
        <v>11800</v>
      </c>
      <c r="W158" s="409"/>
      <c r="X158" s="415">
        <f>KH_ĐL!BK190</f>
        <v>1000</v>
      </c>
      <c r="Y158" s="415">
        <f>KH_ĐL!BL190</f>
        <v>700</v>
      </c>
      <c r="Z158" s="415">
        <f>KH_ĐL!BM190</f>
        <v>900</v>
      </c>
      <c r="AA158" s="415">
        <f>KH_ĐL!BN190+100</f>
        <v>2600</v>
      </c>
      <c r="AB158" s="415">
        <f>KH_ĐL!BO190</f>
        <v>1000</v>
      </c>
      <c r="AC158" s="415">
        <f>KH_ĐL!BP190</f>
        <v>1100</v>
      </c>
      <c r="AD158" s="415">
        <f>KH_ĐL!BQ190</f>
        <v>1200</v>
      </c>
      <c r="AE158" s="415">
        <f>KH_ĐL!BR190</f>
        <v>3300</v>
      </c>
      <c r="AF158" s="415">
        <f>KH_ĐL!BS190</f>
        <v>2500</v>
      </c>
      <c r="AG158" s="415">
        <f>KH_ĐL!BT190</f>
        <v>1400</v>
      </c>
      <c r="AH158" s="415">
        <f>KH_ĐL!BU190</f>
        <v>500</v>
      </c>
      <c r="AI158" s="415">
        <f>KH_ĐL!BV190+100</f>
        <v>4400</v>
      </c>
      <c r="AJ158" s="415">
        <f>KH_ĐL!BW190</f>
        <v>500</v>
      </c>
      <c r="AK158" s="415">
        <f>KH_ĐL!BX190</f>
        <v>500</v>
      </c>
      <c r="AL158" s="415">
        <f>KH_ĐL!BY190</f>
        <v>500</v>
      </c>
      <c r="AM158" s="415">
        <f>KH_ĐL!BZ190</f>
        <v>1500</v>
      </c>
      <c r="AN158" s="322"/>
      <c r="AO158" s="1" t="str">
        <f>AO157</f>
        <v>BCG.</v>
      </c>
      <c r="AP158" s="5" t="str">
        <f t="shared" si="172"/>
        <v>BCG.ĐX</v>
      </c>
      <c r="AQ158" s="5" t="str">
        <f t="shared" si="107"/>
        <v>BCG.SL đào, xén lò</v>
      </c>
    </row>
    <row r="159" spans="1:43" ht="18.75" hidden="1" customHeight="1" x14ac:dyDescent="0.25">
      <c r="A159" s="5" t="str">
        <f t="shared" si="111"/>
        <v>a</v>
      </c>
      <c r="B159" s="346"/>
      <c r="C159" s="336"/>
      <c r="D159" s="336"/>
      <c r="E159" s="336"/>
      <c r="F159" s="408"/>
      <c r="G159" s="408"/>
      <c r="H159" s="413"/>
      <c r="I159" s="413"/>
      <c r="J159" s="413"/>
      <c r="K159" s="413"/>
      <c r="L159" s="413"/>
      <c r="M159" s="413"/>
      <c r="N159" s="413"/>
      <c r="O159" s="413"/>
      <c r="P159" s="413"/>
      <c r="Q159" s="413"/>
      <c r="R159" s="413"/>
      <c r="S159" s="413"/>
      <c r="T159" s="413"/>
      <c r="U159" s="413"/>
      <c r="V159" s="409">
        <f>AA159+AE159+AI159+AM159</f>
        <v>0</v>
      </c>
      <c r="W159" s="409"/>
      <c r="X159" s="410"/>
      <c r="Y159" s="410"/>
      <c r="Z159" s="410"/>
      <c r="AA159" s="410"/>
      <c r="AB159" s="410"/>
      <c r="AC159" s="410"/>
      <c r="AD159" s="410"/>
      <c r="AE159" s="410"/>
      <c r="AF159" s="410"/>
      <c r="AG159" s="410"/>
      <c r="AH159" s="410"/>
      <c r="AI159" s="410"/>
      <c r="AJ159" s="410"/>
      <c r="AK159" s="410"/>
      <c r="AL159" s="410"/>
      <c r="AM159" s="440"/>
      <c r="AN159" s="322"/>
      <c r="AO159" s="1" t="str">
        <f>AO158</f>
        <v>BCG.</v>
      </c>
      <c r="AP159" s="5" t="str">
        <f t="shared" si="172"/>
        <v>BCG.</v>
      </c>
      <c r="AQ159" s="5" t="str">
        <f t="shared" si="107"/>
        <v>BCG.</v>
      </c>
    </row>
    <row r="160" spans="1:43" ht="18.75" hidden="1" customHeight="1" x14ac:dyDescent="0.25">
      <c r="A160" s="5" t="str">
        <f t="shared" si="111"/>
        <v>a</v>
      </c>
      <c r="B160" s="345"/>
      <c r="C160" s="336"/>
      <c r="D160" s="336"/>
      <c r="E160" s="336"/>
      <c r="F160" s="408"/>
      <c r="G160" s="408"/>
      <c r="H160" s="407"/>
      <c r="I160" s="407"/>
      <c r="J160" s="407"/>
      <c r="K160" s="407"/>
      <c r="L160" s="407"/>
      <c r="M160" s="407"/>
      <c r="N160" s="407"/>
      <c r="O160" s="407"/>
      <c r="P160" s="407"/>
      <c r="Q160" s="407"/>
      <c r="R160" s="407"/>
      <c r="S160" s="407"/>
      <c r="T160" s="407"/>
      <c r="U160" s="407"/>
      <c r="V160" s="408"/>
      <c r="W160" s="408"/>
      <c r="X160" s="415"/>
      <c r="Y160" s="415"/>
      <c r="Z160" s="331"/>
      <c r="AA160" s="331"/>
      <c r="AB160" s="417"/>
      <c r="AC160" s="331"/>
      <c r="AD160" s="331"/>
      <c r="AE160" s="331"/>
      <c r="AF160" s="423"/>
      <c r="AG160" s="331"/>
      <c r="AH160" s="331"/>
      <c r="AI160" s="331"/>
      <c r="AJ160" s="331"/>
      <c r="AK160" s="331"/>
      <c r="AL160" s="331"/>
      <c r="AM160" s="434"/>
      <c r="AN160" s="322"/>
      <c r="AO160" s="1" t="str">
        <f>AO159</f>
        <v>BCG.</v>
      </c>
      <c r="AP160" s="5" t="str">
        <f t="shared" si="172"/>
        <v>BCG.</v>
      </c>
      <c r="AQ160" s="5" t="str">
        <f t="shared" si="107"/>
        <v>BCG.</v>
      </c>
    </row>
    <row r="161" spans="1:43" ht="18.75" customHeight="1" x14ac:dyDescent="0.25">
      <c r="A161" s="5" t="str">
        <f t="shared" si="111"/>
        <v>a</v>
      </c>
      <c r="B161" s="347">
        <v>14</v>
      </c>
      <c r="C161" s="336" t="s">
        <v>463</v>
      </c>
      <c r="D161" s="336"/>
      <c r="E161" s="336"/>
      <c r="F161" s="407"/>
      <c r="G161" s="407"/>
      <c r="H161" s="407"/>
      <c r="I161" s="407"/>
      <c r="J161" s="407"/>
      <c r="K161" s="407"/>
      <c r="L161" s="407"/>
      <c r="M161" s="407"/>
      <c r="N161" s="407"/>
      <c r="O161" s="407"/>
      <c r="P161" s="407"/>
      <c r="Q161" s="407"/>
      <c r="R161" s="407"/>
      <c r="S161" s="407"/>
      <c r="T161" s="407"/>
      <c r="U161" s="407"/>
      <c r="V161" s="409">
        <f>AA161+AE161+AI161+AM161</f>
        <v>32400</v>
      </c>
      <c r="W161" s="409"/>
      <c r="X161" s="410">
        <f>X162+X163</f>
        <v>3200</v>
      </c>
      <c r="Y161" s="410">
        <f>Y162+Y163</f>
        <v>2800</v>
      </c>
      <c r="Z161" s="410">
        <f t="shared" ref="Z161:AL161" si="174">Z162+Z163</f>
        <v>3800</v>
      </c>
      <c r="AA161" s="410">
        <f>AA162</f>
        <v>9800</v>
      </c>
      <c r="AB161" s="410">
        <f t="shared" si="174"/>
        <v>3300</v>
      </c>
      <c r="AC161" s="410">
        <f t="shared" si="174"/>
        <v>3500</v>
      </c>
      <c r="AD161" s="410">
        <f t="shared" si="174"/>
        <v>3700</v>
      </c>
      <c r="AE161" s="410">
        <f>AE162</f>
        <v>10500</v>
      </c>
      <c r="AF161" s="410">
        <f t="shared" si="174"/>
        <v>3500</v>
      </c>
      <c r="AG161" s="410">
        <f t="shared" si="174"/>
        <v>2000</v>
      </c>
      <c r="AH161" s="410">
        <f t="shared" si="174"/>
        <v>2000</v>
      </c>
      <c r="AI161" s="410">
        <f>AI162</f>
        <v>7500</v>
      </c>
      <c r="AJ161" s="410">
        <f t="shared" si="174"/>
        <v>1200</v>
      </c>
      <c r="AK161" s="410">
        <f t="shared" si="174"/>
        <v>1600</v>
      </c>
      <c r="AL161" s="410">
        <f t="shared" si="174"/>
        <v>1800</v>
      </c>
      <c r="AM161" s="410">
        <f>AM162</f>
        <v>4600</v>
      </c>
      <c r="AN161" s="322"/>
      <c r="AO161" s="1" t="s">
        <v>297</v>
      </c>
      <c r="AP161" s="5" t="str">
        <f t="shared" si="172"/>
        <v>ĐL3.</v>
      </c>
      <c r="AQ161" s="5" t="str">
        <f t="shared" si="107"/>
        <v>ĐL3.PX ĐL3</v>
      </c>
    </row>
    <row r="162" spans="1:43" ht="18.75" customHeight="1" x14ac:dyDescent="0.25">
      <c r="A162" s="5" t="str">
        <f t="shared" si="111"/>
        <v>a</v>
      </c>
      <c r="B162" s="346" t="s">
        <v>8</v>
      </c>
      <c r="C162" s="336" t="s">
        <v>471</v>
      </c>
      <c r="D162" s="336"/>
      <c r="E162" s="336"/>
      <c r="F162" s="408"/>
      <c r="G162" s="408"/>
      <c r="H162" s="413"/>
      <c r="I162" s="413"/>
      <c r="J162" s="413"/>
      <c r="K162" s="413" t="s">
        <v>493</v>
      </c>
      <c r="L162" s="413"/>
      <c r="M162" s="413"/>
      <c r="N162" s="413"/>
      <c r="O162" s="413"/>
      <c r="P162" s="413"/>
      <c r="Q162" s="413"/>
      <c r="R162" s="413"/>
      <c r="S162" s="413"/>
      <c r="T162" s="413"/>
      <c r="U162" s="413"/>
      <c r="V162" s="409">
        <f>AA162+AE162+AI162+AM162</f>
        <v>32400</v>
      </c>
      <c r="W162" s="409"/>
      <c r="X162" s="415">
        <f>KH_ĐL!BK214</f>
        <v>3200</v>
      </c>
      <c r="Y162" s="415">
        <f>KH_ĐL!BL214</f>
        <v>2800</v>
      </c>
      <c r="Z162" s="415">
        <f>KH_ĐL!BM214</f>
        <v>3800</v>
      </c>
      <c r="AA162" s="415">
        <f>KH_ĐL!BN214+100</f>
        <v>9800</v>
      </c>
      <c r="AB162" s="415">
        <f>KH_ĐL!BO214</f>
        <v>3300</v>
      </c>
      <c r="AC162" s="415">
        <f>KH_ĐL!BP214</f>
        <v>3500</v>
      </c>
      <c r="AD162" s="415">
        <f>KH_ĐL!BQ214</f>
        <v>3700</v>
      </c>
      <c r="AE162" s="415">
        <f>KH_ĐL!BR214+300</f>
        <v>10500</v>
      </c>
      <c r="AF162" s="415">
        <f>KH_ĐL!BS214</f>
        <v>3500</v>
      </c>
      <c r="AG162" s="415">
        <f>KH_ĐL!BT214</f>
        <v>2000</v>
      </c>
      <c r="AH162" s="415">
        <f>KH_ĐL!BU214</f>
        <v>2000</v>
      </c>
      <c r="AI162" s="415">
        <f>KH_ĐL!BV214+200</f>
        <v>7500</v>
      </c>
      <c r="AJ162" s="415">
        <f>KH_ĐL!BW214</f>
        <v>1200</v>
      </c>
      <c r="AK162" s="415">
        <f>KH_ĐL!BX214</f>
        <v>1600</v>
      </c>
      <c r="AL162" s="415">
        <f>KH_ĐL!BY214</f>
        <v>1800</v>
      </c>
      <c r="AM162" s="415">
        <f>KH_ĐL!BZ214+200</f>
        <v>4600</v>
      </c>
      <c r="AN162" s="322"/>
      <c r="AO162" s="1" t="str">
        <f>AO161</f>
        <v>ĐL3.</v>
      </c>
      <c r="AP162" s="5" t="str">
        <f t="shared" si="172"/>
        <v>ĐL3.ĐX</v>
      </c>
      <c r="AQ162" s="5" t="str">
        <f t="shared" si="107"/>
        <v>ĐL3.SL đào, xén lò</v>
      </c>
    </row>
    <row r="163" spans="1:43" ht="18.75" hidden="1" customHeight="1" x14ac:dyDescent="0.25">
      <c r="A163" s="5" t="str">
        <f t="shared" si="111"/>
        <v>a</v>
      </c>
      <c r="B163" s="346"/>
      <c r="C163" s="336"/>
      <c r="D163" s="336"/>
      <c r="E163" s="336"/>
      <c r="F163" s="408"/>
      <c r="G163" s="408"/>
      <c r="H163" s="413"/>
      <c r="I163" s="413"/>
      <c r="J163" s="413"/>
      <c r="K163" s="413"/>
      <c r="L163" s="413"/>
      <c r="M163" s="413"/>
      <c r="N163" s="413"/>
      <c r="O163" s="413"/>
      <c r="P163" s="413"/>
      <c r="Q163" s="413"/>
      <c r="R163" s="413"/>
      <c r="S163" s="413"/>
      <c r="T163" s="413"/>
      <c r="U163" s="413"/>
      <c r="V163" s="409">
        <f>AA163+AE163+AI163+AM163</f>
        <v>0</v>
      </c>
      <c r="W163" s="409"/>
      <c r="X163" s="410"/>
      <c r="Y163" s="410"/>
      <c r="Z163" s="410"/>
      <c r="AA163" s="410"/>
      <c r="AB163" s="410"/>
      <c r="AC163" s="410"/>
      <c r="AD163" s="410"/>
      <c r="AE163" s="410"/>
      <c r="AF163" s="410"/>
      <c r="AG163" s="410"/>
      <c r="AH163" s="410"/>
      <c r="AI163" s="410"/>
      <c r="AJ163" s="410"/>
      <c r="AK163" s="410"/>
      <c r="AL163" s="410"/>
      <c r="AM163" s="440"/>
      <c r="AN163" s="322"/>
      <c r="AO163" s="1" t="str">
        <f>AO162</f>
        <v>ĐL3.</v>
      </c>
      <c r="AP163" s="5" t="str">
        <f t="shared" si="172"/>
        <v>ĐL3.</v>
      </c>
      <c r="AQ163" s="5" t="str">
        <f t="shared" si="107"/>
        <v>ĐL3.</v>
      </c>
    </row>
    <row r="164" spans="1:43" ht="18.75" hidden="1" customHeight="1" x14ac:dyDescent="0.25">
      <c r="A164" s="5" t="str">
        <f t="shared" si="111"/>
        <v>a</v>
      </c>
      <c r="B164" s="345"/>
      <c r="C164" s="336"/>
      <c r="D164" s="336"/>
      <c r="E164" s="336"/>
      <c r="F164" s="408"/>
      <c r="G164" s="408"/>
      <c r="H164" s="408"/>
      <c r="I164" s="408"/>
      <c r="J164" s="408"/>
      <c r="K164" s="408"/>
      <c r="L164" s="408"/>
      <c r="M164" s="408"/>
      <c r="N164" s="408"/>
      <c r="O164" s="408"/>
      <c r="P164" s="408"/>
      <c r="Q164" s="408"/>
      <c r="R164" s="408"/>
      <c r="S164" s="408"/>
      <c r="T164" s="408"/>
      <c r="U164" s="408"/>
      <c r="V164" s="408"/>
      <c r="W164" s="408"/>
      <c r="X164" s="415"/>
      <c r="Y164" s="415"/>
      <c r="Z164" s="331"/>
      <c r="AA164" s="331"/>
      <c r="AB164" s="331"/>
      <c r="AC164" s="418"/>
      <c r="AD164" s="331"/>
      <c r="AE164" s="331"/>
      <c r="AF164" s="423"/>
      <c r="AG164" s="331"/>
      <c r="AH164" s="331"/>
      <c r="AI164" s="331"/>
      <c r="AJ164" s="331"/>
      <c r="AK164" s="331"/>
      <c r="AL164" s="331"/>
      <c r="AM164" s="434"/>
      <c r="AN164" s="322"/>
      <c r="AO164" s="1" t="str">
        <f>AO163</f>
        <v>ĐL3.</v>
      </c>
      <c r="AP164" s="5" t="str">
        <f t="shared" si="172"/>
        <v>ĐL3.</v>
      </c>
      <c r="AQ164" s="5" t="str">
        <f t="shared" si="107"/>
        <v>ĐL3.</v>
      </c>
    </row>
    <row r="165" spans="1:43" ht="18.75" customHeight="1" x14ac:dyDescent="0.25">
      <c r="A165" s="5" t="str">
        <f t="shared" si="111"/>
        <v>a</v>
      </c>
      <c r="B165" s="347">
        <v>15</v>
      </c>
      <c r="C165" s="336" t="s">
        <v>522</v>
      </c>
      <c r="D165" s="336"/>
      <c r="E165" s="336"/>
      <c r="F165" s="407"/>
      <c r="G165" s="407"/>
      <c r="H165" s="407"/>
      <c r="I165" s="407"/>
      <c r="J165" s="407"/>
      <c r="K165" s="407"/>
      <c r="L165" s="407"/>
      <c r="M165" s="407"/>
      <c r="N165" s="407"/>
      <c r="O165" s="407"/>
      <c r="P165" s="407"/>
      <c r="Q165" s="407"/>
      <c r="R165" s="407"/>
      <c r="S165" s="407"/>
      <c r="T165" s="407"/>
      <c r="U165" s="407"/>
      <c r="V165" s="409">
        <f>AA165+AE165+AI165+AM165</f>
        <v>34700</v>
      </c>
      <c r="W165" s="409"/>
      <c r="X165" s="410">
        <f>X166+X167</f>
        <v>2400</v>
      </c>
      <c r="Y165" s="410">
        <f>Y166+Y167</f>
        <v>1800</v>
      </c>
      <c r="Z165" s="410">
        <f t="shared" ref="Z165:AL165" si="175">Z166+Z167</f>
        <v>3200</v>
      </c>
      <c r="AA165" s="410">
        <f>AA166</f>
        <v>7400</v>
      </c>
      <c r="AB165" s="410">
        <f t="shared" si="175"/>
        <v>3700</v>
      </c>
      <c r="AC165" s="410">
        <f t="shared" si="175"/>
        <v>2900</v>
      </c>
      <c r="AD165" s="410">
        <f t="shared" si="175"/>
        <v>3100</v>
      </c>
      <c r="AE165" s="410">
        <f>AE166</f>
        <v>9700</v>
      </c>
      <c r="AF165" s="410">
        <f t="shared" si="175"/>
        <v>2900</v>
      </c>
      <c r="AG165" s="410">
        <f t="shared" si="175"/>
        <v>3100</v>
      </c>
      <c r="AH165" s="410">
        <f t="shared" si="175"/>
        <v>2800</v>
      </c>
      <c r="AI165" s="410">
        <f>AI166</f>
        <v>8800</v>
      </c>
      <c r="AJ165" s="410">
        <f t="shared" si="175"/>
        <v>3200</v>
      </c>
      <c r="AK165" s="410">
        <f t="shared" si="175"/>
        <v>3000</v>
      </c>
      <c r="AL165" s="410">
        <f t="shared" si="175"/>
        <v>2600</v>
      </c>
      <c r="AM165" s="410">
        <f>AM166</f>
        <v>8800</v>
      </c>
      <c r="AN165" s="322"/>
      <c r="AO165" s="5" t="s">
        <v>523</v>
      </c>
      <c r="AP165" s="5" t="str">
        <f t="shared" si="172"/>
        <v>ĐL1.</v>
      </c>
      <c r="AQ165" s="5" t="str">
        <f t="shared" si="107"/>
        <v>ĐL1.PX ĐL1 (ĐL4 cũ)</v>
      </c>
    </row>
    <row r="166" spans="1:43" ht="18.75" customHeight="1" x14ac:dyDescent="0.25">
      <c r="A166" s="5" t="str">
        <f t="shared" si="111"/>
        <v>a</v>
      </c>
      <c r="B166" s="346" t="s">
        <v>8</v>
      </c>
      <c r="C166" s="336" t="s">
        <v>471</v>
      </c>
      <c r="D166" s="336"/>
      <c r="E166" s="336"/>
      <c r="F166" s="408"/>
      <c r="G166" s="408"/>
      <c r="H166" s="413"/>
      <c r="I166" s="413"/>
      <c r="J166" s="413"/>
      <c r="K166" s="413" t="s">
        <v>493</v>
      </c>
      <c r="L166" s="413"/>
      <c r="M166" s="413"/>
      <c r="N166" s="413"/>
      <c r="O166" s="413"/>
      <c r="P166" s="413"/>
      <c r="Q166" s="413"/>
      <c r="R166" s="413"/>
      <c r="S166" s="413"/>
      <c r="T166" s="413"/>
      <c r="U166" s="413"/>
      <c r="V166" s="409">
        <f>AA166+AE166+AI166+AM166</f>
        <v>34700</v>
      </c>
      <c r="W166" s="409"/>
      <c r="X166" s="415">
        <f>KH_ĐL!BK242</f>
        <v>2400</v>
      </c>
      <c r="Y166" s="415">
        <f>KH_ĐL!BL242</f>
        <v>1800</v>
      </c>
      <c r="Z166" s="415">
        <f>KH_ĐL!BM242</f>
        <v>3200</v>
      </c>
      <c r="AA166" s="415">
        <f>KH_ĐL!BN242+200</f>
        <v>7400</v>
      </c>
      <c r="AB166" s="415">
        <f>KH_ĐL!BO242</f>
        <v>3700</v>
      </c>
      <c r="AC166" s="415">
        <f>KH_ĐL!BP242</f>
        <v>2900</v>
      </c>
      <c r="AD166" s="415">
        <f>KH_ĐL!BQ242</f>
        <v>3100</v>
      </c>
      <c r="AE166" s="415">
        <f>KH_ĐL!BR242+300</f>
        <v>9700</v>
      </c>
      <c r="AF166" s="415">
        <f>KH_ĐL!BS242</f>
        <v>2900</v>
      </c>
      <c r="AG166" s="415">
        <f>KH_ĐL!BT242</f>
        <v>3100</v>
      </c>
      <c r="AH166" s="415">
        <f>KH_ĐL!BU242</f>
        <v>2800</v>
      </c>
      <c r="AI166" s="415">
        <f>KH_ĐL!BV242+200</f>
        <v>8800</v>
      </c>
      <c r="AJ166" s="415">
        <f>KH_ĐL!BW242</f>
        <v>3200</v>
      </c>
      <c r="AK166" s="415">
        <f>KH_ĐL!BX242</f>
        <v>3000</v>
      </c>
      <c r="AL166" s="415">
        <f>KH_ĐL!BY242</f>
        <v>2600</v>
      </c>
      <c r="AM166" s="415">
        <f>KH_ĐL!BZ242+100</f>
        <v>8800</v>
      </c>
      <c r="AN166" s="322"/>
      <c r="AO166" s="1" t="str">
        <f>AO165</f>
        <v>ĐL1.</v>
      </c>
      <c r="AP166" s="5" t="str">
        <f t="shared" si="172"/>
        <v>ĐL1.ĐX</v>
      </c>
      <c r="AQ166" s="5" t="str">
        <f t="shared" ref="AQ166:AQ229" si="176">AO166&amp;C166</f>
        <v>ĐL1.SL đào, xén lò</v>
      </c>
    </row>
    <row r="167" spans="1:43" ht="18.75" hidden="1" customHeight="1" x14ac:dyDescent="0.25">
      <c r="A167" s="5" t="str">
        <f t="shared" si="111"/>
        <v>a</v>
      </c>
      <c r="B167" s="346"/>
      <c r="C167" s="336"/>
      <c r="D167" s="336"/>
      <c r="E167" s="336"/>
      <c r="F167" s="408"/>
      <c r="G167" s="408"/>
      <c r="H167" s="413"/>
      <c r="I167" s="413"/>
      <c r="J167" s="413"/>
      <c r="K167" s="413"/>
      <c r="L167" s="413"/>
      <c r="M167" s="413"/>
      <c r="N167" s="413"/>
      <c r="O167" s="413"/>
      <c r="P167" s="413"/>
      <c r="Q167" s="413"/>
      <c r="R167" s="413"/>
      <c r="S167" s="413"/>
      <c r="T167" s="413"/>
      <c r="U167" s="413"/>
      <c r="V167" s="409">
        <f>AA167+AE167+AI167+AM167</f>
        <v>0</v>
      </c>
      <c r="W167" s="409"/>
      <c r="X167" s="410"/>
      <c r="Y167" s="410"/>
      <c r="Z167" s="410"/>
      <c r="AA167" s="410"/>
      <c r="AB167" s="410"/>
      <c r="AC167" s="410"/>
      <c r="AD167" s="410"/>
      <c r="AE167" s="410"/>
      <c r="AF167" s="410"/>
      <c r="AG167" s="410"/>
      <c r="AH167" s="410"/>
      <c r="AI167" s="410"/>
      <c r="AJ167" s="410"/>
      <c r="AK167" s="410"/>
      <c r="AL167" s="410"/>
      <c r="AM167" s="440"/>
      <c r="AN167" s="322"/>
      <c r="AO167" s="1" t="str">
        <f>AO166</f>
        <v>ĐL1.</v>
      </c>
      <c r="AP167" s="5" t="str">
        <f t="shared" si="172"/>
        <v>ĐL1.</v>
      </c>
      <c r="AQ167" s="5" t="str">
        <f t="shared" si="176"/>
        <v>ĐL1.</v>
      </c>
    </row>
    <row r="168" spans="1:43" ht="18.75" hidden="1" customHeight="1" x14ac:dyDescent="0.25">
      <c r="A168" s="5" t="str">
        <f t="shared" si="111"/>
        <v>a</v>
      </c>
      <c r="B168" s="345"/>
      <c r="C168" s="336"/>
      <c r="D168" s="336"/>
      <c r="E168" s="336"/>
      <c r="F168" s="408"/>
      <c r="G168" s="408"/>
      <c r="H168" s="408"/>
      <c r="I168" s="408"/>
      <c r="J168" s="408"/>
      <c r="K168" s="408"/>
      <c r="L168" s="408"/>
      <c r="M168" s="408"/>
      <c r="N168" s="408"/>
      <c r="O168" s="408"/>
      <c r="P168" s="408"/>
      <c r="Q168" s="408"/>
      <c r="R168" s="408"/>
      <c r="S168" s="408"/>
      <c r="T168" s="408"/>
      <c r="U168" s="408"/>
      <c r="V168" s="408"/>
      <c r="W168" s="408"/>
      <c r="X168" s="415"/>
      <c r="Y168" s="415"/>
      <c r="Z168" s="331"/>
      <c r="AA168" s="331"/>
      <c r="AB168" s="331"/>
      <c r="AC168" s="418"/>
      <c r="AD168" s="331"/>
      <c r="AE168" s="331"/>
      <c r="AF168" s="423"/>
      <c r="AG168" s="331"/>
      <c r="AH168" s="331"/>
      <c r="AI168" s="331"/>
      <c r="AJ168" s="331"/>
      <c r="AK168" s="331"/>
      <c r="AL168" s="331"/>
      <c r="AM168" s="434"/>
      <c r="AN168" s="322"/>
      <c r="AO168" s="1" t="str">
        <f>AO167</f>
        <v>ĐL1.</v>
      </c>
      <c r="AP168" s="5" t="str">
        <f t="shared" si="172"/>
        <v>ĐL1.</v>
      </c>
      <c r="AQ168" s="5" t="str">
        <f t="shared" si="176"/>
        <v>ĐL1.</v>
      </c>
    </row>
    <row r="169" spans="1:43" ht="18.75" customHeight="1" x14ac:dyDescent="0.25">
      <c r="A169" s="5" t="str">
        <f t="shared" ref="A169:A236" si="177">A167</f>
        <v>a</v>
      </c>
      <c r="B169" s="347">
        <v>16</v>
      </c>
      <c r="C169" s="336" t="s">
        <v>464</v>
      </c>
      <c r="D169" s="336"/>
      <c r="E169" s="336"/>
      <c r="F169" s="407"/>
      <c r="G169" s="407"/>
      <c r="H169" s="407"/>
      <c r="I169" s="407"/>
      <c r="J169" s="407"/>
      <c r="K169" s="407"/>
      <c r="L169" s="407"/>
      <c r="M169" s="407"/>
      <c r="N169" s="407"/>
      <c r="O169" s="407"/>
      <c r="P169" s="407"/>
      <c r="Q169" s="407"/>
      <c r="R169" s="407"/>
      <c r="S169" s="407"/>
      <c r="T169" s="407"/>
      <c r="U169" s="407"/>
      <c r="V169" s="409">
        <f>AA169+AE169+AI169+AM169</f>
        <v>30600</v>
      </c>
      <c r="W169" s="409"/>
      <c r="X169" s="410">
        <f>X170+X171</f>
        <v>2800</v>
      </c>
      <c r="Y169" s="410">
        <f>Y170+Y171</f>
        <v>2100</v>
      </c>
      <c r="Z169" s="410">
        <f t="shared" ref="Z169:AL169" si="178">Z170+Z171</f>
        <v>2500</v>
      </c>
      <c r="AA169" s="410">
        <f>AA170</f>
        <v>7400</v>
      </c>
      <c r="AB169" s="410">
        <f t="shared" si="178"/>
        <v>3000</v>
      </c>
      <c r="AC169" s="410">
        <f t="shared" si="178"/>
        <v>3500</v>
      </c>
      <c r="AD169" s="410">
        <f t="shared" si="178"/>
        <v>3900</v>
      </c>
      <c r="AE169" s="410">
        <f>AE170</f>
        <v>10400</v>
      </c>
      <c r="AF169" s="410">
        <f t="shared" si="178"/>
        <v>2500</v>
      </c>
      <c r="AG169" s="410">
        <f t="shared" si="178"/>
        <v>2300</v>
      </c>
      <c r="AH169" s="410">
        <f t="shared" si="178"/>
        <v>2200</v>
      </c>
      <c r="AI169" s="410">
        <f>AI170</f>
        <v>7000</v>
      </c>
      <c r="AJ169" s="410">
        <f t="shared" si="178"/>
        <v>1900</v>
      </c>
      <c r="AK169" s="410">
        <f t="shared" si="178"/>
        <v>2000</v>
      </c>
      <c r="AL169" s="410">
        <f t="shared" si="178"/>
        <v>1900</v>
      </c>
      <c r="AM169" s="410">
        <f>AM170</f>
        <v>5800</v>
      </c>
      <c r="AN169" s="322"/>
      <c r="AO169" s="1" t="s">
        <v>298</v>
      </c>
      <c r="AP169" s="5" t="str">
        <f t="shared" si="172"/>
        <v>ĐL5.</v>
      </c>
      <c r="AQ169" s="5" t="str">
        <f t="shared" si="176"/>
        <v>ĐL5.PX ĐL5</v>
      </c>
    </row>
    <row r="170" spans="1:43" ht="18.75" customHeight="1" x14ac:dyDescent="0.25">
      <c r="A170" s="5" t="str">
        <f t="shared" si="177"/>
        <v>a</v>
      </c>
      <c r="B170" s="346" t="s">
        <v>8</v>
      </c>
      <c r="C170" s="336" t="s">
        <v>471</v>
      </c>
      <c r="D170" s="336"/>
      <c r="E170" s="336"/>
      <c r="F170" s="408"/>
      <c r="G170" s="408"/>
      <c r="H170" s="413"/>
      <c r="I170" s="413"/>
      <c r="J170" s="413"/>
      <c r="K170" s="413" t="s">
        <v>493</v>
      </c>
      <c r="L170" s="413"/>
      <c r="M170" s="413"/>
      <c r="N170" s="413"/>
      <c r="O170" s="413"/>
      <c r="P170" s="413"/>
      <c r="Q170" s="413"/>
      <c r="R170" s="413"/>
      <c r="S170" s="413"/>
      <c r="T170" s="413"/>
      <c r="U170" s="413"/>
      <c r="V170" s="409">
        <f>AA170+AE170+AI170+AM170</f>
        <v>30600</v>
      </c>
      <c r="W170" s="409"/>
      <c r="X170" s="415">
        <f>KH_ĐL!BK266</f>
        <v>2800</v>
      </c>
      <c r="Y170" s="415">
        <f>KH_ĐL!BL266</f>
        <v>2100</v>
      </c>
      <c r="Z170" s="415">
        <f>KH_ĐL!BM266</f>
        <v>2500</v>
      </c>
      <c r="AA170" s="415">
        <f>KH_ĐL!BN266+300</f>
        <v>7400</v>
      </c>
      <c r="AB170" s="415">
        <f>KH_ĐL!BO266</f>
        <v>3000</v>
      </c>
      <c r="AC170" s="415">
        <f>KH_ĐL!BP266</f>
        <v>3500</v>
      </c>
      <c r="AD170" s="415">
        <f>KH_ĐL!BQ266</f>
        <v>3900</v>
      </c>
      <c r="AE170" s="415">
        <f>KH_ĐL!BR266+300</f>
        <v>10400</v>
      </c>
      <c r="AF170" s="415">
        <f>KH_ĐL!BS266</f>
        <v>2500</v>
      </c>
      <c r="AG170" s="415">
        <f>KH_ĐL!BT266</f>
        <v>2300</v>
      </c>
      <c r="AH170" s="415">
        <f>KH_ĐL!BU266</f>
        <v>2200</v>
      </c>
      <c r="AI170" s="415">
        <f>KH_ĐL!BV266+200</f>
        <v>7000</v>
      </c>
      <c r="AJ170" s="415">
        <f>KH_ĐL!BW266</f>
        <v>1900</v>
      </c>
      <c r="AK170" s="415">
        <f>KH_ĐL!BX266</f>
        <v>2000</v>
      </c>
      <c r="AL170" s="415">
        <f>KH_ĐL!BY266</f>
        <v>1900</v>
      </c>
      <c r="AM170" s="415">
        <f>KH_ĐL!BZ266+200</f>
        <v>5800</v>
      </c>
      <c r="AN170" s="322"/>
      <c r="AO170" s="1" t="str">
        <f>AO169</f>
        <v>ĐL5.</v>
      </c>
      <c r="AP170" s="5" t="str">
        <f t="shared" si="172"/>
        <v>ĐL5.ĐX</v>
      </c>
      <c r="AQ170" s="5" t="str">
        <f t="shared" si="176"/>
        <v>ĐL5.SL đào, xén lò</v>
      </c>
    </row>
    <row r="171" spans="1:43" ht="18.75" hidden="1" customHeight="1" x14ac:dyDescent="0.25">
      <c r="A171" s="5" t="str">
        <f t="shared" si="177"/>
        <v>a</v>
      </c>
      <c r="B171" s="346"/>
      <c r="C171" s="336"/>
      <c r="D171" s="336"/>
      <c r="E171" s="336"/>
      <c r="F171" s="408"/>
      <c r="G171" s="408"/>
      <c r="H171" s="413"/>
      <c r="I171" s="413"/>
      <c r="J171" s="413"/>
      <c r="K171" s="413"/>
      <c r="L171" s="413"/>
      <c r="M171" s="413"/>
      <c r="N171" s="413"/>
      <c r="O171" s="413"/>
      <c r="P171" s="413"/>
      <c r="Q171" s="413"/>
      <c r="R171" s="413"/>
      <c r="S171" s="413"/>
      <c r="T171" s="413"/>
      <c r="U171" s="413"/>
      <c r="V171" s="409">
        <f>AA171+AE171+AI171+AM171</f>
        <v>0</v>
      </c>
      <c r="W171" s="409"/>
      <c r="X171" s="410"/>
      <c r="Y171" s="410"/>
      <c r="Z171" s="410"/>
      <c r="AA171" s="410"/>
      <c r="AB171" s="410"/>
      <c r="AC171" s="410"/>
      <c r="AD171" s="410"/>
      <c r="AE171" s="410"/>
      <c r="AF171" s="410"/>
      <c r="AG171" s="410"/>
      <c r="AH171" s="410"/>
      <c r="AI171" s="410"/>
      <c r="AJ171" s="410"/>
      <c r="AK171" s="410"/>
      <c r="AL171" s="410"/>
      <c r="AM171" s="440"/>
      <c r="AN171" s="322"/>
      <c r="AO171" s="1" t="str">
        <f>AO170</f>
        <v>ĐL5.</v>
      </c>
      <c r="AP171" s="5" t="str">
        <f t="shared" si="172"/>
        <v>ĐL5.</v>
      </c>
      <c r="AQ171" s="5" t="str">
        <f t="shared" si="176"/>
        <v>ĐL5.</v>
      </c>
    </row>
    <row r="172" spans="1:43" ht="18.75" hidden="1" customHeight="1" x14ac:dyDescent="0.25">
      <c r="A172" s="5" t="str">
        <f t="shared" si="177"/>
        <v>a</v>
      </c>
      <c r="B172" s="345"/>
      <c r="C172" s="336"/>
      <c r="D172" s="336"/>
      <c r="E172" s="336"/>
      <c r="F172" s="408"/>
      <c r="G172" s="408"/>
      <c r="H172" s="408"/>
      <c r="I172" s="408"/>
      <c r="J172" s="408"/>
      <c r="K172" s="408"/>
      <c r="L172" s="408"/>
      <c r="M172" s="408"/>
      <c r="N172" s="408"/>
      <c r="O172" s="408"/>
      <c r="P172" s="408"/>
      <c r="Q172" s="408"/>
      <c r="R172" s="408"/>
      <c r="S172" s="408"/>
      <c r="T172" s="408"/>
      <c r="U172" s="408"/>
      <c r="V172" s="408"/>
      <c r="W172" s="408"/>
      <c r="X172" s="415"/>
      <c r="Y172" s="415"/>
      <c r="Z172" s="331"/>
      <c r="AA172" s="331"/>
      <c r="AB172" s="331"/>
      <c r="AC172" s="418"/>
      <c r="AD172" s="331"/>
      <c r="AE172" s="331"/>
      <c r="AF172" s="423"/>
      <c r="AG172" s="331"/>
      <c r="AH172" s="331"/>
      <c r="AI172" s="331"/>
      <c r="AJ172" s="331"/>
      <c r="AK172" s="331"/>
      <c r="AL172" s="331"/>
      <c r="AM172" s="434"/>
      <c r="AN172" s="322"/>
      <c r="AO172" s="1" t="str">
        <f>AO171</f>
        <v>ĐL5.</v>
      </c>
      <c r="AP172" s="5" t="str">
        <f t="shared" si="172"/>
        <v>ĐL5.</v>
      </c>
      <c r="AQ172" s="5" t="str">
        <f t="shared" si="176"/>
        <v>ĐL5.</v>
      </c>
    </row>
    <row r="173" spans="1:43" ht="18.75" customHeight="1" x14ac:dyDescent="0.25">
      <c r="A173" s="5" t="str">
        <f t="shared" si="177"/>
        <v>a</v>
      </c>
      <c r="B173" s="347">
        <v>17</v>
      </c>
      <c r="C173" s="336" t="s">
        <v>465</v>
      </c>
      <c r="D173" s="336"/>
      <c r="E173" s="336"/>
      <c r="F173" s="407"/>
      <c r="G173" s="407"/>
      <c r="H173" s="407"/>
      <c r="I173" s="407"/>
      <c r="J173" s="407"/>
      <c r="K173" s="407"/>
      <c r="L173" s="407"/>
      <c r="M173" s="407"/>
      <c r="N173" s="407"/>
      <c r="O173" s="407"/>
      <c r="P173" s="407"/>
      <c r="Q173" s="407"/>
      <c r="R173" s="407"/>
      <c r="S173" s="407"/>
      <c r="T173" s="407"/>
      <c r="U173" s="407"/>
      <c r="V173" s="409">
        <f>AA173+AE173+AI173+AM173</f>
        <v>34800</v>
      </c>
      <c r="W173" s="409"/>
      <c r="X173" s="410">
        <f>X174+X175</f>
        <v>3100</v>
      </c>
      <c r="Y173" s="410">
        <f>Y174+Y175</f>
        <v>3000</v>
      </c>
      <c r="Z173" s="410">
        <f t="shared" ref="Z173:AL173" si="179">Z174+Z175</f>
        <v>3700</v>
      </c>
      <c r="AA173" s="410">
        <f>AA174</f>
        <v>9800</v>
      </c>
      <c r="AB173" s="410">
        <f t="shared" si="179"/>
        <v>3700</v>
      </c>
      <c r="AC173" s="410">
        <f t="shared" si="179"/>
        <v>3600</v>
      </c>
      <c r="AD173" s="410">
        <f t="shared" si="179"/>
        <v>2800</v>
      </c>
      <c r="AE173" s="410">
        <f>AE174</f>
        <v>10100</v>
      </c>
      <c r="AF173" s="410">
        <f t="shared" si="179"/>
        <v>2700</v>
      </c>
      <c r="AG173" s="410">
        <f t="shared" si="179"/>
        <v>2100</v>
      </c>
      <c r="AH173" s="410">
        <f t="shared" si="179"/>
        <v>2300</v>
      </c>
      <c r="AI173" s="410">
        <f>AI174</f>
        <v>7100</v>
      </c>
      <c r="AJ173" s="410">
        <f t="shared" si="179"/>
        <v>2800</v>
      </c>
      <c r="AK173" s="410">
        <f t="shared" si="179"/>
        <v>2600</v>
      </c>
      <c r="AL173" s="410">
        <f t="shared" si="179"/>
        <v>2400</v>
      </c>
      <c r="AM173" s="410">
        <f>AM174</f>
        <v>7800</v>
      </c>
      <c r="AN173" s="322"/>
      <c r="AO173" s="1" t="s">
        <v>299</v>
      </c>
      <c r="AP173" s="5" t="str">
        <f t="shared" si="172"/>
        <v>ĐL6.</v>
      </c>
      <c r="AQ173" s="5" t="str">
        <f t="shared" si="176"/>
        <v>ĐL6.PX ĐL6</v>
      </c>
    </row>
    <row r="174" spans="1:43" ht="18.75" customHeight="1" x14ac:dyDescent="0.25">
      <c r="A174" s="5" t="str">
        <f t="shared" si="177"/>
        <v>a</v>
      </c>
      <c r="B174" s="346" t="s">
        <v>8</v>
      </c>
      <c r="C174" s="336" t="s">
        <v>471</v>
      </c>
      <c r="D174" s="336"/>
      <c r="E174" s="336"/>
      <c r="F174" s="408"/>
      <c r="G174" s="408"/>
      <c r="H174" s="413"/>
      <c r="I174" s="413"/>
      <c r="J174" s="413"/>
      <c r="K174" s="413" t="s">
        <v>493</v>
      </c>
      <c r="L174" s="413"/>
      <c r="M174" s="413"/>
      <c r="N174" s="413"/>
      <c r="O174" s="413"/>
      <c r="P174" s="413"/>
      <c r="Q174" s="413"/>
      <c r="R174" s="413"/>
      <c r="S174" s="413"/>
      <c r="T174" s="413"/>
      <c r="U174" s="413"/>
      <c r="V174" s="409">
        <f>AA174+AE174+AI174+AM174</f>
        <v>34800</v>
      </c>
      <c r="W174" s="409"/>
      <c r="X174" s="415">
        <f>KH_ĐL!BK292</f>
        <v>3100</v>
      </c>
      <c r="Y174" s="415">
        <f>KH_ĐL!BL292</f>
        <v>3000</v>
      </c>
      <c r="Z174" s="415">
        <f>KH_ĐL!BM292</f>
        <v>3700</v>
      </c>
      <c r="AA174" s="415">
        <f>KH_ĐL!BN292+200</f>
        <v>9800</v>
      </c>
      <c r="AB174" s="415">
        <f>KH_ĐL!BO292</f>
        <v>3700</v>
      </c>
      <c r="AC174" s="415">
        <f>KH_ĐL!BP292</f>
        <v>3600</v>
      </c>
      <c r="AD174" s="415">
        <f>KH_ĐL!BQ292</f>
        <v>2800</v>
      </c>
      <c r="AE174" s="415">
        <f>KH_ĐL!BR292+100</f>
        <v>10100</v>
      </c>
      <c r="AF174" s="415">
        <f>KH_ĐL!BS292</f>
        <v>2700</v>
      </c>
      <c r="AG174" s="415">
        <f>KH_ĐL!BT292</f>
        <v>2100</v>
      </c>
      <c r="AH174" s="415">
        <f>KH_ĐL!BU292</f>
        <v>2300</v>
      </c>
      <c r="AI174" s="415">
        <f>KH_ĐL!BV292-100</f>
        <v>7100</v>
      </c>
      <c r="AJ174" s="415">
        <f>KH_ĐL!BW292</f>
        <v>2800</v>
      </c>
      <c r="AK174" s="415">
        <f>KH_ĐL!BX292</f>
        <v>2600</v>
      </c>
      <c r="AL174" s="415">
        <f>KH_ĐL!BY292</f>
        <v>2400</v>
      </c>
      <c r="AM174" s="415">
        <f>KH_ĐL!BZ292</f>
        <v>7800</v>
      </c>
      <c r="AN174" s="322"/>
      <c r="AO174" s="1" t="str">
        <f>AO173</f>
        <v>ĐL6.</v>
      </c>
      <c r="AP174" s="5" t="str">
        <f t="shared" si="172"/>
        <v>ĐL6.ĐX</v>
      </c>
      <c r="AQ174" s="5" t="str">
        <f t="shared" si="176"/>
        <v>ĐL6.SL đào, xén lò</v>
      </c>
    </row>
    <row r="175" spans="1:43" ht="18.75" hidden="1" customHeight="1" x14ac:dyDescent="0.25">
      <c r="A175" s="5" t="str">
        <f t="shared" si="177"/>
        <v>a</v>
      </c>
      <c r="B175" s="346"/>
      <c r="C175" s="336"/>
      <c r="D175" s="336"/>
      <c r="E175" s="336"/>
      <c r="F175" s="408"/>
      <c r="G175" s="408"/>
      <c r="H175" s="413"/>
      <c r="I175" s="413"/>
      <c r="J175" s="413"/>
      <c r="K175" s="413"/>
      <c r="L175" s="413"/>
      <c r="M175" s="413"/>
      <c r="N175" s="413"/>
      <c r="O175" s="413"/>
      <c r="P175" s="413"/>
      <c r="Q175" s="413"/>
      <c r="R175" s="413"/>
      <c r="S175" s="413"/>
      <c r="T175" s="413"/>
      <c r="U175" s="413"/>
      <c r="V175" s="409">
        <f>AA175+AE175+AI175+AM175</f>
        <v>0</v>
      </c>
      <c r="W175" s="409"/>
      <c r="X175" s="410"/>
      <c r="Y175" s="410"/>
      <c r="Z175" s="410"/>
      <c r="AA175" s="410"/>
      <c r="AB175" s="410"/>
      <c r="AC175" s="410"/>
      <c r="AD175" s="410"/>
      <c r="AE175" s="410"/>
      <c r="AF175" s="410"/>
      <c r="AG175" s="410"/>
      <c r="AH175" s="410"/>
      <c r="AI175" s="410"/>
      <c r="AJ175" s="410"/>
      <c r="AK175" s="410"/>
      <c r="AL175" s="410"/>
      <c r="AM175" s="440"/>
      <c r="AN175" s="322"/>
      <c r="AO175" s="1" t="str">
        <f>AO174</f>
        <v>ĐL6.</v>
      </c>
      <c r="AP175" s="5" t="str">
        <f t="shared" si="172"/>
        <v>ĐL6.</v>
      </c>
      <c r="AQ175" s="5" t="str">
        <f t="shared" si="176"/>
        <v>ĐL6.</v>
      </c>
    </row>
    <row r="176" spans="1:43" ht="18.75" hidden="1" customHeight="1" x14ac:dyDescent="0.25">
      <c r="A176" s="5" t="str">
        <f t="shared" si="177"/>
        <v>a</v>
      </c>
      <c r="B176" s="345"/>
      <c r="C176" s="336"/>
      <c r="D176" s="336"/>
      <c r="E176" s="336"/>
      <c r="F176" s="408"/>
      <c r="G176" s="408"/>
      <c r="H176" s="408"/>
      <c r="I176" s="408"/>
      <c r="J176" s="408"/>
      <c r="K176" s="408"/>
      <c r="L176" s="408"/>
      <c r="M176" s="408"/>
      <c r="N176" s="408"/>
      <c r="O176" s="408"/>
      <c r="P176" s="408"/>
      <c r="Q176" s="408"/>
      <c r="R176" s="408"/>
      <c r="S176" s="408"/>
      <c r="T176" s="408"/>
      <c r="U176" s="408"/>
      <c r="V176" s="408"/>
      <c r="W176" s="408"/>
      <c r="X176" s="415"/>
      <c r="Y176" s="415"/>
      <c r="Z176" s="331"/>
      <c r="AA176" s="331"/>
      <c r="AB176" s="331"/>
      <c r="AC176" s="418"/>
      <c r="AD176" s="331"/>
      <c r="AE176" s="331"/>
      <c r="AF176" s="423"/>
      <c r="AG176" s="331"/>
      <c r="AH176" s="331"/>
      <c r="AI176" s="331"/>
      <c r="AJ176" s="331"/>
      <c r="AK176" s="331"/>
      <c r="AL176" s="331"/>
      <c r="AM176" s="434"/>
      <c r="AN176" s="322"/>
      <c r="AO176" s="1" t="str">
        <f>AO175</f>
        <v>ĐL6.</v>
      </c>
      <c r="AP176" s="5" t="str">
        <f t="shared" si="172"/>
        <v>ĐL6.</v>
      </c>
      <c r="AQ176" s="5" t="str">
        <f t="shared" si="176"/>
        <v>ĐL6.</v>
      </c>
    </row>
    <row r="177" spans="1:43" ht="18.75" customHeight="1" x14ac:dyDescent="0.25">
      <c r="A177" s="5" t="str">
        <f t="shared" si="177"/>
        <v>a</v>
      </c>
      <c r="B177" s="347">
        <v>18</v>
      </c>
      <c r="C177" s="336" t="s">
        <v>499</v>
      </c>
      <c r="D177" s="336"/>
      <c r="E177" s="336"/>
      <c r="F177" s="407"/>
      <c r="G177" s="407"/>
      <c r="H177" s="407"/>
      <c r="I177" s="407"/>
      <c r="J177" s="407"/>
      <c r="K177" s="407"/>
      <c r="L177" s="407"/>
      <c r="M177" s="407"/>
      <c r="N177" s="407"/>
      <c r="O177" s="407"/>
      <c r="P177" s="407"/>
      <c r="Q177" s="407"/>
      <c r="R177" s="407"/>
      <c r="S177" s="407"/>
      <c r="T177" s="407"/>
      <c r="U177" s="407"/>
      <c r="V177" s="409">
        <f>AA177+AE177+AI177+AM177</f>
        <v>2500</v>
      </c>
      <c r="W177" s="409"/>
      <c r="X177" s="410">
        <f>X178+X179</f>
        <v>0</v>
      </c>
      <c r="Y177" s="410">
        <f>Y178+Y179</f>
        <v>0</v>
      </c>
      <c r="Z177" s="410">
        <f t="shared" ref="Z177:AL177" si="180">Z178+Z179</f>
        <v>0</v>
      </c>
      <c r="AA177" s="410">
        <f>AA178</f>
        <v>0</v>
      </c>
      <c r="AB177" s="410">
        <f t="shared" si="180"/>
        <v>300</v>
      </c>
      <c r="AC177" s="410">
        <f t="shared" si="180"/>
        <v>800</v>
      </c>
      <c r="AD177" s="410">
        <f t="shared" si="180"/>
        <v>800</v>
      </c>
      <c r="AE177" s="410">
        <f>AE178</f>
        <v>1900</v>
      </c>
      <c r="AF177" s="410">
        <f t="shared" si="180"/>
        <v>200</v>
      </c>
      <c r="AG177" s="410">
        <f t="shared" si="180"/>
        <v>0</v>
      </c>
      <c r="AH177" s="410">
        <f t="shared" si="180"/>
        <v>0</v>
      </c>
      <c r="AI177" s="410">
        <f>AI178</f>
        <v>200</v>
      </c>
      <c r="AJ177" s="410">
        <f t="shared" si="180"/>
        <v>0</v>
      </c>
      <c r="AK177" s="410">
        <f t="shared" si="180"/>
        <v>0</v>
      </c>
      <c r="AL177" s="410">
        <f t="shared" si="180"/>
        <v>400</v>
      </c>
      <c r="AM177" s="410">
        <f>AM178</f>
        <v>400</v>
      </c>
      <c r="AN177" s="322"/>
      <c r="AO177" s="1" t="s">
        <v>496</v>
      </c>
      <c r="AP177" s="5" t="str">
        <f t="shared" si="172"/>
        <v>XLM.</v>
      </c>
      <c r="AQ177" s="5" t="str">
        <f t="shared" si="176"/>
        <v>XLM.XÂY LẮP MỎ</v>
      </c>
    </row>
    <row r="178" spans="1:43" ht="18.75" customHeight="1" x14ac:dyDescent="0.25">
      <c r="A178" s="5" t="str">
        <f t="shared" si="177"/>
        <v>a</v>
      </c>
      <c r="B178" s="346" t="s">
        <v>8</v>
      </c>
      <c r="C178" s="336" t="s">
        <v>471</v>
      </c>
      <c r="D178" s="336"/>
      <c r="E178" s="336"/>
      <c r="F178" s="408"/>
      <c r="G178" s="408"/>
      <c r="H178" s="413"/>
      <c r="I178" s="413"/>
      <c r="J178" s="413"/>
      <c r="K178" s="413" t="s">
        <v>493</v>
      </c>
      <c r="L178" s="413"/>
      <c r="M178" s="413"/>
      <c r="N178" s="413"/>
      <c r="O178" s="413"/>
      <c r="P178" s="413"/>
      <c r="Q178" s="413"/>
      <c r="R178" s="413"/>
      <c r="S178" s="413"/>
      <c r="T178" s="413"/>
      <c r="U178" s="413"/>
      <c r="V178" s="409">
        <f>AA178+AE178+AI178+AM178</f>
        <v>2500</v>
      </c>
      <c r="W178" s="409"/>
      <c r="X178" s="415">
        <f>KH_ĐL!BK319</f>
        <v>0</v>
      </c>
      <c r="Y178" s="415">
        <f>KH_ĐL!BL319</f>
        <v>0</v>
      </c>
      <c r="Z178" s="415">
        <f>KH_ĐL!BM319</f>
        <v>0</v>
      </c>
      <c r="AA178" s="415">
        <f>KH_ĐL!BN319</f>
        <v>0</v>
      </c>
      <c r="AB178" s="415">
        <f>KH_ĐL!BO319</f>
        <v>300</v>
      </c>
      <c r="AC178" s="415">
        <f>KH_ĐL!BP319</f>
        <v>800</v>
      </c>
      <c r="AD178" s="415">
        <f>KH_ĐL!BQ319</f>
        <v>800</v>
      </c>
      <c r="AE178" s="415">
        <f>KH_ĐL!BR319+100</f>
        <v>1900</v>
      </c>
      <c r="AF178" s="415">
        <f>KH_ĐL!BS319</f>
        <v>200</v>
      </c>
      <c r="AG178" s="415">
        <f>KH_ĐL!BT319</f>
        <v>0</v>
      </c>
      <c r="AH178" s="415">
        <f>KH_ĐL!BU319</f>
        <v>0</v>
      </c>
      <c r="AI178" s="415">
        <f>KH_ĐL!BV319</f>
        <v>200</v>
      </c>
      <c r="AJ178" s="415">
        <f>KH_ĐL!BW319</f>
        <v>0</v>
      </c>
      <c r="AK178" s="415">
        <f>KH_ĐL!BX319</f>
        <v>0</v>
      </c>
      <c r="AL178" s="415">
        <f>KH_ĐL!BY319</f>
        <v>400</v>
      </c>
      <c r="AM178" s="415">
        <f>KH_ĐL!BZ319</f>
        <v>400</v>
      </c>
      <c r="AN178" s="322"/>
      <c r="AO178" s="1" t="str">
        <f>AO177</f>
        <v>XLM.</v>
      </c>
      <c r="AP178" s="5" t="str">
        <f t="shared" si="172"/>
        <v>XLM.ĐX</v>
      </c>
      <c r="AQ178" s="5" t="str">
        <f t="shared" si="176"/>
        <v>XLM.SL đào, xén lò</v>
      </c>
    </row>
    <row r="179" spans="1:43" ht="18.75" hidden="1" customHeight="1" x14ac:dyDescent="0.25">
      <c r="A179" s="5" t="str">
        <f t="shared" si="177"/>
        <v>a</v>
      </c>
      <c r="B179" s="346"/>
      <c r="C179" s="336"/>
      <c r="D179" s="336"/>
      <c r="E179" s="336"/>
      <c r="F179" s="408"/>
      <c r="G179" s="408"/>
      <c r="H179" s="413"/>
      <c r="I179" s="413"/>
      <c r="J179" s="413"/>
      <c r="K179" s="413"/>
      <c r="L179" s="413"/>
      <c r="M179" s="413"/>
      <c r="N179" s="413"/>
      <c r="O179" s="413"/>
      <c r="P179" s="413"/>
      <c r="Q179" s="413"/>
      <c r="R179" s="413"/>
      <c r="S179" s="413"/>
      <c r="T179" s="413"/>
      <c r="U179" s="413"/>
      <c r="V179" s="409">
        <f>AA179+AE179+AI179+AM179</f>
        <v>0</v>
      </c>
      <c r="W179" s="409"/>
      <c r="X179" s="410"/>
      <c r="Y179" s="410"/>
      <c r="Z179" s="410"/>
      <c r="AA179" s="410"/>
      <c r="AB179" s="410"/>
      <c r="AC179" s="410"/>
      <c r="AD179" s="410"/>
      <c r="AE179" s="410"/>
      <c r="AF179" s="410"/>
      <c r="AG179" s="410"/>
      <c r="AH179" s="410"/>
      <c r="AI179" s="410"/>
      <c r="AJ179" s="410"/>
      <c r="AK179" s="410"/>
      <c r="AL179" s="410"/>
      <c r="AM179" s="440"/>
      <c r="AN179" s="322"/>
      <c r="AO179" s="1" t="str">
        <f>AO178</f>
        <v>XLM.</v>
      </c>
      <c r="AP179" s="5" t="str">
        <f t="shared" ref="AP179:AP185" si="181">AO179&amp;K179</f>
        <v>XLM.</v>
      </c>
      <c r="AQ179" s="5" t="str">
        <f t="shared" si="176"/>
        <v>XLM.</v>
      </c>
    </row>
    <row r="180" spans="1:43" ht="18.75" hidden="1" customHeight="1" x14ac:dyDescent="0.25">
      <c r="A180" s="5" t="str">
        <f t="shared" si="177"/>
        <v>a</v>
      </c>
      <c r="B180" s="345"/>
      <c r="C180" s="336"/>
      <c r="D180" s="336"/>
      <c r="E180" s="336"/>
      <c r="F180" s="408"/>
      <c r="G180" s="408"/>
      <c r="H180" s="408"/>
      <c r="I180" s="408"/>
      <c r="J180" s="408"/>
      <c r="K180" s="408"/>
      <c r="L180" s="408"/>
      <c r="M180" s="408"/>
      <c r="N180" s="408"/>
      <c r="O180" s="408"/>
      <c r="P180" s="408"/>
      <c r="Q180" s="408"/>
      <c r="R180" s="408"/>
      <c r="S180" s="408"/>
      <c r="T180" s="408"/>
      <c r="U180" s="408"/>
      <c r="V180" s="408"/>
      <c r="W180" s="408"/>
      <c r="X180" s="415"/>
      <c r="Y180" s="415"/>
      <c r="Z180" s="331"/>
      <c r="AA180" s="331"/>
      <c r="AB180" s="331"/>
      <c r="AC180" s="418"/>
      <c r="AD180" s="331"/>
      <c r="AE180" s="331"/>
      <c r="AF180" s="423"/>
      <c r="AG180" s="331"/>
      <c r="AH180" s="331"/>
      <c r="AI180" s="331"/>
      <c r="AJ180" s="331"/>
      <c r="AK180" s="331"/>
      <c r="AL180" s="331"/>
      <c r="AM180" s="434"/>
      <c r="AN180" s="322"/>
      <c r="AO180" s="1" t="str">
        <f>AO179</f>
        <v>XLM.</v>
      </c>
      <c r="AP180" s="5" t="str">
        <f t="shared" si="181"/>
        <v>XLM.</v>
      </c>
      <c r="AQ180" s="5" t="str">
        <f t="shared" si="176"/>
        <v>XLM.</v>
      </c>
    </row>
    <row r="181" spans="1:43" ht="18.75" customHeight="1" x14ac:dyDescent="0.25">
      <c r="A181" s="5" t="str">
        <f t="shared" si="177"/>
        <v>a</v>
      </c>
      <c r="B181" s="347">
        <v>19</v>
      </c>
      <c r="C181" s="336" t="s">
        <v>500</v>
      </c>
      <c r="D181" s="336"/>
      <c r="E181" s="336"/>
      <c r="F181" s="407"/>
      <c r="G181" s="407"/>
      <c r="H181" s="407"/>
      <c r="I181" s="407"/>
      <c r="J181" s="407"/>
      <c r="K181" s="407"/>
      <c r="L181" s="407"/>
      <c r="M181" s="407"/>
      <c r="N181" s="407"/>
      <c r="O181" s="407"/>
      <c r="P181" s="407"/>
      <c r="Q181" s="407"/>
      <c r="R181" s="407"/>
      <c r="S181" s="407"/>
      <c r="T181" s="407"/>
      <c r="U181" s="407"/>
      <c r="V181" s="409">
        <f>AA181+AE181+AI181+AM181</f>
        <v>37500</v>
      </c>
      <c r="W181" s="409"/>
      <c r="X181" s="410">
        <f>X182+X183</f>
        <v>700</v>
      </c>
      <c r="Y181" s="410">
        <f>Y182+Y183</f>
        <v>1000</v>
      </c>
      <c r="Z181" s="410">
        <f>Z182+Z183</f>
        <v>1900</v>
      </c>
      <c r="AA181" s="410">
        <f>AA182</f>
        <v>3600</v>
      </c>
      <c r="AB181" s="410">
        <f>AB182+AB183</f>
        <v>4800</v>
      </c>
      <c r="AC181" s="410">
        <f>AC182+AC183</f>
        <v>4400</v>
      </c>
      <c r="AD181" s="410">
        <f>AD182+AD183</f>
        <v>4300</v>
      </c>
      <c r="AE181" s="410">
        <f>AE182</f>
        <v>13500</v>
      </c>
      <c r="AF181" s="410">
        <f>AF182+AF183</f>
        <v>5100</v>
      </c>
      <c r="AG181" s="410">
        <f>AG182+AG183</f>
        <v>5100</v>
      </c>
      <c r="AH181" s="410">
        <f>AH182+AH183</f>
        <v>3700</v>
      </c>
      <c r="AI181" s="410">
        <f>AI182</f>
        <v>13900</v>
      </c>
      <c r="AJ181" s="410">
        <f>AJ182+AJ183</f>
        <v>2500</v>
      </c>
      <c r="AK181" s="410">
        <f>AK182+AK183</f>
        <v>2300</v>
      </c>
      <c r="AL181" s="410">
        <f>AL182+AL183</f>
        <v>1700</v>
      </c>
      <c r="AM181" s="410">
        <f>AM182</f>
        <v>6500</v>
      </c>
      <c r="AN181" s="322"/>
      <c r="AO181" s="1" t="s">
        <v>300</v>
      </c>
      <c r="AP181" s="5" t="str">
        <f t="shared" si="181"/>
        <v>TN.</v>
      </c>
      <c r="AQ181" s="5" t="str">
        <f t="shared" si="176"/>
        <v>TN.THUÊ NGOÀI TKV</v>
      </c>
    </row>
    <row r="182" spans="1:43" ht="18.75" customHeight="1" x14ac:dyDescent="0.25">
      <c r="A182" s="5" t="str">
        <f t="shared" si="177"/>
        <v>a</v>
      </c>
      <c r="B182" s="346" t="s">
        <v>8</v>
      </c>
      <c r="C182" s="336" t="s">
        <v>471</v>
      </c>
      <c r="D182" s="336"/>
      <c r="E182" s="336"/>
      <c r="F182" s="408"/>
      <c r="G182" s="408"/>
      <c r="H182" s="413"/>
      <c r="I182" s="413"/>
      <c r="J182" s="413"/>
      <c r="K182" s="413" t="s">
        <v>493</v>
      </c>
      <c r="L182" s="413"/>
      <c r="M182" s="413"/>
      <c r="N182" s="413"/>
      <c r="O182" s="413"/>
      <c r="P182" s="413"/>
      <c r="Q182" s="413"/>
      <c r="R182" s="413"/>
      <c r="S182" s="413"/>
      <c r="T182" s="413"/>
      <c r="U182" s="413"/>
      <c r="V182" s="409">
        <f>AA182+AE182+AI182+AM182</f>
        <v>37500</v>
      </c>
      <c r="W182" s="409"/>
      <c r="X182" s="415">
        <f>KH_ĐL!BK379</f>
        <v>700</v>
      </c>
      <c r="Y182" s="415">
        <f>KH_ĐL!BL379</f>
        <v>1000</v>
      </c>
      <c r="Z182" s="415">
        <f>KH_ĐL!BM379</f>
        <v>1900</v>
      </c>
      <c r="AA182" s="415">
        <f>KH_ĐL!BN379</f>
        <v>3600</v>
      </c>
      <c r="AB182" s="415">
        <f>KH_ĐL!BO379</f>
        <v>4800</v>
      </c>
      <c r="AC182" s="415">
        <f>KH_ĐL!BP379</f>
        <v>4400</v>
      </c>
      <c r="AD182" s="415">
        <f>KH_ĐL!BQ379</f>
        <v>4300</v>
      </c>
      <c r="AE182" s="415">
        <f>KH_ĐL!BR379+200</f>
        <v>13500</v>
      </c>
      <c r="AF182" s="415">
        <f>KH_ĐL!BS379</f>
        <v>5100</v>
      </c>
      <c r="AG182" s="415">
        <f>KH_ĐL!BT379</f>
        <v>5100</v>
      </c>
      <c r="AH182" s="415">
        <f>KH_ĐL!BU379</f>
        <v>3700</v>
      </c>
      <c r="AI182" s="415">
        <f>KH_ĐL!BV379+400</f>
        <v>13900</v>
      </c>
      <c r="AJ182" s="415">
        <f>KH_ĐL!BW379</f>
        <v>2500</v>
      </c>
      <c r="AK182" s="415">
        <f>KH_ĐL!BX379</f>
        <v>2300</v>
      </c>
      <c r="AL182" s="415">
        <f>KH_ĐL!BY379</f>
        <v>1700</v>
      </c>
      <c r="AM182" s="415">
        <f>KH_ĐL!BZ379+300</f>
        <v>6500</v>
      </c>
      <c r="AN182" s="322"/>
      <c r="AO182" s="1" t="str">
        <f>AO181</f>
        <v>TN.</v>
      </c>
      <c r="AP182" s="5" t="str">
        <f t="shared" si="181"/>
        <v>TN.ĐX</v>
      </c>
      <c r="AQ182" s="5" t="str">
        <f t="shared" si="176"/>
        <v>TN.SL đào, xén lò</v>
      </c>
    </row>
    <row r="183" spans="1:43" ht="18.75" hidden="1" customHeight="1" x14ac:dyDescent="0.25">
      <c r="A183" s="5" t="str">
        <f t="shared" si="177"/>
        <v>a</v>
      </c>
      <c r="B183" s="346"/>
      <c r="C183" s="336"/>
      <c r="D183" s="336"/>
      <c r="E183" s="336"/>
      <c r="F183" s="408"/>
      <c r="G183" s="408"/>
      <c r="H183" s="413"/>
      <c r="I183" s="413"/>
      <c r="J183" s="413"/>
      <c r="K183" s="413"/>
      <c r="L183" s="413"/>
      <c r="M183" s="413"/>
      <c r="N183" s="413"/>
      <c r="O183" s="413"/>
      <c r="P183" s="413"/>
      <c r="Q183" s="413"/>
      <c r="R183" s="413"/>
      <c r="S183" s="413"/>
      <c r="T183" s="413"/>
      <c r="U183" s="413"/>
      <c r="V183" s="409"/>
      <c r="W183" s="409"/>
      <c r="X183" s="410"/>
      <c r="Y183" s="410"/>
      <c r="Z183" s="410"/>
      <c r="AA183" s="410"/>
      <c r="AB183" s="410"/>
      <c r="AC183" s="410"/>
      <c r="AD183" s="410"/>
      <c r="AE183" s="410"/>
      <c r="AF183" s="410"/>
      <c r="AG183" s="410"/>
      <c r="AH183" s="410"/>
      <c r="AI183" s="410"/>
      <c r="AJ183" s="410"/>
      <c r="AK183" s="410"/>
      <c r="AL183" s="410"/>
      <c r="AM183" s="440"/>
      <c r="AN183" s="416"/>
      <c r="AO183" s="1" t="str">
        <f>AO182</f>
        <v>TN.</v>
      </c>
      <c r="AP183" s="5" t="str">
        <f>AO183&amp;K183</f>
        <v>TN.</v>
      </c>
      <c r="AQ183" s="5" t="str">
        <f t="shared" si="176"/>
        <v>TN.</v>
      </c>
    </row>
    <row r="184" spans="1:43" ht="18.75" hidden="1" customHeight="1" x14ac:dyDescent="0.25">
      <c r="A184" s="5" t="str">
        <f t="shared" si="177"/>
        <v>a</v>
      </c>
      <c r="B184" s="345"/>
      <c r="C184" s="336"/>
      <c r="D184" s="336"/>
      <c r="E184" s="336"/>
      <c r="F184" s="408"/>
      <c r="G184" s="408"/>
      <c r="H184" s="408"/>
      <c r="I184" s="408"/>
      <c r="J184" s="408"/>
      <c r="K184" s="408"/>
      <c r="L184" s="408"/>
      <c r="M184" s="408"/>
      <c r="N184" s="408"/>
      <c r="O184" s="408"/>
      <c r="P184" s="408"/>
      <c r="Q184" s="408"/>
      <c r="R184" s="408"/>
      <c r="S184" s="408"/>
      <c r="T184" s="408"/>
      <c r="U184" s="408"/>
      <c r="V184" s="408"/>
      <c r="W184" s="408"/>
      <c r="X184" s="415"/>
      <c r="Y184" s="415"/>
      <c r="Z184" s="331"/>
      <c r="AA184" s="331"/>
      <c r="AB184" s="331"/>
      <c r="AC184" s="418"/>
      <c r="AD184" s="331"/>
      <c r="AE184" s="331"/>
      <c r="AF184" s="423"/>
      <c r="AG184" s="331"/>
      <c r="AH184" s="331"/>
      <c r="AI184" s="331"/>
      <c r="AJ184" s="331"/>
      <c r="AK184" s="331"/>
      <c r="AL184" s="331"/>
      <c r="AM184" s="434"/>
      <c r="AN184" s="416"/>
      <c r="AO184" s="1" t="str">
        <f>AO183</f>
        <v>TN.</v>
      </c>
      <c r="AP184" s="5" t="str">
        <f>AO184&amp;K184</f>
        <v>TN.</v>
      </c>
      <c r="AQ184" s="5" t="str">
        <f t="shared" si="176"/>
        <v>TN.</v>
      </c>
    </row>
    <row r="185" spans="1:43" ht="16.5" thickBot="1" x14ac:dyDescent="0.3">
      <c r="A185" s="5" t="str">
        <f>A179</f>
        <v>a</v>
      </c>
      <c r="B185" s="350"/>
      <c r="C185" s="339"/>
      <c r="D185" s="339"/>
      <c r="E185" s="339"/>
      <c r="F185" s="441"/>
      <c r="G185" s="441"/>
      <c r="H185" s="441"/>
      <c r="I185" s="441"/>
      <c r="J185" s="441"/>
      <c r="K185" s="441"/>
      <c r="L185" s="441"/>
      <c r="M185" s="441"/>
      <c r="N185" s="441"/>
      <c r="O185" s="441"/>
      <c r="P185" s="441"/>
      <c r="Q185" s="441"/>
      <c r="R185" s="441"/>
      <c r="S185" s="441"/>
      <c r="T185" s="441"/>
      <c r="U185" s="441"/>
      <c r="V185" s="441"/>
      <c r="W185" s="441"/>
      <c r="X185" s="441"/>
      <c r="Y185" s="441"/>
      <c r="Z185" s="339"/>
      <c r="AA185" s="339"/>
      <c r="AB185" s="339"/>
      <c r="AC185" s="339"/>
      <c r="AD185" s="339"/>
      <c r="AE185" s="339"/>
      <c r="AF185" s="339"/>
      <c r="AG185" s="339"/>
      <c r="AH185" s="339"/>
      <c r="AI185" s="339"/>
      <c r="AJ185" s="339"/>
      <c r="AK185" s="339"/>
      <c r="AL185" s="339"/>
      <c r="AM185" s="442"/>
      <c r="AN185" s="443"/>
      <c r="AO185" s="1" t="str">
        <f>AO180</f>
        <v>XLM.</v>
      </c>
      <c r="AP185" s="5" t="str">
        <f t="shared" si="181"/>
        <v>XLM.</v>
      </c>
      <c r="AQ185" s="5" t="str">
        <f t="shared" si="176"/>
        <v>XLM.</v>
      </c>
    </row>
    <row r="186" spans="1:43" ht="8.25" customHeight="1" thickTop="1" x14ac:dyDescent="0.25">
      <c r="A186" s="5" t="str">
        <f>A180</f>
        <v>a</v>
      </c>
      <c r="C186" s="340" t="s">
        <v>195</v>
      </c>
      <c r="D186" s="340"/>
      <c r="E186" s="340"/>
      <c r="AQ186" s="5" t="str">
        <f t="shared" si="176"/>
        <v/>
      </c>
    </row>
    <row r="187" spans="1:43" x14ac:dyDescent="0.25">
      <c r="A187" s="5" t="str">
        <f t="shared" si="177"/>
        <v>a</v>
      </c>
      <c r="C187" s="1" t="s">
        <v>196</v>
      </c>
      <c r="H187" s="5" t="s">
        <v>197</v>
      </c>
      <c r="I187" s="5"/>
      <c r="J187" s="5"/>
      <c r="K187" s="5"/>
      <c r="L187" s="5"/>
      <c r="M187" s="5"/>
      <c r="N187" s="5"/>
      <c r="O187" s="5"/>
      <c r="P187" s="5"/>
      <c r="Q187" s="5"/>
      <c r="R187" s="5"/>
      <c r="S187" s="5"/>
      <c r="T187" s="5"/>
      <c r="U187" s="5"/>
      <c r="V187" s="1"/>
      <c r="W187" s="1"/>
      <c r="X187" s="1"/>
      <c r="Y187" s="1"/>
      <c r="AD187" s="4"/>
      <c r="AE187" s="4"/>
      <c r="AF187" s="5"/>
      <c r="AG187" s="5"/>
      <c r="AH187" s="5"/>
      <c r="AI187" s="5"/>
      <c r="AJ187" s="5" t="s">
        <v>198</v>
      </c>
      <c r="AK187" s="5"/>
      <c r="AP187" s="5" t="str">
        <f>AO187&amp;K187</f>
        <v/>
      </c>
      <c r="AQ187" s="5" t="str">
        <f t="shared" si="176"/>
        <v xml:space="preserve">Nơi nhận: </v>
      </c>
    </row>
    <row r="188" spans="1:43" x14ac:dyDescent="0.25">
      <c r="A188" s="5" t="str">
        <f t="shared" si="177"/>
        <v>a</v>
      </c>
      <c r="C188" s="1" t="s">
        <v>199</v>
      </c>
      <c r="AP188" s="5" t="str">
        <f>AO188&amp;K188</f>
        <v/>
      </c>
      <c r="AQ188" s="5" t="str">
        <f t="shared" si="176"/>
        <v xml:space="preserve"> -Các phòng ĐK, CV, TĐ, ĐK (e-copy) </v>
      </c>
    </row>
    <row r="189" spans="1:43" x14ac:dyDescent="0.25">
      <c r="A189" s="5" t="str">
        <f t="shared" si="177"/>
        <v>a</v>
      </c>
      <c r="C189" s="1" t="s">
        <v>200</v>
      </c>
      <c r="AP189" s="5" t="str">
        <f>AO189&amp;K189</f>
        <v/>
      </c>
      <c r="AQ189" s="5" t="str">
        <f t="shared" si="176"/>
        <v xml:space="preserve"> -Các PX Đào lò; khai thác (e-copy)</v>
      </c>
    </row>
    <row r="190" spans="1:43" x14ac:dyDescent="0.25">
      <c r="A190" s="5" t="str">
        <f t="shared" si="177"/>
        <v>a</v>
      </c>
      <c r="C190" s="1" t="s">
        <v>201</v>
      </c>
      <c r="AP190" s="5" t="str">
        <f>AO190&amp;K190</f>
        <v/>
      </c>
      <c r="AQ190" s="5" t="str">
        <f t="shared" si="176"/>
        <v xml:space="preserve"> -Lưu KCM</v>
      </c>
    </row>
    <row r="191" spans="1:43" x14ac:dyDescent="0.25">
      <c r="A191" s="5" t="str">
        <f t="shared" si="177"/>
        <v>a</v>
      </c>
      <c r="AQ191" s="5" t="str">
        <f t="shared" si="176"/>
        <v/>
      </c>
    </row>
    <row r="192" spans="1:43" x14ac:dyDescent="0.25">
      <c r="A192" s="5" t="str">
        <f t="shared" si="177"/>
        <v>a</v>
      </c>
      <c r="AQ192" s="5" t="str">
        <f t="shared" si="176"/>
        <v/>
      </c>
    </row>
    <row r="193" spans="1:43" x14ac:dyDescent="0.25">
      <c r="A193" s="5" t="str">
        <f t="shared" si="177"/>
        <v>a</v>
      </c>
      <c r="G193" s="5"/>
      <c r="H193" s="5" t="s">
        <v>816</v>
      </c>
      <c r="I193" s="5"/>
      <c r="J193" s="5"/>
      <c r="K193" s="5"/>
      <c r="L193" s="5"/>
      <c r="M193" s="5"/>
      <c r="N193" s="5"/>
      <c r="O193" s="5"/>
      <c r="P193" s="5"/>
      <c r="Q193" s="5"/>
      <c r="R193" s="5"/>
      <c r="S193" s="5"/>
      <c r="T193" s="5"/>
      <c r="U193" s="5"/>
      <c r="AJ193" s="5" t="s">
        <v>202</v>
      </c>
      <c r="AQ193" s="5" t="str">
        <f t="shared" si="176"/>
        <v/>
      </c>
    </row>
    <row r="194" spans="1:43" x14ac:dyDescent="0.25">
      <c r="A194" s="5" t="str">
        <f t="shared" si="177"/>
        <v>a</v>
      </c>
      <c r="AJ194" s="5"/>
      <c r="AQ194" s="5" t="str">
        <f t="shared" si="176"/>
        <v/>
      </c>
    </row>
    <row r="195" spans="1:43" x14ac:dyDescent="0.25">
      <c r="A195" s="5" t="str">
        <f t="shared" si="177"/>
        <v>a</v>
      </c>
      <c r="AC195" s="5"/>
      <c r="AQ195" s="5" t="str">
        <f t="shared" si="176"/>
        <v/>
      </c>
    </row>
    <row r="196" spans="1:43" x14ac:dyDescent="0.25">
      <c r="A196" s="5" t="str">
        <f t="shared" si="177"/>
        <v>a</v>
      </c>
      <c r="AC196" s="5"/>
      <c r="AQ196" s="5" t="str">
        <f t="shared" si="176"/>
        <v/>
      </c>
    </row>
    <row r="197" spans="1:43" x14ac:dyDescent="0.25">
      <c r="A197" s="5" t="str">
        <f t="shared" si="177"/>
        <v>a</v>
      </c>
      <c r="AC197" s="5"/>
      <c r="AQ197" s="5" t="str">
        <f t="shared" si="176"/>
        <v/>
      </c>
    </row>
    <row r="198" spans="1:43" x14ac:dyDescent="0.25">
      <c r="A198" s="5" t="str">
        <f t="shared" si="177"/>
        <v>a</v>
      </c>
      <c r="AC198" s="5"/>
      <c r="AQ198" s="5" t="str">
        <f t="shared" si="176"/>
        <v/>
      </c>
    </row>
    <row r="199" spans="1:43" x14ac:dyDescent="0.25">
      <c r="A199" s="5" t="str">
        <f t="shared" si="177"/>
        <v>a</v>
      </c>
      <c r="AC199" s="5"/>
      <c r="AQ199" s="5" t="str">
        <f t="shared" si="176"/>
        <v/>
      </c>
    </row>
    <row r="200" spans="1:43" x14ac:dyDescent="0.25">
      <c r="A200" s="5" t="str">
        <f t="shared" si="177"/>
        <v>a</v>
      </c>
      <c r="AC200" s="5"/>
      <c r="AQ200" s="5" t="str">
        <f t="shared" si="176"/>
        <v/>
      </c>
    </row>
    <row r="201" spans="1:43" x14ac:dyDescent="0.25">
      <c r="A201" s="5" t="str">
        <f t="shared" si="177"/>
        <v>a</v>
      </c>
      <c r="AC201" s="5"/>
      <c r="AQ201" s="5" t="str">
        <f t="shared" si="176"/>
        <v/>
      </c>
    </row>
    <row r="202" spans="1:43" x14ac:dyDescent="0.25">
      <c r="A202" s="5" t="str">
        <f t="shared" si="177"/>
        <v>a</v>
      </c>
      <c r="AC202" s="5"/>
      <c r="AQ202" s="5" t="str">
        <f t="shared" si="176"/>
        <v/>
      </c>
    </row>
    <row r="203" spans="1:43" x14ac:dyDescent="0.25">
      <c r="A203" s="5" t="str">
        <f t="shared" si="177"/>
        <v>a</v>
      </c>
      <c r="AC203" s="5"/>
      <c r="AQ203" s="5" t="str">
        <f t="shared" si="176"/>
        <v/>
      </c>
    </row>
    <row r="204" spans="1:43" x14ac:dyDescent="0.25">
      <c r="A204" s="5" t="str">
        <f t="shared" si="177"/>
        <v>a</v>
      </c>
      <c r="AC204" s="5"/>
      <c r="AQ204" s="5" t="str">
        <f t="shared" si="176"/>
        <v/>
      </c>
    </row>
    <row r="205" spans="1:43" x14ac:dyDescent="0.25">
      <c r="A205" s="5" t="str">
        <f t="shared" si="177"/>
        <v>a</v>
      </c>
      <c r="AC205" s="5"/>
      <c r="AQ205" s="5" t="str">
        <f t="shared" si="176"/>
        <v/>
      </c>
    </row>
    <row r="206" spans="1:43" x14ac:dyDescent="0.25">
      <c r="A206" s="5" t="str">
        <f t="shared" si="177"/>
        <v>a</v>
      </c>
      <c r="AC206" s="5"/>
      <c r="AQ206" s="5" t="str">
        <f t="shared" si="176"/>
        <v/>
      </c>
    </row>
    <row r="207" spans="1:43" x14ac:dyDescent="0.25">
      <c r="A207" s="5" t="str">
        <f t="shared" si="177"/>
        <v>a</v>
      </c>
      <c r="AC207" s="5"/>
      <c r="AQ207" s="5" t="str">
        <f t="shared" si="176"/>
        <v/>
      </c>
    </row>
    <row r="208" spans="1:43" x14ac:dyDescent="0.25">
      <c r="A208" s="5" t="str">
        <f t="shared" si="177"/>
        <v>a</v>
      </c>
      <c r="AC208" s="5"/>
      <c r="AQ208" s="5" t="str">
        <f t="shared" si="176"/>
        <v/>
      </c>
    </row>
    <row r="209" spans="1:43" x14ac:dyDescent="0.25">
      <c r="A209" s="5" t="str">
        <f t="shared" si="177"/>
        <v>a</v>
      </c>
      <c r="AC209" s="5"/>
      <c r="AQ209" s="5" t="str">
        <f t="shared" si="176"/>
        <v/>
      </c>
    </row>
    <row r="210" spans="1:43" x14ac:dyDescent="0.25">
      <c r="A210" s="5" t="str">
        <f t="shared" si="177"/>
        <v>a</v>
      </c>
      <c r="AC210" s="5"/>
      <c r="AQ210" s="5" t="str">
        <f t="shared" si="176"/>
        <v/>
      </c>
    </row>
    <row r="211" spans="1:43" x14ac:dyDescent="0.25">
      <c r="A211" s="5" t="str">
        <f t="shared" si="177"/>
        <v>a</v>
      </c>
      <c r="AC211" s="5"/>
      <c r="AQ211" s="5" t="str">
        <f t="shared" si="176"/>
        <v/>
      </c>
    </row>
    <row r="212" spans="1:43" x14ac:dyDescent="0.25">
      <c r="A212" s="5" t="str">
        <f t="shared" si="177"/>
        <v>a</v>
      </c>
      <c r="AC212" s="5"/>
      <c r="AQ212" s="5" t="str">
        <f t="shared" si="176"/>
        <v/>
      </c>
    </row>
    <row r="213" spans="1:43" x14ac:dyDescent="0.25">
      <c r="A213" s="5" t="str">
        <f t="shared" si="177"/>
        <v>a</v>
      </c>
      <c r="AC213" s="5"/>
      <c r="AQ213" s="5" t="str">
        <f t="shared" si="176"/>
        <v/>
      </c>
    </row>
    <row r="214" spans="1:43" x14ac:dyDescent="0.25">
      <c r="A214" s="5" t="str">
        <f t="shared" si="177"/>
        <v>a</v>
      </c>
      <c r="AC214" s="5"/>
      <c r="AQ214" s="5" t="str">
        <f t="shared" si="176"/>
        <v/>
      </c>
    </row>
    <row r="215" spans="1:43" x14ac:dyDescent="0.25">
      <c r="A215" s="5" t="str">
        <f t="shared" si="177"/>
        <v>a</v>
      </c>
      <c r="AC215" s="5"/>
      <c r="AQ215" s="5" t="str">
        <f t="shared" si="176"/>
        <v/>
      </c>
    </row>
    <row r="216" spans="1:43" x14ac:dyDescent="0.25">
      <c r="A216" s="5" t="str">
        <f t="shared" si="177"/>
        <v>a</v>
      </c>
      <c r="AC216" s="5"/>
      <c r="AQ216" s="5" t="str">
        <f t="shared" si="176"/>
        <v/>
      </c>
    </row>
    <row r="217" spans="1:43" x14ac:dyDescent="0.25">
      <c r="A217" s="5" t="str">
        <f t="shared" si="177"/>
        <v>a</v>
      </c>
      <c r="AC217" s="5"/>
      <c r="AQ217" s="5" t="str">
        <f t="shared" si="176"/>
        <v/>
      </c>
    </row>
    <row r="218" spans="1:43" x14ac:dyDescent="0.25">
      <c r="A218" s="5" t="str">
        <f t="shared" si="177"/>
        <v>a</v>
      </c>
      <c r="AC218" s="5"/>
      <c r="AQ218" s="5" t="str">
        <f t="shared" si="176"/>
        <v/>
      </c>
    </row>
    <row r="219" spans="1:43" x14ac:dyDescent="0.25">
      <c r="A219" s="5" t="str">
        <f t="shared" si="177"/>
        <v>a</v>
      </c>
      <c r="AC219" s="5"/>
      <c r="AQ219" s="5" t="str">
        <f t="shared" si="176"/>
        <v/>
      </c>
    </row>
    <row r="220" spans="1:43" x14ac:dyDescent="0.25">
      <c r="A220" s="5" t="str">
        <f t="shared" si="177"/>
        <v>a</v>
      </c>
      <c r="AC220" s="5"/>
      <c r="AQ220" s="5" t="str">
        <f t="shared" si="176"/>
        <v/>
      </c>
    </row>
    <row r="221" spans="1:43" x14ac:dyDescent="0.25">
      <c r="A221" s="5" t="str">
        <f t="shared" si="177"/>
        <v>a</v>
      </c>
      <c r="AC221" s="5"/>
      <c r="AQ221" s="5" t="str">
        <f t="shared" si="176"/>
        <v/>
      </c>
    </row>
    <row r="222" spans="1:43" x14ac:dyDescent="0.25">
      <c r="A222" s="5" t="str">
        <f t="shared" si="177"/>
        <v>a</v>
      </c>
      <c r="AQ222" s="5" t="str">
        <f t="shared" si="176"/>
        <v/>
      </c>
    </row>
    <row r="223" spans="1:43" x14ac:dyDescent="0.25">
      <c r="A223" s="5" t="str">
        <f t="shared" si="177"/>
        <v>a</v>
      </c>
      <c r="AQ223" s="5" t="str">
        <f t="shared" si="176"/>
        <v/>
      </c>
    </row>
    <row r="224" spans="1:43" x14ac:dyDescent="0.25">
      <c r="A224" s="5" t="str">
        <f t="shared" si="177"/>
        <v>a</v>
      </c>
      <c r="AQ224" s="5" t="str">
        <f t="shared" si="176"/>
        <v/>
      </c>
    </row>
    <row r="225" spans="1:43" x14ac:dyDescent="0.25">
      <c r="A225" s="5" t="str">
        <f t="shared" si="177"/>
        <v>a</v>
      </c>
      <c r="AQ225" s="5" t="str">
        <f t="shared" si="176"/>
        <v/>
      </c>
    </row>
    <row r="226" spans="1:43" x14ac:dyDescent="0.25">
      <c r="A226" s="5" t="str">
        <f t="shared" si="177"/>
        <v>a</v>
      </c>
      <c r="AQ226" s="5" t="str">
        <f t="shared" si="176"/>
        <v/>
      </c>
    </row>
    <row r="227" spans="1:43" x14ac:dyDescent="0.25">
      <c r="A227" s="5" t="str">
        <f t="shared" si="177"/>
        <v>a</v>
      </c>
      <c r="AQ227" s="5" t="str">
        <f t="shared" si="176"/>
        <v/>
      </c>
    </row>
    <row r="228" spans="1:43" x14ac:dyDescent="0.25">
      <c r="A228" s="5" t="str">
        <f t="shared" si="177"/>
        <v>a</v>
      </c>
      <c r="AQ228" s="5" t="str">
        <f t="shared" si="176"/>
        <v/>
      </c>
    </row>
    <row r="229" spans="1:43" x14ac:dyDescent="0.25">
      <c r="A229" s="5" t="str">
        <f t="shared" si="177"/>
        <v>a</v>
      </c>
      <c r="AQ229" s="5" t="str">
        <f t="shared" si="176"/>
        <v/>
      </c>
    </row>
    <row r="230" spans="1:43" x14ac:dyDescent="0.25">
      <c r="A230" s="5" t="str">
        <f t="shared" si="177"/>
        <v>a</v>
      </c>
      <c r="AQ230" s="5" t="str">
        <f t="shared" ref="AQ230:AQ240" si="182">AO230&amp;C230</f>
        <v/>
      </c>
    </row>
    <row r="231" spans="1:43" x14ac:dyDescent="0.25">
      <c r="A231" s="5" t="str">
        <f t="shared" si="177"/>
        <v>a</v>
      </c>
      <c r="AQ231" s="5" t="str">
        <f t="shared" si="182"/>
        <v/>
      </c>
    </row>
    <row r="232" spans="1:43" x14ac:dyDescent="0.25">
      <c r="A232" s="5" t="str">
        <f t="shared" si="177"/>
        <v>a</v>
      </c>
      <c r="AQ232" s="5" t="str">
        <f t="shared" si="182"/>
        <v/>
      </c>
    </row>
    <row r="233" spans="1:43" x14ac:dyDescent="0.25">
      <c r="A233" s="5" t="str">
        <f t="shared" si="177"/>
        <v>a</v>
      </c>
      <c r="AQ233" s="5" t="str">
        <f t="shared" si="182"/>
        <v/>
      </c>
    </row>
    <row r="234" spans="1:43" x14ac:dyDescent="0.25">
      <c r="A234" s="5" t="str">
        <f t="shared" si="177"/>
        <v>a</v>
      </c>
      <c r="AQ234" s="5" t="str">
        <f t="shared" si="182"/>
        <v/>
      </c>
    </row>
    <row r="235" spans="1:43" x14ac:dyDescent="0.25">
      <c r="A235" s="5" t="str">
        <f t="shared" si="177"/>
        <v>a</v>
      </c>
      <c r="AQ235" s="5" t="str">
        <f t="shared" si="182"/>
        <v/>
      </c>
    </row>
    <row r="236" spans="1:43" x14ac:dyDescent="0.25">
      <c r="A236" s="5" t="str">
        <f t="shared" si="177"/>
        <v>a</v>
      </c>
      <c r="AQ236" s="5" t="str">
        <f t="shared" si="182"/>
        <v/>
      </c>
    </row>
    <row r="237" spans="1:43" x14ac:dyDescent="0.25">
      <c r="A237" s="5" t="str">
        <f>A235</f>
        <v>a</v>
      </c>
      <c r="AQ237" s="5" t="str">
        <f t="shared" si="182"/>
        <v/>
      </c>
    </row>
    <row r="238" spans="1:43" x14ac:dyDescent="0.25">
      <c r="A238" s="5" t="str">
        <f>A236</f>
        <v>a</v>
      </c>
      <c r="AQ238" s="5" t="str">
        <f t="shared" si="182"/>
        <v/>
      </c>
    </row>
    <row r="239" spans="1:43" x14ac:dyDescent="0.25">
      <c r="A239" s="5" t="str">
        <f>A237</f>
        <v>a</v>
      </c>
      <c r="AQ239" s="5" t="str">
        <f t="shared" si="182"/>
        <v/>
      </c>
    </row>
    <row r="240" spans="1:43" x14ac:dyDescent="0.25">
      <c r="A240" s="5" t="str">
        <f>A238</f>
        <v>a</v>
      </c>
      <c r="AQ240" s="5" t="str">
        <f t="shared" si="182"/>
        <v/>
      </c>
    </row>
  </sheetData>
  <autoFilter ref="B18:AQ240" xr:uid="{19AE7E4D-04E5-4B30-9CA6-DBEC9E6E6FA0}"/>
  <mergeCells count="14">
    <mergeCell ref="Y48:Z48"/>
    <mergeCell ref="AC1:AM1"/>
    <mergeCell ref="AC2:AM2"/>
    <mergeCell ref="AC3:AM3"/>
    <mergeCell ref="B15:B16"/>
    <mergeCell ref="C15:C16"/>
    <mergeCell ref="V15:V16"/>
    <mergeCell ref="D15:J15"/>
    <mergeCell ref="B11:AN11"/>
    <mergeCell ref="AN15:AN16"/>
    <mergeCell ref="X15:AM15"/>
    <mergeCell ref="W15:W16"/>
    <mergeCell ref="K15:K16"/>
    <mergeCell ref="L15:U15"/>
  </mergeCells>
  <phoneticPr fontId="85" type="noConversion"/>
  <conditionalFormatting sqref="X25:AM25 X37:AM37 X49:AM49 X51:AM51 X70:AM70 X78:AM78 X80:AM80 X102:AM102 X113:AM113 X121:AM121">
    <cfRule type="expression" dxfId="8" priority="1">
      <formula>IF(X$18&lt;&gt;"",AND(ISNUMBER(X25),X25&lt;&gt;0),IF(X$16="QIV",AND(ISNUMBER(W25),W25&lt;&gt;0),AND(ISNUMBER(W25),W25&lt;&gt;0,ISNUMBER(Y25),Y25&lt;&gt;0)))</formula>
    </cfRule>
  </conditionalFormatting>
  <conditionalFormatting sqref="X26:AM26 X28:AM28 X50:AM50 X53:AM53 X55:AM55 X57:AM57 X66:AM66 X79:AM79 X82:AM82 X84:AM84 X100:AM100 X120:AM120 X122:AM122 X124:AM124 X126:AM126 X146:AM146 X148:AM148">
    <cfRule type="expression" dxfId="7" priority="2">
      <formula>IF(X$18&lt;&gt;"",AND(ISNUMBER(X26),X26&lt;&gt;0),IF(X$16="QIV",AND(ISNUMBER(W26),W26&lt;&gt;0),AND(ISNUMBER(W26),W26&lt;&gt;0,ISNUMBER(Y26),Y26&lt;&gt;0)))</formula>
    </cfRule>
  </conditionalFormatting>
  <conditionalFormatting sqref="X27:AM27 X38:AM38 X52:AM52 X54:AM54 X56:AM56 X71:AM71 X81:AM81 X83:AM83 X88:AM88 X103:AM103 X123:AM123 X125:AM125 X134:AM134 X147:AM147">
    <cfRule type="expression" dxfId="6" priority="3">
      <formula>IF(X$18&lt;&gt;"",AND(ISNUMBER(X27),X27&lt;&gt;0),IF(X$16="QIV",AND(ISNUMBER(W27),W27&lt;&gt;0),AND(ISNUMBER(W27),W27&lt;&gt;0,ISNUMBER(Y27),Y27&lt;&gt;0)))</formula>
    </cfRule>
  </conditionalFormatting>
  <conditionalFormatting sqref="X39:AM39 X60:AM60 X75:AM75 X89:AM89 X110:AM110 X135:AM135">
    <cfRule type="expression" dxfId="5" priority="4">
      <formula>IF(X$18&lt;&gt;"",AND(ISNUMBER(X39),X39&lt;&gt;0),IF(X$16="QIV",AND(ISNUMBER(W39),W39&lt;&gt;0),AND(ISNUMBER(W39),W39&lt;&gt;0,ISNUMBER(Y39),Y39&lt;&gt;0)))</formula>
    </cfRule>
  </conditionalFormatting>
  <conditionalFormatting sqref="X47:AM47 X64:AM64 X76:AM76 X90:AM90 X111:AM111 X144:AM144">
    <cfRule type="expression" dxfId="4" priority="5">
      <formula>IF(X$18&lt;&gt;"",AND(ISNUMBER(X47),X47&lt;&gt;0),IF(X$16="QIV",AND(ISNUMBER(W47),W47&lt;&gt;0),AND(ISNUMBER(W47),W47&lt;&gt;0,ISNUMBER(Y47),Y47&lt;&gt;0)))</formula>
    </cfRule>
  </conditionalFormatting>
  <conditionalFormatting sqref="X48:AM48 X65:AM65 X77:AM77 X91:AM91 X112:AM112 X145:AM145">
    <cfRule type="expression" dxfId="3" priority="6">
      <formula>IF(X$18&lt;&gt;"",AND(ISNUMBER(X48),X48&lt;&gt;0),IF(X$16="QIV",AND(ISNUMBER(W48),W48&lt;&gt;0),AND(ISNUMBER(W48),W48&lt;&gt;0,ISNUMBER(Y48),Y48&lt;&gt;0)))</formula>
    </cfRule>
  </conditionalFormatting>
  <pageMargins left="0.9055118110236221" right="0.70866141732283472" top="0.6692913385826772" bottom="0.74803149606299213" header="0.51181102362204722" footer="0.31496062992125984"/>
  <pageSetup paperSize="8" scale="90" orientation="landscape" r:id="rId1"/>
  <ignoredErrors>
    <ignoredError sqref="F100:F103 F75:F77 F64:F66 F37:F40 F89 F110:F111 F120:F123 F134 F147 F145 F26:F31 F149 F92 F136:F137 F47 F50:F51" evalError="1"/>
    <ignoredError sqref="V22 V109:V119 V99 V87 V36 V63 A57 J28 V133 AA153 AE153 AI153 J50 AA155:AA157 AE155:AE157 AI155:AI157 AA159:AA161 AE159:AE161 AI159:AI161 AA163:AA165 AE163:AE165 AI163:AI165 AA167:AA169 AE167:AE169 AI167:AI169 AA171:AA173 AE171:AE173 AI171:AI173 AA175:AA177 AE175:AE177 AI175:AI177 J121:J122 AA181:AI181 V24 AA24 AE24 J66 J149 AA113:AJ113 AE111 AA112:AB112 AM112 J89 AH111:AM111 AI24 V46 AO50" formula="1"/>
  </ignoredError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4769E-000E-4B08-BFB7-F0AA550FA861}">
  <sheetPr codeName="Sheet9">
    <tabColor rgb="FF92D050"/>
  </sheetPr>
  <dimension ref="A1:AE1062"/>
  <sheetViews>
    <sheetView view="pageBreakPreview" topLeftCell="A6" zoomScale="70" zoomScaleNormal="70" zoomScaleSheetLayoutView="70" workbookViewId="0">
      <pane ySplit="12" topLeftCell="A50" activePane="bottomLeft" state="frozen"/>
      <selection activeCell="J12" sqref="J12:J13"/>
      <selection pane="bottomLeft" activeCell="E35" sqref="E35"/>
    </sheetView>
  </sheetViews>
  <sheetFormatPr defaultColWidth="12.5703125" defaultRowHeight="15.75" outlineLevelRow="1" x14ac:dyDescent="0.25"/>
  <cols>
    <col min="1" max="1" width="5.42578125" style="694" customWidth="1"/>
    <col min="2" max="2" width="33.85546875" style="694" customWidth="1"/>
    <col min="3" max="3" width="7.5703125" style="694" customWidth="1"/>
    <col min="4" max="4" width="13.7109375" style="802" customWidth="1"/>
    <col min="5" max="5" width="11.7109375" style="694" customWidth="1"/>
    <col min="6" max="6" width="11.140625" style="694" customWidth="1"/>
    <col min="7" max="7" width="11.42578125" style="694" customWidth="1"/>
    <col min="8" max="8" width="12.140625" style="694" customWidth="1"/>
    <col min="9" max="9" width="11" style="694" customWidth="1"/>
    <col min="10" max="10" width="10.85546875" style="694" customWidth="1"/>
    <col min="11" max="11" width="11.42578125" style="694" customWidth="1"/>
    <col min="12" max="12" width="11.5703125" style="694" customWidth="1"/>
    <col min="13" max="13" width="11" style="694" customWidth="1"/>
    <col min="14" max="14" width="11.5703125" style="694" customWidth="1"/>
    <col min="15" max="15" width="11.7109375" style="694" customWidth="1"/>
    <col min="16" max="16" width="10" style="694" customWidth="1"/>
    <col min="17" max="17" width="9.5703125" style="694" customWidth="1"/>
    <col min="18" max="18" width="10.42578125" style="694" customWidth="1"/>
    <col min="19" max="19" width="10.28515625" style="694" customWidth="1"/>
    <col min="20" max="20" width="11.140625" style="694" customWidth="1"/>
    <col min="21" max="21" width="11" style="694" customWidth="1"/>
    <col min="22" max="22" width="10" style="803" customWidth="1"/>
    <col min="23" max="23" width="9.28515625" style="694" customWidth="1"/>
    <col min="24" max="24" width="10" style="694" customWidth="1"/>
    <col min="25" max="31" width="9.140625" style="694" customWidth="1"/>
    <col min="32" max="16384" width="12.5703125" style="694"/>
  </cols>
  <sheetData>
    <row r="1" spans="1:31" ht="11.25" hidden="1" customHeight="1" x14ac:dyDescent="0.25">
      <c r="A1" s="986" t="s">
        <v>276</v>
      </c>
      <c r="B1" s="987"/>
      <c r="C1" s="986" t="s">
        <v>277</v>
      </c>
      <c r="D1" s="987"/>
      <c r="E1" s="987"/>
      <c r="F1" s="987"/>
      <c r="G1" s="987"/>
      <c r="H1" s="987"/>
      <c r="I1" s="987"/>
      <c r="J1" s="987"/>
      <c r="K1" s="987"/>
      <c r="L1" s="987"/>
      <c r="M1" s="987"/>
      <c r="N1" s="987"/>
      <c r="O1" s="987"/>
      <c r="P1" s="987"/>
      <c r="Q1" s="987"/>
      <c r="R1" s="987"/>
      <c r="S1" s="987"/>
      <c r="T1" s="987"/>
      <c r="U1" s="987"/>
      <c r="V1" s="987"/>
      <c r="W1" s="987"/>
      <c r="X1" s="987"/>
      <c r="Y1" s="36"/>
      <c r="Z1" s="36"/>
      <c r="AA1" s="36"/>
      <c r="AB1" s="36"/>
      <c r="AC1" s="36"/>
      <c r="AD1" s="36"/>
      <c r="AE1" s="36"/>
    </row>
    <row r="2" spans="1:31" ht="13.5" hidden="1" customHeight="1" x14ac:dyDescent="0.25">
      <c r="A2" s="988" t="s">
        <v>278</v>
      </c>
      <c r="B2" s="987"/>
      <c r="C2" s="989" t="s">
        <v>279</v>
      </c>
      <c r="D2" s="987"/>
      <c r="E2" s="987"/>
      <c r="F2" s="987"/>
      <c r="G2" s="987"/>
      <c r="H2" s="987"/>
      <c r="I2" s="987"/>
      <c r="J2" s="987"/>
      <c r="K2" s="987"/>
      <c r="L2" s="987"/>
      <c r="M2" s="987"/>
      <c r="N2" s="987"/>
      <c r="O2" s="987"/>
      <c r="P2" s="987"/>
      <c r="Q2" s="987"/>
      <c r="R2" s="987"/>
      <c r="S2" s="987"/>
      <c r="T2" s="987"/>
      <c r="U2" s="987"/>
      <c r="V2" s="987"/>
      <c r="W2" s="987"/>
      <c r="X2" s="987"/>
      <c r="Y2" s="36"/>
      <c r="Z2" s="36"/>
      <c r="AA2" s="36"/>
      <c r="AB2" s="36"/>
      <c r="AC2" s="36"/>
      <c r="AD2" s="36"/>
      <c r="AE2" s="36"/>
    </row>
    <row r="3" spans="1:31" ht="22.5" hidden="1" customHeight="1" x14ac:dyDescent="0.25">
      <c r="A3" s="986" t="s">
        <v>280</v>
      </c>
      <c r="B3" s="987"/>
      <c r="C3" s="695"/>
      <c r="D3" s="695"/>
      <c r="E3" s="695"/>
      <c r="F3" s="695"/>
      <c r="G3" s="695"/>
      <c r="H3" s="695"/>
      <c r="I3" s="695"/>
      <c r="J3" s="695"/>
      <c r="K3" s="695"/>
      <c r="L3" s="695"/>
      <c r="M3" s="695"/>
      <c r="N3" s="695"/>
      <c r="O3" s="695"/>
      <c r="P3" s="695"/>
      <c r="Q3" s="695"/>
      <c r="R3" s="695"/>
      <c r="S3" s="695"/>
      <c r="T3" s="695"/>
      <c r="U3" s="695"/>
      <c r="V3" s="695"/>
      <c r="W3" s="695"/>
      <c r="X3" s="696"/>
      <c r="Y3" s="36"/>
      <c r="Z3" s="36"/>
      <c r="AA3" s="36"/>
      <c r="AB3" s="36"/>
      <c r="AC3" s="36"/>
      <c r="AD3" s="36"/>
      <c r="AE3" s="36"/>
    </row>
    <row r="4" spans="1:31" ht="22.5" hidden="1" customHeight="1" x14ac:dyDescent="0.25">
      <c r="A4" s="37"/>
      <c r="B4" s="37"/>
      <c r="C4" s="695"/>
      <c r="D4" s="695"/>
      <c r="E4" s="695"/>
      <c r="F4" s="695"/>
      <c r="G4" s="695"/>
      <c r="H4" s="695"/>
      <c r="I4" s="695"/>
      <c r="J4" s="695"/>
      <c r="K4" s="697"/>
      <c r="L4" s="697"/>
      <c r="M4" s="697"/>
      <c r="N4" s="697"/>
      <c r="O4" s="697"/>
      <c r="P4" s="697"/>
      <c r="Q4" s="697"/>
      <c r="R4" s="696"/>
      <c r="S4" s="696"/>
      <c r="T4" s="696"/>
      <c r="U4" s="696"/>
      <c r="V4" s="37"/>
      <c r="W4" s="696"/>
      <c r="X4" s="696"/>
      <c r="Y4" s="36"/>
      <c r="Z4" s="36"/>
      <c r="AA4" s="36"/>
      <c r="AB4" s="36"/>
      <c r="AC4" s="36"/>
      <c r="AD4" s="36"/>
      <c r="AE4" s="36"/>
    </row>
    <row r="5" spans="1:31" ht="29.25" hidden="1" customHeight="1" x14ac:dyDescent="0.25">
      <c r="A5" s="37"/>
      <c r="B5" s="37"/>
      <c r="C5" s="695"/>
      <c r="D5" s="695"/>
      <c r="E5" s="695"/>
      <c r="F5" s="695"/>
      <c r="G5" s="695"/>
      <c r="H5" s="695"/>
      <c r="I5" s="695"/>
      <c r="J5" s="695"/>
      <c r="K5" s="697"/>
      <c r="L5" s="697"/>
      <c r="M5" s="697"/>
      <c r="N5" s="697"/>
      <c r="O5" s="697"/>
      <c r="P5" s="697"/>
      <c r="Q5" s="697"/>
      <c r="R5" s="696"/>
      <c r="S5" s="696"/>
      <c r="T5" s="696"/>
      <c r="U5" s="696"/>
      <c r="V5" s="37"/>
      <c r="W5" s="696"/>
      <c r="X5" s="696"/>
      <c r="Y5" s="36"/>
      <c r="Z5" s="36"/>
      <c r="AA5" s="36"/>
      <c r="AB5" s="36"/>
      <c r="AC5" s="36"/>
      <c r="AD5" s="36"/>
      <c r="AE5" s="36"/>
    </row>
    <row r="6" spans="1:31" ht="21" customHeight="1" x14ac:dyDescent="0.3">
      <c r="A6" s="985" t="s">
        <v>856</v>
      </c>
      <c r="B6" s="974"/>
      <c r="C6" s="974"/>
      <c r="D6" s="974"/>
      <c r="E6" s="974"/>
      <c r="F6" s="974"/>
      <c r="G6" s="974"/>
      <c r="H6" s="974"/>
      <c r="I6" s="974"/>
      <c r="J6" s="974"/>
      <c r="K6" s="974"/>
      <c r="L6" s="974"/>
      <c r="M6" s="974"/>
      <c r="N6" s="974"/>
      <c r="O6" s="974"/>
      <c r="P6" s="974"/>
      <c r="Q6" s="974"/>
      <c r="R6" s="974"/>
      <c r="S6" s="974"/>
      <c r="T6" s="974"/>
      <c r="U6" s="974"/>
      <c r="V6" s="974"/>
      <c r="W6" s="974"/>
      <c r="X6" s="974"/>
      <c r="Y6" s="231"/>
      <c r="Z6" s="36"/>
      <c r="AA6" s="36"/>
      <c r="AB6" s="36"/>
      <c r="AC6" s="36"/>
      <c r="AD6" s="36"/>
      <c r="AE6" s="36"/>
    </row>
    <row r="7" spans="1:31" ht="18" hidden="1" customHeight="1" x14ac:dyDescent="0.3">
      <c r="A7" s="973" t="s">
        <v>281</v>
      </c>
      <c r="B7" s="974"/>
      <c r="C7" s="974"/>
      <c r="D7" s="974"/>
      <c r="E7" s="974"/>
      <c r="F7" s="974"/>
      <c r="G7" s="974"/>
      <c r="H7" s="974"/>
      <c r="I7" s="974"/>
      <c r="J7" s="974"/>
      <c r="K7" s="974"/>
      <c r="L7" s="974"/>
      <c r="M7" s="974"/>
      <c r="N7" s="974"/>
      <c r="O7" s="974"/>
      <c r="P7" s="974"/>
      <c r="Q7" s="974"/>
      <c r="R7" s="974"/>
      <c r="S7" s="974"/>
      <c r="T7" s="974"/>
      <c r="U7" s="974"/>
      <c r="V7" s="974"/>
      <c r="W7" s="974"/>
      <c r="X7" s="974"/>
      <c r="Y7" s="231"/>
      <c r="Z7" s="36"/>
      <c r="AA7" s="36"/>
      <c r="AB7" s="36"/>
      <c r="AC7" s="36"/>
      <c r="AD7" s="36"/>
      <c r="AE7" s="36"/>
    </row>
    <row r="8" spans="1:31" ht="18" customHeight="1" thickBot="1" x14ac:dyDescent="0.35">
      <c r="A8" s="975" t="s">
        <v>857</v>
      </c>
      <c r="B8" s="976"/>
      <c r="C8" s="976"/>
      <c r="D8" s="976"/>
      <c r="E8" s="976"/>
      <c r="F8" s="976"/>
      <c r="G8" s="976"/>
      <c r="H8" s="976"/>
      <c r="I8" s="976"/>
      <c r="J8" s="976"/>
      <c r="K8" s="976"/>
      <c r="L8" s="976"/>
      <c r="M8" s="976"/>
      <c r="N8" s="976"/>
      <c r="O8" s="976"/>
      <c r="P8" s="976"/>
      <c r="Q8" s="976"/>
      <c r="R8" s="976"/>
      <c r="S8" s="976"/>
      <c r="T8" s="976"/>
      <c r="U8" s="976"/>
      <c r="V8" s="976"/>
      <c r="W8" s="976"/>
      <c r="X8" s="976"/>
      <c r="Y8" s="231"/>
      <c r="Z8" s="36"/>
      <c r="AA8" s="36"/>
      <c r="AB8" s="36"/>
      <c r="AC8" s="36"/>
      <c r="AD8" s="36"/>
      <c r="AE8" s="36"/>
    </row>
    <row r="9" spans="1:31" ht="19.5" customHeight="1" thickTop="1" x14ac:dyDescent="0.3">
      <c r="A9" s="977" t="s">
        <v>109</v>
      </c>
      <c r="B9" s="979" t="s">
        <v>282</v>
      </c>
      <c r="C9" s="981" t="s">
        <v>283</v>
      </c>
      <c r="D9" s="698"/>
      <c r="E9" s="979" t="s">
        <v>284</v>
      </c>
      <c r="F9" s="982"/>
      <c r="G9" s="982"/>
      <c r="H9" s="982"/>
      <c r="I9" s="982"/>
      <c r="J9" s="982"/>
      <c r="K9" s="982"/>
      <c r="L9" s="982"/>
      <c r="M9" s="982"/>
      <c r="N9" s="982"/>
      <c r="O9" s="982"/>
      <c r="P9" s="982"/>
      <c r="Q9" s="982"/>
      <c r="R9" s="982"/>
      <c r="S9" s="982"/>
      <c r="T9" s="982"/>
      <c r="U9" s="982"/>
      <c r="V9" s="699"/>
      <c r="W9" s="699"/>
      <c r="X9" s="983" t="s">
        <v>101</v>
      </c>
      <c r="Y9" s="232"/>
      <c r="Z9" s="37"/>
      <c r="AA9" s="37"/>
      <c r="AB9" s="37"/>
      <c r="AC9" s="37"/>
      <c r="AD9" s="37"/>
      <c r="AE9" s="37"/>
    </row>
    <row r="10" spans="1:31" ht="37.5" x14ac:dyDescent="0.3">
      <c r="A10" s="978"/>
      <c r="B10" s="980"/>
      <c r="C10" s="980"/>
      <c r="D10" s="700" t="s">
        <v>108</v>
      </c>
      <c r="E10" s="700" t="s">
        <v>285</v>
      </c>
      <c r="F10" s="700" t="s">
        <v>286</v>
      </c>
      <c r="G10" s="700" t="s">
        <v>287</v>
      </c>
      <c r="H10" s="700" t="s">
        <v>520</v>
      </c>
      <c r="I10" s="700" t="s">
        <v>288</v>
      </c>
      <c r="J10" s="700" t="s">
        <v>289</v>
      </c>
      <c r="K10" s="700" t="s">
        <v>290</v>
      </c>
      <c r="L10" s="700" t="s">
        <v>291</v>
      </c>
      <c r="M10" s="700" t="s">
        <v>292</v>
      </c>
      <c r="N10" s="700" t="s">
        <v>293</v>
      </c>
      <c r="O10" s="700" t="s">
        <v>294</v>
      </c>
      <c r="P10" s="700" t="s">
        <v>295</v>
      </c>
      <c r="Q10" s="700" t="s">
        <v>296</v>
      </c>
      <c r="R10" s="700" t="s">
        <v>297</v>
      </c>
      <c r="S10" s="700" t="s">
        <v>523</v>
      </c>
      <c r="T10" s="700" t="s">
        <v>298</v>
      </c>
      <c r="U10" s="700" t="s">
        <v>299</v>
      </c>
      <c r="V10" s="700" t="s">
        <v>496</v>
      </c>
      <c r="W10" s="700" t="s">
        <v>300</v>
      </c>
      <c r="X10" s="984"/>
      <c r="Y10" s="232"/>
      <c r="Z10" s="37"/>
      <c r="AA10" s="37"/>
      <c r="AB10" s="37"/>
      <c r="AC10" s="37"/>
      <c r="AD10" s="37"/>
      <c r="AE10" s="37"/>
    </row>
    <row r="11" spans="1:31" ht="18.75" hidden="1" outlineLevel="1" x14ac:dyDescent="0.3">
      <c r="A11" s="702"/>
      <c r="B11" s="703"/>
      <c r="C11" s="703"/>
      <c r="D11" s="704"/>
      <c r="E11" s="705" t="s">
        <v>301</v>
      </c>
      <c r="F11" s="705" t="s">
        <v>301</v>
      </c>
      <c r="G11" s="705" t="s">
        <v>301</v>
      </c>
      <c r="H11" s="705" t="s">
        <v>301</v>
      </c>
      <c r="I11" s="705" t="s">
        <v>301</v>
      </c>
      <c r="J11" s="705" t="s">
        <v>301</v>
      </c>
      <c r="K11" s="705" t="s">
        <v>301</v>
      </c>
      <c r="L11" s="705" t="s">
        <v>301</v>
      </c>
      <c r="M11" s="705" t="s">
        <v>301</v>
      </c>
      <c r="N11" s="705" t="s">
        <v>301</v>
      </c>
      <c r="O11" s="705" t="s">
        <v>301</v>
      </c>
      <c r="P11" s="704"/>
      <c r="Q11" s="704"/>
      <c r="R11" s="704"/>
      <c r="S11" s="704"/>
      <c r="T11" s="704"/>
      <c r="U11" s="704"/>
      <c r="V11" s="704"/>
      <c r="W11" s="704"/>
      <c r="X11" s="701"/>
      <c r="Y11" s="232"/>
      <c r="Z11" s="37"/>
      <c r="AA11" s="37"/>
      <c r="AB11" s="37"/>
      <c r="AC11" s="37"/>
      <c r="AD11" s="37"/>
      <c r="AE11" s="37"/>
    </row>
    <row r="12" spans="1:31" ht="18.75" hidden="1" outlineLevel="1" x14ac:dyDescent="0.3">
      <c r="A12" s="702"/>
      <c r="B12" s="703"/>
      <c r="C12" s="703"/>
      <c r="D12" s="704"/>
      <c r="E12" s="705" t="s">
        <v>302</v>
      </c>
      <c r="F12" s="705" t="s">
        <v>302</v>
      </c>
      <c r="G12" s="705" t="s">
        <v>302</v>
      </c>
      <c r="H12" s="705" t="s">
        <v>302</v>
      </c>
      <c r="I12" s="705" t="s">
        <v>302</v>
      </c>
      <c r="J12" s="705" t="s">
        <v>302</v>
      </c>
      <c r="K12" s="705" t="s">
        <v>302</v>
      </c>
      <c r="L12" s="705" t="s">
        <v>302</v>
      </c>
      <c r="M12" s="705" t="s">
        <v>302</v>
      </c>
      <c r="N12" s="705" t="s">
        <v>302</v>
      </c>
      <c r="O12" s="705" t="s">
        <v>302</v>
      </c>
      <c r="P12" s="704"/>
      <c r="Q12" s="704"/>
      <c r="R12" s="704"/>
      <c r="S12" s="704"/>
      <c r="T12" s="704"/>
      <c r="U12" s="704"/>
      <c r="V12" s="704"/>
      <c r="W12" s="704"/>
      <c r="X12" s="701"/>
      <c r="Y12" s="232"/>
      <c r="Z12" s="37"/>
      <c r="AA12" s="37"/>
      <c r="AB12" s="37"/>
      <c r="AC12" s="37"/>
      <c r="AD12" s="37"/>
      <c r="AE12" s="37"/>
    </row>
    <row r="13" spans="1:31" ht="18.75" hidden="1" outlineLevel="1" x14ac:dyDescent="0.3">
      <c r="A13" s="702"/>
      <c r="B13" s="703"/>
      <c r="C13" s="703"/>
      <c r="D13" s="704"/>
      <c r="E13" s="705" t="s">
        <v>40</v>
      </c>
      <c r="F13" s="705" t="s">
        <v>40</v>
      </c>
      <c r="G13" s="705" t="s">
        <v>40</v>
      </c>
      <c r="H13" s="705" t="s">
        <v>40</v>
      </c>
      <c r="I13" s="705" t="s">
        <v>40</v>
      </c>
      <c r="J13" s="705" t="s">
        <v>40</v>
      </c>
      <c r="K13" s="705" t="s">
        <v>40</v>
      </c>
      <c r="L13" s="705" t="s">
        <v>40</v>
      </c>
      <c r="M13" s="705" t="s">
        <v>40</v>
      </c>
      <c r="N13" s="705" t="s">
        <v>40</v>
      </c>
      <c r="O13" s="705" t="s">
        <v>40</v>
      </c>
      <c r="P13" s="704"/>
      <c r="Q13" s="704"/>
      <c r="R13" s="704"/>
      <c r="S13" s="704"/>
      <c r="T13" s="704"/>
      <c r="U13" s="704"/>
      <c r="V13" s="704"/>
      <c r="W13" s="704"/>
      <c r="X13" s="701"/>
      <c r="Y13" s="232"/>
      <c r="Z13" s="37"/>
      <c r="AA13" s="37"/>
      <c r="AB13" s="37"/>
      <c r="AC13" s="37"/>
      <c r="AD13" s="37"/>
      <c r="AE13" s="37"/>
    </row>
    <row r="14" spans="1:31" ht="18.75" hidden="1" outlineLevel="1" x14ac:dyDescent="0.3">
      <c r="A14" s="702"/>
      <c r="B14" s="703"/>
      <c r="C14" s="703"/>
      <c r="D14" s="704"/>
      <c r="E14" s="706" t="s">
        <v>303</v>
      </c>
      <c r="F14" s="706" t="s">
        <v>303</v>
      </c>
      <c r="G14" s="706" t="s">
        <v>303</v>
      </c>
      <c r="H14" s="706" t="s">
        <v>303</v>
      </c>
      <c r="I14" s="706" t="s">
        <v>303</v>
      </c>
      <c r="J14" s="706" t="s">
        <v>303</v>
      </c>
      <c r="K14" s="706" t="s">
        <v>303</v>
      </c>
      <c r="L14" s="706" t="s">
        <v>303</v>
      </c>
      <c r="M14" s="706" t="s">
        <v>303</v>
      </c>
      <c r="N14" s="706" t="s">
        <v>303</v>
      </c>
      <c r="O14" s="706" t="s">
        <v>303</v>
      </c>
      <c r="P14" s="707"/>
      <c r="Q14" s="707"/>
      <c r="R14" s="707"/>
      <c r="S14" s="707"/>
      <c r="T14" s="707"/>
      <c r="U14" s="707"/>
      <c r="V14" s="707"/>
      <c r="W14" s="707"/>
      <c r="X14" s="701"/>
      <c r="Y14" s="232"/>
      <c r="Z14" s="37"/>
      <c r="AA14" s="37"/>
      <c r="AB14" s="37"/>
      <c r="AC14" s="37"/>
      <c r="AD14" s="37"/>
      <c r="AE14" s="37"/>
    </row>
    <row r="15" spans="1:31" ht="18.75" hidden="1" outlineLevel="1" x14ac:dyDescent="0.3">
      <c r="A15" s="702"/>
      <c r="B15" s="703"/>
      <c r="C15" s="703"/>
      <c r="D15" s="704"/>
      <c r="E15" s="706" t="s">
        <v>824</v>
      </c>
      <c r="F15" s="706" t="s">
        <v>824</v>
      </c>
      <c r="G15" s="706" t="s">
        <v>824</v>
      </c>
      <c r="H15" s="706" t="s">
        <v>824</v>
      </c>
      <c r="I15" s="706" t="s">
        <v>824</v>
      </c>
      <c r="J15" s="706" t="s">
        <v>824</v>
      </c>
      <c r="K15" s="706" t="s">
        <v>824</v>
      </c>
      <c r="L15" s="706" t="s">
        <v>824</v>
      </c>
      <c r="M15" s="706" t="s">
        <v>824</v>
      </c>
      <c r="N15" s="706" t="s">
        <v>824</v>
      </c>
      <c r="O15" s="706" t="s">
        <v>824</v>
      </c>
      <c r="P15" s="707"/>
      <c r="Q15" s="707"/>
      <c r="R15" s="707"/>
      <c r="S15" s="707"/>
      <c r="T15" s="707"/>
      <c r="U15" s="707"/>
      <c r="V15" s="707"/>
      <c r="W15" s="707"/>
      <c r="X15" s="701"/>
      <c r="Y15" s="232"/>
      <c r="Z15" s="37"/>
      <c r="AA15" s="37"/>
      <c r="AB15" s="37"/>
      <c r="AC15" s="37"/>
      <c r="AD15" s="37"/>
      <c r="AE15" s="37"/>
    </row>
    <row r="16" spans="1:31" ht="18.75" hidden="1" outlineLevel="1" x14ac:dyDescent="0.3">
      <c r="A16" s="702"/>
      <c r="B16" s="703"/>
      <c r="C16" s="703"/>
      <c r="D16" s="704"/>
      <c r="E16" s="706" t="s">
        <v>493</v>
      </c>
      <c r="F16" s="706" t="s">
        <v>493</v>
      </c>
      <c r="G16" s="706" t="s">
        <v>493</v>
      </c>
      <c r="H16" s="706" t="s">
        <v>493</v>
      </c>
      <c r="I16" s="706" t="s">
        <v>493</v>
      </c>
      <c r="J16" s="706" t="s">
        <v>493</v>
      </c>
      <c r="K16" s="706" t="s">
        <v>493</v>
      </c>
      <c r="L16" s="706" t="s">
        <v>493</v>
      </c>
      <c r="M16" s="706" t="s">
        <v>493</v>
      </c>
      <c r="N16" s="706" t="s">
        <v>493</v>
      </c>
      <c r="O16" s="706" t="s">
        <v>493</v>
      </c>
      <c r="P16" s="706" t="s">
        <v>493</v>
      </c>
      <c r="Q16" s="706" t="s">
        <v>493</v>
      </c>
      <c r="R16" s="706" t="s">
        <v>493</v>
      </c>
      <c r="S16" s="706" t="s">
        <v>493</v>
      </c>
      <c r="T16" s="706" t="s">
        <v>493</v>
      </c>
      <c r="U16" s="706" t="s">
        <v>493</v>
      </c>
      <c r="V16" s="706" t="s">
        <v>493</v>
      </c>
      <c r="W16" s="707"/>
      <c r="X16" s="701"/>
      <c r="Y16" s="232"/>
      <c r="Z16" s="37"/>
      <c r="AA16" s="37"/>
      <c r="AB16" s="37"/>
      <c r="AC16" s="37"/>
      <c r="AD16" s="37"/>
      <c r="AE16" s="37"/>
    </row>
    <row r="17" spans="1:31" s="717" customFormat="1" ht="27.75" customHeight="1" collapsed="1" x14ac:dyDescent="0.25">
      <c r="A17" s="708">
        <v>1</v>
      </c>
      <c r="B17" s="709" t="s">
        <v>304</v>
      </c>
      <c r="C17" s="710" t="s">
        <v>305</v>
      </c>
      <c r="D17" s="711">
        <f>SUM(E17:W17)</f>
        <v>2500000</v>
      </c>
      <c r="E17" s="712">
        <f>E18+E32</f>
        <v>179000</v>
      </c>
      <c r="F17" s="712">
        <f t="shared" ref="F17:V17" si="0">F18+F32</f>
        <v>165000</v>
      </c>
      <c r="G17" s="712">
        <f t="shared" si="0"/>
        <v>125100</v>
      </c>
      <c r="H17" s="712">
        <f t="shared" si="0"/>
        <v>181800</v>
      </c>
      <c r="I17" s="712">
        <f t="shared" si="0"/>
        <v>130400</v>
      </c>
      <c r="J17" s="712">
        <f t="shared" si="0"/>
        <v>176300</v>
      </c>
      <c r="K17" s="712">
        <f t="shared" si="0"/>
        <v>346100</v>
      </c>
      <c r="L17" s="712">
        <f t="shared" si="0"/>
        <v>434600</v>
      </c>
      <c r="M17" s="712">
        <f t="shared" si="0"/>
        <v>176400</v>
      </c>
      <c r="N17" s="712">
        <f t="shared" si="0"/>
        <v>183100</v>
      </c>
      <c r="O17" s="712">
        <f t="shared" si="0"/>
        <v>172200</v>
      </c>
      <c r="P17" s="713">
        <f t="shared" si="0"/>
        <v>45700</v>
      </c>
      <c r="Q17" s="713">
        <f t="shared" si="0"/>
        <v>11800</v>
      </c>
      <c r="R17" s="713">
        <f t="shared" si="0"/>
        <v>32400</v>
      </c>
      <c r="S17" s="713">
        <f>S18+S32</f>
        <v>34700</v>
      </c>
      <c r="T17" s="713">
        <f t="shared" si="0"/>
        <v>30600</v>
      </c>
      <c r="U17" s="713">
        <f t="shared" si="0"/>
        <v>34800</v>
      </c>
      <c r="V17" s="713">
        <f t="shared" si="0"/>
        <v>2500</v>
      </c>
      <c r="W17" s="713">
        <f>W18+W32</f>
        <v>37500</v>
      </c>
      <c r="X17" s="714"/>
      <c r="Y17" s="715"/>
      <c r="Z17" s="716"/>
      <c r="AA17" s="716"/>
      <c r="AB17" s="716"/>
      <c r="AC17" s="716"/>
      <c r="AD17" s="716"/>
      <c r="AE17" s="716"/>
    </row>
    <row r="18" spans="1:31" s="726" customFormat="1" ht="27" customHeight="1" outlineLevel="1" x14ac:dyDescent="0.25">
      <c r="A18" s="718"/>
      <c r="B18" s="719" t="s">
        <v>306</v>
      </c>
      <c r="C18" s="720" t="s">
        <v>305</v>
      </c>
      <c r="D18" s="712">
        <f>SUM(E18:W18)</f>
        <v>2216300</v>
      </c>
      <c r="E18" s="721">
        <f t="shared" ref="E18:V18" si="1">E19+E22+E25+E28</f>
        <v>170100</v>
      </c>
      <c r="F18" s="721">
        <f t="shared" si="1"/>
        <v>162300</v>
      </c>
      <c r="G18" s="721">
        <f>G19+G22+G25+G28+G31</f>
        <v>115400</v>
      </c>
      <c r="H18" s="721">
        <f t="shared" si="1"/>
        <v>179900</v>
      </c>
      <c r="I18" s="721">
        <f t="shared" si="1"/>
        <v>128000</v>
      </c>
      <c r="J18" s="721">
        <f t="shared" si="1"/>
        <v>170000</v>
      </c>
      <c r="K18" s="721">
        <f t="shared" si="1"/>
        <v>340000</v>
      </c>
      <c r="L18" s="721">
        <f t="shared" si="1"/>
        <v>430000</v>
      </c>
      <c r="M18" s="721">
        <f t="shared" si="1"/>
        <v>173700</v>
      </c>
      <c r="N18" s="721">
        <f t="shared" si="1"/>
        <v>178600</v>
      </c>
      <c r="O18" s="721">
        <f t="shared" si="1"/>
        <v>168300</v>
      </c>
      <c r="P18" s="721">
        <f t="shared" si="1"/>
        <v>0</v>
      </c>
      <c r="Q18" s="721">
        <f t="shared" si="1"/>
        <v>0</v>
      </c>
      <c r="R18" s="721">
        <f t="shared" si="1"/>
        <v>0</v>
      </c>
      <c r="S18" s="721">
        <f t="shared" si="1"/>
        <v>0</v>
      </c>
      <c r="T18" s="721">
        <f t="shared" si="1"/>
        <v>0</v>
      </c>
      <c r="U18" s="721">
        <f t="shared" si="1"/>
        <v>0</v>
      </c>
      <c r="V18" s="712">
        <f t="shared" si="1"/>
        <v>0</v>
      </c>
      <c r="W18" s="722"/>
      <c r="X18" s="723"/>
      <c r="Y18" s="724"/>
      <c r="Z18" s="725"/>
      <c r="AA18" s="725"/>
      <c r="AB18" s="725"/>
      <c r="AC18" s="725"/>
      <c r="AD18" s="725"/>
      <c r="AE18" s="725"/>
    </row>
    <row r="19" spans="1:31" ht="17.25" customHeight="1" outlineLevel="1" x14ac:dyDescent="0.3">
      <c r="A19" s="718"/>
      <c r="B19" s="727" t="s">
        <v>307</v>
      </c>
      <c r="C19" s="728" t="s">
        <v>308</v>
      </c>
      <c r="D19" s="729">
        <f>SUM(E19:W19)</f>
        <v>162300</v>
      </c>
      <c r="E19" s="713">
        <f>SUMIFS(KH_LC!$V:$V,KH_LC!$AP:$AP,E$10&amp;E$11)</f>
        <v>0</v>
      </c>
      <c r="F19" s="713">
        <f>SUMIFS(KH_LC!$V:$V,KH_LC!$AP:$AP,F$10&amp;F$11)</f>
        <v>162300</v>
      </c>
      <c r="G19" s="713">
        <f>SUMIFS(KH_LC!$V:$V,KH_LC!$AP:$AP,G$10&amp;G$11)</f>
        <v>0</v>
      </c>
      <c r="H19" s="713">
        <f>SUMIFS(KH_LC!$V:$V,KH_LC!$AP:$AP,H$10&amp;H$11)</f>
        <v>0</v>
      </c>
      <c r="I19" s="713">
        <f>SUMIFS(KH_LC!$V:$V,KH_LC!$AP:$AP,I$10&amp;I$11)</f>
        <v>0</v>
      </c>
      <c r="J19" s="713">
        <f>SUMIFS(KH_LC!$V:$V,KH_LC!$AP:$AP,J$10&amp;J$11)</f>
        <v>0</v>
      </c>
      <c r="K19" s="713">
        <f>SUMIFS(KH_LC!$V:$V,KH_LC!$AP:$AP,K$10&amp;K$11)</f>
        <v>0</v>
      </c>
      <c r="L19" s="713">
        <f>SUMIFS(KH_LC!$V:$V,KH_LC!$AP:$AP,L$10&amp;L$11)</f>
        <v>0</v>
      </c>
      <c r="M19" s="713">
        <f>SUMIFS(KH_LC!$V:$V,KH_LC!$AP:$AP,M$10&amp;M$11)</f>
        <v>0</v>
      </c>
      <c r="N19" s="713">
        <f>SUMIFS(KH_LC!$V:$V,KH_LC!$AP:$AP,N$10&amp;N$11)</f>
        <v>0</v>
      </c>
      <c r="O19" s="713">
        <f>SUMIFS(KH_LC!$V:$V,KH_LC!$AP:$AP,O$10&amp;O$11)</f>
        <v>0</v>
      </c>
      <c r="P19" s="713"/>
      <c r="Q19" s="713"/>
      <c r="R19" s="713"/>
      <c r="S19" s="713"/>
      <c r="T19" s="713"/>
      <c r="U19" s="713"/>
      <c r="V19" s="713"/>
      <c r="W19" s="730"/>
      <c r="X19" s="723"/>
      <c r="Y19" s="731"/>
      <c r="Z19" s="725"/>
      <c r="AA19" s="725"/>
      <c r="AB19" s="725"/>
      <c r="AC19" s="725"/>
      <c r="AD19" s="725"/>
      <c r="AE19" s="725"/>
    </row>
    <row r="20" spans="1:31" ht="17.25" customHeight="1" outlineLevel="1" x14ac:dyDescent="0.3">
      <c r="A20" s="718"/>
      <c r="B20" s="728" t="s">
        <v>309</v>
      </c>
      <c r="C20" s="732" t="s">
        <v>308</v>
      </c>
      <c r="D20" s="729">
        <f t="shared" ref="D20:D21" si="2">SUM(E20:W20)</f>
        <v>78200</v>
      </c>
      <c r="E20" s="713">
        <f>SUMIFS(KH_LC!$T:$T,KH_LC!$AP:$AP,E$10&amp;E$11)</f>
        <v>0</v>
      </c>
      <c r="F20" s="713">
        <f>SUMIFS(KH_LC!$T:$T,KH_LC!$AP:$AP,F$10&amp;F$11)</f>
        <v>78200</v>
      </c>
      <c r="G20" s="713">
        <f>SUMIFS(KH_LC!$T:$T,KH_LC!$AP:$AP,G$10&amp;G$11)</f>
        <v>0</v>
      </c>
      <c r="H20" s="713">
        <f>SUMIFS(KH_LC!$T:$T,KH_LC!$AP:$AP,H$10&amp;H$11)</f>
        <v>0</v>
      </c>
      <c r="I20" s="713">
        <f>SUMIFS(KH_LC!$T:$T,KH_LC!$AP:$AP,I$10&amp;I$11)</f>
        <v>0</v>
      </c>
      <c r="J20" s="713">
        <f>SUMIFS(KH_LC!$T:$T,KH_LC!$AP:$AP,J$10&amp;J$11)</f>
        <v>0</v>
      </c>
      <c r="K20" s="713">
        <f>SUMIFS(KH_LC!$T:$T,KH_LC!$AP:$AP,K$10&amp;K$11)</f>
        <v>0</v>
      </c>
      <c r="L20" s="713">
        <f>SUMIFS(KH_LC!$T:$T,KH_LC!$AP:$AP,L$10&amp;L$11)</f>
        <v>0</v>
      </c>
      <c r="M20" s="713">
        <f>SUMIFS(KH_LC!$T:$T,KH_LC!$AP:$AP,M$10&amp;M$11)</f>
        <v>0</v>
      </c>
      <c r="N20" s="713">
        <f>SUMIFS(KH_LC!$T:$T,KH_LC!$AP:$AP,N$10&amp;N$11)</f>
        <v>0</v>
      </c>
      <c r="O20" s="713">
        <f>SUMIFS(KH_LC!$T:$T,KH_LC!$AP:$AP,O$10&amp;O$11)</f>
        <v>0</v>
      </c>
      <c r="P20" s="713"/>
      <c r="Q20" s="713"/>
      <c r="R20" s="713"/>
      <c r="S20" s="713"/>
      <c r="T20" s="713"/>
      <c r="U20" s="713"/>
      <c r="V20" s="730"/>
      <c r="W20" s="730"/>
      <c r="X20" s="723"/>
      <c r="Y20" s="724"/>
      <c r="Z20" s="725"/>
      <c r="AA20" s="725"/>
      <c r="AB20" s="725"/>
      <c r="AC20" s="725"/>
      <c r="AD20" s="725"/>
      <c r="AE20" s="725"/>
    </row>
    <row r="21" spans="1:31" ht="17.25" customHeight="1" outlineLevel="1" x14ac:dyDescent="0.3">
      <c r="A21" s="718"/>
      <c r="B21" s="728" t="s">
        <v>310</v>
      </c>
      <c r="C21" s="732" t="s">
        <v>308</v>
      </c>
      <c r="D21" s="729">
        <f t="shared" si="2"/>
        <v>84100</v>
      </c>
      <c r="E21" s="713">
        <f>E19-E20</f>
        <v>0</v>
      </c>
      <c r="F21" s="713">
        <f t="shared" ref="F21:O21" si="3">F19-F20</f>
        <v>84100</v>
      </c>
      <c r="G21" s="713">
        <f t="shared" si="3"/>
        <v>0</v>
      </c>
      <c r="H21" s="713">
        <f t="shared" si="3"/>
        <v>0</v>
      </c>
      <c r="I21" s="713">
        <f t="shared" si="3"/>
        <v>0</v>
      </c>
      <c r="J21" s="713">
        <f t="shared" si="3"/>
        <v>0</v>
      </c>
      <c r="K21" s="713">
        <f t="shared" si="3"/>
        <v>0</v>
      </c>
      <c r="L21" s="713">
        <f t="shared" si="3"/>
        <v>0</v>
      </c>
      <c r="M21" s="713">
        <f t="shared" si="3"/>
        <v>0</v>
      </c>
      <c r="N21" s="713">
        <f t="shared" si="3"/>
        <v>0</v>
      </c>
      <c r="O21" s="713">
        <f t="shared" si="3"/>
        <v>0</v>
      </c>
      <c r="P21" s="713"/>
      <c r="Q21" s="713"/>
      <c r="R21" s="713"/>
      <c r="S21" s="713"/>
      <c r="T21" s="713"/>
      <c r="U21" s="713"/>
      <c r="V21" s="730"/>
      <c r="W21" s="730"/>
      <c r="X21" s="723"/>
      <c r="Y21" s="724"/>
      <c r="Z21" s="725"/>
      <c r="AA21" s="725"/>
      <c r="AB21" s="725"/>
      <c r="AC21" s="725"/>
      <c r="AD21" s="725"/>
      <c r="AE21" s="725"/>
    </row>
    <row r="22" spans="1:31" ht="17.25" customHeight="1" outlineLevel="1" x14ac:dyDescent="0.3">
      <c r="A22" s="718"/>
      <c r="B22" s="727" t="s">
        <v>311</v>
      </c>
      <c r="C22" s="728" t="s">
        <v>308</v>
      </c>
      <c r="D22" s="729">
        <f>SUM(E22:W22)</f>
        <v>1118900</v>
      </c>
      <c r="E22" s="713">
        <f>SUMIFS(KH_LC!$V:$V,KH_LC!$AP:$AP,E$10&amp;E$12)</f>
        <v>170100</v>
      </c>
      <c r="F22" s="713">
        <f>SUMIFS(KH_LC!$V:$V,KH_LC!$AP:$AP,F$10&amp;F$12)</f>
        <v>0</v>
      </c>
      <c r="G22" s="713">
        <f>SUMIFS(KH_LC!$V:$V,KH_LC!$AP:$AP,G$10&amp;G$12)</f>
        <v>26100</v>
      </c>
      <c r="H22" s="713">
        <f>SUMIFS(KH_LC!$V:$V,KH_LC!$AP:$AP,H$10&amp;H$12)</f>
        <v>179900</v>
      </c>
      <c r="I22" s="713">
        <f>SUMIFS(KH_LC!$V:$V,KH_LC!$AP:$AP,I$10&amp;I$12)</f>
        <v>52200</v>
      </c>
      <c r="J22" s="713">
        <f>SUMIFS(KH_LC!$V:$V,KH_LC!$AP:$AP,J$10&amp;J$12)</f>
        <v>170000</v>
      </c>
      <c r="K22" s="713">
        <f>SUMIFS(KH_LC!$V:$V,KH_LC!$AP:$AP,K$10&amp;K$12)</f>
        <v>0</v>
      </c>
      <c r="L22" s="713">
        <f>SUMIFS(KH_LC!$V:$V,KH_LC!$AP:$AP,L$10&amp;L$12)</f>
        <v>0</v>
      </c>
      <c r="M22" s="713">
        <f>SUMIFS(KH_LC!$V:$V,KH_LC!$AP:$AP,M$10&amp;M$12)</f>
        <v>173700</v>
      </c>
      <c r="N22" s="713">
        <f>SUMIFS(KH_LC!$V:$V,KH_LC!$AP:$AP,N$10&amp;N$12)</f>
        <v>178600</v>
      </c>
      <c r="O22" s="713">
        <f>SUMIFS(KH_LC!$V:$V,KH_LC!$AP:$AP,O$10&amp;O$12)</f>
        <v>168300</v>
      </c>
      <c r="P22" s="712"/>
      <c r="Q22" s="712"/>
      <c r="R22" s="712"/>
      <c r="S22" s="712"/>
      <c r="T22" s="712"/>
      <c r="U22" s="712"/>
      <c r="V22" s="712"/>
      <c r="W22" s="730"/>
      <c r="X22" s="723"/>
      <c r="Y22" s="724"/>
      <c r="Z22" s="725"/>
      <c r="AA22" s="725"/>
      <c r="AB22" s="725"/>
      <c r="AC22" s="725"/>
      <c r="AD22" s="725"/>
      <c r="AE22" s="725"/>
    </row>
    <row r="23" spans="1:31" ht="17.25" customHeight="1" outlineLevel="1" x14ac:dyDescent="0.3">
      <c r="A23" s="718"/>
      <c r="B23" s="728" t="s">
        <v>312</v>
      </c>
      <c r="C23" s="732" t="s">
        <v>308</v>
      </c>
      <c r="D23" s="729">
        <f t="shared" ref="D23:D24" si="4">SUM(E23:W23)</f>
        <v>411100</v>
      </c>
      <c r="E23" s="713">
        <f>SUMIFS(KH_LC!$T:$T,KH_LC!$AP:$AP,E$10&amp;E$12)</f>
        <v>0</v>
      </c>
      <c r="F23" s="713">
        <f>SUMIFS(KH_LC!$T:$T,KH_LC!$AP:$AP,F$10&amp;F$12)</f>
        <v>0</v>
      </c>
      <c r="G23" s="713">
        <f>SUMIFS(KH_LC!$T:$T,KH_LC!$AP:$AP,G$10&amp;G$12)</f>
        <v>24100</v>
      </c>
      <c r="H23" s="713">
        <f>SUMIFS(KH_LC!$T:$T,KH_LC!$AP:$AP,H$10&amp;H$12)</f>
        <v>80900</v>
      </c>
      <c r="I23" s="713">
        <f>SUMIFS(KH_LC!$T:$T,KH_LC!$AP:$AP,I$10&amp;I$12)</f>
        <v>36200</v>
      </c>
      <c r="J23" s="713"/>
      <c r="K23" s="713">
        <f>SUMIFS(KH_LC!$T:$T,KH_LC!$AP:$AP,K$10&amp;K$12)</f>
        <v>0</v>
      </c>
      <c r="L23" s="713">
        <f>SUMIFS(KH_LC!$T:$T,KH_LC!$AP:$AP,L$10&amp;L$12)</f>
        <v>0</v>
      </c>
      <c r="M23" s="713"/>
      <c r="N23" s="713">
        <f>SUMIFS(KH_LC!$T:$T,KH_LC!$AP:$AP,N$10&amp;N$12)</f>
        <v>141600</v>
      </c>
      <c r="O23" s="713">
        <f>SUMIFS(KH_LC!$T:$T,KH_LC!$AP:$AP,O$10&amp;O$12)</f>
        <v>128300</v>
      </c>
      <c r="P23" s="713"/>
      <c r="Q23" s="713"/>
      <c r="R23" s="713"/>
      <c r="S23" s="713"/>
      <c r="T23" s="713"/>
      <c r="U23" s="713"/>
      <c r="V23" s="730"/>
      <c r="W23" s="730"/>
      <c r="X23" s="723"/>
      <c r="Y23" s="724"/>
      <c r="Z23" s="725"/>
      <c r="AA23" s="725"/>
      <c r="AB23" s="725"/>
      <c r="AC23" s="725"/>
      <c r="AD23" s="725"/>
      <c r="AE23" s="725"/>
    </row>
    <row r="24" spans="1:31" ht="17.25" customHeight="1" outlineLevel="1" x14ac:dyDescent="0.3">
      <c r="A24" s="718"/>
      <c r="B24" s="728" t="s">
        <v>313</v>
      </c>
      <c r="C24" s="732" t="s">
        <v>308</v>
      </c>
      <c r="D24" s="729">
        <f t="shared" si="4"/>
        <v>707800</v>
      </c>
      <c r="E24" s="713">
        <f>E22-E23</f>
        <v>170100</v>
      </c>
      <c r="F24" s="713">
        <f t="shared" ref="F24:O24" si="5">F22-F23</f>
        <v>0</v>
      </c>
      <c r="G24" s="713">
        <f t="shared" si="5"/>
        <v>2000</v>
      </c>
      <c r="H24" s="713">
        <f t="shared" si="5"/>
        <v>99000</v>
      </c>
      <c r="I24" s="713">
        <f t="shared" si="5"/>
        <v>16000</v>
      </c>
      <c r="J24" s="713">
        <f t="shared" si="5"/>
        <v>170000</v>
      </c>
      <c r="K24" s="713">
        <f t="shared" si="5"/>
        <v>0</v>
      </c>
      <c r="L24" s="713">
        <f t="shared" si="5"/>
        <v>0</v>
      </c>
      <c r="M24" s="713">
        <f t="shared" si="5"/>
        <v>173700</v>
      </c>
      <c r="N24" s="713">
        <f t="shared" si="5"/>
        <v>37000</v>
      </c>
      <c r="O24" s="713">
        <f t="shared" si="5"/>
        <v>40000</v>
      </c>
      <c r="P24" s="713"/>
      <c r="Q24" s="713"/>
      <c r="R24" s="713"/>
      <c r="S24" s="713"/>
      <c r="T24" s="713"/>
      <c r="U24" s="713"/>
      <c r="V24" s="730"/>
      <c r="W24" s="730"/>
      <c r="X24" s="723"/>
      <c r="Y24" s="724"/>
      <c r="Z24" s="725"/>
      <c r="AA24" s="725"/>
      <c r="AB24" s="725"/>
      <c r="AC24" s="725"/>
      <c r="AD24" s="725"/>
      <c r="AE24" s="725"/>
    </row>
    <row r="25" spans="1:31" ht="17.25" customHeight="1" outlineLevel="1" x14ac:dyDescent="0.3">
      <c r="A25" s="718"/>
      <c r="B25" s="727" t="s">
        <v>314</v>
      </c>
      <c r="C25" s="730"/>
      <c r="D25" s="729">
        <f>SUM(E25:W25)</f>
        <v>155100</v>
      </c>
      <c r="E25" s="713">
        <f>SUMIFS(KH_LC!$V:$V,KH_LC!$AP:$AP,E$10&amp;E$13)</f>
        <v>0</v>
      </c>
      <c r="F25" s="713">
        <f>SUMIFS(KH_LC!$V:$V,KH_LC!$AP:$AP,F$10&amp;F$13)</f>
        <v>0</v>
      </c>
      <c r="G25" s="713">
        <f>SUMIFS(KH_LC!$V:$V,KH_LC!$AP:$AP,G$10&amp;G$13)</f>
        <v>79300</v>
      </c>
      <c r="H25" s="713">
        <f>SUMIFS(KH_LC!$V:$V,KH_LC!$AP:$AP,H$10&amp;H$13)</f>
        <v>0</v>
      </c>
      <c r="I25" s="713">
        <f>SUMIFS(KH_LC!$V:$V,KH_LC!$AP:$AP,I$10&amp;I$13)</f>
        <v>75800</v>
      </c>
      <c r="J25" s="713">
        <f>SUMIFS(KH_LC!$V:$V,KH_LC!$AP:$AP,J$10&amp;J$13)</f>
        <v>0</v>
      </c>
      <c r="K25" s="713">
        <f>SUMIFS(KH_LC!$V:$V,KH_LC!$AP:$AP,K$10&amp;K$13)</f>
        <v>0</v>
      </c>
      <c r="L25" s="713">
        <f>SUMIFS(KH_LC!$V:$V,KH_LC!$AP:$AP,L$10&amp;L$13)</f>
        <v>0</v>
      </c>
      <c r="M25" s="713">
        <f>SUMIFS(KH_LC!$V:$V,KH_LC!$AP:$AP,M$10&amp;M$13)</f>
        <v>0</v>
      </c>
      <c r="N25" s="713">
        <f>SUMIFS(KH_LC!$V:$V,KH_LC!$AP:$AP,N$10&amp;N$13)</f>
        <v>0</v>
      </c>
      <c r="O25" s="713">
        <f>SUMIFS(KH_LC!$V:$V,KH_LC!$AP:$AP,O$10&amp;O$13)</f>
        <v>0</v>
      </c>
      <c r="P25" s="712"/>
      <c r="Q25" s="712"/>
      <c r="R25" s="712"/>
      <c r="S25" s="712"/>
      <c r="T25" s="712"/>
      <c r="U25" s="712"/>
      <c r="V25" s="712"/>
      <c r="W25" s="730"/>
      <c r="X25" s="723"/>
      <c r="Y25" s="724"/>
      <c r="Z25" s="725"/>
      <c r="AA25" s="725"/>
      <c r="AB25" s="725"/>
      <c r="AC25" s="725"/>
      <c r="AD25" s="725"/>
      <c r="AE25" s="725"/>
    </row>
    <row r="26" spans="1:31" ht="17.25" customHeight="1" outlineLevel="1" x14ac:dyDescent="0.3">
      <c r="A26" s="718"/>
      <c r="B26" s="728" t="s">
        <v>315</v>
      </c>
      <c r="C26" s="732"/>
      <c r="D26" s="733"/>
      <c r="E26" s="713">
        <f>SUMIFS(KH_LC!$T:$T,KH_LC!$AP:$AP,E$10&amp;E$13)</f>
        <v>0</v>
      </c>
      <c r="F26" s="713">
        <f>SUMIFS(KH_LC!$T:$T,KH_LC!$AP:$AP,F$10&amp;F$13)</f>
        <v>0</v>
      </c>
      <c r="G26" s="713"/>
      <c r="H26" s="713">
        <f>SUMIFS(KH_LC!$T:$T,KH_LC!$AP:$AP,H$10&amp;H$13)</f>
        <v>0</v>
      </c>
      <c r="I26" s="713">
        <f>SUMIFS(KH_LC!$T:$T,KH_LC!$AP:$AP,I$10&amp;I$13)</f>
        <v>-600</v>
      </c>
      <c r="J26" s="713">
        <f>SUMIFS(KH_LC!$T:$T,KH_LC!$AP:$AP,J$10&amp;J$13)</f>
        <v>0</v>
      </c>
      <c r="K26" s="713">
        <f>SUMIFS(KH_LC!$T:$T,KH_LC!$AP:$AP,K$10&amp;K$13)</f>
        <v>0</v>
      </c>
      <c r="L26" s="713">
        <f>SUMIFS(KH_LC!$T:$T,KH_LC!$AP:$AP,L$10&amp;L$13)</f>
        <v>0</v>
      </c>
      <c r="M26" s="713">
        <f>SUMIFS(KH_LC!$T:$T,KH_LC!$AP:$AP,M$10&amp;M$13)</f>
        <v>0</v>
      </c>
      <c r="N26" s="713">
        <f>SUMIFS(KH_LC!$T:$T,KH_LC!$AP:$AP,N$10&amp;N$13)</f>
        <v>0</v>
      </c>
      <c r="O26" s="713">
        <f>SUMIFS(KH_LC!$T:$T,KH_LC!$AP:$AP,O$10&amp;O$13)</f>
        <v>0</v>
      </c>
      <c r="P26" s="713"/>
      <c r="Q26" s="713"/>
      <c r="R26" s="713"/>
      <c r="S26" s="713"/>
      <c r="T26" s="713"/>
      <c r="U26" s="713"/>
      <c r="V26" s="730"/>
      <c r="W26" s="730"/>
      <c r="X26" s="723"/>
      <c r="Y26" s="724"/>
      <c r="Z26" s="725"/>
      <c r="AA26" s="725"/>
      <c r="AB26" s="725"/>
      <c r="AC26" s="725"/>
      <c r="AD26" s="725"/>
      <c r="AE26" s="725"/>
    </row>
    <row r="27" spans="1:31" ht="17.25" customHeight="1" outlineLevel="1" x14ac:dyDescent="0.3">
      <c r="A27" s="718"/>
      <c r="B27" s="728" t="s">
        <v>316</v>
      </c>
      <c r="C27" s="732"/>
      <c r="D27" s="733"/>
      <c r="E27" s="713">
        <f>E25-E26</f>
        <v>0</v>
      </c>
      <c r="F27" s="713">
        <f t="shared" ref="F27:O27" si="6">F25-F26</f>
        <v>0</v>
      </c>
      <c r="G27" s="713">
        <f t="shared" si="6"/>
        <v>79300</v>
      </c>
      <c r="H27" s="713">
        <f t="shared" si="6"/>
        <v>0</v>
      </c>
      <c r="I27" s="713">
        <f t="shared" si="6"/>
        <v>76400</v>
      </c>
      <c r="J27" s="713">
        <f t="shared" si="6"/>
        <v>0</v>
      </c>
      <c r="K27" s="713">
        <f t="shared" si="6"/>
        <v>0</v>
      </c>
      <c r="L27" s="713">
        <f t="shared" si="6"/>
        <v>0</v>
      </c>
      <c r="M27" s="713">
        <f t="shared" si="6"/>
        <v>0</v>
      </c>
      <c r="N27" s="713">
        <f t="shared" si="6"/>
        <v>0</v>
      </c>
      <c r="O27" s="713">
        <f t="shared" si="6"/>
        <v>0</v>
      </c>
      <c r="P27" s="713"/>
      <c r="Q27" s="713"/>
      <c r="R27" s="713"/>
      <c r="S27" s="713"/>
      <c r="T27" s="713"/>
      <c r="U27" s="713"/>
      <c r="V27" s="730"/>
      <c r="W27" s="730"/>
      <c r="X27" s="723"/>
      <c r="Y27" s="724"/>
      <c r="Z27" s="725"/>
      <c r="AA27" s="725"/>
      <c r="AB27" s="725"/>
      <c r="AC27" s="725"/>
      <c r="AD27" s="725"/>
      <c r="AE27" s="725"/>
    </row>
    <row r="28" spans="1:31" ht="18.75" outlineLevel="1" x14ac:dyDescent="0.3">
      <c r="A28" s="718"/>
      <c r="B28" s="727" t="s">
        <v>317</v>
      </c>
      <c r="C28" s="728" t="s">
        <v>308</v>
      </c>
      <c r="D28" s="729">
        <f>SUM(E28:W28)</f>
        <v>770000</v>
      </c>
      <c r="E28" s="713">
        <f>SUMIFS(KH_LC!$V:$V,KH_LC!$AP:$AP,E$10&amp;E$14)</f>
        <v>0</v>
      </c>
      <c r="F28" s="713">
        <f>SUMIFS(KH_LC!$V:$V,KH_LC!$AP:$AP,F$10&amp;F$14)</f>
        <v>0</v>
      </c>
      <c r="G28" s="713">
        <f>SUMIFS(KH_LC!$V:$V,KH_LC!$AP:$AP,G$10&amp;G$14)</f>
        <v>0</v>
      </c>
      <c r="H28" s="713">
        <f>SUMIFS(KH_LC!$V:$V,KH_LC!$AP:$AP,H$10&amp;H$14)</f>
        <v>0</v>
      </c>
      <c r="I28" s="713">
        <f>SUMIFS(KH_LC!$V:$V,KH_LC!$AP:$AP,I$10&amp;I$14)</f>
        <v>0</v>
      </c>
      <c r="J28" s="713">
        <f>SUMIFS(KH_LC!$V:$V,KH_LC!$AP:$AP,J$10&amp;J$14)</f>
        <v>0</v>
      </c>
      <c r="K28" s="713">
        <f>SUMIFS(KH_LC!$V:$V,KH_LC!$AP:$AP,K$10&amp;K$14)</f>
        <v>340000</v>
      </c>
      <c r="L28" s="713">
        <f>SUMIFS(KH_LC!$V:$V,KH_LC!$AP:$AP,L$10&amp;L$14)</f>
        <v>430000</v>
      </c>
      <c r="M28" s="713">
        <f>SUMIFS(KH_LC!$V:$V,KH_LC!$AP:$AP,M$10&amp;M$14)</f>
        <v>0</v>
      </c>
      <c r="N28" s="713">
        <f>SUMIFS(KH_LC!$V:$V,KH_LC!$AP:$AP,N$10&amp;N$14)</f>
        <v>0</v>
      </c>
      <c r="O28" s="713">
        <f>SUMIFS(KH_LC!$V:$V,KH_LC!$AP:$AP,O$10&amp;O$14)</f>
        <v>0</v>
      </c>
      <c r="P28" s="713"/>
      <c r="Q28" s="713"/>
      <c r="R28" s="712"/>
      <c r="S28" s="712"/>
      <c r="T28" s="712"/>
      <c r="U28" s="712"/>
      <c r="V28" s="730"/>
      <c r="W28" s="730"/>
      <c r="X28" s="723"/>
      <c r="Y28" s="724"/>
      <c r="Z28" s="725"/>
      <c r="AA28" s="725"/>
      <c r="AB28" s="725"/>
      <c r="AC28" s="725"/>
      <c r="AD28" s="725"/>
      <c r="AE28" s="725"/>
    </row>
    <row r="29" spans="1:31" ht="18.75" outlineLevel="1" x14ac:dyDescent="0.3">
      <c r="A29" s="718"/>
      <c r="B29" s="728" t="s">
        <v>318</v>
      </c>
      <c r="C29" s="732" t="s">
        <v>308</v>
      </c>
      <c r="D29" s="729">
        <f t="shared" ref="D29:D30" si="7">SUM(E29:W29)</f>
        <v>743000</v>
      </c>
      <c r="E29" s="713">
        <f>SUMIFS(KH_LC!$T:$T,KH_LC!$AP:$AP,E$10&amp;E$14)</f>
        <v>0</v>
      </c>
      <c r="F29" s="713">
        <f>SUMIFS(KH_LC!$T:$T,KH_LC!$AP:$AP,F$10&amp;F$14)</f>
        <v>0</v>
      </c>
      <c r="G29" s="713">
        <f>SUMIFS(KH_LC!$T:$T,KH_LC!$AP:$AP,G$10&amp;G$14)</f>
        <v>0</v>
      </c>
      <c r="H29" s="713">
        <f>SUMIFS(KH_LC!$T:$T,KH_LC!$AP:$AP,H$10&amp;H$14)</f>
        <v>0</v>
      </c>
      <c r="I29" s="713">
        <f>SUMIFS(KH_LC!$T:$T,KH_LC!$AP:$AP,I$10&amp;I$14)</f>
        <v>0</v>
      </c>
      <c r="J29" s="713">
        <f>SUMIFS(KH_LC!$T:$T,KH_LC!$AP:$AP,J$10&amp;J$14)</f>
        <v>0</v>
      </c>
      <c r="K29" s="713">
        <f>SUMIFS(KH_LC!$T:$T,KH_LC!$AP:$AP,K$10&amp;K$14)</f>
        <v>313000</v>
      </c>
      <c r="L29" s="713">
        <f>SUMIFS(KH_LC!$T:$T,KH_LC!$AP:$AP,L$10&amp;L$14)</f>
        <v>430000</v>
      </c>
      <c r="M29" s="713">
        <f>SUMIFS(KH_LC!$T:$T,KH_LC!$AP:$AP,M$10&amp;M$14)</f>
        <v>0</v>
      </c>
      <c r="N29" s="713">
        <f>SUMIFS(KH_LC!$T:$T,KH_LC!$AP:$AP,N$10&amp;N$14)</f>
        <v>0</v>
      </c>
      <c r="O29" s="713">
        <f>SUMIFS(KH_LC!$T:$T,KH_LC!$AP:$AP,O$10&amp;O$14)</f>
        <v>0</v>
      </c>
      <c r="P29" s="713"/>
      <c r="Q29" s="713"/>
      <c r="R29" s="713"/>
      <c r="S29" s="713"/>
      <c r="T29" s="713"/>
      <c r="U29" s="713"/>
      <c r="V29" s="730"/>
      <c r="W29" s="730"/>
      <c r="X29" s="723"/>
      <c r="Y29" s="724"/>
      <c r="Z29" s="725"/>
      <c r="AA29" s="725"/>
      <c r="AB29" s="725"/>
      <c r="AC29" s="725"/>
      <c r="AD29" s="725"/>
      <c r="AE29" s="725"/>
    </row>
    <row r="30" spans="1:31" ht="18.75" outlineLevel="1" x14ac:dyDescent="0.3">
      <c r="A30" s="718"/>
      <c r="B30" s="728" t="s">
        <v>319</v>
      </c>
      <c r="C30" s="732" t="s">
        <v>308</v>
      </c>
      <c r="D30" s="729">
        <f t="shared" si="7"/>
        <v>27000</v>
      </c>
      <c r="E30" s="713">
        <f>E28-E29</f>
        <v>0</v>
      </c>
      <c r="F30" s="713">
        <f t="shared" ref="F30:O30" si="8">F28-F29</f>
        <v>0</v>
      </c>
      <c r="G30" s="713">
        <f t="shared" si="8"/>
        <v>0</v>
      </c>
      <c r="H30" s="713">
        <f t="shared" si="8"/>
        <v>0</v>
      </c>
      <c r="I30" s="713">
        <f t="shared" si="8"/>
        <v>0</v>
      </c>
      <c r="J30" s="713">
        <f t="shared" si="8"/>
        <v>0</v>
      </c>
      <c r="K30" s="713">
        <f t="shared" si="8"/>
        <v>27000</v>
      </c>
      <c r="L30" s="713">
        <f t="shared" si="8"/>
        <v>0</v>
      </c>
      <c r="M30" s="713">
        <f t="shared" si="8"/>
        <v>0</v>
      </c>
      <c r="N30" s="713">
        <f t="shared" si="8"/>
        <v>0</v>
      </c>
      <c r="O30" s="713">
        <f t="shared" si="8"/>
        <v>0</v>
      </c>
      <c r="P30" s="713"/>
      <c r="Q30" s="713"/>
      <c r="R30" s="713"/>
      <c r="S30" s="713"/>
      <c r="T30" s="713"/>
      <c r="U30" s="713"/>
      <c r="V30" s="730"/>
      <c r="W30" s="730"/>
      <c r="X30" s="723"/>
      <c r="Y30" s="724"/>
      <c r="Z30" s="725"/>
      <c r="AA30" s="725"/>
      <c r="AB30" s="725"/>
      <c r="AC30" s="725"/>
      <c r="AD30" s="725"/>
      <c r="AE30" s="725"/>
    </row>
    <row r="31" spans="1:31" ht="18.75" outlineLevel="1" x14ac:dyDescent="0.3">
      <c r="A31" s="718"/>
      <c r="B31" s="727" t="s">
        <v>853</v>
      </c>
      <c r="C31" s="728" t="s">
        <v>308</v>
      </c>
      <c r="D31" s="729">
        <f>SUM(E31:W31)</f>
        <v>10000</v>
      </c>
      <c r="E31" s="713">
        <f>SUMIFS(KH_LC!$V:$V,KH_LC!$AP:$AP,E$10&amp;E$15)</f>
        <v>0</v>
      </c>
      <c r="F31" s="713">
        <f>SUMIFS(KH_LC!$V:$V,KH_LC!$AP:$AP,F$10&amp;F$15)</f>
        <v>0</v>
      </c>
      <c r="G31" s="713">
        <f>SUMIFS(KH_LC!$V:$V,KH_LC!$AP:$AP,G$10&amp;G$15)</f>
        <v>10000</v>
      </c>
      <c r="H31" s="713">
        <f>SUMIFS(KH_LC!$V:$V,KH_LC!$AP:$AP,H$10&amp;H$15)</f>
        <v>0</v>
      </c>
      <c r="I31" s="713">
        <f>SUMIFS(KH_LC!$V:$V,KH_LC!$AP:$AP,I$10&amp;I$15)</f>
        <v>0</v>
      </c>
      <c r="J31" s="713">
        <f>SUMIFS(KH_LC!$V:$V,KH_LC!$AP:$AP,J$10&amp;J$15)</f>
        <v>0</v>
      </c>
      <c r="K31" s="713">
        <f>SUMIFS(KH_LC!$V:$V,KH_LC!$AP:$AP,K$10&amp;K$15)</f>
        <v>0</v>
      </c>
      <c r="L31" s="713">
        <f>SUMIFS(KH_LC!$V:$V,KH_LC!$AP:$AP,L$10&amp;L$15)</f>
        <v>0</v>
      </c>
      <c r="M31" s="713">
        <f>SUMIFS(KH_LC!$V:$V,KH_LC!$AP:$AP,M$10&amp;M$15)</f>
        <v>0</v>
      </c>
      <c r="N31" s="713">
        <f>SUMIFS(KH_LC!$V:$V,KH_LC!$AP:$AP,N$10&amp;N$15)</f>
        <v>0</v>
      </c>
      <c r="O31" s="713">
        <f>SUMIFS(KH_LC!$V:$V,KH_LC!$AP:$AP,O$10&amp;O$15)</f>
        <v>0</v>
      </c>
      <c r="P31" s="713"/>
      <c r="Q31" s="713"/>
      <c r="R31" s="713"/>
      <c r="S31" s="713"/>
      <c r="T31" s="713"/>
      <c r="U31" s="713"/>
      <c r="V31" s="713"/>
      <c r="W31" s="713"/>
      <c r="X31" s="723"/>
      <c r="Y31" s="724"/>
      <c r="Z31" s="725"/>
      <c r="AA31" s="725"/>
      <c r="AB31" s="725"/>
      <c r="AC31" s="725"/>
      <c r="AD31" s="725"/>
      <c r="AE31" s="725"/>
    </row>
    <row r="32" spans="1:31" s="736" customFormat="1" ht="18.75" x14ac:dyDescent="0.3">
      <c r="A32" s="718"/>
      <c r="B32" s="719" t="s">
        <v>320</v>
      </c>
      <c r="C32" s="734" t="s">
        <v>308</v>
      </c>
      <c r="D32" s="735">
        <f>SUM(E32:W32)</f>
        <v>283700</v>
      </c>
      <c r="E32" s="712">
        <f>SUMIFS(KH_LC!$V:$V,KH_LC!$AP:$AP,E$10&amp;E$16)</f>
        <v>8900</v>
      </c>
      <c r="F32" s="712">
        <f>SUMIFS(KH_LC!$V:$V,KH_LC!$AP:$AP,F$10&amp;F$16)</f>
        <v>2700</v>
      </c>
      <c r="G32" s="712">
        <f>SUMIFS(KH_LC!$V:$V,KH_LC!$AP:$AP,G$10&amp;G$16)</f>
        <v>9700</v>
      </c>
      <c r="H32" s="712">
        <f>SUMIFS(KH_LC!$V:$V,KH_LC!$AP:$AP,H$10&amp;H$16)</f>
        <v>1900</v>
      </c>
      <c r="I32" s="712">
        <f>SUMIFS(KH_LC!$V:$V,KH_LC!$AP:$AP,I$10&amp;I$16)</f>
        <v>2400</v>
      </c>
      <c r="J32" s="712">
        <f>SUMIFS(KH_LC!$V:$V,KH_LC!$AP:$AP,J$10&amp;J$16)</f>
        <v>6300</v>
      </c>
      <c r="K32" s="712">
        <f>SUMIFS(KH_LC!$V:$V,KH_LC!$AP:$AP,K$10&amp;K$16)</f>
        <v>6100</v>
      </c>
      <c r="L32" s="712">
        <f>SUMIFS(KH_LC!$V:$V,KH_LC!$AP:$AP,L$10&amp;L$16)</f>
        <v>4600</v>
      </c>
      <c r="M32" s="712">
        <f>SUMIFS(KH_LC!$V:$V,KH_LC!$AP:$AP,M$10&amp;M$16)</f>
        <v>2700</v>
      </c>
      <c r="N32" s="712">
        <f>SUMIFS(KH_LC!$V:$V,KH_LC!$AP:$AP,N$10&amp;N$16)</f>
        <v>4500</v>
      </c>
      <c r="O32" s="712">
        <f>SUMIFS(KH_LC!$V:$V,KH_LC!$AP:$AP,O$10&amp;O$16)</f>
        <v>3900</v>
      </c>
      <c r="P32" s="712">
        <f>SUMIFS(KH_LC!$V:$V,KH_LC!$AP:$AP,P$10&amp;P$16)</f>
        <v>45700</v>
      </c>
      <c r="Q32" s="712">
        <f>SUMIFS(KH_LC!$V:$V,KH_LC!$AP:$AP,Q$10&amp;Q$16)</f>
        <v>11800</v>
      </c>
      <c r="R32" s="712">
        <f>SUMIFS(KH_LC!$V:$V,KH_LC!$AP:$AP,R$10&amp;R$16)</f>
        <v>32400</v>
      </c>
      <c r="S32" s="712">
        <f>SUMIFS(KH_LC!$V:$V,KH_LC!$AP:$AP,S$10&amp;S$16)</f>
        <v>34700</v>
      </c>
      <c r="T32" s="712">
        <f>SUMIFS(KH_LC!$V:$V,KH_LC!$AP:$AP,T$10&amp;T$16)</f>
        <v>30600</v>
      </c>
      <c r="U32" s="712">
        <f>SUMIFS(KH_LC!$V:$V,KH_LC!$AP:$AP,U$10&amp;U$16)</f>
        <v>34800</v>
      </c>
      <c r="V32" s="712">
        <f>SUMIFS(KH_LC!$V:$V,KH_LC!$AP:$AP,V$10&amp;V$16)</f>
        <v>2500</v>
      </c>
      <c r="W32" s="712">
        <f>SUMIFS(KH_LC!$V:$V,KH_LC!$AP:$AP,W$10&amp;W$16)</f>
        <v>37500</v>
      </c>
      <c r="X32" s="723"/>
      <c r="Y32" s="731"/>
      <c r="Z32" s="725"/>
      <c r="AA32" s="725"/>
      <c r="AB32" s="725"/>
      <c r="AC32" s="725"/>
      <c r="AD32" s="725"/>
      <c r="AE32" s="725"/>
    </row>
    <row r="33" spans="1:31" ht="19.149999999999999" customHeight="1" outlineLevel="1" x14ac:dyDescent="0.3">
      <c r="A33" s="970">
        <v>2</v>
      </c>
      <c r="B33" s="719" t="s">
        <v>321</v>
      </c>
      <c r="C33" s="720" t="s">
        <v>322</v>
      </c>
      <c r="D33" s="720"/>
      <c r="E33" s="737"/>
      <c r="F33" s="737"/>
      <c r="G33" s="737"/>
      <c r="H33" s="737"/>
      <c r="I33" s="737"/>
      <c r="J33" s="737"/>
      <c r="K33" s="737"/>
      <c r="L33" s="737"/>
      <c r="M33" s="737"/>
      <c r="N33" s="737"/>
      <c r="O33" s="737"/>
      <c r="P33" s="737"/>
      <c r="Q33" s="737"/>
      <c r="R33" s="737"/>
      <c r="S33" s="737"/>
      <c r="T33" s="737"/>
      <c r="U33" s="737"/>
      <c r="V33" s="738"/>
      <c r="W33" s="730"/>
      <c r="X33" s="723"/>
      <c r="Y33" s="739"/>
      <c r="Z33" s="725"/>
      <c r="AA33" s="725"/>
      <c r="AB33" s="725"/>
      <c r="AC33" s="725"/>
      <c r="AD33" s="725"/>
      <c r="AE33" s="725"/>
    </row>
    <row r="34" spans="1:31" ht="19.149999999999999" customHeight="1" outlineLevel="1" x14ac:dyDescent="0.3">
      <c r="A34" s="971"/>
      <c r="B34" s="719" t="s">
        <v>321</v>
      </c>
      <c r="C34" s="720" t="s">
        <v>322</v>
      </c>
      <c r="D34" s="720"/>
      <c r="E34" s="737"/>
      <c r="F34" s="737"/>
      <c r="G34" s="737"/>
      <c r="H34" s="737"/>
      <c r="I34" s="737"/>
      <c r="J34" s="737"/>
      <c r="K34" s="737"/>
      <c r="L34" s="737"/>
      <c r="M34" s="737"/>
      <c r="N34" s="737"/>
      <c r="O34" s="737"/>
      <c r="P34" s="737"/>
      <c r="Q34" s="737"/>
      <c r="R34" s="737"/>
      <c r="S34" s="737"/>
      <c r="T34" s="737"/>
      <c r="U34" s="740"/>
      <c r="V34" s="738"/>
      <c r="W34" s="730"/>
      <c r="X34" s="723"/>
      <c r="Y34" s="739"/>
      <c r="Z34" s="725"/>
      <c r="AA34" s="725"/>
      <c r="AB34" s="725"/>
      <c r="AC34" s="725"/>
      <c r="AD34" s="725"/>
      <c r="AE34" s="725"/>
    </row>
    <row r="35" spans="1:31" ht="22.5" customHeight="1" x14ac:dyDescent="0.2">
      <c r="A35" s="718">
        <v>3</v>
      </c>
      <c r="B35" s="741" t="s">
        <v>43</v>
      </c>
      <c r="C35" s="720" t="s">
        <v>323</v>
      </c>
      <c r="D35" s="712">
        <f>D36</f>
        <v>25400</v>
      </c>
      <c r="E35" s="712">
        <f t="shared" ref="E35:W35" si="9">E36</f>
        <v>896</v>
      </c>
      <c r="F35" s="712">
        <f t="shared" si="9"/>
        <v>267</v>
      </c>
      <c r="G35" s="712">
        <f t="shared" si="9"/>
        <v>957</v>
      </c>
      <c r="H35" s="712">
        <f t="shared" si="9"/>
        <v>242</v>
      </c>
      <c r="I35" s="712">
        <f t="shared" si="9"/>
        <v>250</v>
      </c>
      <c r="J35" s="712">
        <f t="shared" si="9"/>
        <v>640</v>
      </c>
      <c r="K35" s="712">
        <f t="shared" si="9"/>
        <v>370</v>
      </c>
      <c r="L35" s="712">
        <f t="shared" si="9"/>
        <v>240</v>
      </c>
      <c r="M35" s="712">
        <f t="shared" si="9"/>
        <v>281</v>
      </c>
      <c r="N35" s="712">
        <f t="shared" si="9"/>
        <v>465</v>
      </c>
      <c r="O35" s="712">
        <f t="shared" si="9"/>
        <v>370</v>
      </c>
      <c r="P35" s="712">
        <f t="shared" si="9"/>
        <v>2885</v>
      </c>
      <c r="Q35" s="712">
        <f t="shared" si="9"/>
        <v>1766</v>
      </c>
      <c r="R35" s="712">
        <f t="shared" si="9"/>
        <v>2411</v>
      </c>
      <c r="S35" s="712">
        <f t="shared" si="9"/>
        <v>2225</v>
      </c>
      <c r="T35" s="712">
        <f t="shared" si="9"/>
        <v>2273</v>
      </c>
      <c r="U35" s="712">
        <f t="shared" si="9"/>
        <v>2362</v>
      </c>
      <c r="V35" s="712">
        <f t="shared" si="9"/>
        <v>3000</v>
      </c>
      <c r="W35" s="712">
        <f t="shared" si="9"/>
        <v>3500</v>
      </c>
      <c r="X35" s="714"/>
      <c r="Y35" s="742"/>
      <c r="Z35" s="743"/>
      <c r="AA35" s="725"/>
      <c r="AB35" s="725"/>
      <c r="AC35" s="725"/>
      <c r="AD35" s="725"/>
      <c r="AE35" s="725"/>
    </row>
    <row r="36" spans="1:31" ht="19.149999999999999" customHeight="1" x14ac:dyDescent="0.3">
      <c r="A36" s="718"/>
      <c r="B36" s="741" t="s">
        <v>324</v>
      </c>
      <c r="C36" s="744"/>
      <c r="D36" s="735">
        <f>SUM(E36:W36)</f>
        <v>25400</v>
      </c>
      <c r="E36" s="712">
        <f t="shared" ref="E36:V36" si="10">+E68+E37</f>
        <v>896</v>
      </c>
      <c r="F36" s="712">
        <f t="shared" si="10"/>
        <v>267</v>
      </c>
      <c r="G36" s="712">
        <f t="shared" si="10"/>
        <v>957</v>
      </c>
      <c r="H36" s="712">
        <f t="shared" si="10"/>
        <v>242</v>
      </c>
      <c r="I36" s="712">
        <f t="shared" si="10"/>
        <v>250</v>
      </c>
      <c r="J36" s="712">
        <f t="shared" si="10"/>
        <v>640</v>
      </c>
      <c r="K36" s="712">
        <f t="shared" si="10"/>
        <v>370</v>
      </c>
      <c r="L36" s="712">
        <f t="shared" si="10"/>
        <v>240</v>
      </c>
      <c r="M36" s="712">
        <f t="shared" si="10"/>
        <v>281</v>
      </c>
      <c r="N36" s="712">
        <f t="shared" si="10"/>
        <v>465</v>
      </c>
      <c r="O36" s="712">
        <f t="shared" si="10"/>
        <v>370</v>
      </c>
      <c r="P36" s="712">
        <f t="shared" si="10"/>
        <v>2885</v>
      </c>
      <c r="Q36" s="712">
        <f t="shared" si="10"/>
        <v>1766</v>
      </c>
      <c r="R36" s="712">
        <f t="shared" si="10"/>
        <v>2411</v>
      </c>
      <c r="S36" s="712">
        <f t="shared" si="10"/>
        <v>2225</v>
      </c>
      <c r="T36" s="712">
        <f t="shared" si="10"/>
        <v>2273</v>
      </c>
      <c r="U36" s="712">
        <f t="shared" si="10"/>
        <v>2362</v>
      </c>
      <c r="V36" s="712">
        <f t="shared" si="10"/>
        <v>3000</v>
      </c>
      <c r="W36" s="712">
        <f>+W68+W37</f>
        <v>3500</v>
      </c>
      <c r="X36" s="714"/>
      <c r="Y36" s="724"/>
      <c r="Z36" s="725"/>
      <c r="AA36" s="725"/>
      <c r="AB36" s="725"/>
      <c r="AC36" s="725"/>
      <c r="AD36" s="725"/>
      <c r="AE36" s="725"/>
    </row>
    <row r="37" spans="1:31" ht="19.149999999999999" customHeight="1" outlineLevel="1" x14ac:dyDescent="0.3">
      <c r="A37" s="745"/>
      <c r="B37" s="741" t="s">
        <v>325</v>
      </c>
      <c r="C37" s="746"/>
      <c r="D37" s="729">
        <f>SUM(E37:W37)</f>
        <v>16979</v>
      </c>
      <c r="E37" s="721">
        <f t="shared" ref="E37:V37" si="11">+SUM(E38:E67)</f>
        <v>695</v>
      </c>
      <c r="F37" s="721">
        <f t="shared" si="11"/>
        <v>247</v>
      </c>
      <c r="G37" s="721">
        <f t="shared" si="11"/>
        <v>792</v>
      </c>
      <c r="H37" s="721">
        <f t="shared" si="11"/>
        <v>207</v>
      </c>
      <c r="I37" s="721">
        <f t="shared" si="11"/>
        <v>230</v>
      </c>
      <c r="J37" s="721">
        <f t="shared" si="11"/>
        <v>570</v>
      </c>
      <c r="K37" s="721">
        <f t="shared" si="11"/>
        <v>365</v>
      </c>
      <c r="L37" s="721">
        <f t="shared" si="11"/>
        <v>230</v>
      </c>
      <c r="M37" s="721">
        <f t="shared" si="11"/>
        <v>256</v>
      </c>
      <c r="N37" s="721">
        <f t="shared" si="11"/>
        <v>422</v>
      </c>
      <c r="O37" s="721">
        <f t="shared" si="11"/>
        <v>345</v>
      </c>
      <c r="P37" s="721">
        <f t="shared" si="11"/>
        <v>2350</v>
      </c>
      <c r="Q37" s="721">
        <f t="shared" si="11"/>
        <v>550</v>
      </c>
      <c r="R37" s="721">
        <f t="shared" si="11"/>
        <v>1743</v>
      </c>
      <c r="S37" s="721">
        <f t="shared" si="11"/>
        <v>1965</v>
      </c>
      <c r="T37" s="721">
        <f t="shared" si="11"/>
        <v>1635</v>
      </c>
      <c r="U37" s="721">
        <f t="shared" si="11"/>
        <v>2002</v>
      </c>
      <c r="V37" s="721">
        <f t="shared" si="11"/>
        <v>125</v>
      </c>
      <c r="W37" s="721">
        <f>+SUM(W38:W67)</f>
        <v>2250</v>
      </c>
      <c r="X37" s="747"/>
      <c r="Y37" s="748"/>
      <c r="Z37" s="743"/>
      <c r="AA37" s="749"/>
      <c r="AB37" s="749"/>
      <c r="AC37" s="749"/>
      <c r="AD37" s="749"/>
      <c r="AE37" s="749"/>
    </row>
    <row r="38" spans="1:31" ht="19.149999999999999" customHeight="1" outlineLevel="1" x14ac:dyDescent="0.3">
      <c r="A38" s="745"/>
      <c r="B38" s="732" cm="1">
        <f t="array" ref="B38:B61">_xlfn._xlws.SORT(_xlfn.UNIQUE(KH_ĐL!G13:G483))</f>
        <v>5.4</v>
      </c>
      <c r="C38" s="746" t="s">
        <v>323</v>
      </c>
      <c r="D38" s="729">
        <f t="shared" ref="D38:D120" si="12">SUM(E38:V38)</f>
        <v>899</v>
      </c>
      <c r="E38" s="750">
        <f>SUMIFS(KH_ĐL!$K:$K,KH_ĐL!$CD:$CD,E$10&amp;$B38,KH_ĐL!$CD:$CD,E$10&amp;$B38,KH_ĐL!$CE:$CE,"Lò")</f>
        <v>0</v>
      </c>
      <c r="F38" s="750">
        <f>SUMIFS(KH_ĐL!$K:$K,KH_ĐL!$CD:$CD,F$10&amp;$B38,KH_ĐL!$CD:$CD,F$10&amp;$B38,KH_ĐL!$CE:$CE,"Lò")</f>
        <v>100</v>
      </c>
      <c r="G38" s="750">
        <f>SUMIFS(KH_ĐL!$K:$K,KH_ĐL!$CD:$CD,G$10&amp;$B38,KH_ĐL!$CD:$CD,G$10&amp;$B38,KH_ĐL!$CE:$CE,"Lò")</f>
        <v>60</v>
      </c>
      <c r="H38" s="750">
        <f>SUMIFS(KH_ĐL!$K:$K,KH_ĐL!$CD:$CD,H$10&amp;$B38,KH_ĐL!$CD:$CD,H$10&amp;$B38,KH_ĐL!$CE:$CE,"Lò")</f>
        <v>132</v>
      </c>
      <c r="I38" s="750">
        <f>SUMIFS(KH_ĐL!$K:$K,KH_ĐL!$CD:$CD,I$10&amp;$B38,KH_ĐL!$CD:$CD,I$10&amp;$B38,KH_ĐL!$CE:$CE,"Lò")</f>
        <v>130</v>
      </c>
      <c r="J38" s="750">
        <f>SUMIFS(KH_ĐL!$K:$K,KH_ĐL!$CD:$CD,J$10&amp;$B38,KH_ĐL!$CD:$CD,J$10&amp;$B38,KH_ĐL!$CE:$CE,"Lò")</f>
        <v>180</v>
      </c>
      <c r="K38" s="750">
        <f>SUMIFS(KH_ĐL!$K:$K,KH_ĐL!$CD:$CD,K$10&amp;$B38,KH_ĐL!$CD:$CD,K$10&amp;$B38,KH_ĐL!$CE:$CE,"Lò")</f>
        <v>0</v>
      </c>
      <c r="L38" s="750">
        <f>SUMIFS(KH_ĐL!$K:$K,KH_ĐL!$CD:$CD,L$10&amp;$B38,KH_ĐL!$CD:$CD,L$10&amp;$B38,KH_ĐL!$CE:$CE,"Lò")</f>
        <v>0</v>
      </c>
      <c r="M38" s="750">
        <f>SUMIFS(KH_ĐL!$K:$K,KH_ĐL!$CD:$CD,M$10&amp;$B38,KH_ĐL!$CD:$CD,M$10&amp;$B38,KH_ĐL!$CE:$CE,"Lò")</f>
        <v>105</v>
      </c>
      <c r="N38" s="750">
        <f>SUMIFS(KH_ĐL!$K:$K,KH_ĐL!$CD:$CD,N$10&amp;$B38,KH_ĐL!$CD:$CD,N$10&amp;$B38,KH_ĐL!$CE:$CE,"Lò")</f>
        <v>52</v>
      </c>
      <c r="O38" s="750">
        <f>SUMIFS(KH_ĐL!$K:$K,KH_ĐL!$CD:$CD,O$10&amp;$B38,KH_ĐL!$CD:$CD,O$10&amp;$B38,KH_ĐL!$CE:$CE,"Lò")</f>
        <v>140</v>
      </c>
      <c r="P38" s="750">
        <f>SUMIFS(KH_ĐL!$K:$K,KH_ĐL!$CD:$CD,P$10&amp;$B38,KH_ĐL!$CD:$CD,P$10&amp;$B38,KH_ĐL!$CE:$CE,"Lò")</f>
        <v>0</v>
      </c>
      <c r="Q38" s="750">
        <f>SUMIFS(KH_ĐL!$K:$K,KH_ĐL!$CD:$CD,Q$10&amp;$B38,KH_ĐL!$CD:$CD,Q$10&amp;$B38,KH_ĐL!$CE:$CE,"Lò")</f>
        <v>0</v>
      </c>
      <c r="R38" s="750">
        <f>SUMIFS(KH_ĐL!$K:$K,KH_ĐL!$CD:$CD,R$10&amp;$B38,KH_ĐL!$CD:$CD,R$10&amp;$B38,KH_ĐL!$CE:$CE,"Lò")</f>
        <v>0</v>
      </c>
      <c r="S38" s="750">
        <f>SUMIFS(KH_ĐL!$K:$K,KH_ĐL!$CD:$CD,S$10&amp;$B38,KH_ĐL!$CD:$CD,S$10&amp;$B38,KH_ĐL!$CE:$CE,"Lò")</f>
        <v>0</v>
      </c>
      <c r="T38" s="750">
        <f>SUMIFS(KH_ĐL!$K:$K,KH_ĐL!$CD:$CD,T$10&amp;$B38,KH_ĐL!$CD:$CD,T$10&amp;$B38,KH_ĐL!$CE:$CE,"Lò")</f>
        <v>0</v>
      </c>
      <c r="U38" s="750">
        <f>SUMIFS(KH_ĐL!$K:$K,KH_ĐL!$CD:$CD,U$10&amp;$B38,KH_ĐL!$CD:$CD,U$10&amp;$B38,KH_ĐL!$CE:$CE,"Lò")</f>
        <v>0</v>
      </c>
      <c r="V38" s="750">
        <f>SUMIFS(KH_ĐL!$K:$K,KH_ĐL!$CD:$CD,V$10&amp;$B38,KH_ĐL!$CD:$CD,V$10&amp;$B38,KH_ĐL!$CE:$CE,"Lò")</f>
        <v>0</v>
      </c>
      <c r="W38" s="750">
        <f>SUMIFS(KH_ĐL!$K:$K,KH_ĐL!$CD:$CD,W$10&amp;$B38,KH_ĐL!$CD:$CD,W$10&amp;$B38,KH_ĐL!$CE:$CE,"Lò")</f>
        <v>0</v>
      </c>
      <c r="X38" s="751"/>
      <c r="Y38" s="748"/>
      <c r="Z38" s="749"/>
      <c r="AA38" s="749"/>
      <c r="AB38" s="749"/>
      <c r="AC38" s="749"/>
      <c r="AD38" s="749"/>
      <c r="AE38" s="749"/>
    </row>
    <row r="39" spans="1:31" ht="19.149999999999999" customHeight="1" outlineLevel="1" x14ac:dyDescent="0.3">
      <c r="A39" s="745"/>
      <c r="B39" s="732">
        <v>8.5</v>
      </c>
      <c r="C39" s="746"/>
      <c r="D39" s="729">
        <f t="shared" si="12"/>
        <v>1600</v>
      </c>
      <c r="E39" s="750">
        <f>SUMIFS(KH_ĐL!$K:$K,KH_ĐL!$CD:$CD,E$10&amp;$B39,KH_ĐL!$CD:$CD,E$10&amp;$B39,KH_ĐL!$CE:$CE,"Lò")</f>
        <v>35</v>
      </c>
      <c r="F39" s="750">
        <f>SUMIFS(KH_ĐL!$K:$K,KH_ĐL!$CD:$CD,F$10&amp;$B39,KH_ĐL!$CD:$CD,F$10&amp;$B39,KH_ĐL!$CE:$CE,"Lò")</f>
        <v>22</v>
      </c>
      <c r="G39" s="750">
        <f>SUMIFS(KH_ĐL!$K:$K,KH_ĐL!$CD:$CD,G$10&amp;$B39,KH_ĐL!$CD:$CD,G$10&amp;$B39,KH_ĐL!$CE:$CE,"Lò")</f>
        <v>165</v>
      </c>
      <c r="H39" s="750">
        <f>SUMIFS(KH_ĐL!$K:$K,KH_ĐL!$CD:$CD,H$10&amp;$B39,KH_ĐL!$CD:$CD,H$10&amp;$B39,KH_ĐL!$CE:$CE,"Lò")</f>
        <v>75</v>
      </c>
      <c r="I39" s="750">
        <f>SUMIFS(KH_ĐL!$K:$K,KH_ĐL!$CD:$CD,I$10&amp;$B39,KH_ĐL!$CD:$CD,I$10&amp;$B39,KH_ĐL!$CE:$CE,"Lò")</f>
        <v>68</v>
      </c>
      <c r="J39" s="750">
        <f>SUMIFS(KH_ĐL!$K:$K,KH_ĐL!$CD:$CD,J$10&amp;$B39,KH_ĐL!$CD:$CD,J$10&amp;$B39,KH_ĐL!$CE:$CE,"Lò")</f>
        <v>50</v>
      </c>
      <c r="K39" s="750">
        <f>SUMIFS(KH_ĐL!$K:$K,KH_ĐL!$CD:$CD,K$10&amp;$B39,KH_ĐL!$CD:$CD,K$10&amp;$B39,KH_ĐL!$CE:$CE,"Lò")</f>
        <v>0</v>
      </c>
      <c r="L39" s="750">
        <f>SUMIFS(KH_ĐL!$K:$K,KH_ĐL!$CD:$CD,L$10&amp;$B39,KH_ĐL!$CD:$CD,L$10&amp;$B39,KH_ĐL!$CE:$CE,"Lò")</f>
        <v>0</v>
      </c>
      <c r="M39" s="750">
        <f>SUMIFS(KH_ĐL!$K:$K,KH_ĐL!$CD:$CD,M$10&amp;$B39,KH_ĐL!$CD:$CD,M$10&amp;$B39,KH_ĐL!$CE:$CE,"Lò")</f>
        <v>100</v>
      </c>
      <c r="N39" s="750">
        <f>SUMIFS(KH_ĐL!$K:$K,KH_ĐL!$CD:$CD,N$10&amp;$B39,KH_ĐL!$CD:$CD,N$10&amp;$B39,KH_ĐL!$CE:$CE,"Lò")</f>
        <v>330</v>
      </c>
      <c r="O39" s="750">
        <f>SUMIFS(KH_ĐL!$K:$K,KH_ĐL!$CD:$CD,O$10&amp;$B39,KH_ĐL!$CD:$CD,O$10&amp;$B39,KH_ĐL!$CE:$CE,"Lò")</f>
        <v>165</v>
      </c>
      <c r="P39" s="750">
        <f>SUMIFS(KH_ĐL!$K:$K,KH_ĐL!$CD:$CD,P$10&amp;$B39,KH_ĐL!$CD:$CD,P$10&amp;$B39,KH_ĐL!$CE:$CE,"Lò")</f>
        <v>105</v>
      </c>
      <c r="Q39" s="750">
        <f>SUMIFS(KH_ĐL!$K:$K,KH_ĐL!$CD:$CD,Q$10&amp;$B39,KH_ĐL!$CD:$CD,Q$10&amp;$B39,KH_ĐL!$CE:$CE,"Lò")</f>
        <v>0</v>
      </c>
      <c r="R39" s="750">
        <f>SUMIFS(KH_ĐL!$K:$K,KH_ĐL!$CD:$CD,R$10&amp;$B39,KH_ĐL!$CD:$CD,R$10&amp;$B39,KH_ĐL!$CE:$CE,"Lò")</f>
        <v>40</v>
      </c>
      <c r="S39" s="750">
        <f>SUMIFS(KH_ĐL!$K:$K,KH_ĐL!$CD:$CD,S$10&amp;$B39,KH_ĐL!$CD:$CD,S$10&amp;$B39,KH_ĐL!$CE:$CE,"Lò")</f>
        <v>0</v>
      </c>
      <c r="T39" s="750">
        <f>SUMIFS(KH_ĐL!$K:$K,KH_ĐL!$CD:$CD,T$10&amp;$B39,KH_ĐL!$CD:$CD,T$10&amp;$B39,KH_ĐL!$CE:$CE,"Lò")</f>
        <v>178</v>
      </c>
      <c r="U39" s="750">
        <f>SUMIFS(KH_ĐL!$K:$K,KH_ĐL!$CD:$CD,U$10&amp;$B39,KH_ĐL!$CD:$CD,U$10&amp;$B39,KH_ĐL!$CE:$CE,"Lò")</f>
        <v>267</v>
      </c>
      <c r="V39" s="750">
        <f>SUMIFS(KH_ĐL!$K:$K,KH_ĐL!$CD:$CD,V$10&amp;$B39,KH_ĐL!$CD:$CD,V$10&amp;$B39,KH_ĐL!$CE:$CE,"Lò")</f>
        <v>0</v>
      </c>
      <c r="W39" s="750">
        <f>SUMIFS(KH_ĐL!$K:$K,KH_ĐL!$CD:$CD,W$10&amp;$B39,KH_ĐL!$CD:$CD,W$10&amp;$B39,KH_ĐL!$CE:$CE,"Lò")</f>
        <v>320</v>
      </c>
      <c r="X39" s="751"/>
      <c r="Y39" s="748"/>
      <c r="Z39" s="749"/>
      <c r="AA39" s="749"/>
      <c r="AB39" s="749"/>
      <c r="AC39" s="749"/>
      <c r="AD39" s="749"/>
      <c r="AE39" s="749"/>
    </row>
    <row r="40" spans="1:31" ht="19.149999999999999" customHeight="1" outlineLevel="1" x14ac:dyDescent="0.3">
      <c r="A40" s="745"/>
      <c r="B40" s="732">
        <v>9.5</v>
      </c>
      <c r="C40" s="746"/>
      <c r="D40" s="729">
        <f t="shared" si="12"/>
        <v>753</v>
      </c>
      <c r="E40" s="750">
        <f>SUMIFS(KH_ĐL!$K:$K,KH_ĐL!$CD:$CD,E$10&amp;$B40,KH_ĐL!$CD:$CD,E$10&amp;$B40,KH_ĐL!$CE:$CE,"Lò")</f>
        <v>291</v>
      </c>
      <c r="F40" s="750">
        <f>SUMIFS(KH_ĐL!$K:$K,KH_ĐL!$CD:$CD,F$10&amp;$B40,KH_ĐL!$CD:$CD,F$10&amp;$B40,KH_ĐL!$CE:$CE,"Lò")</f>
        <v>0</v>
      </c>
      <c r="G40" s="750">
        <f>SUMIFS(KH_ĐL!$K:$K,KH_ĐL!$CD:$CD,G$10&amp;$B40,KH_ĐL!$CD:$CD,G$10&amp;$B40,KH_ĐL!$CE:$CE,"Lò")</f>
        <v>0</v>
      </c>
      <c r="H40" s="750">
        <f>SUMIFS(KH_ĐL!$K:$K,KH_ĐL!$CD:$CD,H$10&amp;$B40,KH_ĐL!$CD:$CD,H$10&amp;$B40,KH_ĐL!$CE:$CE,"Lò")</f>
        <v>0</v>
      </c>
      <c r="I40" s="750">
        <f>SUMIFS(KH_ĐL!$K:$K,KH_ĐL!$CD:$CD,I$10&amp;$B40,KH_ĐL!$CD:$CD,I$10&amp;$B40,KH_ĐL!$CE:$CE,"Lò")</f>
        <v>32</v>
      </c>
      <c r="J40" s="750">
        <f>SUMIFS(KH_ĐL!$K:$K,KH_ĐL!$CD:$CD,J$10&amp;$B40,KH_ĐL!$CD:$CD,J$10&amp;$B40,KH_ĐL!$CE:$CE,"Lò")</f>
        <v>0</v>
      </c>
      <c r="K40" s="750">
        <f>SUMIFS(KH_ĐL!$K:$K,KH_ĐL!$CD:$CD,K$10&amp;$B40,KH_ĐL!$CD:$CD,K$10&amp;$B40,KH_ĐL!$CE:$CE,"Lò")</f>
        <v>0</v>
      </c>
      <c r="L40" s="750">
        <f>SUMIFS(KH_ĐL!$K:$K,KH_ĐL!$CD:$CD,L$10&amp;$B40,KH_ĐL!$CD:$CD,L$10&amp;$B40,KH_ĐL!$CE:$CE,"Lò")</f>
        <v>0</v>
      </c>
      <c r="M40" s="750">
        <f>SUMIFS(KH_ĐL!$K:$K,KH_ĐL!$CD:$CD,M$10&amp;$B40,KH_ĐL!$CD:$CD,M$10&amp;$B40,KH_ĐL!$CE:$CE,"Lò")</f>
        <v>0</v>
      </c>
      <c r="N40" s="750">
        <f>SUMIFS(KH_ĐL!$K:$K,KH_ĐL!$CD:$CD,N$10&amp;$B40,KH_ĐL!$CD:$CD,N$10&amp;$B40,KH_ĐL!$CE:$CE,"Lò")</f>
        <v>0</v>
      </c>
      <c r="O40" s="750">
        <f>SUMIFS(KH_ĐL!$K:$K,KH_ĐL!$CD:$CD,O$10&amp;$B40,KH_ĐL!$CD:$CD,O$10&amp;$B40,KH_ĐL!$CE:$CE,"Lò")</f>
        <v>40</v>
      </c>
      <c r="P40" s="750">
        <f>SUMIFS(KH_ĐL!$K:$K,KH_ĐL!$CD:$CD,P$10&amp;$B40,KH_ĐL!$CD:$CD,P$10&amp;$B40,KH_ĐL!$CE:$CE,"Lò")</f>
        <v>0</v>
      </c>
      <c r="Q40" s="750">
        <f>SUMIFS(KH_ĐL!$K:$K,KH_ĐL!$CD:$CD,Q$10&amp;$B40,KH_ĐL!$CD:$CD,Q$10&amp;$B40,KH_ĐL!$CE:$CE,"Lò")</f>
        <v>0</v>
      </c>
      <c r="R40" s="750">
        <f>SUMIFS(KH_ĐL!$K:$K,KH_ĐL!$CD:$CD,R$10&amp;$B40,KH_ĐL!$CD:$CD,R$10&amp;$B40,KH_ĐL!$CE:$CE,"Lò")</f>
        <v>0</v>
      </c>
      <c r="S40" s="750">
        <f>SUMIFS(KH_ĐL!$K:$K,KH_ĐL!$CD:$CD,S$10&amp;$B40,KH_ĐL!$CD:$CD,S$10&amp;$B40,KH_ĐL!$CE:$CE,"Lò")</f>
        <v>390</v>
      </c>
      <c r="T40" s="750">
        <f>SUMIFS(KH_ĐL!$K:$K,KH_ĐL!$CD:$CD,T$10&amp;$B40,KH_ĐL!$CD:$CD,T$10&amp;$B40,KH_ĐL!$CE:$CE,"Lò")</f>
        <v>0</v>
      </c>
      <c r="U40" s="750">
        <f>SUMIFS(KH_ĐL!$K:$K,KH_ĐL!$CD:$CD,U$10&amp;$B40,KH_ĐL!$CD:$CD,U$10&amp;$B40,KH_ĐL!$CE:$CE,"Lò")</f>
        <v>0</v>
      </c>
      <c r="V40" s="750">
        <f>SUMIFS(KH_ĐL!$K:$K,KH_ĐL!$CD:$CD,V$10&amp;$B40,KH_ĐL!$CD:$CD,V$10&amp;$B40,KH_ĐL!$CE:$CE,"Lò")</f>
        <v>0</v>
      </c>
      <c r="W40" s="750">
        <f>SUMIFS(KH_ĐL!$K:$K,KH_ĐL!$CD:$CD,W$10&amp;$B40,KH_ĐL!$CD:$CD,W$10&amp;$B40,KH_ĐL!$CE:$CE,"Lò")</f>
        <v>80</v>
      </c>
      <c r="X40" s="751"/>
      <c r="Y40" s="748"/>
      <c r="Z40" s="749"/>
      <c r="AA40" s="749"/>
      <c r="AB40" s="749"/>
      <c r="AC40" s="749"/>
      <c r="AD40" s="749"/>
      <c r="AE40" s="749"/>
    </row>
    <row r="41" spans="1:31" ht="19.149999999999999" hidden="1" customHeight="1" outlineLevel="1" x14ac:dyDescent="0.3">
      <c r="A41" s="745"/>
      <c r="B41" s="732">
        <v>10.8</v>
      </c>
      <c r="C41" s="746"/>
      <c r="D41" s="729">
        <f t="shared" si="12"/>
        <v>0</v>
      </c>
      <c r="E41" s="750">
        <f>SUMIFS(KH_ĐL!$K:$K,KH_ĐL!$CD:$CD,E$10&amp;$B41,KH_ĐL!$CD:$CD,E$10&amp;$B41,KH_ĐL!$CE:$CE,"Lò")</f>
        <v>0</v>
      </c>
      <c r="F41" s="750">
        <f>SUMIFS(KH_ĐL!$K:$K,KH_ĐL!$CD:$CD,F$10&amp;$B41,KH_ĐL!$CD:$CD,F$10&amp;$B41,KH_ĐL!$CE:$CE,"Lò")</f>
        <v>0</v>
      </c>
      <c r="G41" s="750">
        <f>SUMIFS(KH_ĐL!$K:$K,KH_ĐL!$CD:$CD,G$10&amp;$B41,KH_ĐL!$CD:$CD,G$10&amp;$B41,KH_ĐL!$CE:$CE,"Lò")</f>
        <v>0</v>
      </c>
      <c r="H41" s="750">
        <f>SUMIFS(KH_ĐL!$K:$K,KH_ĐL!$CD:$CD,H$10&amp;$B41,KH_ĐL!$CD:$CD,H$10&amp;$B41,KH_ĐL!$CE:$CE,"Lò")</f>
        <v>0</v>
      </c>
      <c r="I41" s="750">
        <f>SUMIFS(KH_ĐL!$K:$K,KH_ĐL!$CD:$CD,I$10&amp;$B41,KH_ĐL!$CD:$CD,I$10&amp;$B41,KH_ĐL!$CE:$CE,"Lò")</f>
        <v>0</v>
      </c>
      <c r="J41" s="750">
        <f>SUMIFS(KH_ĐL!$K:$K,KH_ĐL!$CD:$CD,J$10&amp;$B41,KH_ĐL!$CD:$CD,J$10&amp;$B41,KH_ĐL!$CE:$CE,"Lò")</f>
        <v>0</v>
      </c>
      <c r="K41" s="750">
        <f>SUMIFS(KH_ĐL!$K:$K,KH_ĐL!$CD:$CD,K$10&amp;$B41,KH_ĐL!$CD:$CD,K$10&amp;$B41,KH_ĐL!$CE:$CE,"Lò")</f>
        <v>0</v>
      </c>
      <c r="L41" s="750">
        <f>SUMIFS(KH_ĐL!$K:$K,KH_ĐL!$CD:$CD,L$10&amp;$B41,KH_ĐL!$CD:$CD,L$10&amp;$B41,KH_ĐL!$CE:$CE,"Lò")</f>
        <v>0</v>
      </c>
      <c r="M41" s="750">
        <f>SUMIFS(KH_ĐL!$K:$K,KH_ĐL!$CD:$CD,M$10&amp;$B41,KH_ĐL!$CD:$CD,M$10&amp;$B41,KH_ĐL!$CE:$CE,"Lò")</f>
        <v>0</v>
      </c>
      <c r="N41" s="750">
        <f>SUMIFS(KH_ĐL!$K:$K,KH_ĐL!$CD:$CD,N$10&amp;$B41,KH_ĐL!$CD:$CD,N$10&amp;$B41,KH_ĐL!$CE:$CE,"Lò")</f>
        <v>0</v>
      </c>
      <c r="O41" s="750">
        <f>SUMIFS(KH_ĐL!$K:$K,KH_ĐL!$CD:$CD,O$10&amp;$B41,KH_ĐL!$CD:$CD,O$10&amp;$B41,KH_ĐL!$CE:$CE,"Lò")</f>
        <v>0</v>
      </c>
      <c r="P41" s="750">
        <f>SUMIFS(KH_ĐL!$K:$K,KH_ĐL!$CD:$CD,P$10&amp;$B41,KH_ĐL!$CD:$CD,P$10&amp;$B41,KH_ĐL!$CE:$CE,"Lò")</f>
        <v>0</v>
      </c>
      <c r="Q41" s="750">
        <f>SUMIFS(KH_ĐL!$K:$K,KH_ĐL!$CD:$CD,Q$10&amp;$B41,KH_ĐL!$CD:$CD,Q$10&amp;$B41,KH_ĐL!$CE:$CE,"Lò")</f>
        <v>0</v>
      </c>
      <c r="R41" s="750">
        <f>SUMIFS(KH_ĐL!$K:$K,KH_ĐL!$CD:$CD,R$10&amp;$B41,KH_ĐL!$CD:$CD,R$10&amp;$B41,KH_ĐL!$CE:$CE,"Lò")</f>
        <v>0</v>
      </c>
      <c r="S41" s="750">
        <f>SUMIFS(KH_ĐL!$K:$K,KH_ĐL!$CD:$CD,S$10&amp;$B41,KH_ĐL!$CD:$CD,S$10&amp;$B41,KH_ĐL!$CE:$CE,"Lò")</f>
        <v>0</v>
      </c>
      <c r="T41" s="750">
        <f>SUMIFS(KH_ĐL!$K:$K,KH_ĐL!$CD:$CD,T$10&amp;$B41,KH_ĐL!$CD:$CD,T$10&amp;$B41,KH_ĐL!$CE:$CE,"Lò")</f>
        <v>0</v>
      </c>
      <c r="U41" s="750">
        <f>SUMIFS(KH_ĐL!$K:$K,KH_ĐL!$CD:$CD,U$10&amp;$B41,KH_ĐL!$CD:$CD,U$10&amp;$B41,KH_ĐL!$CE:$CE,"Lò")</f>
        <v>0</v>
      </c>
      <c r="V41" s="750">
        <f>SUMIFS(KH_ĐL!$K:$K,KH_ĐL!$CD:$CD,V$10&amp;$B41,KH_ĐL!$CD:$CD,V$10&amp;$B41,KH_ĐL!$CE:$CE,"Lò")</f>
        <v>0</v>
      </c>
      <c r="W41" s="750">
        <f>SUMIFS(KH_ĐL!$K:$K,KH_ĐL!$CD:$CD,W$10&amp;$B41,KH_ĐL!$CD:$CD,W$10&amp;$B41,KH_ĐL!$CE:$CE,"Lò")</f>
        <v>0</v>
      </c>
      <c r="X41" s="751"/>
      <c r="Y41" s="748"/>
      <c r="Z41" s="749"/>
      <c r="AA41" s="749"/>
      <c r="AB41" s="749"/>
      <c r="AC41" s="749"/>
      <c r="AD41" s="749"/>
      <c r="AE41" s="749"/>
    </row>
    <row r="42" spans="1:31" ht="19.149999999999999" customHeight="1" outlineLevel="1" x14ac:dyDescent="0.3">
      <c r="A42" s="745"/>
      <c r="B42" s="732">
        <v>11.2</v>
      </c>
      <c r="C42" s="746"/>
      <c r="D42" s="729">
        <f t="shared" si="12"/>
        <v>2441</v>
      </c>
      <c r="E42" s="750">
        <f>SUMIFS(KH_ĐL!$K:$K,KH_ĐL!$CD:$CD,E$10&amp;$B42,KH_ĐL!$CD:$CD,E$10&amp;$B42,KH_ĐL!$CE:$CE,"Lò")</f>
        <v>369</v>
      </c>
      <c r="F42" s="750">
        <f>SUMIFS(KH_ĐL!$K:$K,KH_ĐL!$CD:$CD,F$10&amp;$B42,KH_ĐL!$CD:$CD,F$10&amp;$B42,KH_ĐL!$CE:$CE,"Lò")</f>
        <v>125</v>
      </c>
      <c r="G42" s="750">
        <f>SUMIFS(KH_ĐL!$K:$K,KH_ĐL!$CD:$CD,G$10&amp;$B42,KH_ĐL!$CD:$CD,G$10&amp;$B42,KH_ĐL!$CE:$CE,"Lò")</f>
        <v>567</v>
      </c>
      <c r="H42" s="750">
        <f>SUMIFS(KH_ĐL!$K:$K,KH_ĐL!$CD:$CD,H$10&amp;$B42,KH_ĐL!$CD:$CD,H$10&amp;$B42,KH_ĐL!$CE:$CE,"Lò")</f>
        <v>0</v>
      </c>
      <c r="I42" s="750">
        <f>SUMIFS(KH_ĐL!$K:$K,KH_ĐL!$CD:$CD,I$10&amp;$B42,KH_ĐL!$CD:$CD,I$10&amp;$B42,KH_ĐL!$CE:$CE,"Lò")</f>
        <v>0</v>
      </c>
      <c r="J42" s="750">
        <f>SUMIFS(KH_ĐL!$K:$K,KH_ĐL!$CD:$CD,J$10&amp;$B42,KH_ĐL!$CD:$CD,J$10&amp;$B42,KH_ĐL!$CE:$CE,"Lò")</f>
        <v>340</v>
      </c>
      <c r="K42" s="750">
        <f>SUMIFS(KH_ĐL!$K:$K,KH_ĐL!$CD:$CD,K$10&amp;$B42,KH_ĐL!$CD:$CD,K$10&amp;$B42,KH_ĐL!$CE:$CE,"Lò")</f>
        <v>125</v>
      </c>
      <c r="L42" s="750">
        <f>SUMIFS(KH_ĐL!$K:$K,KH_ĐL!$CD:$CD,L$10&amp;$B42,KH_ĐL!$CD:$CD,L$10&amp;$B42,KH_ĐL!$CE:$CE,"Lò")</f>
        <v>0</v>
      </c>
      <c r="M42" s="750">
        <f>SUMIFS(KH_ĐL!$K:$K,KH_ĐL!$CD:$CD,M$10&amp;$B42,KH_ĐL!$CD:$CD,M$10&amp;$B42,KH_ĐL!$CE:$CE,"Lò")</f>
        <v>5</v>
      </c>
      <c r="N42" s="750">
        <f>SUMIFS(KH_ĐL!$K:$K,KH_ĐL!$CD:$CD,N$10&amp;$B42,KH_ĐL!$CD:$CD,N$10&amp;$B42,KH_ĐL!$CE:$CE,"Lò")</f>
        <v>40</v>
      </c>
      <c r="O42" s="750">
        <f>SUMIFS(KH_ĐL!$K:$K,KH_ĐL!$CD:$CD,O$10&amp;$B42,KH_ĐL!$CD:$CD,O$10&amp;$B42,KH_ĐL!$CE:$CE,"Lò")</f>
        <v>0</v>
      </c>
      <c r="P42" s="750">
        <f>SUMIFS(KH_ĐL!$K:$K,KH_ĐL!$CD:$CD,P$10&amp;$B42,KH_ĐL!$CD:$CD,P$10&amp;$B42,KH_ĐL!$CE:$CE,"Lò")</f>
        <v>0</v>
      </c>
      <c r="Q42" s="750">
        <f>SUMIFS(KH_ĐL!$K:$K,KH_ĐL!$CD:$CD,Q$10&amp;$B42,KH_ĐL!$CD:$CD,Q$10&amp;$B42,KH_ĐL!$CE:$CE,"Lò")</f>
        <v>0</v>
      </c>
      <c r="R42" s="750">
        <f>SUMIFS(KH_ĐL!$K:$K,KH_ĐL!$CD:$CD,R$10&amp;$B42,KH_ĐL!$CD:$CD,R$10&amp;$B42,KH_ĐL!$CE:$CE,"Lò")</f>
        <v>475</v>
      </c>
      <c r="S42" s="750">
        <f>SUMIFS(KH_ĐL!$K:$K,KH_ĐL!$CD:$CD,S$10&amp;$B42,KH_ĐL!$CD:$CD,S$10&amp;$B42,KH_ĐL!$CE:$CE,"Lò")</f>
        <v>0</v>
      </c>
      <c r="T42" s="750">
        <f>SUMIFS(KH_ĐL!$K:$K,KH_ĐL!$CD:$CD,T$10&amp;$B42,KH_ĐL!$CD:$CD,T$10&amp;$B42,KH_ĐL!$CE:$CE,"Lò")</f>
        <v>40</v>
      </c>
      <c r="U42" s="750">
        <f>SUMIFS(KH_ĐL!$K:$K,KH_ĐL!$CD:$CD,U$10&amp;$B42,KH_ĐL!$CD:$CD,U$10&amp;$B42,KH_ĐL!$CE:$CE,"Lò")</f>
        <v>355</v>
      </c>
      <c r="V42" s="750">
        <f>SUMIFS(KH_ĐL!$K:$K,KH_ĐL!$CD:$CD,V$10&amp;$B42,KH_ĐL!$CD:$CD,V$10&amp;$B42,KH_ĐL!$CE:$CE,"Lò")</f>
        <v>0</v>
      </c>
      <c r="W42" s="750">
        <f>SUMIFS(KH_ĐL!$K:$K,KH_ĐL!$CD:$CD,W$10&amp;$B42,KH_ĐL!$CD:$CD,W$10&amp;$B42,KH_ĐL!$CE:$CE,"Lò")</f>
        <v>1145</v>
      </c>
      <c r="X42" s="751"/>
      <c r="Y42" s="748"/>
      <c r="Z42" s="749"/>
      <c r="AA42" s="749"/>
      <c r="AB42" s="749"/>
      <c r="AC42" s="749"/>
      <c r="AD42" s="749"/>
      <c r="AE42" s="749"/>
    </row>
    <row r="43" spans="1:31" ht="19.149999999999999" customHeight="1" outlineLevel="1" x14ac:dyDescent="0.3">
      <c r="A43" s="745"/>
      <c r="B43" s="732">
        <v>13.1</v>
      </c>
      <c r="C43" s="746"/>
      <c r="D43" s="729">
        <f t="shared" si="12"/>
        <v>561</v>
      </c>
      <c r="E43" s="750">
        <f>SUMIFS(KH_ĐL!$K:$K,KH_ĐL!$CD:$CD,E$10&amp;$B43,KH_ĐL!$CD:$CD,E$10&amp;$B43,KH_ĐL!$CE:$CE,"Lò")</f>
        <v>0</v>
      </c>
      <c r="F43" s="750">
        <f>SUMIFS(KH_ĐL!$K:$K,KH_ĐL!$CD:$CD,F$10&amp;$B43,KH_ĐL!$CD:$CD,F$10&amp;$B43,KH_ĐL!$CE:$CE,"Lò")</f>
        <v>0</v>
      </c>
      <c r="G43" s="750">
        <f>SUMIFS(KH_ĐL!$K:$K,KH_ĐL!$CD:$CD,G$10&amp;$B43,KH_ĐL!$CD:$CD,G$10&amp;$B43,KH_ĐL!$CE:$CE,"Lò")</f>
        <v>0</v>
      </c>
      <c r="H43" s="750">
        <f>SUMIFS(KH_ĐL!$K:$K,KH_ĐL!$CD:$CD,H$10&amp;$B43,KH_ĐL!$CD:$CD,H$10&amp;$B43,KH_ĐL!$CE:$CE,"Lò")</f>
        <v>0</v>
      </c>
      <c r="I43" s="750">
        <f>SUMIFS(KH_ĐL!$K:$K,KH_ĐL!$CD:$CD,I$10&amp;$B43,KH_ĐL!$CD:$CD,I$10&amp;$B43,KH_ĐL!$CE:$CE,"Lò")</f>
        <v>0</v>
      </c>
      <c r="J43" s="750">
        <f>SUMIFS(KH_ĐL!$K:$K,KH_ĐL!$CD:$CD,J$10&amp;$B43,KH_ĐL!$CD:$CD,J$10&amp;$B43,KH_ĐL!$CE:$CE,"Lò")</f>
        <v>0</v>
      </c>
      <c r="K43" s="750">
        <f>SUMIFS(KH_ĐL!$K:$K,KH_ĐL!$CD:$CD,K$10&amp;$B43,KH_ĐL!$CD:$CD,K$10&amp;$B43,KH_ĐL!$CE:$CE,"Lò")</f>
        <v>0</v>
      </c>
      <c r="L43" s="750">
        <f>SUMIFS(KH_ĐL!$K:$K,KH_ĐL!$CD:$CD,L$10&amp;$B43,KH_ĐL!$CD:$CD,L$10&amp;$B43,KH_ĐL!$CE:$CE,"Lò")</f>
        <v>0</v>
      </c>
      <c r="M43" s="750">
        <f>SUMIFS(KH_ĐL!$K:$K,KH_ĐL!$CD:$CD,M$10&amp;$B43,KH_ĐL!$CD:$CD,M$10&amp;$B43,KH_ĐL!$CE:$CE,"Lò")</f>
        <v>46</v>
      </c>
      <c r="N43" s="750">
        <f>SUMIFS(KH_ĐL!$K:$K,KH_ĐL!$CD:$CD,N$10&amp;$B43,KH_ĐL!$CD:$CD,N$10&amp;$B43,KH_ĐL!$CE:$CE,"Lò")</f>
        <v>0</v>
      </c>
      <c r="O43" s="750">
        <f>SUMIFS(KH_ĐL!$K:$K,KH_ĐL!$CD:$CD,O$10&amp;$B43,KH_ĐL!$CD:$CD,O$10&amp;$B43,KH_ĐL!$CE:$CE,"Lò")</f>
        <v>0</v>
      </c>
      <c r="P43" s="750">
        <f>SUMIFS(KH_ĐL!$K:$K,KH_ĐL!$CD:$CD,P$10&amp;$B43,KH_ĐL!$CD:$CD,P$10&amp;$B43,KH_ĐL!$CE:$CE,"Lò")</f>
        <v>0</v>
      </c>
      <c r="Q43" s="750">
        <f>SUMIFS(KH_ĐL!$K:$K,KH_ĐL!$CD:$CD,Q$10&amp;$B43,KH_ĐL!$CD:$CD,Q$10&amp;$B43,KH_ĐL!$CE:$CE,"Lò")</f>
        <v>0</v>
      </c>
      <c r="R43" s="750">
        <f>SUMIFS(KH_ĐL!$K:$K,KH_ĐL!$CD:$CD,R$10&amp;$B43,KH_ĐL!$CD:$CD,R$10&amp;$B43,KH_ĐL!$CE:$CE,"Lò")</f>
        <v>10</v>
      </c>
      <c r="S43" s="750">
        <f>SUMIFS(KH_ĐL!$K:$K,KH_ĐL!$CD:$CD,S$10&amp;$B43,KH_ĐL!$CD:$CD,S$10&amp;$B43,KH_ĐL!$CE:$CE,"Lò")</f>
        <v>505</v>
      </c>
      <c r="T43" s="750">
        <f>SUMIFS(KH_ĐL!$K:$K,KH_ĐL!$CD:$CD,T$10&amp;$B43,KH_ĐL!$CD:$CD,T$10&amp;$B43,KH_ĐL!$CE:$CE,"Lò")</f>
        <v>0</v>
      </c>
      <c r="U43" s="750">
        <f>SUMIFS(KH_ĐL!$K:$K,KH_ĐL!$CD:$CD,U$10&amp;$B43,KH_ĐL!$CD:$CD,U$10&amp;$B43,KH_ĐL!$CE:$CE,"Lò")</f>
        <v>0</v>
      </c>
      <c r="V43" s="750">
        <f>SUMIFS(KH_ĐL!$K:$K,KH_ĐL!$CD:$CD,V$10&amp;$B43,KH_ĐL!$CD:$CD,V$10&amp;$B43,KH_ĐL!$CE:$CE,"Lò")</f>
        <v>0</v>
      </c>
      <c r="W43" s="750">
        <f>SUMIFS(KH_ĐL!$K:$K,KH_ĐL!$CD:$CD,W$10&amp;$B43,KH_ĐL!$CD:$CD,W$10&amp;$B43,KH_ĐL!$CE:$CE,"Lò")</f>
        <v>405</v>
      </c>
      <c r="X43" s="751"/>
      <c r="Y43" s="748"/>
      <c r="Z43" s="749"/>
      <c r="AA43" s="749"/>
      <c r="AB43" s="749"/>
      <c r="AC43" s="749"/>
      <c r="AD43" s="749"/>
      <c r="AE43" s="749"/>
    </row>
    <row r="44" spans="1:31" ht="19.149999999999999" customHeight="1" outlineLevel="1" x14ac:dyDescent="0.3">
      <c r="A44" s="745"/>
      <c r="B44" s="732">
        <v>14.5</v>
      </c>
      <c r="C44" s="746"/>
      <c r="D44" s="729">
        <f t="shared" si="12"/>
        <v>470</v>
      </c>
      <c r="E44" s="750">
        <f>SUMIFS(KH_ĐL!$K:$K,KH_ĐL!$CD:$CD,E$10&amp;$B44,KH_ĐL!$CD:$CD,E$10&amp;$B44,KH_ĐL!$CE:$CE,"Lò")</f>
        <v>0</v>
      </c>
      <c r="F44" s="750">
        <f>SUMIFS(KH_ĐL!$K:$K,KH_ĐL!$CD:$CD,F$10&amp;$B44,KH_ĐL!$CD:$CD,F$10&amp;$B44,KH_ĐL!$CE:$CE,"Lò")</f>
        <v>0</v>
      </c>
      <c r="G44" s="750">
        <f>SUMIFS(KH_ĐL!$K:$K,KH_ĐL!$CD:$CD,G$10&amp;$B44,KH_ĐL!$CD:$CD,G$10&amp;$B44,KH_ĐL!$CE:$CE,"Lò")</f>
        <v>0</v>
      </c>
      <c r="H44" s="750">
        <f>SUMIFS(KH_ĐL!$K:$K,KH_ĐL!$CD:$CD,H$10&amp;$B44,KH_ĐL!$CD:$CD,H$10&amp;$B44,KH_ĐL!$CE:$CE,"Lò")</f>
        <v>0</v>
      </c>
      <c r="I44" s="750">
        <f>SUMIFS(KH_ĐL!$K:$K,KH_ĐL!$CD:$CD,I$10&amp;$B44,KH_ĐL!$CD:$CD,I$10&amp;$B44,KH_ĐL!$CE:$CE,"Lò")</f>
        <v>0</v>
      </c>
      <c r="J44" s="750">
        <f>SUMIFS(KH_ĐL!$K:$K,KH_ĐL!$CD:$CD,J$10&amp;$B44,KH_ĐL!$CD:$CD,J$10&amp;$B44,KH_ĐL!$CE:$CE,"Lò")</f>
        <v>0</v>
      </c>
      <c r="K44" s="750">
        <f>SUMIFS(KH_ĐL!$K:$K,KH_ĐL!$CD:$CD,K$10&amp;$B44,KH_ĐL!$CD:$CD,K$10&amp;$B44,KH_ĐL!$CE:$CE,"Lò")</f>
        <v>240</v>
      </c>
      <c r="L44" s="750">
        <f>SUMIFS(KH_ĐL!$K:$K,KH_ĐL!$CD:$CD,L$10&amp;$B44,KH_ĐL!$CD:$CD,L$10&amp;$B44,KH_ĐL!$CE:$CE,"Lò")</f>
        <v>230</v>
      </c>
      <c r="M44" s="750">
        <f>SUMIFS(KH_ĐL!$K:$K,KH_ĐL!$CD:$CD,M$10&amp;$B44,KH_ĐL!$CD:$CD,M$10&amp;$B44,KH_ĐL!$CE:$CE,"Lò")</f>
        <v>0</v>
      </c>
      <c r="N44" s="750">
        <f>SUMIFS(KH_ĐL!$K:$K,KH_ĐL!$CD:$CD,N$10&amp;$B44,KH_ĐL!$CD:$CD,N$10&amp;$B44,KH_ĐL!$CE:$CE,"Lò")</f>
        <v>0</v>
      </c>
      <c r="O44" s="750">
        <f>SUMIFS(KH_ĐL!$K:$K,KH_ĐL!$CD:$CD,O$10&amp;$B44,KH_ĐL!$CD:$CD,O$10&amp;$B44,KH_ĐL!$CE:$CE,"Lò")</f>
        <v>0</v>
      </c>
      <c r="P44" s="750">
        <f>SUMIFS(KH_ĐL!$K:$K,KH_ĐL!$CD:$CD,P$10&amp;$B44,KH_ĐL!$CD:$CD,P$10&amp;$B44,KH_ĐL!$CE:$CE,"Lò")</f>
        <v>0</v>
      </c>
      <c r="Q44" s="750">
        <f>SUMIFS(KH_ĐL!$K:$K,KH_ĐL!$CD:$CD,Q$10&amp;$B44,KH_ĐL!$CD:$CD,Q$10&amp;$B44,KH_ĐL!$CE:$CE,"Lò")</f>
        <v>0</v>
      </c>
      <c r="R44" s="750">
        <f>SUMIFS(KH_ĐL!$K:$K,KH_ĐL!$CD:$CD,R$10&amp;$B44,KH_ĐL!$CD:$CD,R$10&amp;$B44,KH_ĐL!$CE:$CE,"Lò")</f>
        <v>0</v>
      </c>
      <c r="S44" s="750">
        <f>SUMIFS(KH_ĐL!$K:$K,KH_ĐL!$CD:$CD,S$10&amp;$B44,KH_ĐL!$CD:$CD,S$10&amp;$B44,KH_ĐL!$CE:$CE,"Lò")</f>
        <v>0</v>
      </c>
      <c r="T44" s="750">
        <f>SUMIFS(KH_ĐL!$K:$K,KH_ĐL!$CD:$CD,T$10&amp;$B44,KH_ĐL!$CD:$CD,T$10&amp;$B44,KH_ĐL!$CE:$CE,"Lò")</f>
        <v>0</v>
      </c>
      <c r="U44" s="750">
        <f>SUMIFS(KH_ĐL!$K:$K,KH_ĐL!$CD:$CD,U$10&amp;$B44,KH_ĐL!$CD:$CD,U$10&amp;$B44,KH_ĐL!$CE:$CE,"Lò")</f>
        <v>0</v>
      </c>
      <c r="V44" s="750">
        <f>SUMIFS(KH_ĐL!$K:$K,KH_ĐL!$CD:$CD,V$10&amp;$B44,KH_ĐL!$CD:$CD,V$10&amp;$B44,KH_ĐL!$CE:$CE,"Lò")</f>
        <v>0</v>
      </c>
      <c r="W44" s="750">
        <f>SUMIFS(KH_ĐL!$K:$K,KH_ĐL!$CD:$CD,W$10&amp;$B44,KH_ĐL!$CD:$CD,W$10&amp;$B44,KH_ĐL!$CE:$CE,"Lò")</f>
        <v>0</v>
      </c>
      <c r="X44" s="751"/>
      <c r="Y44" s="748"/>
      <c r="Z44" s="749"/>
      <c r="AA44" s="749"/>
      <c r="AB44" s="749"/>
      <c r="AC44" s="749"/>
      <c r="AD44" s="749"/>
      <c r="AE44" s="749"/>
    </row>
    <row r="45" spans="1:31" ht="19.149999999999999" customHeight="1" outlineLevel="1" x14ac:dyDescent="0.3">
      <c r="A45" s="745"/>
      <c r="B45" s="732">
        <v>16.100000000000001</v>
      </c>
      <c r="C45" s="746"/>
      <c r="D45" s="729">
        <f t="shared" si="12"/>
        <v>7580</v>
      </c>
      <c r="E45" s="750">
        <f>SUMIFS(KH_ĐL!$K:$K,KH_ĐL!$CD:$CD,E$10&amp;$B45,KH_ĐL!$CD:$CD,E$10&amp;$B45,KH_ĐL!$CE:$CE,"Lò")</f>
        <v>0</v>
      </c>
      <c r="F45" s="750">
        <f>SUMIFS(KH_ĐL!$K:$K,KH_ĐL!$CD:$CD,F$10&amp;$B45,KH_ĐL!$CD:$CD,F$10&amp;$B45,KH_ĐL!$CE:$CE,"Lò")</f>
        <v>0</v>
      </c>
      <c r="G45" s="750">
        <f>SUMIFS(KH_ĐL!$K:$K,KH_ĐL!$CD:$CD,G$10&amp;$B45,KH_ĐL!$CD:$CD,G$10&amp;$B45,KH_ĐL!$CE:$CE,"Lò")</f>
        <v>0</v>
      </c>
      <c r="H45" s="750">
        <f>SUMIFS(KH_ĐL!$K:$K,KH_ĐL!$CD:$CD,H$10&amp;$B45,KH_ĐL!$CD:$CD,H$10&amp;$B45,KH_ĐL!$CE:$CE,"Lò")</f>
        <v>0</v>
      </c>
      <c r="I45" s="750">
        <f>SUMIFS(KH_ĐL!$K:$K,KH_ĐL!$CD:$CD,I$10&amp;$B45,KH_ĐL!$CD:$CD,I$10&amp;$B45,KH_ĐL!$CE:$CE,"Lò")</f>
        <v>0</v>
      </c>
      <c r="J45" s="750">
        <f>SUMIFS(KH_ĐL!$K:$K,KH_ĐL!$CD:$CD,J$10&amp;$B45,KH_ĐL!$CD:$CD,J$10&amp;$B45,KH_ĐL!$CE:$CE,"Lò")</f>
        <v>0</v>
      </c>
      <c r="K45" s="750">
        <f>SUMIFS(KH_ĐL!$K:$K,KH_ĐL!$CD:$CD,K$10&amp;$B45,KH_ĐL!$CD:$CD,K$10&amp;$B45,KH_ĐL!$CE:$CE,"Lò")</f>
        <v>0</v>
      </c>
      <c r="L45" s="750">
        <f>SUMIFS(KH_ĐL!$K:$K,KH_ĐL!$CD:$CD,L$10&amp;$B45,KH_ĐL!$CD:$CD,L$10&amp;$B45,KH_ĐL!$CE:$CE,"Lò")</f>
        <v>0</v>
      </c>
      <c r="M45" s="750">
        <f>SUMIFS(KH_ĐL!$K:$K,KH_ĐL!$CD:$CD,M$10&amp;$B45,KH_ĐL!$CD:$CD,M$10&amp;$B45,KH_ĐL!$CE:$CE,"Lò")</f>
        <v>0</v>
      </c>
      <c r="N45" s="750">
        <f>SUMIFS(KH_ĐL!$K:$K,KH_ĐL!$CD:$CD,N$10&amp;$B45,KH_ĐL!$CD:$CD,N$10&amp;$B45,KH_ĐL!$CE:$CE,"Lò")</f>
        <v>0</v>
      </c>
      <c r="O45" s="750">
        <f>SUMIFS(KH_ĐL!$K:$K,KH_ĐL!$CD:$CD,O$10&amp;$B45,KH_ĐL!$CD:$CD,O$10&amp;$B45,KH_ĐL!$CE:$CE,"Lò")</f>
        <v>0</v>
      </c>
      <c r="P45" s="750">
        <f>SUMIFS(KH_ĐL!$K:$K,KH_ĐL!$CD:$CD,P$10&amp;$B45,KH_ĐL!$CD:$CD,P$10&amp;$B45,KH_ĐL!$CE:$CE,"Lò")</f>
        <v>2105</v>
      </c>
      <c r="Q45" s="750">
        <f>SUMIFS(KH_ĐL!$K:$K,KH_ĐL!$CD:$CD,Q$10&amp;$B45,KH_ĐL!$CD:$CD,Q$10&amp;$B45,KH_ĐL!$CE:$CE,"Lò")</f>
        <v>550</v>
      </c>
      <c r="R45" s="750">
        <f>SUMIFS(KH_ĐL!$K:$K,KH_ĐL!$CD:$CD,R$10&amp;$B45,KH_ĐL!$CD:$CD,R$10&amp;$B45,KH_ĐL!$CE:$CE,"Lò")</f>
        <v>1098</v>
      </c>
      <c r="S45" s="750">
        <f>SUMIFS(KH_ĐL!$K:$K,KH_ĐL!$CD:$CD,S$10&amp;$B45,KH_ĐL!$CD:$CD,S$10&amp;$B45,KH_ĐL!$CE:$CE,"Lò")</f>
        <v>905</v>
      </c>
      <c r="T45" s="750">
        <f>SUMIFS(KH_ĐL!$K:$K,KH_ĐL!$CD:$CD,T$10&amp;$B45,KH_ĐL!$CD:$CD,T$10&amp;$B45,KH_ĐL!$CE:$CE,"Lò")</f>
        <v>1417</v>
      </c>
      <c r="U45" s="750">
        <f>SUMIFS(KH_ĐL!$K:$K,KH_ĐL!$CD:$CD,U$10&amp;$B45,KH_ĐL!$CD:$CD,U$10&amp;$B45,KH_ĐL!$CE:$CE,"Lò")</f>
        <v>1380</v>
      </c>
      <c r="V45" s="750">
        <f>SUMIFS(KH_ĐL!$K:$K,KH_ĐL!$CD:$CD,V$10&amp;$B45,KH_ĐL!$CD:$CD,V$10&amp;$B45,KH_ĐL!$CE:$CE,"Lò")</f>
        <v>125</v>
      </c>
      <c r="W45" s="750">
        <f>SUMIFS(KH_ĐL!$K:$K,KH_ĐL!$CD:$CD,W$10&amp;$B45,KH_ĐL!$CD:$CD,W$10&amp;$B45,KH_ĐL!$CE:$CE,"Lò")</f>
        <v>300</v>
      </c>
      <c r="X45" s="751"/>
      <c r="Y45" s="748"/>
      <c r="Z45" s="749"/>
      <c r="AA45" s="749"/>
      <c r="AB45" s="749"/>
      <c r="AC45" s="749"/>
      <c r="AD45" s="749"/>
      <c r="AE45" s="749"/>
    </row>
    <row r="46" spans="1:31" ht="19.149999999999999" hidden="1" customHeight="1" outlineLevel="1" x14ac:dyDescent="0.3">
      <c r="A46" s="745"/>
      <c r="B46" s="732">
        <v>17.8</v>
      </c>
      <c r="C46" s="746"/>
      <c r="D46" s="729">
        <f t="shared" si="12"/>
        <v>0</v>
      </c>
      <c r="E46" s="750">
        <f>SUMIFS(KH_ĐL!$K:$K,KH_ĐL!$CD:$CD,E$10&amp;$B46,KH_ĐL!$CD:$CD,E$10&amp;$B46,KH_ĐL!$CE:$CE,"Lò")</f>
        <v>0</v>
      </c>
      <c r="F46" s="750">
        <f>SUMIFS(KH_ĐL!$K:$K,KH_ĐL!$CD:$CD,F$10&amp;$B46,KH_ĐL!$CD:$CD,F$10&amp;$B46,KH_ĐL!$CE:$CE,"Lò")</f>
        <v>0</v>
      </c>
      <c r="G46" s="750">
        <f>SUMIFS(KH_ĐL!$K:$K,KH_ĐL!$CD:$CD,G$10&amp;$B46,KH_ĐL!$CD:$CD,G$10&amp;$B46,KH_ĐL!$CE:$CE,"Lò")</f>
        <v>0</v>
      </c>
      <c r="H46" s="750">
        <f>SUMIFS(KH_ĐL!$K:$K,KH_ĐL!$CD:$CD,H$10&amp;$B46,KH_ĐL!$CD:$CD,H$10&amp;$B46,KH_ĐL!$CE:$CE,"Lò")</f>
        <v>0</v>
      </c>
      <c r="I46" s="750">
        <f>SUMIFS(KH_ĐL!$K:$K,KH_ĐL!$CD:$CD,I$10&amp;$B46,KH_ĐL!$CD:$CD,I$10&amp;$B46,KH_ĐL!$CE:$CE,"Lò")</f>
        <v>0</v>
      </c>
      <c r="J46" s="750">
        <f>SUMIFS(KH_ĐL!$K:$K,KH_ĐL!$CD:$CD,J$10&amp;$B46,KH_ĐL!$CD:$CD,J$10&amp;$B46,KH_ĐL!$CE:$CE,"Lò")</f>
        <v>0</v>
      </c>
      <c r="K46" s="750">
        <f>SUMIFS(KH_ĐL!$K:$K,KH_ĐL!$CD:$CD,K$10&amp;$B46,KH_ĐL!$CD:$CD,K$10&amp;$B46,KH_ĐL!$CE:$CE,"Lò")</f>
        <v>0</v>
      </c>
      <c r="L46" s="750">
        <f>SUMIFS(KH_ĐL!$K:$K,KH_ĐL!$CD:$CD,L$10&amp;$B46,KH_ĐL!$CD:$CD,L$10&amp;$B46,KH_ĐL!$CE:$CE,"Lò")</f>
        <v>0</v>
      </c>
      <c r="M46" s="750">
        <f>SUMIFS(KH_ĐL!$K:$K,KH_ĐL!$CD:$CD,M$10&amp;$B46,KH_ĐL!$CD:$CD,M$10&amp;$B46,KH_ĐL!$CE:$CE,"Lò")</f>
        <v>0</v>
      </c>
      <c r="N46" s="750">
        <f>SUMIFS(KH_ĐL!$K:$K,KH_ĐL!$CD:$CD,N$10&amp;$B46,KH_ĐL!$CD:$CD,N$10&amp;$B46,KH_ĐL!$CE:$CE,"Lò")</f>
        <v>0</v>
      </c>
      <c r="O46" s="750">
        <f>SUMIFS(KH_ĐL!$K:$K,KH_ĐL!$CD:$CD,O$10&amp;$B46,KH_ĐL!$CD:$CD,O$10&amp;$B46,KH_ĐL!$CE:$CE,"Lò")</f>
        <v>0</v>
      </c>
      <c r="P46" s="750">
        <f>SUMIFS(KH_ĐL!$K:$K,KH_ĐL!$CD:$CD,P$10&amp;$B46,KH_ĐL!$CD:$CD,P$10&amp;$B46,KH_ĐL!$CE:$CE,"Lò")</f>
        <v>0</v>
      </c>
      <c r="Q46" s="750">
        <f>SUMIFS(KH_ĐL!$K:$K,KH_ĐL!$CD:$CD,Q$10&amp;$B46,KH_ĐL!$CD:$CD,Q$10&amp;$B46,KH_ĐL!$CE:$CE,"Lò")</f>
        <v>0</v>
      </c>
      <c r="R46" s="750">
        <f>SUMIFS(KH_ĐL!$K:$K,KH_ĐL!$CD:$CD,R$10&amp;$B46,KH_ĐL!$CD:$CD,R$10&amp;$B46,KH_ĐL!$CE:$CE,"Lò")</f>
        <v>0</v>
      </c>
      <c r="S46" s="750">
        <f>SUMIFS(KH_ĐL!$K:$K,KH_ĐL!$CD:$CD,S$10&amp;$B46,KH_ĐL!$CD:$CD,S$10&amp;$B46,KH_ĐL!$CE:$CE,"Lò")</f>
        <v>0</v>
      </c>
      <c r="T46" s="750">
        <f>SUMIFS(KH_ĐL!$K:$K,KH_ĐL!$CD:$CD,T$10&amp;$B46,KH_ĐL!$CD:$CD,T$10&amp;$B46,KH_ĐL!$CE:$CE,"Lò")</f>
        <v>0</v>
      </c>
      <c r="U46" s="750">
        <f>SUMIFS(KH_ĐL!$K:$K,KH_ĐL!$CD:$CD,U$10&amp;$B46,KH_ĐL!$CD:$CD,U$10&amp;$B46,KH_ĐL!$CE:$CE,"Lò")</f>
        <v>0</v>
      </c>
      <c r="V46" s="750">
        <f>SUMIFS(KH_ĐL!$K:$K,KH_ĐL!$CD:$CD,V$10&amp;$B46,KH_ĐL!$CD:$CD,V$10&amp;$B46,KH_ĐL!$CE:$CE,"Lò")</f>
        <v>0</v>
      </c>
      <c r="W46" s="750">
        <f>SUMIFS(KH_ĐL!$K:$K,KH_ĐL!$CD:$CD,W$10&amp;$B46,KH_ĐL!$CD:$CD,W$10&amp;$B46,KH_ĐL!$CE:$CE,"Lò")</f>
        <v>0</v>
      </c>
      <c r="X46" s="751"/>
      <c r="Y46" s="748"/>
      <c r="Z46" s="749"/>
      <c r="AA46" s="749"/>
      <c r="AB46" s="749"/>
      <c r="AC46" s="749"/>
      <c r="AD46" s="749"/>
      <c r="AE46" s="749"/>
    </row>
    <row r="47" spans="1:31" ht="19.149999999999999" hidden="1" customHeight="1" outlineLevel="1" x14ac:dyDescent="0.3">
      <c r="A47" s="745"/>
      <c r="B47" s="732">
        <v>17.899999999999999</v>
      </c>
      <c r="C47" s="746"/>
      <c r="D47" s="729">
        <f t="shared" si="12"/>
        <v>0</v>
      </c>
      <c r="E47" s="750">
        <f>SUMIFS(KH_ĐL!$K:$K,KH_ĐL!$CD:$CD,E$10&amp;$B47,KH_ĐL!$CD:$CD,E$10&amp;$B47,KH_ĐL!$CE:$CE,"Lò")</f>
        <v>0</v>
      </c>
      <c r="F47" s="750">
        <f>SUMIFS(KH_ĐL!$K:$K,KH_ĐL!$CD:$CD,F$10&amp;$B47,KH_ĐL!$CD:$CD,F$10&amp;$B47,KH_ĐL!$CE:$CE,"Lò")</f>
        <v>0</v>
      </c>
      <c r="G47" s="750">
        <f>SUMIFS(KH_ĐL!$K:$K,KH_ĐL!$CD:$CD,G$10&amp;$B47,KH_ĐL!$CD:$CD,G$10&amp;$B47,KH_ĐL!$CE:$CE,"Lò")</f>
        <v>0</v>
      </c>
      <c r="H47" s="750">
        <f>SUMIFS(KH_ĐL!$K:$K,KH_ĐL!$CD:$CD,H$10&amp;$B47,KH_ĐL!$CD:$CD,H$10&amp;$B47,KH_ĐL!$CE:$CE,"Lò")</f>
        <v>0</v>
      </c>
      <c r="I47" s="750">
        <f>SUMIFS(KH_ĐL!$K:$K,KH_ĐL!$CD:$CD,I$10&amp;$B47,KH_ĐL!$CD:$CD,I$10&amp;$B47,KH_ĐL!$CE:$CE,"Lò")</f>
        <v>0</v>
      </c>
      <c r="J47" s="750">
        <f>SUMIFS(KH_ĐL!$K:$K,KH_ĐL!$CD:$CD,J$10&amp;$B47,KH_ĐL!$CD:$CD,J$10&amp;$B47,KH_ĐL!$CE:$CE,"Lò")</f>
        <v>0</v>
      </c>
      <c r="K47" s="750">
        <f>SUMIFS(KH_ĐL!$K:$K,KH_ĐL!$CD:$CD,K$10&amp;$B47,KH_ĐL!$CD:$CD,K$10&amp;$B47,KH_ĐL!$CE:$CE,"Lò")</f>
        <v>0</v>
      </c>
      <c r="L47" s="750">
        <f>SUMIFS(KH_ĐL!$K:$K,KH_ĐL!$CD:$CD,L$10&amp;$B47,KH_ĐL!$CD:$CD,L$10&amp;$B47,KH_ĐL!$CE:$CE,"Lò")</f>
        <v>0</v>
      </c>
      <c r="M47" s="750">
        <f>SUMIFS(KH_ĐL!$K:$K,KH_ĐL!$CD:$CD,M$10&amp;$B47,KH_ĐL!$CD:$CD,M$10&amp;$B47,KH_ĐL!$CE:$CE,"Lò")</f>
        <v>0</v>
      </c>
      <c r="N47" s="750">
        <f>SUMIFS(KH_ĐL!$K:$K,KH_ĐL!$CD:$CD,N$10&amp;$B47,KH_ĐL!$CD:$CD,N$10&amp;$B47,KH_ĐL!$CE:$CE,"Lò")</f>
        <v>0</v>
      </c>
      <c r="O47" s="750">
        <f>SUMIFS(KH_ĐL!$K:$K,KH_ĐL!$CD:$CD,O$10&amp;$B47,KH_ĐL!$CD:$CD,O$10&amp;$B47,KH_ĐL!$CE:$CE,"Lò")</f>
        <v>0</v>
      </c>
      <c r="P47" s="750">
        <f>SUMIFS(KH_ĐL!$K:$K,KH_ĐL!$CD:$CD,P$10&amp;$B47,KH_ĐL!$CD:$CD,P$10&amp;$B47,KH_ĐL!$CE:$CE,"Lò")</f>
        <v>0</v>
      </c>
      <c r="Q47" s="750">
        <f>SUMIFS(KH_ĐL!$K:$K,KH_ĐL!$CD:$CD,Q$10&amp;$B47,KH_ĐL!$CD:$CD,Q$10&amp;$B47,KH_ĐL!$CE:$CE,"Lò")</f>
        <v>0</v>
      </c>
      <c r="R47" s="750">
        <f>SUMIFS(KH_ĐL!$K:$K,KH_ĐL!$CD:$CD,R$10&amp;$B47,KH_ĐL!$CD:$CD,R$10&amp;$B47,KH_ĐL!$CE:$CE,"Lò")</f>
        <v>0</v>
      </c>
      <c r="S47" s="750">
        <f>SUMIFS(KH_ĐL!$K:$K,KH_ĐL!$CD:$CD,S$10&amp;$B47,KH_ĐL!$CD:$CD,S$10&amp;$B47,KH_ĐL!$CE:$CE,"Lò")</f>
        <v>0</v>
      </c>
      <c r="T47" s="750">
        <f>SUMIFS(KH_ĐL!$K:$K,KH_ĐL!$CD:$CD,T$10&amp;$B47,KH_ĐL!$CD:$CD,T$10&amp;$B47,KH_ĐL!$CE:$CE,"Lò")</f>
        <v>0</v>
      </c>
      <c r="U47" s="750">
        <f>SUMIFS(KH_ĐL!$K:$K,KH_ĐL!$CD:$CD,U$10&amp;$B47,KH_ĐL!$CD:$CD,U$10&amp;$B47,KH_ĐL!$CE:$CE,"Lò")</f>
        <v>0</v>
      </c>
      <c r="V47" s="750">
        <f>SUMIFS(KH_ĐL!$K:$K,KH_ĐL!$CD:$CD,V$10&amp;$B47,KH_ĐL!$CD:$CD,V$10&amp;$B47,KH_ĐL!$CE:$CE,"Lò")</f>
        <v>0</v>
      </c>
      <c r="W47" s="750">
        <f>SUMIFS(KH_ĐL!$K:$K,KH_ĐL!$CD:$CD,W$10&amp;$B47,KH_ĐL!$CD:$CD,W$10&amp;$B47,KH_ĐL!$CE:$CE,"Lò")</f>
        <v>0</v>
      </c>
      <c r="X47" s="751"/>
      <c r="Y47" s="748"/>
      <c r="Z47" s="749"/>
      <c r="AA47" s="749"/>
      <c r="AB47" s="749"/>
      <c r="AC47" s="749"/>
      <c r="AD47" s="749"/>
      <c r="AE47" s="749"/>
    </row>
    <row r="48" spans="1:31" ht="19.149999999999999" hidden="1" customHeight="1" outlineLevel="1" x14ac:dyDescent="0.3">
      <c r="A48" s="745"/>
      <c r="B48" s="732">
        <v>18.5</v>
      </c>
      <c r="C48" s="746"/>
      <c r="D48" s="729">
        <f t="shared" si="12"/>
        <v>0</v>
      </c>
      <c r="E48" s="750">
        <f>SUMIFS(KH_ĐL!$K:$K,KH_ĐL!$CD:$CD,E$10&amp;$B48,KH_ĐL!$CD:$CD,E$10&amp;$B48,KH_ĐL!$CE:$CE,"Lò")</f>
        <v>0</v>
      </c>
      <c r="F48" s="750">
        <f>SUMIFS(KH_ĐL!$K:$K,KH_ĐL!$CD:$CD,F$10&amp;$B48,KH_ĐL!$CD:$CD,F$10&amp;$B48,KH_ĐL!$CE:$CE,"Lò")</f>
        <v>0</v>
      </c>
      <c r="G48" s="750">
        <f>SUMIFS(KH_ĐL!$K:$K,KH_ĐL!$CD:$CD,G$10&amp;$B48,KH_ĐL!$CD:$CD,G$10&amp;$B48,KH_ĐL!$CE:$CE,"Lò")</f>
        <v>0</v>
      </c>
      <c r="H48" s="750">
        <f>SUMIFS(KH_ĐL!$K:$K,KH_ĐL!$CD:$CD,H$10&amp;$B48,KH_ĐL!$CD:$CD,H$10&amp;$B48,KH_ĐL!$CE:$CE,"Lò")</f>
        <v>0</v>
      </c>
      <c r="I48" s="750">
        <f>SUMIFS(KH_ĐL!$K:$K,KH_ĐL!$CD:$CD,I$10&amp;$B48,KH_ĐL!$CD:$CD,I$10&amp;$B48,KH_ĐL!$CE:$CE,"Lò")</f>
        <v>0</v>
      </c>
      <c r="J48" s="750">
        <f>SUMIFS(KH_ĐL!$K:$K,KH_ĐL!$CD:$CD,J$10&amp;$B48,KH_ĐL!$CD:$CD,J$10&amp;$B48,KH_ĐL!$CE:$CE,"Lò")</f>
        <v>0</v>
      </c>
      <c r="K48" s="750">
        <f>SUMIFS(KH_ĐL!$K:$K,KH_ĐL!$CD:$CD,K$10&amp;$B48,KH_ĐL!$CD:$CD,K$10&amp;$B48,KH_ĐL!$CE:$CE,"Lò")</f>
        <v>0</v>
      </c>
      <c r="L48" s="750">
        <f>SUMIFS(KH_ĐL!$K:$K,KH_ĐL!$CD:$CD,L$10&amp;$B48,KH_ĐL!$CD:$CD,L$10&amp;$B48,KH_ĐL!$CE:$CE,"Lò")</f>
        <v>0</v>
      </c>
      <c r="M48" s="750">
        <f>SUMIFS(KH_ĐL!$K:$K,KH_ĐL!$CD:$CD,M$10&amp;$B48,KH_ĐL!$CD:$CD,M$10&amp;$B48,KH_ĐL!$CE:$CE,"Lò")</f>
        <v>0</v>
      </c>
      <c r="N48" s="750">
        <f>SUMIFS(KH_ĐL!$K:$K,KH_ĐL!$CD:$CD,N$10&amp;$B48,KH_ĐL!$CD:$CD,N$10&amp;$B48,KH_ĐL!$CE:$CE,"Lò")</f>
        <v>0</v>
      </c>
      <c r="O48" s="750">
        <f>SUMIFS(KH_ĐL!$K:$K,KH_ĐL!$CD:$CD,O$10&amp;$B48,KH_ĐL!$CD:$CD,O$10&amp;$B48,KH_ĐL!$CE:$CE,"Lò")</f>
        <v>0</v>
      </c>
      <c r="P48" s="750">
        <f>SUMIFS(KH_ĐL!$K:$K,KH_ĐL!$CD:$CD,P$10&amp;$B48,KH_ĐL!$CD:$CD,P$10&amp;$B48,KH_ĐL!$CE:$CE,"Lò")</f>
        <v>0</v>
      </c>
      <c r="Q48" s="750">
        <f>SUMIFS(KH_ĐL!$K:$K,KH_ĐL!$CD:$CD,Q$10&amp;$B48,KH_ĐL!$CD:$CD,Q$10&amp;$B48,KH_ĐL!$CE:$CE,"Lò")</f>
        <v>0</v>
      </c>
      <c r="R48" s="750">
        <f>SUMIFS(KH_ĐL!$K:$K,KH_ĐL!$CD:$CD,R$10&amp;$B48,KH_ĐL!$CD:$CD,R$10&amp;$B48,KH_ĐL!$CE:$CE,"Lò")</f>
        <v>0</v>
      </c>
      <c r="S48" s="750">
        <f>SUMIFS(KH_ĐL!$K:$K,KH_ĐL!$CD:$CD,S$10&amp;$B48,KH_ĐL!$CD:$CD,S$10&amp;$B48,KH_ĐL!$CE:$CE,"Lò")</f>
        <v>0</v>
      </c>
      <c r="T48" s="750">
        <f>SUMIFS(KH_ĐL!$K:$K,KH_ĐL!$CD:$CD,T$10&amp;$B48,KH_ĐL!$CD:$CD,T$10&amp;$B48,KH_ĐL!$CE:$CE,"Lò")</f>
        <v>0</v>
      </c>
      <c r="U48" s="750">
        <f>SUMIFS(KH_ĐL!$K:$K,KH_ĐL!$CD:$CD,U$10&amp;$B48,KH_ĐL!$CD:$CD,U$10&amp;$B48,KH_ĐL!$CE:$CE,"Lò")</f>
        <v>0</v>
      </c>
      <c r="V48" s="750">
        <f>SUMIFS(KH_ĐL!$K:$K,KH_ĐL!$CD:$CD,V$10&amp;$B48,KH_ĐL!$CD:$CD,V$10&amp;$B48,KH_ĐL!$CE:$CE,"Lò")</f>
        <v>0</v>
      </c>
      <c r="W48" s="750">
        <f>SUMIFS(KH_ĐL!$K:$K,KH_ĐL!$CD:$CD,W$10&amp;$B48,KH_ĐL!$CD:$CD,W$10&amp;$B48,KH_ĐL!$CE:$CE,"Lò")</f>
        <v>0</v>
      </c>
      <c r="X48" s="751"/>
      <c r="Y48" s="748"/>
      <c r="Z48" s="749"/>
      <c r="AA48" s="749"/>
      <c r="AB48" s="749"/>
      <c r="AC48" s="749"/>
      <c r="AD48" s="749"/>
      <c r="AE48" s="749"/>
    </row>
    <row r="49" spans="1:31" ht="19.149999999999999" hidden="1" customHeight="1" outlineLevel="1" x14ac:dyDescent="0.3">
      <c r="A49" s="745"/>
      <c r="B49" s="732">
        <v>20.3</v>
      </c>
      <c r="C49" s="746"/>
      <c r="D49" s="729">
        <f t="shared" si="12"/>
        <v>100</v>
      </c>
      <c r="E49" s="750">
        <f>SUMIFS(KH_ĐL!$K:$K,KH_ĐL!$CD:$CD,E$10&amp;$B49,KH_ĐL!$CD:$CD,E$10&amp;$B49,KH_ĐL!$CE:$CE,"Lò")</f>
        <v>0</v>
      </c>
      <c r="F49" s="750">
        <f>SUMIFS(KH_ĐL!$K:$K,KH_ĐL!$CD:$CD,F$10&amp;$B49,KH_ĐL!$CD:$CD,F$10&amp;$B49,KH_ĐL!$CE:$CE,"Lò")</f>
        <v>0</v>
      </c>
      <c r="G49" s="750">
        <f>SUMIFS(KH_ĐL!$K:$K,KH_ĐL!$CD:$CD,G$10&amp;$B49,KH_ĐL!$CD:$CD,G$10&amp;$B49,KH_ĐL!$CE:$CE,"Lò")</f>
        <v>0</v>
      </c>
      <c r="H49" s="750">
        <f>SUMIFS(KH_ĐL!$K:$K,KH_ĐL!$CD:$CD,H$10&amp;$B49,KH_ĐL!$CD:$CD,H$10&amp;$B49,KH_ĐL!$CE:$CE,"Lò")</f>
        <v>0</v>
      </c>
      <c r="I49" s="750">
        <f>SUMIFS(KH_ĐL!$K:$K,KH_ĐL!$CD:$CD,I$10&amp;$B49,KH_ĐL!$CD:$CD,I$10&amp;$B49,KH_ĐL!$CE:$CE,"Lò")</f>
        <v>0</v>
      </c>
      <c r="J49" s="750">
        <f>SUMIFS(KH_ĐL!$K:$K,KH_ĐL!$CD:$CD,J$10&amp;$B49,KH_ĐL!$CD:$CD,J$10&amp;$B49,KH_ĐL!$CE:$CE,"Lò")</f>
        <v>0</v>
      </c>
      <c r="K49" s="750">
        <f>SUMIFS(KH_ĐL!$K:$K,KH_ĐL!$CD:$CD,K$10&amp;$B49,KH_ĐL!$CD:$CD,K$10&amp;$B49,KH_ĐL!$CE:$CE,"Lò")</f>
        <v>0</v>
      </c>
      <c r="L49" s="750">
        <f>SUMIFS(KH_ĐL!$K:$K,KH_ĐL!$CD:$CD,L$10&amp;$B49,KH_ĐL!$CD:$CD,L$10&amp;$B49,KH_ĐL!$CE:$CE,"Lò")</f>
        <v>0</v>
      </c>
      <c r="M49" s="750">
        <f>SUMIFS(KH_ĐL!$K:$K,KH_ĐL!$CD:$CD,M$10&amp;$B49,KH_ĐL!$CD:$CD,M$10&amp;$B49,KH_ĐL!$CE:$CE,"Lò")</f>
        <v>0</v>
      </c>
      <c r="N49" s="750">
        <f>SUMIFS(KH_ĐL!$K:$K,KH_ĐL!$CD:$CD,N$10&amp;$B49,KH_ĐL!$CD:$CD,N$10&amp;$B49,KH_ĐL!$CE:$CE,"Lò")</f>
        <v>0</v>
      </c>
      <c r="O49" s="750">
        <f>SUMIFS(KH_ĐL!$K:$K,KH_ĐL!$CD:$CD,O$10&amp;$B49,KH_ĐL!$CD:$CD,O$10&amp;$B49,KH_ĐL!$CE:$CE,"Lò")</f>
        <v>0</v>
      </c>
      <c r="P49" s="750">
        <f>SUMIFS(KH_ĐL!$K:$K,KH_ĐL!$CD:$CD,P$10&amp;$B49,KH_ĐL!$CD:$CD,P$10&amp;$B49,KH_ĐL!$CE:$CE,"Lò")</f>
        <v>0</v>
      </c>
      <c r="Q49" s="750">
        <f>SUMIFS(KH_ĐL!$K:$K,KH_ĐL!$CD:$CD,Q$10&amp;$B49,KH_ĐL!$CD:$CD,Q$10&amp;$B49,KH_ĐL!$CE:$CE,"Lò")</f>
        <v>0</v>
      </c>
      <c r="R49" s="750">
        <f>SUMIFS(KH_ĐL!$K:$K,KH_ĐL!$CD:$CD,R$10&amp;$B49,KH_ĐL!$CD:$CD,R$10&amp;$B49,KH_ĐL!$CE:$CE,"Lò")</f>
        <v>0</v>
      </c>
      <c r="S49" s="750">
        <f>SUMIFS(KH_ĐL!$K:$K,KH_ĐL!$CD:$CD,S$10&amp;$B49,KH_ĐL!$CD:$CD,S$10&amp;$B49,KH_ĐL!$CE:$CE,"Lò")</f>
        <v>100</v>
      </c>
      <c r="T49" s="750">
        <f>SUMIFS(KH_ĐL!$K:$K,KH_ĐL!$CD:$CD,T$10&amp;$B49,KH_ĐL!$CD:$CD,T$10&amp;$B49,KH_ĐL!$CE:$CE,"Lò")</f>
        <v>0</v>
      </c>
      <c r="U49" s="750">
        <f>SUMIFS(KH_ĐL!$K:$K,KH_ĐL!$CD:$CD,U$10&amp;$B49,KH_ĐL!$CD:$CD,U$10&amp;$B49,KH_ĐL!$CE:$CE,"Lò")</f>
        <v>0</v>
      </c>
      <c r="V49" s="750">
        <f>SUMIFS(KH_ĐL!$K:$K,KH_ĐL!$CD:$CD,V$10&amp;$B49,KH_ĐL!$CD:$CD,V$10&amp;$B49,KH_ĐL!$CE:$CE,"Lò")</f>
        <v>0</v>
      </c>
      <c r="W49" s="750">
        <f>SUMIFS(KH_ĐL!$K:$K,KH_ĐL!$CD:$CD,W$10&amp;$B49,KH_ĐL!$CD:$CD,W$10&amp;$B49,KH_ĐL!$CE:$CE,"Lò")</f>
        <v>0</v>
      </c>
      <c r="X49" s="751"/>
      <c r="Y49" s="748"/>
      <c r="Z49" s="749"/>
      <c r="AA49" s="749"/>
      <c r="AB49" s="749"/>
      <c r="AC49" s="749"/>
      <c r="AD49" s="749"/>
      <c r="AE49" s="749"/>
    </row>
    <row r="50" spans="1:31" ht="19.149999999999999" customHeight="1" outlineLevel="1" x14ac:dyDescent="0.3">
      <c r="A50" s="745"/>
      <c r="B50" s="732">
        <v>20.5</v>
      </c>
      <c r="C50" s="746"/>
      <c r="D50" s="729">
        <f t="shared" si="12"/>
        <v>325</v>
      </c>
      <c r="E50" s="750">
        <f>SUMIFS(KH_ĐL!$K:$K,KH_ĐL!$CD:$CD,E$10&amp;$B50,KH_ĐL!$CD:$CD,E$10&amp;$B50,KH_ĐL!$CE:$CE,"Lò")</f>
        <v>0</v>
      </c>
      <c r="F50" s="750">
        <f>SUMIFS(KH_ĐL!$K:$K,KH_ĐL!$CD:$CD,F$10&amp;$B50,KH_ĐL!$CD:$CD,F$10&amp;$B50,KH_ĐL!$CE:$CE,"Lò")</f>
        <v>0</v>
      </c>
      <c r="G50" s="750">
        <f>SUMIFS(KH_ĐL!$K:$K,KH_ĐL!$CD:$CD,G$10&amp;$B50,KH_ĐL!$CD:$CD,G$10&amp;$B50,KH_ĐL!$CE:$CE,"Lò")</f>
        <v>0</v>
      </c>
      <c r="H50" s="750">
        <f>SUMIFS(KH_ĐL!$K:$K,KH_ĐL!$CD:$CD,H$10&amp;$B50,KH_ĐL!$CD:$CD,H$10&amp;$B50,KH_ĐL!$CE:$CE,"Lò")</f>
        <v>0</v>
      </c>
      <c r="I50" s="750">
        <f>SUMIFS(KH_ĐL!$K:$K,KH_ĐL!$CD:$CD,I$10&amp;$B50,KH_ĐL!$CD:$CD,I$10&amp;$B50,KH_ĐL!$CE:$CE,"Lò")</f>
        <v>0</v>
      </c>
      <c r="J50" s="750">
        <f>SUMIFS(KH_ĐL!$K:$K,KH_ĐL!$CD:$CD,J$10&amp;$B50,KH_ĐL!$CD:$CD,J$10&amp;$B50,KH_ĐL!$CE:$CE,"Lò")</f>
        <v>0</v>
      </c>
      <c r="K50" s="750">
        <f>SUMIFS(KH_ĐL!$K:$K,KH_ĐL!$CD:$CD,K$10&amp;$B50,KH_ĐL!$CD:$CD,K$10&amp;$B50,KH_ĐL!$CE:$CE,"Lò")</f>
        <v>0</v>
      </c>
      <c r="L50" s="750">
        <f>SUMIFS(KH_ĐL!$K:$K,KH_ĐL!$CD:$CD,L$10&amp;$B50,KH_ĐL!$CD:$CD,L$10&amp;$B50,KH_ĐL!$CE:$CE,"Lò")</f>
        <v>0</v>
      </c>
      <c r="M50" s="750">
        <f>SUMIFS(KH_ĐL!$K:$K,KH_ĐL!$CD:$CD,M$10&amp;$B50,KH_ĐL!$CD:$CD,M$10&amp;$B50,KH_ĐL!$CE:$CE,"Lò")</f>
        <v>0</v>
      </c>
      <c r="N50" s="750">
        <f>SUMIFS(KH_ĐL!$K:$K,KH_ĐL!$CD:$CD,N$10&amp;$B50,KH_ĐL!$CD:$CD,N$10&amp;$B50,KH_ĐL!$CE:$CE,"Lò")</f>
        <v>0</v>
      </c>
      <c r="O50" s="750">
        <f>SUMIFS(KH_ĐL!$K:$K,KH_ĐL!$CD:$CD,O$10&amp;$B50,KH_ĐL!$CD:$CD,O$10&amp;$B50,KH_ĐL!$CE:$CE,"Lò")</f>
        <v>0</v>
      </c>
      <c r="P50" s="750">
        <f>SUMIFS(KH_ĐL!$K:$K,KH_ĐL!$CD:$CD,P$10&amp;$B50,KH_ĐL!$CD:$CD,P$10&amp;$B50,KH_ĐL!$CE:$CE,"Lò")</f>
        <v>140</v>
      </c>
      <c r="Q50" s="750">
        <f>SUMIFS(KH_ĐL!$K:$K,KH_ĐL!$CD:$CD,Q$10&amp;$B50,KH_ĐL!$CD:$CD,Q$10&amp;$B50,KH_ĐL!$CE:$CE,"Lò")</f>
        <v>0</v>
      </c>
      <c r="R50" s="750">
        <f>SUMIFS(KH_ĐL!$K:$K,KH_ĐL!$CD:$CD,R$10&amp;$B50,KH_ĐL!$CD:$CD,R$10&amp;$B50,KH_ĐL!$CE:$CE,"Lò")</f>
        <v>120</v>
      </c>
      <c r="S50" s="750">
        <f>SUMIFS(KH_ĐL!$K:$K,KH_ĐL!$CD:$CD,S$10&amp;$B50,KH_ĐL!$CD:$CD,S$10&amp;$B50,KH_ĐL!$CE:$CE,"Lò")</f>
        <v>65</v>
      </c>
      <c r="T50" s="750">
        <f>SUMIFS(KH_ĐL!$K:$K,KH_ĐL!$CD:$CD,T$10&amp;$B50,KH_ĐL!$CD:$CD,T$10&amp;$B50,KH_ĐL!$CE:$CE,"Lò")</f>
        <v>0</v>
      </c>
      <c r="U50" s="750">
        <f>SUMIFS(KH_ĐL!$K:$K,KH_ĐL!$CD:$CD,U$10&amp;$B50,KH_ĐL!$CD:$CD,U$10&amp;$B50,KH_ĐL!$CE:$CE,"Lò")</f>
        <v>0</v>
      </c>
      <c r="V50" s="750">
        <f>SUMIFS(KH_ĐL!$K:$K,KH_ĐL!$CD:$CD,V$10&amp;$B50,KH_ĐL!$CD:$CD,V$10&amp;$B50,KH_ĐL!$CE:$CE,"Lò")</f>
        <v>0</v>
      </c>
      <c r="W50" s="750">
        <f>SUMIFS(KH_ĐL!$K:$K,KH_ĐL!$CD:$CD,W$10&amp;$B50,KH_ĐL!$CD:$CD,W$10&amp;$B50,KH_ĐL!$CE:$CE,"Lò")</f>
        <v>0</v>
      </c>
      <c r="X50" s="751"/>
      <c r="Y50" s="748"/>
      <c r="Z50" s="749"/>
      <c r="AA50" s="749"/>
      <c r="AB50" s="749"/>
      <c r="AC50" s="749"/>
      <c r="AD50" s="749"/>
      <c r="AE50" s="749"/>
    </row>
    <row r="51" spans="1:31" ht="19.149999999999999" hidden="1" customHeight="1" outlineLevel="1" x14ac:dyDescent="0.3">
      <c r="A51" s="745"/>
      <c r="B51" s="732">
        <v>21.4</v>
      </c>
      <c r="C51" s="746"/>
      <c r="D51" s="729">
        <f t="shared" si="12"/>
        <v>0</v>
      </c>
      <c r="E51" s="750">
        <f>SUMIFS(KH_ĐL!$K:$K,KH_ĐL!$CD:$CD,E$10&amp;$B51,KH_ĐL!$CD:$CD,E$10&amp;$B51,KH_ĐL!$CE:$CE,"Lò")</f>
        <v>0</v>
      </c>
      <c r="F51" s="750">
        <f>SUMIFS(KH_ĐL!$K:$K,KH_ĐL!$CD:$CD,F$10&amp;$B51,KH_ĐL!$CD:$CD,F$10&amp;$B51,KH_ĐL!$CE:$CE,"Lò")</f>
        <v>0</v>
      </c>
      <c r="G51" s="750">
        <f>SUMIFS(KH_ĐL!$K:$K,KH_ĐL!$CD:$CD,G$10&amp;$B51,KH_ĐL!$CD:$CD,G$10&amp;$B51,KH_ĐL!$CE:$CE,"Lò")</f>
        <v>0</v>
      </c>
      <c r="H51" s="750">
        <f>SUMIFS(KH_ĐL!$K:$K,KH_ĐL!$CD:$CD,H$10&amp;$B51,KH_ĐL!$CD:$CD,H$10&amp;$B51,KH_ĐL!$CE:$CE,"Lò")</f>
        <v>0</v>
      </c>
      <c r="I51" s="750">
        <f>SUMIFS(KH_ĐL!$K:$K,KH_ĐL!$CD:$CD,I$10&amp;$B51,KH_ĐL!$CD:$CD,I$10&amp;$B51,KH_ĐL!$CE:$CE,"Lò")</f>
        <v>0</v>
      </c>
      <c r="J51" s="750">
        <f>SUMIFS(KH_ĐL!$K:$K,KH_ĐL!$CD:$CD,J$10&amp;$B51,KH_ĐL!$CD:$CD,J$10&amp;$B51,KH_ĐL!$CE:$CE,"Lò")</f>
        <v>0</v>
      </c>
      <c r="K51" s="750">
        <f>SUMIFS(KH_ĐL!$K:$K,KH_ĐL!$CD:$CD,K$10&amp;$B51,KH_ĐL!$CD:$CD,K$10&amp;$B51,KH_ĐL!$CE:$CE,"Lò")</f>
        <v>0</v>
      </c>
      <c r="L51" s="750">
        <f>SUMIFS(KH_ĐL!$K:$K,KH_ĐL!$CD:$CD,L$10&amp;$B51,KH_ĐL!$CD:$CD,L$10&amp;$B51,KH_ĐL!$CE:$CE,"Lò")</f>
        <v>0</v>
      </c>
      <c r="M51" s="750">
        <f>SUMIFS(KH_ĐL!$K:$K,KH_ĐL!$CD:$CD,M$10&amp;$B51,KH_ĐL!$CD:$CD,M$10&amp;$B51,KH_ĐL!$CE:$CE,"Lò")</f>
        <v>0</v>
      </c>
      <c r="N51" s="750">
        <f>SUMIFS(KH_ĐL!$K:$K,KH_ĐL!$CD:$CD,N$10&amp;$B51,KH_ĐL!$CD:$CD,N$10&amp;$B51,KH_ĐL!$CE:$CE,"Lò")</f>
        <v>0</v>
      </c>
      <c r="O51" s="750">
        <f>SUMIFS(KH_ĐL!$K:$K,KH_ĐL!$CD:$CD,O$10&amp;$B51,KH_ĐL!$CD:$CD,O$10&amp;$B51,KH_ĐL!$CE:$CE,"Lò")</f>
        <v>0</v>
      </c>
      <c r="P51" s="750">
        <f>SUMIFS(KH_ĐL!$K:$K,KH_ĐL!$CD:$CD,P$10&amp;$B51,KH_ĐL!$CD:$CD,P$10&amp;$B51,KH_ĐL!$CE:$CE,"Lò")</f>
        <v>0</v>
      </c>
      <c r="Q51" s="750">
        <f>SUMIFS(KH_ĐL!$K:$K,KH_ĐL!$CD:$CD,Q$10&amp;$B51,KH_ĐL!$CD:$CD,Q$10&amp;$B51,KH_ĐL!$CE:$CE,"Lò")</f>
        <v>0</v>
      </c>
      <c r="R51" s="750">
        <f>SUMIFS(KH_ĐL!$K:$K,KH_ĐL!$CD:$CD,R$10&amp;$B51,KH_ĐL!$CD:$CD,R$10&amp;$B51,KH_ĐL!$CE:$CE,"Lò")</f>
        <v>0</v>
      </c>
      <c r="S51" s="750">
        <f>SUMIFS(KH_ĐL!$K:$K,KH_ĐL!$CD:$CD,S$10&amp;$B51,KH_ĐL!$CD:$CD,S$10&amp;$B51,KH_ĐL!$CE:$CE,"Lò")</f>
        <v>0</v>
      </c>
      <c r="T51" s="750">
        <f>SUMIFS(KH_ĐL!$K:$K,KH_ĐL!$CD:$CD,T$10&amp;$B51,KH_ĐL!$CD:$CD,T$10&amp;$B51,KH_ĐL!$CE:$CE,"Lò")</f>
        <v>0</v>
      </c>
      <c r="U51" s="750">
        <f>SUMIFS(KH_ĐL!$K:$K,KH_ĐL!$CD:$CD,U$10&amp;$B51,KH_ĐL!$CD:$CD,U$10&amp;$B51,KH_ĐL!$CE:$CE,"Lò")</f>
        <v>0</v>
      </c>
      <c r="V51" s="750">
        <f>SUMIFS(KH_ĐL!$K:$K,KH_ĐL!$CD:$CD,V$10&amp;$B51,KH_ĐL!$CD:$CD,V$10&amp;$B51,KH_ĐL!$CE:$CE,"Lò")</f>
        <v>0</v>
      </c>
      <c r="W51" s="750">
        <f>SUMIFS(KH_ĐL!$K:$K,KH_ĐL!$CD:$CD,W$10&amp;$B51,KH_ĐL!$CD:$CD,W$10&amp;$B51,KH_ĐL!$CE:$CE,"Lò")</f>
        <v>0</v>
      </c>
      <c r="X51" s="751"/>
      <c r="Y51" s="748"/>
      <c r="Z51" s="749"/>
      <c r="AA51" s="749"/>
      <c r="AB51" s="749"/>
      <c r="AC51" s="749"/>
      <c r="AD51" s="749"/>
      <c r="AE51" s="749"/>
    </row>
    <row r="52" spans="1:31" ht="19.149999999999999" hidden="1" customHeight="1" outlineLevel="1" x14ac:dyDescent="0.3">
      <c r="A52" s="745"/>
      <c r="B52" s="732">
        <v>22</v>
      </c>
      <c r="C52" s="746"/>
      <c r="D52" s="729">
        <f t="shared" si="12"/>
        <v>0</v>
      </c>
      <c r="E52" s="750">
        <f>SUMIFS(KH_ĐL!$K:$K,KH_ĐL!$CD:$CD,E$10&amp;$B52,KH_ĐL!$CD:$CD,E$10&amp;$B52,KH_ĐL!$CE:$CE,"Lò")</f>
        <v>0</v>
      </c>
      <c r="F52" s="750">
        <f>SUMIFS(KH_ĐL!$K:$K,KH_ĐL!$CD:$CD,F$10&amp;$B52,KH_ĐL!$CD:$CD,F$10&amp;$B52,KH_ĐL!$CE:$CE,"Lò")</f>
        <v>0</v>
      </c>
      <c r="G52" s="750">
        <f>SUMIFS(KH_ĐL!$K:$K,KH_ĐL!$CD:$CD,G$10&amp;$B52,KH_ĐL!$CD:$CD,G$10&amp;$B52,KH_ĐL!$CE:$CE,"Lò")</f>
        <v>0</v>
      </c>
      <c r="H52" s="750">
        <f>SUMIFS(KH_ĐL!$K:$K,KH_ĐL!$CD:$CD,H$10&amp;$B52,KH_ĐL!$CD:$CD,H$10&amp;$B52,KH_ĐL!$CE:$CE,"Lò")</f>
        <v>0</v>
      </c>
      <c r="I52" s="750">
        <f>SUMIFS(KH_ĐL!$K:$K,KH_ĐL!$CD:$CD,I$10&amp;$B52,KH_ĐL!$CD:$CD,I$10&amp;$B52,KH_ĐL!$CE:$CE,"Lò")</f>
        <v>0</v>
      </c>
      <c r="J52" s="750">
        <f>SUMIFS(KH_ĐL!$K:$K,KH_ĐL!$CD:$CD,J$10&amp;$B52,KH_ĐL!$CD:$CD,J$10&amp;$B52,KH_ĐL!$CE:$CE,"Lò")</f>
        <v>0</v>
      </c>
      <c r="K52" s="750">
        <f>SUMIFS(KH_ĐL!$K:$K,KH_ĐL!$CD:$CD,K$10&amp;$B52,KH_ĐL!$CD:$CD,K$10&amp;$B52,KH_ĐL!$CE:$CE,"Lò")</f>
        <v>0</v>
      </c>
      <c r="L52" s="750">
        <f>SUMIFS(KH_ĐL!$K:$K,KH_ĐL!$CD:$CD,L$10&amp;$B52,KH_ĐL!$CD:$CD,L$10&amp;$B52,KH_ĐL!$CE:$CE,"Lò")</f>
        <v>0</v>
      </c>
      <c r="M52" s="750">
        <f>SUMIFS(KH_ĐL!$K:$K,KH_ĐL!$CD:$CD,M$10&amp;$B52,KH_ĐL!$CD:$CD,M$10&amp;$B52,KH_ĐL!$CE:$CE,"Lò")</f>
        <v>0</v>
      </c>
      <c r="N52" s="750">
        <f>SUMIFS(KH_ĐL!$K:$K,KH_ĐL!$CD:$CD,N$10&amp;$B52,KH_ĐL!$CD:$CD,N$10&amp;$B52,KH_ĐL!$CE:$CE,"Lò")</f>
        <v>0</v>
      </c>
      <c r="O52" s="750">
        <f>SUMIFS(KH_ĐL!$K:$K,KH_ĐL!$CD:$CD,O$10&amp;$B52,KH_ĐL!$CD:$CD,O$10&amp;$B52,KH_ĐL!$CE:$CE,"Lò")</f>
        <v>0</v>
      </c>
      <c r="P52" s="750">
        <f>SUMIFS(KH_ĐL!$K:$K,KH_ĐL!$CD:$CD,P$10&amp;$B52,KH_ĐL!$CD:$CD,P$10&amp;$B52,KH_ĐL!$CE:$CE,"Lò")</f>
        <v>0</v>
      </c>
      <c r="Q52" s="750">
        <f>SUMIFS(KH_ĐL!$K:$K,KH_ĐL!$CD:$CD,Q$10&amp;$B52,KH_ĐL!$CD:$CD,Q$10&amp;$B52,KH_ĐL!$CE:$CE,"Lò")</f>
        <v>0</v>
      </c>
      <c r="R52" s="750">
        <f>SUMIFS(KH_ĐL!$K:$K,KH_ĐL!$CD:$CD,R$10&amp;$B52,KH_ĐL!$CD:$CD,R$10&amp;$B52,KH_ĐL!$CE:$CE,"Lò")</f>
        <v>0</v>
      </c>
      <c r="S52" s="750">
        <f>SUMIFS(KH_ĐL!$K:$K,KH_ĐL!$CD:$CD,S$10&amp;$B52,KH_ĐL!$CD:$CD,S$10&amp;$B52,KH_ĐL!$CE:$CE,"Lò")</f>
        <v>0</v>
      </c>
      <c r="T52" s="750">
        <f>SUMIFS(KH_ĐL!$K:$K,KH_ĐL!$CD:$CD,T$10&amp;$B52,KH_ĐL!$CD:$CD,T$10&amp;$B52,KH_ĐL!$CE:$CE,"Lò")</f>
        <v>0</v>
      </c>
      <c r="U52" s="750">
        <f>SUMIFS(KH_ĐL!$K:$K,KH_ĐL!$CD:$CD,U$10&amp;$B52,KH_ĐL!$CD:$CD,U$10&amp;$B52,KH_ĐL!$CE:$CE,"Lò")</f>
        <v>0</v>
      </c>
      <c r="V52" s="750">
        <f>SUMIFS(KH_ĐL!$K:$K,KH_ĐL!$CD:$CD,V$10&amp;$B52,KH_ĐL!$CD:$CD,V$10&amp;$B52,KH_ĐL!$CE:$CE,"Lò")</f>
        <v>0</v>
      </c>
      <c r="W52" s="750">
        <f>SUMIFS(KH_ĐL!$K:$K,KH_ĐL!$CD:$CD,W$10&amp;$B52,KH_ĐL!$CD:$CD,W$10&amp;$B52,KH_ĐL!$CE:$CE,"Lò")</f>
        <v>0</v>
      </c>
      <c r="X52" s="751"/>
      <c r="Y52" s="752"/>
      <c r="Z52" s="749"/>
      <c r="AA52" s="749"/>
      <c r="AB52" s="749"/>
      <c r="AC52" s="749"/>
      <c r="AD52" s="749"/>
      <c r="AE52" s="749"/>
    </row>
    <row r="53" spans="1:31" ht="19.149999999999999" hidden="1" customHeight="1" outlineLevel="1" x14ac:dyDescent="0.3">
      <c r="A53" s="745"/>
      <c r="B53" s="732">
        <v>22.2</v>
      </c>
      <c r="C53" s="746"/>
      <c r="D53" s="729">
        <f t="shared" ref="D53:D62" si="13">SUM(E53:V53)</f>
        <v>0</v>
      </c>
      <c r="E53" s="750">
        <f>SUMIFS(KH_ĐL!$K:$K,KH_ĐL!$CD:$CD,E$10&amp;$B53,KH_ĐL!$CD:$CD,E$10&amp;$B53,KH_ĐL!$CE:$CE,"Lò")</f>
        <v>0</v>
      </c>
      <c r="F53" s="750">
        <f>SUMIFS(KH_ĐL!$K:$K,KH_ĐL!$CD:$CD,F$10&amp;$B53,KH_ĐL!$CD:$CD,F$10&amp;$B53,KH_ĐL!$CE:$CE,"Lò")</f>
        <v>0</v>
      </c>
      <c r="G53" s="750">
        <f>SUMIFS(KH_ĐL!$K:$K,KH_ĐL!$CD:$CD,G$10&amp;$B53,KH_ĐL!$CD:$CD,G$10&amp;$B53,KH_ĐL!$CE:$CE,"Lò")</f>
        <v>0</v>
      </c>
      <c r="H53" s="750">
        <f>SUMIFS(KH_ĐL!$K:$K,KH_ĐL!$CD:$CD,H$10&amp;$B53,KH_ĐL!$CD:$CD,H$10&amp;$B53,KH_ĐL!$CE:$CE,"Lò")</f>
        <v>0</v>
      </c>
      <c r="I53" s="750">
        <f>SUMIFS(KH_ĐL!$K:$K,KH_ĐL!$CD:$CD,I$10&amp;$B53,KH_ĐL!$CD:$CD,I$10&amp;$B53,KH_ĐL!$CE:$CE,"Lò")</f>
        <v>0</v>
      </c>
      <c r="J53" s="750">
        <f>SUMIFS(KH_ĐL!$K:$K,KH_ĐL!$CD:$CD,J$10&amp;$B53,KH_ĐL!$CD:$CD,J$10&amp;$B53,KH_ĐL!$CE:$CE,"Lò")</f>
        <v>0</v>
      </c>
      <c r="K53" s="750">
        <f>SUMIFS(KH_ĐL!$K:$K,KH_ĐL!$CD:$CD,K$10&amp;$B53,KH_ĐL!$CD:$CD,K$10&amp;$B53,KH_ĐL!$CE:$CE,"Lò")</f>
        <v>0</v>
      </c>
      <c r="L53" s="750">
        <f>SUMIFS(KH_ĐL!$K:$K,KH_ĐL!$CD:$CD,L$10&amp;$B53,KH_ĐL!$CD:$CD,L$10&amp;$B53,KH_ĐL!$CE:$CE,"Lò")</f>
        <v>0</v>
      </c>
      <c r="M53" s="750">
        <f>SUMIFS(KH_ĐL!$K:$K,KH_ĐL!$CD:$CD,M$10&amp;$B53,KH_ĐL!$CD:$CD,M$10&amp;$B53,KH_ĐL!$CE:$CE,"Lò")</f>
        <v>0</v>
      </c>
      <c r="N53" s="750">
        <f>SUMIFS(KH_ĐL!$K:$K,KH_ĐL!$CD:$CD,N$10&amp;$B53,KH_ĐL!$CD:$CD,N$10&amp;$B53,KH_ĐL!$CE:$CE,"Lò")</f>
        <v>0</v>
      </c>
      <c r="O53" s="750">
        <f>SUMIFS(KH_ĐL!$K:$K,KH_ĐL!$CD:$CD,O$10&amp;$B53,KH_ĐL!$CD:$CD,O$10&amp;$B53,KH_ĐL!$CE:$CE,"Lò")</f>
        <v>0</v>
      </c>
      <c r="P53" s="750">
        <f>SUMIFS(KH_ĐL!$K:$K,KH_ĐL!$CD:$CD,P$10&amp;$B53,KH_ĐL!$CD:$CD,P$10&amp;$B53,KH_ĐL!$CE:$CE,"Lò")</f>
        <v>0</v>
      </c>
      <c r="Q53" s="750">
        <f>SUMIFS(KH_ĐL!$K:$K,KH_ĐL!$CD:$CD,Q$10&amp;$B53,KH_ĐL!$CD:$CD,Q$10&amp;$B53,KH_ĐL!$CE:$CE,"Lò")</f>
        <v>0</v>
      </c>
      <c r="R53" s="750">
        <f>SUMIFS(KH_ĐL!$K:$K,KH_ĐL!$CD:$CD,R$10&amp;$B53,KH_ĐL!$CD:$CD,R$10&amp;$B53,KH_ĐL!$CE:$CE,"Lò")</f>
        <v>0</v>
      </c>
      <c r="S53" s="750">
        <f>SUMIFS(KH_ĐL!$K:$K,KH_ĐL!$CD:$CD,S$10&amp;$B53,KH_ĐL!$CD:$CD,S$10&amp;$B53,KH_ĐL!$CE:$CE,"Lò")</f>
        <v>0</v>
      </c>
      <c r="T53" s="750">
        <f>SUMIFS(KH_ĐL!$K:$K,KH_ĐL!$CD:$CD,T$10&amp;$B53,KH_ĐL!$CD:$CD,T$10&amp;$B53,KH_ĐL!$CE:$CE,"Lò")</f>
        <v>0</v>
      </c>
      <c r="U53" s="750">
        <f>SUMIFS(KH_ĐL!$K:$K,KH_ĐL!$CD:$CD,U$10&amp;$B53,KH_ĐL!$CD:$CD,U$10&amp;$B53,KH_ĐL!$CE:$CE,"Lò")</f>
        <v>0</v>
      </c>
      <c r="V53" s="750">
        <f>SUMIFS(KH_ĐL!$K:$K,KH_ĐL!$CD:$CD,V$10&amp;$B53,KH_ĐL!$CD:$CD,V$10&amp;$B53,KH_ĐL!$CE:$CE,"Lò")</f>
        <v>0</v>
      </c>
      <c r="W53" s="750">
        <f>SUMIFS(KH_ĐL!$K:$K,KH_ĐL!$CD:$CD,W$10&amp;$B53,KH_ĐL!$CD:$CD,W$10&amp;$B53,KH_ĐL!$CE:$CE,"Lò")</f>
        <v>0</v>
      </c>
      <c r="X53" s="751"/>
      <c r="Y53" s="752"/>
      <c r="Z53" s="749"/>
      <c r="AA53" s="749"/>
      <c r="AB53" s="749"/>
      <c r="AC53" s="749"/>
      <c r="AD53" s="749"/>
      <c r="AE53" s="749"/>
    </row>
    <row r="54" spans="1:31" ht="19.149999999999999" hidden="1" customHeight="1" outlineLevel="1" x14ac:dyDescent="0.3">
      <c r="A54" s="745"/>
      <c r="B54" s="732">
        <v>23.9</v>
      </c>
      <c r="C54" s="746"/>
      <c r="D54" s="729">
        <f t="shared" si="13"/>
        <v>0</v>
      </c>
      <c r="E54" s="750">
        <f>SUMIFS(KH_ĐL!$K:$K,KH_ĐL!$CD:$CD,E$10&amp;$B54,KH_ĐL!$CD:$CD,E$10&amp;$B54,KH_ĐL!$CE:$CE,"Lò")</f>
        <v>0</v>
      </c>
      <c r="F54" s="750">
        <f>SUMIFS(KH_ĐL!$K:$K,KH_ĐL!$CD:$CD,F$10&amp;$B54,KH_ĐL!$CD:$CD,F$10&amp;$B54,KH_ĐL!$CE:$CE,"Lò")</f>
        <v>0</v>
      </c>
      <c r="G54" s="750">
        <f>SUMIFS(KH_ĐL!$K:$K,KH_ĐL!$CD:$CD,G$10&amp;$B54,KH_ĐL!$CD:$CD,G$10&amp;$B54,KH_ĐL!$CE:$CE,"Lò")</f>
        <v>0</v>
      </c>
      <c r="H54" s="750">
        <f>SUMIFS(KH_ĐL!$K:$K,KH_ĐL!$CD:$CD,H$10&amp;$B54,KH_ĐL!$CD:$CD,H$10&amp;$B54,KH_ĐL!$CE:$CE,"Lò")</f>
        <v>0</v>
      </c>
      <c r="I54" s="750">
        <f>SUMIFS(KH_ĐL!$K:$K,KH_ĐL!$CD:$CD,I$10&amp;$B54,KH_ĐL!$CD:$CD,I$10&amp;$B54,KH_ĐL!$CE:$CE,"Lò")</f>
        <v>0</v>
      </c>
      <c r="J54" s="750">
        <f>SUMIFS(KH_ĐL!$K:$K,KH_ĐL!$CD:$CD,J$10&amp;$B54,KH_ĐL!$CD:$CD,J$10&amp;$B54,KH_ĐL!$CE:$CE,"Lò")</f>
        <v>0</v>
      </c>
      <c r="K54" s="750">
        <f>SUMIFS(KH_ĐL!$K:$K,KH_ĐL!$CD:$CD,K$10&amp;$B54,KH_ĐL!$CD:$CD,K$10&amp;$B54,KH_ĐL!$CE:$CE,"Lò")</f>
        <v>0</v>
      </c>
      <c r="L54" s="750">
        <f>SUMIFS(KH_ĐL!$K:$K,KH_ĐL!$CD:$CD,L$10&amp;$B54,KH_ĐL!$CD:$CD,L$10&amp;$B54,KH_ĐL!$CE:$CE,"Lò")</f>
        <v>0</v>
      </c>
      <c r="M54" s="750">
        <f>SUMIFS(KH_ĐL!$K:$K,KH_ĐL!$CD:$CD,M$10&amp;$B54,KH_ĐL!$CD:$CD,M$10&amp;$B54,KH_ĐL!$CE:$CE,"Lò")</f>
        <v>0</v>
      </c>
      <c r="N54" s="750">
        <f>SUMIFS(KH_ĐL!$K:$K,KH_ĐL!$CD:$CD,N$10&amp;$B54,KH_ĐL!$CD:$CD,N$10&amp;$B54,KH_ĐL!$CE:$CE,"Lò")</f>
        <v>0</v>
      </c>
      <c r="O54" s="750">
        <f>SUMIFS(KH_ĐL!$K:$K,KH_ĐL!$CD:$CD,O$10&amp;$B54,KH_ĐL!$CD:$CD,O$10&amp;$B54,KH_ĐL!$CE:$CE,"Lò")</f>
        <v>0</v>
      </c>
      <c r="P54" s="750">
        <f>SUMIFS(KH_ĐL!$K:$K,KH_ĐL!$CD:$CD,P$10&amp;$B54,KH_ĐL!$CD:$CD,P$10&amp;$B54,KH_ĐL!$CE:$CE,"Lò")</f>
        <v>0</v>
      </c>
      <c r="Q54" s="750">
        <f>SUMIFS(KH_ĐL!$K:$K,KH_ĐL!$CD:$CD,Q$10&amp;$B54,KH_ĐL!$CD:$CD,Q$10&amp;$B54,KH_ĐL!$CE:$CE,"Lò")</f>
        <v>0</v>
      </c>
      <c r="R54" s="750">
        <f>SUMIFS(KH_ĐL!$K:$K,KH_ĐL!$CD:$CD,R$10&amp;$B54,KH_ĐL!$CD:$CD,R$10&amp;$B54,KH_ĐL!$CE:$CE,"Lò")</f>
        <v>0</v>
      </c>
      <c r="S54" s="750">
        <f>SUMIFS(KH_ĐL!$K:$K,KH_ĐL!$CD:$CD,S$10&amp;$B54,KH_ĐL!$CD:$CD,S$10&amp;$B54,KH_ĐL!$CE:$CE,"Lò")</f>
        <v>0</v>
      </c>
      <c r="T54" s="750">
        <f>SUMIFS(KH_ĐL!$K:$K,KH_ĐL!$CD:$CD,T$10&amp;$B54,KH_ĐL!$CD:$CD,T$10&amp;$B54,KH_ĐL!$CE:$CE,"Lò")</f>
        <v>0</v>
      </c>
      <c r="U54" s="750">
        <f>SUMIFS(KH_ĐL!$K:$K,KH_ĐL!$CD:$CD,U$10&amp;$B54,KH_ĐL!$CD:$CD,U$10&amp;$B54,KH_ĐL!$CE:$CE,"Lò")</f>
        <v>0</v>
      </c>
      <c r="V54" s="750">
        <f>SUMIFS(KH_ĐL!$K:$K,KH_ĐL!$CD:$CD,V$10&amp;$B54,KH_ĐL!$CD:$CD,V$10&amp;$B54,KH_ĐL!$CE:$CE,"Lò")</f>
        <v>0</v>
      </c>
      <c r="W54" s="750">
        <f>SUMIFS(KH_ĐL!$K:$K,KH_ĐL!$CD:$CD,W$10&amp;$B54,KH_ĐL!$CD:$CD,W$10&amp;$B54,KH_ĐL!$CE:$CE,"Lò")</f>
        <v>0</v>
      </c>
      <c r="X54" s="751"/>
      <c r="Y54" s="752"/>
      <c r="Z54" s="749"/>
      <c r="AA54" s="749"/>
      <c r="AB54" s="749"/>
      <c r="AC54" s="749"/>
      <c r="AD54" s="749"/>
      <c r="AE54" s="749"/>
    </row>
    <row r="55" spans="1:31" ht="19.149999999999999" hidden="1" customHeight="1" outlineLevel="1" x14ac:dyDescent="0.3">
      <c r="A55" s="745"/>
      <c r="B55" s="732">
        <v>24</v>
      </c>
      <c r="C55" s="746"/>
      <c r="D55" s="729">
        <f t="shared" si="13"/>
        <v>0</v>
      </c>
      <c r="E55" s="750">
        <f>SUMIFS(KH_ĐL!$K:$K,KH_ĐL!$CD:$CD,E$10&amp;$B55,KH_ĐL!$CD:$CD,E$10&amp;$B55,KH_ĐL!$CE:$CE,"Lò")</f>
        <v>0</v>
      </c>
      <c r="F55" s="750">
        <f>SUMIFS(KH_ĐL!$K:$K,KH_ĐL!$CD:$CD,F$10&amp;$B55,KH_ĐL!$CD:$CD,F$10&amp;$B55,KH_ĐL!$CE:$CE,"Lò")</f>
        <v>0</v>
      </c>
      <c r="G55" s="750">
        <f>SUMIFS(KH_ĐL!$K:$K,KH_ĐL!$CD:$CD,G$10&amp;$B55,KH_ĐL!$CD:$CD,G$10&amp;$B55,KH_ĐL!$CE:$CE,"Lò")</f>
        <v>0</v>
      </c>
      <c r="H55" s="750">
        <f>SUMIFS(KH_ĐL!$K:$K,KH_ĐL!$CD:$CD,H$10&amp;$B55,KH_ĐL!$CD:$CD,H$10&amp;$B55,KH_ĐL!$CE:$CE,"Lò")</f>
        <v>0</v>
      </c>
      <c r="I55" s="750">
        <f>SUMIFS(KH_ĐL!$K:$K,KH_ĐL!$CD:$CD,I$10&amp;$B55,KH_ĐL!$CD:$CD,I$10&amp;$B55,KH_ĐL!$CE:$CE,"Lò")</f>
        <v>0</v>
      </c>
      <c r="J55" s="750">
        <f>SUMIFS(KH_ĐL!$K:$K,KH_ĐL!$CD:$CD,J$10&amp;$B55,KH_ĐL!$CD:$CD,J$10&amp;$B55,KH_ĐL!$CE:$CE,"Lò")</f>
        <v>0</v>
      </c>
      <c r="K55" s="750">
        <f>SUMIFS(KH_ĐL!$K:$K,KH_ĐL!$CD:$CD,K$10&amp;$B55,KH_ĐL!$CD:$CD,K$10&amp;$B55,KH_ĐL!$CE:$CE,"Lò")</f>
        <v>0</v>
      </c>
      <c r="L55" s="750">
        <f>SUMIFS(KH_ĐL!$K:$K,KH_ĐL!$CD:$CD,L$10&amp;$B55,KH_ĐL!$CD:$CD,L$10&amp;$B55,KH_ĐL!$CE:$CE,"Lò")</f>
        <v>0</v>
      </c>
      <c r="M55" s="750">
        <f>SUMIFS(KH_ĐL!$K:$K,KH_ĐL!$CD:$CD,M$10&amp;$B55,KH_ĐL!$CD:$CD,M$10&amp;$B55,KH_ĐL!$CE:$CE,"Lò")</f>
        <v>0</v>
      </c>
      <c r="N55" s="750">
        <f>SUMIFS(KH_ĐL!$K:$K,KH_ĐL!$CD:$CD,N$10&amp;$B55,KH_ĐL!$CD:$CD,N$10&amp;$B55,KH_ĐL!$CE:$CE,"Lò")</f>
        <v>0</v>
      </c>
      <c r="O55" s="750">
        <f>SUMIFS(KH_ĐL!$K:$K,KH_ĐL!$CD:$CD,O$10&amp;$B55,KH_ĐL!$CD:$CD,O$10&amp;$B55,KH_ĐL!$CE:$CE,"Lò")</f>
        <v>0</v>
      </c>
      <c r="P55" s="750">
        <f>SUMIFS(KH_ĐL!$K:$K,KH_ĐL!$CD:$CD,P$10&amp;$B55,KH_ĐL!$CD:$CD,P$10&amp;$B55,KH_ĐL!$CE:$CE,"Lò")</f>
        <v>0</v>
      </c>
      <c r="Q55" s="750">
        <f>SUMIFS(KH_ĐL!$K:$K,KH_ĐL!$CD:$CD,Q$10&amp;$B55,KH_ĐL!$CD:$CD,Q$10&amp;$B55,KH_ĐL!$CE:$CE,"Lò")</f>
        <v>0</v>
      </c>
      <c r="R55" s="750">
        <f>SUMIFS(KH_ĐL!$K:$K,KH_ĐL!$CD:$CD,R$10&amp;$B55,KH_ĐL!$CD:$CD,R$10&amp;$B55,KH_ĐL!$CE:$CE,"Lò")</f>
        <v>0</v>
      </c>
      <c r="S55" s="750">
        <f>SUMIFS(KH_ĐL!$K:$K,KH_ĐL!$CD:$CD,S$10&amp;$B55,KH_ĐL!$CD:$CD,S$10&amp;$B55,KH_ĐL!$CE:$CE,"Lò")</f>
        <v>0</v>
      </c>
      <c r="T55" s="750">
        <f>SUMIFS(KH_ĐL!$K:$K,KH_ĐL!$CD:$CD,T$10&amp;$B55,KH_ĐL!$CD:$CD,T$10&amp;$B55,KH_ĐL!$CE:$CE,"Lò")</f>
        <v>0</v>
      </c>
      <c r="U55" s="750">
        <f>SUMIFS(KH_ĐL!$K:$K,KH_ĐL!$CD:$CD,U$10&amp;$B55,KH_ĐL!$CD:$CD,U$10&amp;$B55,KH_ĐL!$CE:$CE,"Lò")</f>
        <v>0</v>
      </c>
      <c r="V55" s="750">
        <f>SUMIFS(KH_ĐL!$K:$K,KH_ĐL!$CD:$CD,V$10&amp;$B55,KH_ĐL!$CD:$CD,V$10&amp;$B55,KH_ĐL!$CE:$CE,"Lò")</f>
        <v>0</v>
      </c>
      <c r="W55" s="750">
        <f>SUMIFS(KH_ĐL!$K:$K,KH_ĐL!$CD:$CD,W$10&amp;$B55,KH_ĐL!$CD:$CD,W$10&amp;$B55,KH_ĐL!$CE:$CE,"Lò")</f>
        <v>0</v>
      </c>
      <c r="X55" s="751"/>
      <c r="Y55" s="752"/>
      <c r="Z55" s="749"/>
      <c r="AA55" s="749"/>
      <c r="AB55" s="749"/>
      <c r="AC55" s="749"/>
      <c r="AD55" s="749"/>
      <c r="AE55" s="749"/>
    </row>
    <row r="56" spans="1:31" ht="19.149999999999999" hidden="1" customHeight="1" outlineLevel="1" x14ac:dyDescent="0.3">
      <c r="A56" s="745"/>
      <c r="B56" s="732">
        <v>24.8</v>
      </c>
      <c r="C56" s="746"/>
      <c r="D56" s="729">
        <f t="shared" si="13"/>
        <v>0</v>
      </c>
      <c r="E56" s="750">
        <f>SUMIFS(KH_ĐL!$K:$K,KH_ĐL!$CD:$CD,E$10&amp;$B56,KH_ĐL!$CD:$CD,E$10&amp;$B56,KH_ĐL!$CE:$CE,"Lò")</f>
        <v>0</v>
      </c>
      <c r="F56" s="750">
        <f>SUMIFS(KH_ĐL!$K:$K,KH_ĐL!$CD:$CD,F$10&amp;$B56,KH_ĐL!$CD:$CD,F$10&amp;$B56,KH_ĐL!$CE:$CE,"Lò")</f>
        <v>0</v>
      </c>
      <c r="G56" s="750">
        <f>SUMIFS(KH_ĐL!$K:$K,KH_ĐL!$CD:$CD,G$10&amp;$B56,KH_ĐL!$CD:$CD,G$10&amp;$B56,KH_ĐL!$CE:$CE,"Lò")</f>
        <v>0</v>
      </c>
      <c r="H56" s="750">
        <f>SUMIFS(KH_ĐL!$K:$K,KH_ĐL!$CD:$CD,H$10&amp;$B56,KH_ĐL!$CD:$CD,H$10&amp;$B56,KH_ĐL!$CE:$CE,"Lò")</f>
        <v>0</v>
      </c>
      <c r="I56" s="750">
        <f>SUMIFS(KH_ĐL!$K:$K,KH_ĐL!$CD:$CD,I$10&amp;$B56,KH_ĐL!$CD:$CD,I$10&amp;$B56,KH_ĐL!$CE:$CE,"Lò")</f>
        <v>0</v>
      </c>
      <c r="J56" s="750">
        <f>SUMIFS(KH_ĐL!$K:$K,KH_ĐL!$CD:$CD,J$10&amp;$B56,KH_ĐL!$CD:$CD,J$10&amp;$B56,KH_ĐL!$CE:$CE,"Lò")</f>
        <v>0</v>
      </c>
      <c r="K56" s="750">
        <f>SUMIFS(KH_ĐL!$K:$K,KH_ĐL!$CD:$CD,K$10&amp;$B56,KH_ĐL!$CD:$CD,K$10&amp;$B56,KH_ĐL!$CE:$CE,"Lò")</f>
        <v>0</v>
      </c>
      <c r="L56" s="750">
        <f>SUMIFS(KH_ĐL!$K:$K,KH_ĐL!$CD:$CD,L$10&amp;$B56,KH_ĐL!$CD:$CD,L$10&amp;$B56,KH_ĐL!$CE:$CE,"Lò")</f>
        <v>0</v>
      </c>
      <c r="M56" s="750">
        <f>SUMIFS(KH_ĐL!$K:$K,KH_ĐL!$CD:$CD,M$10&amp;$B56,KH_ĐL!$CD:$CD,M$10&amp;$B56,KH_ĐL!$CE:$CE,"Lò")</f>
        <v>0</v>
      </c>
      <c r="N56" s="750">
        <f>SUMIFS(KH_ĐL!$K:$K,KH_ĐL!$CD:$CD,N$10&amp;$B56,KH_ĐL!$CD:$CD,N$10&amp;$B56,KH_ĐL!$CE:$CE,"Lò")</f>
        <v>0</v>
      </c>
      <c r="O56" s="750">
        <f>SUMIFS(KH_ĐL!$K:$K,KH_ĐL!$CD:$CD,O$10&amp;$B56,KH_ĐL!$CD:$CD,O$10&amp;$B56,KH_ĐL!$CE:$CE,"Lò")</f>
        <v>0</v>
      </c>
      <c r="P56" s="750">
        <f>SUMIFS(KH_ĐL!$K:$K,KH_ĐL!$CD:$CD,P$10&amp;$B56,KH_ĐL!$CD:$CD,P$10&amp;$B56,KH_ĐL!$CE:$CE,"Lò")</f>
        <v>0</v>
      </c>
      <c r="Q56" s="750">
        <f>SUMIFS(KH_ĐL!$K:$K,KH_ĐL!$CD:$CD,Q$10&amp;$B56,KH_ĐL!$CD:$CD,Q$10&amp;$B56,KH_ĐL!$CE:$CE,"Lò")</f>
        <v>0</v>
      </c>
      <c r="R56" s="750">
        <f>SUMIFS(KH_ĐL!$K:$K,KH_ĐL!$CD:$CD,R$10&amp;$B56,KH_ĐL!$CD:$CD,R$10&amp;$B56,KH_ĐL!$CE:$CE,"Lò")</f>
        <v>0</v>
      </c>
      <c r="S56" s="750">
        <f>SUMIFS(KH_ĐL!$K:$K,KH_ĐL!$CD:$CD,S$10&amp;$B56,KH_ĐL!$CD:$CD,S$10&amp;$B56,KH_ĐL!$CE:$CE,"Lò")</f>
        <v>0</v>
      </c>
      <c r="T56" s="750">
        <f>SUMIFS(KH_ĐL!$K:$K,KH_ĐL!$CD:$CD,T$10&amp;$B56,KH_ĐL!$CD:$CD,T$10&amp;$B56,KH_ĐL!$CE:$CE,"Lò")</f>
        <v>0</v>
      </c>
      <c r="U56" s="750">
        <f>SUMIFS(KH_ĐL!$K:$K,KH_ĐL!$CD:$CD,U$10&amp;$B56,KH_ĐL!$CD:$CD,U$10&amp;$B56,KH_ĐL!$CE:$CE,"Lò")</f>
        <v>0</v>
      </c>
      <c r="V56" s="750">
        <f>SUMIFS(KH_ĐL!$K:$K,KH_ĐL!$CD:$CD,V$10&amp;$B56,KH_ĐL!$CD:$CD,V$10&amp;$B56,KH_ĐL!$CE:$CE,"Lò")</f>
        <v>0</v>
      </c>
      <c r="W56" s="750">
        <f>SUMIFS(KH_ĐL!$K:$K,KH_ĐL!$CD:$CD,W$10&amp;$B56,KH_ĐL!$CD:$CD,W$10&amp;$B56,KH_ĐL!$CE:$CE,"Lò")</f>
        <v>0</v>
      </c>
      <c r="X56" s="751"/>
      <c r="Y56" s="752"/>
      <c r="Z56" s="749"/>
      <c r="AA56" s="749"/>
      <c r="AB56" s="749"/>
      <c r="AC56" s="749"/>
      <c r="AD56" s="749"/>
      <c r="AE56" s="749"/>
    </row>
    <row r="57" spans="1:31" ht="19.149999999999999" hidden="1" customHeight="1" outlineLevel="1" x14ac:dyDescent="0.3">
      <c r="A57" s="745"/>
      <c r="B57" s="732">
        <v>24.9</v>
      </c>
      <c r="C57" s="746"/>
      <c r="D57" s="729">
        <f t="shared" si="13"/>
        <v>0</v>
      </c>
      <c r="E57" s="750">
        <f>SUMIFS(KH_ĐL!$K:$K,KH_ĐL!$CD:$CD,E$10&amp;$B57,KH_ĐL!$CD:$CD,E$10&amp;$B57,KH_ĐL!$CE:$CE,"Lò")</f>
        <v>0</v>
      </c>
      <c r="F57" s="750">
        <f>SUMIFS(KH_ĐL!$K:$K,KH_ĐL!$CD:$CD,F$10&amp;$B57,KH_ĐL!$CD:$CD,F$10&amp;$B57,KH_ĐL!$CE:$CE,"Lò")</f>
        <v>0</v>
      </c>
      <c r="G57" s="750">
        <f>SUMIFS(KH_ĐL!$K:$K,KH_ĐL!$CD:$CD,G$10&amp;$B57,KH_ĐL!$CD:$CD,G$10&amp;$B57,KH_ĐL!$CE:$CE,"Lò")</f>
        <v>0</v>
      </c>
      <c r="H57" s="750">
        <f>SUMIFS(KH_ĐL!$K:$K,KH_ĐL!$CD:$CD,H$10&amp;$B57,KH_ĐL!$CD:$CD,H$10&amp;$B57,KH_ĐL!$CE:$CE,"Lò")</f>
        <v>0</v>
      </c>
      <c r="I57" s="750">
        <f>SUMIFS(KH_ĐL!$K:$K,KH_ĐL!$CD:$CD,I$10&amp;$B57,KH_ĐL!$CD:$CD,I$10&amp;$B57,KH_ĐL!$CE:$CE,"Lò")</f>
        <v>0</v>
      </c>
      <c r="J57" s="750">
        <f>SUMIFS(KH_ĐL!$K:$K,KH_ĐL!$CD:$CD,J$10&amp;$B57,KH_ĐL!$CD:$CD,J$10&amp;$B57,KH_ĐL!$CE:$CE,"Lò")</f>
        <v>0</v>
      </c>
      <c r="K57" s="750">
        <f>SUMIFS(KH_ĐL!$K:$K,KH_ĐL!$CD:$CD,K$10&amp;$B57,KH_ĐL!$CD:$CD,K$10&amp;$B57,KH_ĐL!$CE:$CE,"Lò")</f>
        <v>0</v>
      </c>
      <c r="L57" s="750">
        <f>SUMIFS(KH_ĐL!$K:$K,KH_ĐL!$CD:$CD,L$10&amp;$B57,KH_ĐL!$CD:$CD,L$10&amp;$B57,KH_ĐL!$CE:$CE,"Lò")</f>
        <v>0</v>
      </c>
      <c r="M57" s="750">
        <f>SUMIFS(KH_ĐL!$K:$K,KH_ĐL!$CD:$CD,M$10&amp;$B57,KH_ĐL!$CD:$CD,M$10&amp;$B57,KH_ĐL!$CE:$CE,"Lò")</f>
        <v>0</v>
      </c>
      <c r="N57" s="750">
        <f>SUMIFS(KH_ĐL!$K:$K,KH_ĐL!$CD:$CD,N$10&amp;$B57,KH_ĐL!$CD:$CD,N$10&amp;$B57,KH_ĐL!$CE:$CE,"Lò")</f>
        <v>0</v>
      </c>
      <c r="O57" s="750">
        <f>SUMIFS(KH_ĐL!$K:$K,KH_ĐL!$CD:$CD,O$10&amp;$B57,KH_ĐL!$CD:$CD,O$10&amp;$B57,KH_ĐL!$CE:$CE,"Lò")</f>
        <v>0</v>
      </c>
      <c r="P57" s="750">
        <f>SUMIFS(KH_ĐL!$K:$K,KH_ĐL!$CD:$CD,P$10&amp;$B57,KH_ĐL!$CD:$CD,P$10&amp;$B57,KH_ĐL!$CE:$CE,"Lò")</f>
        <v>0</v>
      </c>
      <c r="Q57" s="750">
        <f>SUMIFS(KH_ĐL!$K:$K,KH_ĐL!$CD:$CD,Q$10&amp;$B57,KH_ĐL!$CD:$CD,Q$10&amp;$B57,KH_ĐL!$CE:$CE,"Lò")</f>
        <v>0</v>
      </c>
      <c r="R57" s="750">
        <f>SUMIFS(KH_ĐL!$K:$K,KH_ĐL!$CD:$CD,R$10&amp;$B57,KH_ĐL!$CD:$CD,R$10&amp;$B57,KH_ĐL!$CE:$CE,"Lò")</f>
        <v>0</v>
      </c>
      <c r="S57" s="750">
        <f>SUMIFS(KH_ĐL!$K:$K,KH_ĐL!$CD:$CD,S$10&amp;$B57,KH_ĐL!$CD:$CD,S$10&amp;$B57,KH_ĐL!$CE:$CE,"Lò")</f>
        <v>0</v>
      </c>
      <c r="T57" s="750">
        <f>SUMIFS(KH_ĐL!$K:$K,KH_ĐL!$CD:$CD,T$10&amp;$B57,KH_ĐL!$CD:$CD,T$10&amp;$B57,KH_ĐL!$CE:$CE,"Lò")</f>
        <v>0</v>
      </c>
      <c r="U57" s="750">
        <f>SUMIFS(KH_ĐL!$K:$K,KH_ĐL!$CD:$CD,U$10&amp;$B57,KH_ĐL!$CD:$CD,U$10&amp;$B57,KH_ĐL!$CE:$CE,"Lò")</f>
        <v>0</v>
      </c>
      <c r="V57" s="750">
        <f>SUMIFS(KH_ĐL!$K:$K,KH_ĐL!$CD:$CD,V$10&amp;$B57,KH_ĐL!$CD:$CD,V$10&amp;$B57,KH_ĐL!$CE:$CE,"Lò")</f>
        <v>0</v>
      </c>
      <c r="W57" s="750">
        <f>SUMIFS(KH_ĐL!$K:$K,KH_ĐL!$CD:$CD,W$10&amp;$B57,KH_ĐL!$CD:$CD,W$10&amp;$B57,KH_ĐL!$CE:$CE,"Lò")</f>
        <v>0</v>
      </c>
      <c r="X57" s="751"/>
      <c r="Y57" s="752"/>
      <c r="Z57" s="749"/>
      <c r="AA57" s="749"/>
      <c r="AB57" s="749"/>
      <c r="AC57" s="749"/>
      <c r="AD57" s="749"/>
      <c r="AE57" s="749"/>
    </row>
    <row r="58" spans="1:31" ht="19.149999999999999" hidden="1" customHeight="1" outlineLevel="1" x14ac:dyDescent="0.3">
      <c r="A58" s="745"/>
      <c r="B58" s="732">
        <v>28.3</v>
      </c>
      <c r="C58" s="746"/>
      <c r="D58" s="729">
        <f t="shared" si="13"/>
        <v>0</v>
      </c>
      <c r="E58" s="750">
        <f>SUMIFS(KH_ĐL!$K:$K,KH_ĐL!$CD:$CD,E$10&amp;$B58,KH_ĐL!$CD:$CD,E$10&amp;$B58,KH_ĐL!$CE:$CE,"Lò")</f>
        <v>0</v>
      </c>
      <c r="F58" s="750">
        <f>SUMIFS(KH_ĐL!$K:$K,KH_ĐL!$CD:$CD,F$10&amp;$B58,KH_ĐL!$CD:$CD,F$10&amp;$B58,KH_ĐL!$CE:$CE,"Lò")</f>
        <v>0</v>
      </c>
      <c r="G58" s="750">
        <f>SUMIFS(KH_ĐL!$K:$K,KH_ĐL!$CD:$CD,G$10&amp;$B58,KH_ĐL!$CD:$CD,G$10&amp;$B58,KH_ĐL!$CE:$CE,"Lò")</f>
        <v>0</v>
      </c>
      <c r="H58" s="750">
        <f>SUMIFS(KH_ĐL!$K:$K,KH_ĐL!$CD:$CD,H$10&amp;$B58,KH_ĐL!$CD:$CD,H$10&amp;$B58,KH_ĐL!$CE:$CE,"Lò")</f>
        <v>0</v>
      </c>
      <c r="I58" s="750">
        <f>SUMIFS(KH_ĐL!$K:$K,KH_ĐL!$CD:$CD,I$10&amp;$B58,KH_ĐL!$CD:$CD,I$10&amp;$B58,KH_ĐL!$CE:$CE,"Lò")</f>
        <v>0</v>
      </c>
      <c r="J58" s="750">
        <f>SUMIFS(KH_ĐL!$K:$K,KH_ĐL!$CD:$CD,J$10&amp;$B58,KH_ĐL!$CD:$CD,J$10&amp;$B58,KH_ĐL!$CE:$CE,"Lò")</f>
        <v>0</v>
      </c>
      <c r="K58" s="750">
        <f>SUMIFS(KH_ĐL!$K:$K,KH_ĐL!$CD:$CD,K$10&amp;$B58,KH_ĐL!$CD:$CD,K$10&amp;$B58,KH_ĐL!$CE:$CE,"Lò")</f>
        <v>0</v>
      </c>
      <c r="L58" s="750">
        <f>SUMIFS(KH_ĐL!$K:$K,KH_ĐL!$CD:$CD,L$10&amp;$B58,KH_ĐL!$CD:$CD,L$10&amp;$B58,KH_ĐL!$CE:$CE,"Lò")</f>
        <v>0</v>
      </c>
      <c r="M58" s="750">
        <f>SUMIFS(KH_ĐL!$K:$K,KH_ĐL!$CD:$CD,M$10&amp;$B58,KH_ĐL!$CD:$CD,M$10&amp;$B58,KH_ĐL!$CE:$CE,"Lò")</f>
        <v>0</v>
      </c>
      <c r="N58" s="750">
        <f>SUMIFS(KH_ĐL!$K:$K,KH_ĐL!$CD:$CD,N$10&amp;$B58,KH_ĐL!$CD:$CD,N$10&amp;$B58,KH_ĐL!$CE:$CE,"Lò")</f>
        <v>0</v>
      </c>
      <c r="O58" s="750">
        <f>SUMIFS(KH_ĐL!$K:$K,KH_ĐL!$CD:$CD,O$10&amp;$B58,KH_ĐL!$CD:$CD,O$10&amp;$B58,KH_ĐL!$CE:$CE,"Lò")</f>
        <v>0</v>
      </c>
      <c r="P58" s="750">
        <f>SUMIFS(KH_ĐL!$K:$K,KH_ĐL!$CD:$CD,P$10&amp;$B58,KH_ĐL!$CD:$CD,P$10&amp;$B58,KH_ĐL!$CE:$CE,"Lò")</f>
        <v>0</v>
      </c>
      <c r="Q58" s="750">
        <f>SUMIFS(KH_ĐL!$K:$K,KH_ĐL!$CD:$CD,Q$10&amp;$B58,KH_ĐL!$CD:$CD,Q$10&amp;$B58,KH_ĐL!$CE:$CE,"Lò")</f>
        <v>0</v>
      </c>
      <c r="R58" s="750">
        <f>SUMIFS(KH_ĐL!$K:$K,KH_ĐL!$CD:$CD,R$10&amp;$B58,KH_ĐL!$CD:$CD,R$10&amp;$B58,KH_ĐL!$CE:$CE,"Lò")</f>
        <v>0</v>
      </c>
      <c r="S58" s="750">
        <f>SUMIFS(KH_ĐL!$K:$K,KH_ĐL!$CD:$CD,S$10&amp;$B58,KH_ĐL!$CD:$CD,S$10&amp;$B58,KH_ĐL!$CE:$CE,"Lò")</f>
        <v>0</v>
      </c>
      <c r="T58" s="750">
        <f>SUMIFS(KH_ĐL!$K:$K,KH_ĐL!$CD:$CD,T$10&amp;$B58,KH_ĐL!$CD:$CD,T$10&amp;$B58,KH_ĐL!$CE:$CE,"Lò")</f>
        <v>0</v>
      </c>
      <c r="U58" s="750">
        <f>SUMIFS(KH_ĐL!$K:$K,KH_ĐL!$CD:$CD,U$10&amp;$B58,KH_ĐL!$CD:$CD,U$10&amp;$B58,KH_ĐL!$CE:$CE,"Lò")</f>
        <v>0</v>
      </c>
      <c r="V58" s="750">
        <f>SUMIFS(KH_ĐL!$K:$K,KH_ĐL!$CD:$CD,V$10&amp;$B58,KH_ĐL!$CD:$CD,V$10&amp;$B58,KH_ĐL!$CE:$CE,"Lò")</f>
        <v>0</v>
      </c>
      <c r="W58" s="750">
        <f>SUMIFS(KH_ĐL!$K:$K,KH_ĐL!$CD:$CD,W$10&amp;$B58,KH_ĐL!$CD:$CD,W$10&amp;$B58,KH_ĐL!$CE:$CE,"Lò")</f>
        <v>0</v>
      </c>
      <c r="X58" s="751"/>
      <c r="Y58" s="752"/>
      <c r="Z58" s="749"/>
      <c r="AA58" s="749"/>
      <c r="AB58" s="749"/>
      <c r="AC58" s="749"/>
      <c r="AD58" s="749"/>
      <c r="AE58" s="749"/>
    </row>
    <row r="59" spans="1:31" ht="19.149999999999999" hidden="1" customHeight="1" outlineLevel="1" x14ac:dyDescent="0.3">
      <c r="A59" s="745"/>
      <c r="B59" s="732">
        <v>45</v>
      </c>
      <c r="C59" s="746"/>
      <c r="D59" s="729">
        <f t="shared" si="13"/>
        <v>0</v>
      </c>
      <c r="E59" s="750">
        <f>SUMIFS(KH_ĐL!$K:$K,KH_ĐL!$CD:$CD,E$10&amp;$B59,KH_ĐL!$CD:$CD,E$10&amp;$B59,KH_ĐL!$CE:$CE,"Lò")</f>
        <v>0</v>
      </c>
      <c r="F59" s="750">
        <f>SUMIFS(KH_ĐL!$K:$K,KH_ĐL!$CD:$CD,F$10&amp;$B59,KH_ĐL!$CD:$CD,F$10&amp;$B59,KH_ĐL!$CE:$CE,"Lò")</f>
        <v>0</v>
      </c>
      <c r="G59" s="750">
        <f>SUMIFS(KH_ĐL!$K:$K,KH_ĐL!$CD:$CD,G$10&amp;$B59,KH_ĐL!$CD:$CD,G$10&amp;$B59,KH_ĐL!$CE:$CE,"Lò")</f>
        <v>0</v>
      </c>
      <c r="H59" s="750">
        <f>SUMIFS(KH_ĐL!$K:$K,KH_ĐL!$CD:$CD,H$10&amp;$B59,KH_ĐL!$CD:$CD,H$10&amp;$B59,KH_ĐL!$CE:$CE,"Lò")</f>
        <v>0</v>
      </c>
      <c r="I59" s="750">
        <f>SUMIFS(KH_ĐL!$K:$K,KH_ĐL!$CD:$CD,I$10&amp;$B59,KH_ĐL!$CD:$CD,I$10&amp;$B59,KH_ĐL!$CE:$CE,"Lò")</f>
        <v>0</v>
      </c>
      <c r="J59" s="750">
        <f>SUMIFS(KH_ĐL!$K:$K,KH_ĐL!$CD:$CD,J$10&amp;$B59,KH_ĐL!$CD:$CD,J$10&amp;$B59,KH_ĐL!$CE:$CE,"Lò")</f>
        <v>0</v>
      </c>
      <c r="K59" s="750">
        <f>SUMIFS(KH_ĐL!$K:$K,KH_ĐL!$CD:$CD,K$10&amp;$B59,KH_ĐL!$CD:$CD,K$10&amp;$B59,KH_ĐL!$CE:$CE,"Lò")</f>
        <v>0</v>
      </c>
      <c r="L59" s="750">
        <f>SUMIFS(KH_ĐL!$K:$K,KH_ĐL!$CD:$CD,L$10&amp;$B59,KH_ĐL!$CD:$CD,L$10&amp;$B59,KH_ĐL!$CE:$CE,"Lò")</f>
        <v>0</v>
      </c>
      <c r="M59" s="750">
        <f>SUMIFS(KH_ĐL!$K:$K,KH_ĐL!$CD:$CD,M$10&amp;$B59,KH_ĐL!$CD:$CD,M$10&amp;$B59,KH_ĐL!$CE:$CE,"Lò")</f>
        <v>0</v>
      </c>
      <c r="N59" s="750">
        <f>SUMIFS(KH_ĐL!$K:$K,KH_ĐL!$CD:$CD,N$10&amp;$B59,KH_ĐL!$CD:$CD,N$10&amp;$B59,KH_ĐL!$CE:$CE,"Lò")</f>
        <v>0</v>
      </c>
      <c r="O59" s="750">
        <f>SUMIFS(KH_ĐL!$K:$K,KH_ĐL!$CD:$CD,O$10&amp;$B59,KH_ĐL!$CD:$CD,O$10&amp;$B59,KH_ĐL!$CE:$CE,"Lò")</f>
        <v>0</v>
      </c>
      <c r="P59" s="750">
        <f>SUMIFS(KH_ĐL!$K:$K,KH_ĐL!$CD:$CD,P$10&amp;$B59,KH_ĐL!$CD:$CD,P$10&amp;$B59,KH_ĐL!$CE:$CE,"Lò")</f>
        <v>0</v>
      </c>
      <c r="Q59" s="750">
        <f>SUMIFS(KH_ĐL!$K:$K,KH_ĐL!$CD:$CD,Q$10&amp;$B59,KH_ĐL!$CD:$CD,Q$10&amp;$B59,KH_ĐL!$CE:$CE,"Lò")</f>
        <v>0</v>
      </c>
      <c r="R59" s="750">
        <f>SUMIFS(KH_ĐL!$K:$K,KH_ĐL!$CD:$CD,R$10&amp;$B59,KH_ĐL!$CD:$CD,R$10&amp;$B59,KH_ĐL!$CE:$CE,"Lò")</f>
        <v>0</v>
      </c>
      <c r="S59" s="750">
        <f>SUMIFS(KH_ĐL!$K:$K,KH_ĐL!$CD:$CD,S$10&amp;$B59,KH_ĐL!$CD:$CD,S$10&amp;$B59,KH_ĐL!$CE:$CE,"Lò")</f>
        <v>0</v>
      </c>
      <c r="T59" s="750">
        <f>SUMIFS(KH_ĐL!$K:$K,KH_ĐL!$CD:$CD,T$10&amp;$B59,KH_ĐL!$CD:$CD,T$10&amp;$B59,KH_ĐL!$CE:$CE,"Lò")</f>
        <v>0</v>
      </c>
      <c r="U59" s="750">
        <f>SUMIFS(KH_ĐL!$K:$K,KH_ĐL!$CD:$CD,U$10&amp;$B59,KH_ĐL!$CD:$CD,U$10&amp;$B59,KH_ĐL!$CE:$CE,"Lò")</f>
        <v>0</v>
      </c>
      <c r="V59" s="750">
        <f>SUMIFS(KH_ĐL!$K:$K,KH_ĐL!$CD:$CD,V$10&amp;$B59,KH_ĐL!$CD:$CD,V$10&amp;$B59,KH_ĐL!$CE:$CE,"Lò")</f>
        <v>0</v>
      </c>
      <c r="W59" s="750">
        <f>SUMIFS(KH_ĐL!$K:$K,KH_ĐL!$CD:$CD,W$10&amp;$B59,KH_ĐL!$CD:$CD,W$10&amp;$B59,KH_ĐL!$CE:$CE,"Lò")</f>
        <v>0</v>
      </c>
      <c r="X59" s="751"/>
      <c r="Y59" s="752"/>
      <c r="Z59" s="749"/>
      <c r="AA59" s="749"/>
      <c r="AB59" s="749"/>
      <c r="AC59" s="749"/>
      <c r="AD59" s="749"/>
      <c r="AE59" s="749"/>
    </row>
    <row r="60" spans="1:31" ht="19.149999999999999" hidden="1" customHeight="1" outlineLevel="1" x14ac:dyDescent="0.3">
      <c r="A60" s="745"/>
      <c r="B60" s="732">
        <v>56</v>
      </c>
      <c r="C60" s="746"/>
      <c r="D60" s="729">
        <f t="shared" si="13"/>
        <v>0</v>
      </c>
      <c r="E60" s="750">
        <f>SUMIFS(KH_ĐL!$K:$K,KH_ĐL!$CD:$CD,E$10&amp;$B60,KH_ĐL!$CD:$CD,E$10&amp;$B60,KH_ĐL!$CE:$CE,"Lò")</f>
        <v>0</v>
      </c>
      <c r="F60" s="750">
        <f>SUMIFS(KH_ĐL!$K:$K,KH_ĐL!$CD:$CD,F$10&amp;$B60,KH_ĐL!$CD:$CD,F$10&amp;$B60,KH_ĐL!$CE:$CE,"Lò")</f>
        <v>0</v>
      </c>
      <c r="G60" s="750">
        <f>SUMIFS(KH_ĐL!$K:$K,KH_ĐL!$CD:$CD,G$10&amp;$B60,KH_ĐL!$CD:$CD,G$10&amp;$B60,KH_ĐL!$CE:$CE,"Lò")</f>
        <v>0</v>
      </c>
      <c r="H60" s="750">
        <f>SUMIFS(KH_ĐL!$K:$K,KH_ĐL!$CD:$CD,H$10&amp;$B60,KH_ĐL!$CD:$CD,H$10&amp;$B60,KH_ĐL!$CE:$CE,"Lò")</f>
        <v>0</v>
      </c>
      <c r="I60" s="750">
        <f>SUMIFS(KH_ĐL!$K:$K,KH_ĐL!$CD:$CD,I$10&amp;$B60,KH_ĐL!$CD:$CD,I$10&amp;$B60,KH_ĐL!$CE:$CE,"Lò")</f>
        <v>0</v>
      </c>
      <c r="J60" s="750">
        <f>SUMIFS(KH_ĐL!$K:$K,KH_ĐL!$CD:$CD,J$10&amp;$B60,KH_ĐL!$CD:$CD,J$10&amp;$B60,KH_ĐL!$CE:$CE,"Lò")</f>
        <v>0</v>
      </c>
      <c r="K60" s="750">
        <f>SUMIFS(KH_ĐL!$K:$K,KH_ĐL!$CD:$CD,K$10&amp;$B60,KH_ĐL!$CD:$CD,K$10&amp;$B60,KH_ĐL!$CE:$CE,"Lò")</f>
        <v>0</v>
      </c>
      <c r="L60" s="750">
        <f>SUMIFS(KH_ĐL!$K:$K,KH_ĐL!$CD:$CD,L$10&amp;$B60,KH_ĐL!$CD:$CD,L$10&amp;$B60,KH_ĐL!$CE:$CE,"Lò")</f>
        <v>0</v>
      </c>
      <c r="M60" s="750">
        <f>SUMIFS(KH_ĐL!$K:$K,KH_ĐL!$CD:$CD,M$10&amp;$B60,KH_ĐL!$CD:$CD,M$10&amp;$B60,KH_ĐL!$CE:$CE,"Lò")</f>
        <v>0</v>
      </c>
      <c r="N60" s="750">
        <f>SUMIFS(KH_ĐL!$K:$K,KH_ĐL!$CD:$CD,N$10&amp;$B60,KH_ĐL!$CD:$CD,N$10&amp;$B60,KH_ĐL!$CE:$CE,"Lò")</f>
        <v>0</v>
      </c>
      <c r="O60" s="750">
        <f>SUMIFS(KH_ĐL!$K:$K,KH_ĐL!$CD:$CD,O$10&amp;$B60,KH_ĐL!$CD:$CD,O$10&amp;$B60,KH_ĐL!$CE:$CE,"Lò")</f>
        <v>0</v>
      </c>
      <c r="P60" s="750">
        <f>SUMIFS(KH_ĐL!$K:$K,KH_ĐL!$CD:$CD,P$10&amp;$B60,KH_ĐL!$CD:$CD,P$10&amp;$B60,KH_ĐL!$CE:$CE,"Lò")</f>
        <v>0</v>
      </c>
      <c r="Q60" s="750">
        <f>SUMIFS(KH_ĐL!$K:$K,KH_ĐL!$CD:$CD,Q$10&amp;$B60,KH_ĐL!$CD:$CD,Q$10&amp;$B60,KH_ĐL!$CE:$CE,"Lò")</f>
        <v>0</v>
      </c>
      <c r="R60" s="750">
        <f>SUMIFS(KH_ĐL!$K:$K,KH_ĐL!$CD:$CD,R$10&amp;$B60,KH_ĐL!$CD:$CD,R$10&amp;$B60,KH_ĐL!$CE:$CE,"Lò")</f>
        <v>0</v>
      </c>
      <c r="S60" s="750">
        <f>SUMIFS(KH_ĐL!$K:$K,KH_ĐL!$CD:$CD,S$10&amp;$B60,KH_ĐL!$CD:$CD,S$10&amp;$B60,KH_ĐL!$CE:$CE,"Lò")</f>
        <v>0</v>
      </c>
      <c r="T60" s="750">
        <f>SUMIFS(KH_ĐL!$K:$K,KH_ĐL!$CD:$CD,T$10&amp;$B60,KH_ĐL!$CD:$CD,T$10&amp;$B60,KH_ĐL!$CE:$CE,"Lò")</f>
        <v>0</v>
      </c>
      <c r="U60" s="750">
        <f>SUMIFS(KH_ĐL!$K:$K,KH_ĐL!$CD:$CD,U$10&amp;$B60,KH_ĐL!$CD:$CD,U$10&amp;$B60,KH_ĐL!$CE:$CE,"Lò")</f>
        <v>0</v>
      </c>
      <c r="V60" s="750">
        <f>SUMIFS(KH_ĐL!$K:$K,KH_ĐL!$CD:$CD,V$10&amp;$B60,KH_ĐL!$CD:$CD,V$10&amp;$B60,KH_ĐL!$CE:$CE,"Lò")</f>
        <v>0</v>
      </c>
      <c r="W60" s="750">
        <f>SUMIFS(KH_ĐL!$K:$K,KH_ĐL!$CD:$CD,W$10&amp;$B60,KH_ĐL!$CD:$CD,W$10&amp;$B60,KH_ĐL!$CE:$CE,"Lò")</f>
        <v>0</v>
      </c>
      <c r="X60" s="751"/>
      <c r="Y60" s="752"/>
      <c r="Z60" s="749"/>
      <c r="AA60" s="749"/>
      <c r="AB60" s="749"/>
      <c r="AC60" s="749"/>
      <c r="AD60" s="749"/>
      <c r="AE60" s="749"/>
    </row>
    <row r="61" spans="1:31" ht="19.149999999999999" hidden="1" customHeight="1" outlineLevel="1" x14ac:dyDescent="0.3">
      <c r="A61" s="745"/>
      <c r="B61" s="732">
        <v>0</v>
      </c>
      <c r="C61" s="746"/>
      <c r="D61" s="729">
        <f t="shared" si="13"/>
        <v>0</v>
      </c>
      <c r="E61" s="750">
        <f>SUMIFS(KH_ĐL!$K:$K,KH_ĐL!$CD:$CD,E$10&amp;$B61,KH_ĐL!$CD:$CD,E$10&amp;$B61,KH_ĐL!$CE:$CE,"Lò")</f>
        <v>0</v>
      </c>
      <c r="F61" s="750">
        <f>SUMIFS(KH_ĐL!$K:$K,KH_ĐL!$CD:$CD,F$10&amp;$B61,KH_ĐL!$CD:$CD,F$10&amp;$B61,KH_ĐL!$CE:$CE,"Lò")</f>
        <v>0</v>
      </c>
      <c r="G61" s="750">
        <f>SUMIFS(KH_ĐL!$K:$K,KH_ĐL!$CD:$CD,G$10&amp;$B61,KH_ĐL!$CD:$CD,G$10&amp;$B61,KH_ĐL!$CE:$CE,"Lò")</f>
        <v>0</v>
      </c>
      <c r="H61" s="750">
        <f>SUMIFS(KH_ĐL!$K:$K,KH_ĐL!$CD:$CD,H$10&amp;$B61,KH_ĐL!$CD:$CD,H$10&amp;$B61,KH_ĐL!$CE:$CE,"Lò")</f>
        <v>0</v>
      </c>
      <c r="I61" s="750">
        <f>SUMIFS(KH_ĐL!$K:$K,KH_ĐL!$CD:$CD,I$10&amp;$B61,KH_ĐL!$CD:$CD,I$10&amp;$B61,KH_ĐL!$CE:$CE,"Lò")</f>
        <v>0</v>
      </c>
      <c r="J61" s="750">
        <f>SUMIFS(KH_ĐL!$K:$K,KH_ĐL!$CD:$CD,J$10&amp;$B61,KH_ĐL!$CD:$CD,J$10&amp;$B61,KH_ĐL!$CE:$CE,"Lò")</f>
        <v>0</v>
      </c>
      <c r="K61" s="750">
        <f>SUMIFS(KH_ĐL!$K:$K,KH_ĐL!$CD:$CD,K$10&amp;$B61,KH_ĐL!$CD:$CD,K$10&amp;$B61,KH_ĐL!$CE:$CE,"Lò")</f>
        <v>0</v>
      </c>
      <c r="L61" s="750">
        <f>SUMIFS(KH_ĐL!$K:$K,KH_ĐL!$CD:$CD,L$10&amp;$B61,KH_ĐL!$CD:$CD,L$10&amp;$B61,KH_ĐL!$CE:$CE,"Lò")</f>
        <v>0</v>
      </c>
      <c r="M61" s="750">
        <f>SUMIFS(KH_ĐL!$K:$K,KH_ĐL!$CD:$CD,M$10&amp;$B61,KH_ĐL!$CD:$CD,M$10&amp;$B61,KH_ĐL!$CE:$CE,"Lò")</f>
        <v>0</v>
      </c>
      <c r="N61" s="750">
        <f>SUMIFS(KH_ĐL!$K:$K,KH_ĐL!$CD:$CD,N$10&amp;$B61,KH_ĐL!$CD:$CD,N$10&amp;$B61,KH_ĐL!$CE:$CE,"Lò")</f>
        <v>0</v>
      </c>
      <c r="O61" s="750">
        <f>SUMIFS(KH_ĐL!$K:$K,KH_ĐL!$CD:$CD,O$10&amp;$B61,KH_ĐL!$CD:$CD,O$10&amp;$B61,KH_ĐL!$CE:$CE,"Lò")</f>
        <v>0</v>
      </c>
      <c r="P61" s="750">
        <f>SUMIFS(KH_ĐL!$K:$K,KH_ĐL!$CD:$CD,P$10&amp;$B61,KH_ĐL!$CD:$CD,P$10&amp;$B61,KH_ĐL!$CE:$CE,"Lò")</f>
        <v>0</v>
      </c>
      <c r="Q61" s="750">
        <f>SUMIFS(KH_ĐL!$K:$K,KH_ĐL!$CD:$CD,Q$10&amp;$B61,KH_ĐL!$CD:$CD,Q$10&amp;$B61,KH_ĐL!$CE:$CE,"Lò")</f>
        <v>0</v>
      </c>
      <c r="R61" s="750">
        <f>SUMIFS(KH_ĐL!$K:$K,KH_ĐL!$CD:$CD,R$10&amp;$B61,KH_ĐL!$CD:$CD,R$10&amp;$B61,KH_ĐL!$CE:$CE,"Lò")</f>
        <v>0</v>
      </c>
      <c r="S61" s="750">
        <f>SUMIFS(KH_ĐL!$K:$K,KH_ĐL!$CD:$CD,S$10&amp;$B61,KH_ĐL!$CD:$CD,S$10&amp;$B61,KH_ĐL!$CE:$CE,"Lò")</f>
        <v>0</v>
      </c>
      <c r="T61" s="750">
        <f>SUMIFS(KH_ĐL!$K:$K,KH_ĐL!$CD:$CD,T$10&amp;$B61,KH_ĐL!$CD:$CD,T$10&amp;$B61,KH_ĐL!$CE:$CE,"Lò")</f>
        <v>0</v>
      </c>
      <c r="U61" s="750">
        <f>SUMIFS(KH_ĐL!$K:$K,KH_ĐL!$CD:$CD,U$10&amp;$B61,KH_ĐL!$CD:$CD,U$10&amp;$B61,KH_ĐL!$CE:$CE,"Lò")</f>
        <v>0</v>
      </c>
      <c r="V61" s="750">
        <f>SUMIFS(KH_ĐL!$K:$K,KH_ĐL!$CD:$CD,V$10&amp;$B61,KH_ĐL!$CD:$CD,V$10&amp;$B61,KH_ĐL!$CE:$CE,"Lò")</f>
        <v>0</v>
      </c>
      <c r="W61" s="750">
        <f>SUMIFS(KH_ĐL!$K:$K,KH_ĐL!$CD:$CD,W$10&amp;$B61,KH_ĐL!$CD:$CD,W$10&amp;$B61,KH_ĐL!$CE:$CE,"Lò")</f>
        <v>0</v>
      </c>
      <c r="X61" s="751"/>
      <c r="Y61" s="752"/>
      <c r="Z61" s="749"/>
      <c r="AA61" s="749"/>
      <c r="AB61" s="749"/>
      <c r="AC61" s="749"/>
      <c r="AD61" s="749"/>
      <c r="AE61" s="749"/>
    </row>
    <row r="62" spans="1:31" ht="19.149999999999999" hidden="1" customHeight="1" outlineLevel="1" x14ac:dyDescent="0.3">
      <c r="A62" s="745"/>
      <c r="B62" s="732"/>
      <c r="C62" s="746"/>
      <c r="D62" s="729">
        <f t="shared" si="13"/>
        <v>0</v>
      </c>
      <c r="E62" s="750">
        <f>SUMIFS(KH_ĐL!$K:$K,KH_ĐL!$CD:$CD,E$10&amp;$B62,KH_ĐL!$CD:$CD,E$10&amp;$B62,KH_ĐL!$CE:$CE,"Lò")</f>
        <v>0</v>
      </c>
      <c r="F62" s="750">
        <f>SUMIFS(KH_ĐL!$K:$K,KH_ĐL!$CD:$CD,F$10&amp;$B62,KH_ĐL!$CD:$CD,F$10&amp;$B62,KH_ĐL!$CE:$CE,"Lò")</f>
        <v>0</v>
      </c>
      <c r="G62" s="750">
        <f>SUMIFS(KH_ĐL!$K:$K,KH_ĐL!$CD:$CD,G$10&amp;$B62,KH_ĐL!$CD:$CD,G$10&amp;$B62,KH_ĐL!$CE:$CE,"Lò")</f>
        <v>0</v>
      </c>
      <c r="H62" s="750">
        <f>SUMIFS(KH_ĐL!$K:$K,KH_ĐL!$CD:$CD,H$10&amp;$B62,KH_ĐL!$CD:$CD,H$10&amp;$B62,KH_ĐL!$CE:$CE,"Lò")</f>
        <v>0</v>
      </c>
      <c r="I62" s="750">
        <f>SUMIFS(KH_ĐL!$K:$K,KH_ĐL!$CD:$CD,I$10&amp;$B62,KH_ĐL!$CD:$CD,I$10&amp;$B62,KH_ĐL!$CE:$CE,"Lò")</f>
        <v>0</v>
      </c>
      <c r="J62" s="750">
        <f>SUMIFS(KH_ĐL!$K:$K,KH_ĐL!$CD:$CD,J$10&amp;$B62,KH_ĐL!$CD:$CD,J$10&amp;$B62,KH_ĐL!$CE:$CE,"Lò")</f>
        <v>0</v>
      </c>
      <c r="K62" s="750">
        <f>SUMIFS(KH_ĐL!$K:$K,KH_ĐL!$CD:$CD,K$10&amp;$B62,KH_ĐL!$CD:$CD,K$10&amp;$B62,KH_ĐL!$CE:$CE,"Lò")</f>
        <v>0</v>
      </c>
      <c r="L62" s="750">
        <f>SUMIFS(KH_ĐL!$K:$K,KH_ĐL!$CD:$CD,L$10&amp;$B62,KH_ĐL!$CD:$CD,L$10&amp;$B62,KH_ĐL!$CE:$CE,"Lò")</f>
        <v>0</v>
      </c>
      <c r="M62" s="750">
        <f>SUMIFS(KH_ĐL!$K:$K,KH_ĐL!$CD:$CD,M$10&amp;$B62,KH_ĐL!$CD:$CD,M$10&amp;$B62,KH_ĐL!$CE:$CE,"Lò")</f>
        <v>0</v>
      </c>
      <c r="N62" s="750">
        <f>SUMIFS(KH_ĐL!$K:$K,KH_ĐL!$CD:$CD,N$10&amp;$B62,KH_ĐL!$CD:$CD,N$10&amp;$B62,KH_ĐL!$CE:$CE,"Lò")</f>
        <v>0</v>
      </c>
      <c r="O62" s="750">
        <f>SUMIFS(KH_ĐL!$K:$K,KH_ĐL!$CD:$CD,O$10&amp;$B62,KH_ĐL!$CD:$CD,O$10&amp;$B62,KH_ĐL!$CE:$CE,"Lò")</f>
        <v>0</v>
      </c>
      <c r="P62" s="750">
        <f>SUMIFS(KH_ĐL!$K:$K,KH_ĐL!$CD:$CD,P$10&amp;$B62,KH_ĐL!$CD:$CD,P$10&amp;$B62,KH_ĐL!$CE:$CE,"Lò")</f>
        <v>0</v>
      </c>
      <c r="Q62" s="750">
        <f>SUMIFS(KH_ĐL!$K:$K,KH_ĐL!$CD:$CD,Q$10&amp;$B62,KH_ĐL!$CD:$CD,Q$10&amp;$B62,KH_ĐL!$CE:$CE,"Lò")</f>
        <v>0</v>
      </c>
      <c r="R62" s="750">
        <f>SUMIFS(KH_ĐL!$K:$K,KH_ĐL!$CD:$CD,R$10&amp;$B62,KH_ĐL!$CD:$CD,R$10&amp;$B62,KH_ĐL!$CE:$CE,"Lò")</f>
        <v>0</v>
      </c>
      <c r="S62" s="750">
        <f>SUMIFS(KH_ĐL!$K:$K,KH_ĐL!$CD:$CD,S$10&amp;$B62,KH_ĐL!$CD:$CD,S$10&amp;$B62,KH_ĐL!$CE:$CE,"Lò")</f>
        <v>0</v>
      </c>
      <c r="T62" s="750">
        <f>SUMIFS(KH_ĐL!$K:$K,KH_ĐL!$CD:$CD,T$10&amp;$B62,KH_ĐL!$CD:$CD,T$10&amp;$B62,KH_ĐL!$CE:$CE,"Lò")</f>
        <v>0</v>
      </c>
      <c r="U62" s="750">
        <f>SUMIFS(KH_ĐL!$K:$K,KH_ĐL!$CD:$CD,U$10&amp;$B62,KH_ĐL!$CD:$CD,U$10&amp;$B62,KH_ĐL!$CE:$CE,"Lò")</f>
        <v>0</v>
      </c>
      <c r="V62" s="750">
        <f>SUMIFS(KH_ĐL!$K:$K,KH_ĐL!$CD:$CD,V$10&amp;$B62,KH_ĐL!$CD:$CD,V$10&amp;$B62,KH_ĐL!$CE:$CE,"Lò")</f>
        <v>0</v>
      </c>
      <c r="W62" s="750">
        <f>SUMIFS(KH_ĐL!$K:$K,KH_ĐL!$CD:$CD,W$10&amp;$B62,KH_ĐL!$CD:$CD,W$10&amp;$B62,KH_ĐL!$CE:$CE,"Lò")</f>
        <v>0</v>
      </c>
      <c r="X62" s="751"/>
      <c r="Y62" s="752"/>
      <c r="Z62" s="749"/>
      <c r="AA62" s="749"/>
      <c r="AB62" s="749"/>
      <c r="AC62" s="749"/>
      <c r="AD62" s="749"/>
      <c r="AE62" s="749"/>
    </row>
    <row r="63" spans="1:31" ht="19.149999999999999" hidden="1" customHeight="1" outlineLevel="1" x14ac:dyDescent="0.3">
      <c r="A63" s="745"/>
      <c r="B63" s="732"/>
      <c r="C63" s="746"/>
      <c r="D63" s="729">
        <f t="shared" si="12"/>
        <v>0</v>
      </c>
      <c r="E63" s="750">
        <f>SUMIFS(KH_ĐL!$K:$K,KH_ĐL!$CD:$CD,E$10&amp;$B63,KH_ĐL!$CD:$CD,E$10&amp;$B63,KH_ĐL!$CE:$CE,"Lò")</f>
        <v>0</v>
      </c>
      <c r="F63" s="750">
        <f>SUMIFS(KH_ĐL!$K:$K,KH_ĐL!$CD:$CD,F$10&amp;$B63,KH_ĐL!$CD:$CD,F$10&amp;$B63,KH_ĐL!$CE:$CE,"Lò")</f>
        <v>0</v>
      </c>
      <c r="G63" s="750">
        <f>SUMIFS(KH_ĐL!$K:$K,KH_ĐL!$CD:$CD,G$10&amp;$B63,KH_ĐL!$CD:$CD,G$10&amp;$B63,KH_ĐL!$CE:$CE,"Lò")</f>
        <v>0</v>
      </c>
      <c r="H63" s="750">
        <f>SUMIFS(KH_ĐL!$K:$K,KH_ĐL!$CD:$CD,H$10&amp;$B63,KH_ĐL!$CD:$CD,H$10&amp;$B63,KH_ĐL!$CE:$CE,"Lò")</f>
        <v>0</v>
      </c>
      <c r="I63" s="750">
        <f>SUMIFS(KH_ĐL!$K:$K,KH_ĐL!$CD:$CD,I$10&amp;$B63,KH_ĐL!$CD:$CD,I$10&amp;$B63,KH_ĐL!$CE:$CE,"Lò")</f>
        <v>0</v>
      </c>
      <c r="J63" s="750">
        <f>SUMIFS(KH_ĐL!$K:$K,KH_ĐL!$CD:$CD,J$10&amp;$B63,KH_ĐL!$CD:$CD,J$10&amp;$B63,KH_ĐL!$CE:$CE,"Lò")</f>
        <v>0</v>
      </c>
      <c r="K63" s="750">
        <f>SUMIFS(KH_ĐL!$K:$K,KH_ĐL!$CD:$CD,K$10&amp;$B63,KH_ĐL!$CD:$CD,K$10&amp;$B63,KH_ĐL!$CE:$CE,"Lò")</f>
        <v>0</v>
      </c>
      <c r="L63" s="750">
        <f>SUMIFS(KH_ĐL!$K:$K,KH_ĐL!$CD:$CD,L$10&amp;$B63,KH_ĐL!$CD:$CD,L$10&amp;$B63,KH_ĐL!$CE:$CE,"Lò")</f>
        <v>0</v>
      </c>
      <c r="M63" s="750">
        <f>SUMIFS(KH_ĐL!$K:$K,KH_ĐL!$CD:$CD,M$10&amp;$B63,KH_ĐL!$CD:$CD,M$10&amp;$B63,KH_ĐL!$CE:$CE,"Lò")</f>
        <v>0</v>
      </c>
      <c r="N63" s="750">
        <f>SUMIFS(KH_ĐL!$K:$K,KH_ĐL!$CD:$CD,N$10&amp;$B63,KH_ĐL!$CD:$CD,N$10&amp;$B63,KH_ĐL!$CE:$CE,"Lò")</f>
        <v>0</v>
      </c>
      <c r="O63" s="750">
        <f>SUMIFS(KH_ĐL!$K:$K,KH_ĐL!$CD:$CD,O$10&amp;$B63,KH_ĐL!$CD:$CD,O$10&amp;$B63,KH_ĐL!$CE:$CE,"Lò")</f>
        <v>0</v>
      </c>
      <c r="P63" s="750">
        <f>SUMIFS(KH_ĐL!$K:$K,KH_ĐL!$CD:$CD,P$10&amp;$B63,KH_ĐL!$CD:$CD,P$10&amp;$B63,KH_ĐL!$CE:$CE,"Lò")</f>
        <v>0</v>
      </c>
      <c r="Q63" s="750">
        <f>SUMIFS(KH_ĐL!$K:$K,KH_ĐL!$CD:$CD,Q$10&amp;$B63,KH_ĐL!$CD:$CD,Q$10&amp;$B63,KH_ĐL!$CE:$CE,"Lò")</f>
        <v>0</v>
      </c>
      <c r="R63" s="750">
        <f>SUMIFS(KH_ĐL!$K:$K,KH_ĐL!$CD:$CD,R$10&amp;$B63,KH_ĐL!$CD:$CD,R$10&amp;$B63,KH_ĐL!$CE:$CE,"Lò")</f>
        <v>0</v>
      </c>
      <c r="S63" s="750">
        <f>SUMIFS(KH_ĐL!$K:$K,KH_ĐL!$CD:$CD,S$10&amp;$B63,KH_ĐL!$CD:$CD,S$10&amp;$B63,KH_ĐL!$CE:$CE,"Lò")</f>
        <v>0</v>
      </c>
      <c r="T63" s="750">
        <f>SUMIFS(KH_ĐL!$K:$K,KH_ĐL!$CD:$CD,T$10&amp;$B63,KH_ĐL!$CD:$CD,T$10&amp;$B63,KH_ĐL!$CE:$CE,"Lò")</f>
        <v>0</v>
      </c>
      <c r="U63" s="750">
        <f>SUMIFS(KH_ĐL!$K:$K,KH_ĐL!$CD:$CD,U$10&amp;$B63,KH_ĐL!$CD:$CD,U$10&amp;$B63,KH_ĐL!$CE:$CE,"Lò")</f>
        <v>0</v>
      </c>
      <c r="V63" s="750">
        <f>SUMIFS(KH_ĐL!$K:$K,KH_ĐL!$CD:$CD,V$10&amp;$B63,KH_ĐL!$CD:$CD,V$10&amp;$B63,KH_ĐL!$CE:$CE,"Lò")</f>
        <v>0</v>
      </c>
      <c r="W63" s="750">
        <f>SUMIFS(KH_ĐL!$K:$K,KH_ĐL!$CD:$CD,W$10&amp;$B63,KH_ĐL!$CD:$CD,W$10&amp;$B63,KH_ĐL!$CE:$CE,"Lò")</f>
        <v>0</v>
      </c>
      <c r="X63" s="751"/>
      <c r="Y63" s="752"/>
      <c r="Z63" s="749"/>
      <c r="AA63" s="749"/>
      <c r="AB63" s="749"/>
      <c r="AC63" s="749"/>
      <c r="AD63" s="749"/>
      <c r="AE63" s="749"/>
    </row>
    <row r="64" spans="1:31" ht="19.149999999999999" hidden="1" customHeight="1" outlineLevel="1" x14ac:dyDescent="0.3">
      <c r="A64" s="745"/>
      <c r="B64" s="732"/>
      <c r="C64" s="746"/>
      <c r="D64" s="729">
        <f t="shared" si="12"/>
        <v>0</v>
      </c>
      <c r="E64" s="750">
        <f>SUMIFS(KH_ĐL!$K:$K,KH_ĐL!$CD:$CD,E$10&amp;$B64,KH_ĐL!$CD:$CD,E$10&amp;$B64,KH_ĐL!$CE:$CE,"Lò")</f>
        <v>0</v>
      </c>
      <c r="F64" s="750">
        <f>SUMIFS(KH_ĐL!$K:$K,KH_ĐL!$CD:$CD,F$10&amp;$B64,KH_ĐL!$CD:$CD,F$10&amp;$B64,KH_ĐL!$CE:$CE,"Lò")</f>
        <v>0</v>
      </c>
      <c r="G64" s="750">
        <f>SUMIFS(KH_ĐL!$K:$K,KH_ĐL!$CD:$CD,G$10&amp;$B64,KH_ĐL!$CD:$CD,G$10&amp;$B64,KH_ĐL!$CE:$CE,"Lò")</f>
        <v>0</v>
      </c>
      <c r="H64" s="750">
        <f>SUMIFS(KH_ĐL!$K:$K,KH_ĐL!$CD:$CD,H$10&amp;$B64,KH_ĐL!$CD:$CD,H$10&amp;$B64,KH_ĐL!$CE:$CE,"Lò")</f>
        <v>0</v>
      </c>
      <c r="I64" s="750">
        <f>SUMIFS(KH_ĐL!$K:$K,KH_ĐL!$CD:$CD,I$10&amp;$B64,KH_ĐL!$CD:$CD,I$10&amp;$B64,KH_ĐL!$CE:$CE,"Lò")</f>
        <v>0</v>
      </c>
      <c r="J64" s="750">
        <f>SUMIFS(KH_ĐL!$K:$K,KH_ĐL!$CD:$CD,J$10&amp;$B64,KH_ĐL!$CD:$CD,J$10&amp;$B64,KH_ĐL!$CE:$CE,"Lò")</f>
        <v>0</v>
      </c>
      <c r="K64" s="750">
        <f>SUMIFS(KH_ĐL!$K:$K,KH_ĐL!$CD:$CD,K$10&amp;$B64,KH_ĐL!$CD:$CD,K$10&amp;$B64,KH_ĐL!$CE:$CE,"Lò")</f>
        <v>0</v>
      </c>
      <c r="L64" s="750">
        <f>SUMIFS(KH_ĐL!$K:$K,KH_ĐL!$CD:$CD,L$10&amp;$B64,KH_ĐL!$CD:$CD,L$10&amp;$B64,KH_ĐL!$CE:$CE,"Lò")</f>
        <v>0</v>
      </c>
      <c r="M64" s="750">
        <f>SUMIFS(KH_ĐL!$K:$K,KH_ĐL!$CD:$CD,M$10&amp;$B64,KH_ĐL!$CD:$CD,M$10&amp;$B64,KH_ĐL!$CE:$CE,"Lò")</f>
        <v>0</v>
      </c>
      <c r="N64" s="750">
        <f>SUMIFS(KH_ĐL!$K:$K,KH_ĐL!$CD:$CD,N$10&amp;$B64,KH_ĐL!$CD:$CD,N$10&amp;$B64,KH_ĐL!$CE:$CE,"Lò")</f>
        <v>0</v>
      </c>
      <c r="O64" s="750">
        <f>SUMIFS(KH_ĐL!$K:$K,KH_ĐL!$CD:$CD,O$10&amp;$B64,KH_ĐL!$CD:$CD,O$10&amp;$B64,KH_ĐL!$CE:$CE,"Lò")</f>
        <v>0</v>
      </c>
      <c r="P64" s="750">
        <f>SUMIFS(KH_ĐL!$K:$K,KH_ĐL!$CD:$CD,P$10&amp;$B64,KH_ĐL!$CD:$CD,P$10&amp;$B64,KH_ĐL!$CE:$CE,"Lò")</f>
        <v>0</v>
      </c>
      <c r="Q64" s="750">
        <f>SUMIFS(KH_ĐL!$K:$K,KH_ĐL!$CD:$CD,Q$10&amp;$B64,KH_ĐL!$CD:$CD,Q$10&amp;$B64,KH_ĐL!$CE:$CE,"Lò")</f>
        <v>0</v>
      </c>
      <c r="R64" s="750">
        <f>SUMIFS(KH_ĐL!$K:$K,KH_ĐL!$CD:$CD,R$10&amp;$B64,KH_ĐL!$CD:$CD,R$10&amp;$B64,KH_ĐL!$CE:$CE,"Lò")</f>
        <v>0</v>
      </c>
      <c r="S64" s="750">
        <f>SUMIFS(KH_ĐL!$K:$K,KH_ĐL!$CD:$CD,S$10&amp;$B64,KH_ĐL!$CD:$CD,S$10&amp;$B64,KH_ĐL!$CE:$CE,"Lò")</f>
        <v>0</v>
      </c>
      <c r="T64" s="750">
        <f>SUMIFS(KH_ĐL!$K:$K,KH_ĐL!$CD:$CD,T$10&amp;$B64,KH_ĐL!$CD:$CD,T$10&amp;$B64,KH_ĐL!$CE:$CE,"Lò")</f>
        <v>0</v>
      </c>
      <c r="U64" s="750">
        <f>SUMIFS(KH_ĐL!$K:$K,KH_ĐL!$CD:$CD,U$10&amp;$B64,KH_ĐL!$CD:$CD,U$10&amp;$B64,KH_ĐL!$CE:$CE,"Lò")</f>
        <v>0</v>
      </c>
      <c r="V64" s="750">
        <f>SUMIFS(KH_ĐL!$K:$K,KH_ĐL!$CD:$CD,V$10&amp;$B64,KH_ĐL!$CD:$CD,V$10&amp;$B64,KH_ĐL!$CE:$CE,"Lò")</f>
        <v>0</v>
      </c>
      <c r="W64" s="750">
        <f>SUMIFS(KH_ĐL!$K:$K,KH_ĐL!$CD:$CD,W$10&amp;$B64,KH_ĐL!$CD:$CD,W$10&amp;$B64,KH_ĐL!$CE:$CE,"Lò")</f>
        <v>0</v>
      </c>
      <c r="X64" s="751"/>
      <c r="Y64" s="752"/>
      <c r="Z64" s="749"/>
      <c r="AA64" s="749"/>
      <c r="AB64" s="749"/>
      <c r="AC64" s="749"/>
      <c r="AD64" s="749"/>
      <c r="AE64" s="749"/>
    </row>
    <row r="65" spans="1:31" ht="19.149999999999999" hidden="1" customHeight="1" outlineLevel="1" x14ac:dyDescent="0.3">
      <c r="A65" s="745"/>
      <c r="B65" s="732"/>
      <c r="C65" s="746"/>
      <c r="D65" s="729"/>
      <c r="E65" s="750">
        <f>SUMIFS(KH_ĐL!$K:$K,KH_ĐL!$CD:$CD,E$10&amp;$B65,KH_ĐL!$CD:$CD,E$10&amp;$B65,KH_ĐL!$CE:$CE,"Lò")</f>
        <v>0</v>
      </c>
      <c r="F65" s="750">
        <f>SUMIFS(KH_ĐL!$K:$K,KH_ĐL!$CD:$CD,F$10&amp;$B65,KH_ĐL!$CD:$CD,F$10&amp;$B65,KH_ĐL!$CE:$CE,"Lò")</f>
        <v>0</v>
      </c>
      <c r="G65" s="750">
        <f>SUMIFS(KH_ĐL!$K:$K,KH_ĐL!$CD:$CD,G$10&amp;$B65,KH_ĐL!$CD:$CD,G$10&amp;$B65,KH_ĐL!$CE:$CE,"Lò")</f>
        <v>0</v>
      </c>
      <c r="H65" s="750">
        <f>SUMIFS(KH_ĐL!$K:$K,KH_ĐL!$CD:$CD,H$10&amp;$B65,KH_ĐL!$CD:$CD,H$10&amp;$B65,KH_ĐL!$CE:$CE,"Lò")</f>
        <v>0</v>
      </c>
      <c r="I65" s="750">
        <f>SUMIFS(KH_ĐL!$K:$K,KH_ĐL!$CD:$CD,I$10&amp;$B65,KH_ĐL!$CD:$CD,I$10&amp;$B65,KH_ĐL!$CE:$CE,"Lò")</f>
        <v>0</v>
      </c>
      <c r="J65" s="750">
        <f>SUMIFS(KH_ĐL!$K:$K,KH_ĐL!$CD:$CD,J$10&amp;$B65,KH_ĐL!$CD:$CD,J$10&amp;$B65,KH_ĐL!$CE:$CE,"Lò")</f>
        <v>0</v>
      </c>
      <c r="K65" s="750">
        <f>SUMIFS(KH_ĐL!$K:$K,KH_ĐL!$CD:$CD,K$10&amp;$B65,KH_ĐL!$CD:$CD,K$10&amp;$B65,KH_ĐL!$CE:$CE,"Lò")</f>
        <v>0</v>
      </c>
      <c r="L65" s="750">
        <f>SUMIFS(KH_ĐL!$K:$K,KH_ĐL!$CD:$CD,L$10&amp;$B65,KH_ĐL!$CD:$CD,L$10&amp;$B65,KH_ĐL!$CE:$CE,"Lò")</f>
        <v>0</v>
      </c>
      <c r="M65" s="750">
        <f>SUMIFS(KH_ĐL!$K:$K,KH_ĐL!$CD:$CD,M$10&amp;$B65,KH_ĐL!$CD:$CD,M$10&amp;$B65,KH_ĐL!$CE:$CE,"Lò")</f>
        <v>0</v>
      </c>
      <c r="N65" s="750">
        <f>SUMIFS(KH_ĐL!$K:$K,KH_ĐL!$CD:$CD,N$10&amp;$B65,KH_ĐL!$CD:$CD,N$10&amp;$B65,KH_ĐL!$CE:$CE,"Lò")</f>
        <v>0</v>
      </c>
      <c r="O65" s="750">
        <f>SUMIFS(KH_ĐL!$K:$K,KH_ĐL!$CD:$CD,O$10&amp;$B65,KH_ĐL!$CD:$CD,O$10&amp;$B65,KH_ĐL!$CE:$CE,"Lò")</f>
        <v>0</v>
      </c>
      <c r="P65" s="750">
        <f>SUMIFS(KH_ĐL!$K:$K,KH_ĐL!$CD:$CD,P$10&amp;$B65,KH_ĐL!$CD:$CD,P$10&amp;$B65,KH_ĐL!$CE:$CE,"Lò")</f>
        <v>0</v>
      </c>
      <c r="Q65" s="750">
        <f>SUMIFS(KH_ĐL!$K:$K,KH_ĐL!$CD:$CD,Q$10&amp;$B65,KH_ĐL!$CD:$CD,Q$10&amp;$B65,KH_ĐL!$CE:$CE,"Lò")</f>
        <v>0</v>
      </c>
      <c r="R65" s="750">
        <f>SUMIFS(KH_ĐL!$K:$K,KH_ĐL!$CD:$CD,R$10&amp;$B65,KH_ĐL!$CD:$CD,R$10&amp;$B65,KH_ĐL!$CE:$CE,"Lò")</f>
        <v>0</v>
      </c>
      <c r="S65" s="750">
        <f>SUMIFS(KH_ĐL!$K:$K,KH_ĐL!$CD:$CD,S$10&amp;$B65,KH_ĐL!$CD:$CD,S$10&amp;$B65,KH_ĐL!$CE:$CE,"Lò")</f>
        <v>0</v>
      </c>
      <c r="T65" s="750">
        <f>SUMIFS(KH_ĐL!$K:$K,KH_ĐL!$CD:$CD,T$10&amp;$B65,KH_ĐL!$CD:$CD,T$10&amp;$B65,KH_ĐL!$CE:$CE,"Lò")</f>
        <v>0</v>
      </c>
      <c r="U65" s="750">
        <f>SUMIFS(KH_ĐL!$K:$K,KH_ĐL!$CD:$CD,U$10&amp;$B65,KH_ĐL!$CD:$CD,U$10&amp;$B65,KH_ĐL!$CE:$CE,"Lò")</f>
        <v>0</v>
      </c>
      <c r="V65" s="750">
        <f>SUMIFS(KH_ĐL!$K:$K,KH_ĐL!$CD:$CD,V$10&amp;$B65,KH_ĐL!$CD:$CD,V$10&amp;$B65,KH_ĐL!$CE:$CE,"Lò")</f>
        <v>0</v>
      </c>
      <c r="W65" s="750">
        <f>SUMIFS(KH_ĐL!$K:$K,KH_ĐL!$CD:$CD,W$10&amp;$B65,KH_ĐL!$CD:$CD,W$10&amp;$B65,KH_ĐL!$CE:$CE,"Lò")</f>
        <v>0</v>
      </c>
      <c r="X65" s="751"/>
      <c r="Y65" s="752"/>
      <c r="Z65" s="749"/>
      <c r="AA65" s="749"/>
      <c r="AB65" s="749"/>
      <c r="AC65" s="749"/>
      <c r="AD65" s="749"/>
      <c r="AE65" s="749"/>
    </row>
    <row r="66" spans="1:31" ht="19.149999999999999" hidden="1" customHeight="1" outlineLevel="1" x14ac:dyDescent="0.3">
      <c r="A66" s="745"/>
      <c r="B66" s="732"/>
      <c r="C66" s="746"/>
      <c r="D66" s="729"/>
      <c r="E66" s="713"/>
      <c r="F66" s="713"/>
      <c r="G66" s="713"/>
      <c r="H66" s="713"/>
      <c r="I66" s="713"/>
      <c r="J66" s="713"/>
      <c r="K66" s="713"/>
      <c r="L66" s="713"/>
      <c r="M66" s="713"/>
      <c r="N66" s="713"/>
      <c r="O66" s="713"/>
      <c r="P66" s="713"/>
      <c r="Q66" s="713"/>
      <c r="R66" s="713"/>
      <c r="S66" s="713"/>
      <c r="T66" s="713"/>
      <c r="U66" s="713"/>
      <c r="V66" s="713"/>
      <c r="W66" s="730"/>
      <c r="X66" s="751"/>
      <c r="Y66" s="752"/>
      <c r="Z66" s="749"/>
      <c r="AA66" s="749"/>
      <c r="AB66" s="749"/>
      <c r="AC66" s="749"/>
      <c r="AD66" s="749"/>
      <c r="AE66" s="749"/>
    </row>
    <row r="67" spans="1:31" ht="19.149999999999999" hidden="1" customHeight="1" x14ac:dyDescent="0.3">
      <c r="A67" s="745"/>
      <c r="B67" s="732"/>
      <c r="C67" s="746"/>
      <c r="D67" s="729"/>
      <c r="E67" s="713"/>
      <c r="F67" s="713"/>
      <c r="G67" s="713"/>
      <c r="H67" s="713"/>
      <c r="I67" s="713"/>
      <c r="J67" s="713"/>
      <c r="K67" s="713"/>
      <c r="L67" s="713"/>
      <c r="M67" s="713"/>
      <c r="N67" s="713"/>
      <c r="O67" s="713"/>
      <c r="P67" s="713"/>
      <c r="Q67" s="713"/>
      <c r="R67" s="713"/>
      <c r="S67" s="713"/>
      <c r="T67" s="713"/>
      <c r="U67" s="713"/>
      <c r="V67" s="713"/>
      <c r="W67" s="730"/>
      <c r="X67" s="751"/>
      <c r="Y67" s="752"/>
      <c r="Z67" s="749"/>
      <c r="AA67" s="749"/>
      <c r="AB67" s="749"/>
      <c r="AC67" s="749"/>
      <c r="AD67" s="749"/>
      <c r="AE67" s="749"/>
    </row>
    <row r="68" spans="1:31" ht="19.5" outlineLevel="1" x14ac:dyDescent="0.3">
      <c r="A68" s="745"/>
      <c r="B68" s="753" t="s">
        <v>326</v>
      </c>
      <c r="C68" s="746" t="s">
        <v>308</v>
      </c>
      <c r="D68" s="729">
        <f>SUM(E68:W68)</f>
        <v>8421</v>
      </c>
      <c r="E68" s="721">
        <f>+SUM(E69:E98)</f>
        <v>201</v>
      </c>
      <c r="F68" s="721">
        <f t="shared" ref="F68:W68" si="14">+SUM(F69:F98)</f>
        <v>20</v>
      </c>
      <c r="G68" s="721">
        <f t="shared" si="14"/>
        <v>165</v>
      </c>
      <c r="H68" s="721">
        <f t="shared" si="14"/>
        <v>35</v>
      </c>
      <c r="I68" s="721">
        <f t="shared" si="14"/>
        <v>20</v>
      </c>
      <c r="J68" s="721">
        <f t="shared" si="14"/>
        <v>70</v>
      </c>
      <c r="K68" s="721">
        <f t="shared" si="14"/>
        <v>5</v>
      </c>
      <c r="L68" s="721">
        <f t="shared" si="14"/>
        <v>10</v>
      </c>
      <c r="M68" s="721">
        <f t="shared" si="14"/>
        <v>25</v>
      </c>
      <c r="N68" s="721">
        <f t="shared" si="14"/>
        <v>43</v>
      </c>
      <c r="O68" s="721">
        <f t="shared" si="14"/>
        <v>25</v>
      </c>
      <c r="P68" s="721">
        <f t="shared" si="14"/>
        <v>535</v>
      </c>
      <c r="Q68" s="721">
        <f t="shared" si="14"/>
        <v>1216</v>
      </c>
      <c r="R68" s="721">
        <f t="shared" si="14"/>
        <v>668</v>
      </c>
      <c r="S68" s="721">
        <f t="shared" si="14"/>
        <v>260</v>
      </c>
      <c r="T68" s="721">
        <f t="shared" si="14"/>
        <v>638</v>
      </c>
      <c r="U68" s="721">
        <f t="shared" si="14"/>
        <v>360</v>
      </c>
      <c r="V68" s="721">
        <f t="shared" si="14"/>
        <v>2875</v>
      </c>
      <c r="W68" s="721">
        <f t="shared" si="14"/>
        <v>1250</v>
      </c>
      <c r="X68" s="754"/>
      <c r="Y68" s="748"/>
      <c r="Z68" s="743"/>
      <c r="AA68" s="749"/>
      <c r="AB68" s="749"/>
      <c r="AC68" s="749"/>
      <c r="AD68" s="749"/>
      <c r="AE68" s="749"/>
    </row>
    <row r="69" spans="1:31" ht="19.5" outlineLevel="1" x14ac:dyDescent="0.3">
      <c r="A69" s="745"/>
      <c r="B69" s="732">
        <f t="shared" ref="B69:B95" si="15">B38</f>
        <v>5.4</v>
      </c>
      <c r="C69" s="746"/>
      <c r="D69" s="729">
        <f t="shared" si="12"/>
        <v>53</v>
      </c>
      <c r="E69" s="750">
        <f>SUMIFS(KH_ĐL!$J:$J,KH_ĐL!$CD:$CD,E$10&amp;$B69,KH_ĐL!$CE:$CE,"Lò")</f>
        <v>0</v>
      </c>
      <c r="F69" s="750">
        <f>SUMIFS(KH_ĐL!$J:$J,KH_ĐL!$CD:$CD,F$10&amp;$B69,KH_ĐL!$CE:$CE,"Lò")</f>
        <v>0</v>
      </c>
      <c r="G69" s="750">
        <f>SUMIFS(KH_ĐL!$J:$J,KH_ĐL!$CD:$CD,G$10&amp;$B69,KH_ĐL!$CE:$CE,"Lò")</f>
        <v>10</v>
      </c>
      <c r="H69" s="750">
        <f>SUMIFS(KH_ĐL!$J:$J,KH_ĐL!$CD:$CD,H$10&amp;$B69,KH_ĐL!$CE:$CE,"Lò")</f>
        <v>10</v>
      </c>
      <c r="I69" s="750">
        <f>SUMIFS(KH_ĐL!$J:$J,KH_ĐL!$CD:$CD,I$10&amp;$B69,KH_ĐL!$CE:$CE,"Lò")</f>
        <v>15</v>
      </c>
      <c r="J69" s="750">
        <f>SUMIFS(KH_ĐL!$J:$J,KH_ĐL!$CD:$CD,J$10&amp;$B69,KH_ĐL!$CE:$CE,"Lò")</f>
        <v>10</v>
      </c>
      <c r="K69" s="750">
        <f>SUMIFS(KH_ĐL!$J:$J,KH_ĐL!$CD:$CD,K$10&amp;$B69,KH_ĐL!$CE:$CE,"Lò")</f>
        <v>0</v>
      </c>
      <c r="L69" s="750">
        <f>SUMIFS(KH_ĐL!$J:$J,KH_ĐL!$CD:$CD,L$10&amp;$B69,KH_ĐL!$CE:$CE,"Lò")</f>
        <v>0</v>
      </c>
      <c r="M69" s="750">
        <f>SUMIFS(KH_ĐL!$J:$J,KH_ĐL!$CD:$CD,M$10&amp;$B69,KH_ĐL!$CE:$CE,"Lò")</f>
        <v>0</v>
      </c>
      <c r="N69" s="750">
        <f>SUMIFS(KH_ĐL!$J:$J,KH_ĐL!$CD:$CD,N$10&amp;$B69,KH_ĐL!$CE:$CE,"Lò")</f>
        <v>8</v>
      </c>
      <c r="O69" s="750">
        <f>SUMIFS(KH_ĐL!$J:$J,KH_ĐL!$CD:$CD,O$10&amp;$B69,KH_ĐL!$CE:$CE,"Lò")</f>
        <v>0</v>
      </c>
      <c r="P69" s="750">
        <f>SUMIFS(KH_ĐL!$J:$J,KH_ĐL!$CD:$CD,P$10&amp;$B69,KH_ĐL!$CE:$CE,"Lò")</f>
        <v>0</v>
      </c>
      <c r="Q69" s="750">
        <f>SUMIFS(KH_ĐL!$J:$J,KH_ĐL!$CD:$CD,Q$10&amp;$B69,KH_ĐL!$CE:$CE,"Lò")</f>
        <v>0</v>
      </c>
      <c r="R69" s="750">
        <f>SUMIFS(KH_ĐL!$J:$J,KH_ĐL!$CD:$CD,R$10&amp;$B69,KH_ĐL!$CE:$CE,"Lò")</f>
        <v>0</v>
      </c>
      <c r="S69" s="750">
        <f>SUMIFS(KH_ĐL!$J:$J,KH_ĐL!$CD:$CD,S$10&amp;$B69,KH_ĐL!$CE:$CE,"Lò")</f>
        <v>0</v>
      </c>
      <c r="T69" s="750">
        <f>SUMIFS(KH_ĐL!$J:$J,KH_ĐL!$CD:$CD,T$10&amp;$B69,KH_ĐL!$CE:$CE,"Lò")</f>
        <v>0</v>
      </c>
      <c r="U69" s="750">
        <f>SUMIFS(KH_ĐL!$J:$J,KH_ĐL!$CD:$CD,U$10&amp;$B69,KH_ĐL!$CE:$CE,"Lò")</f>
        <v>0</v>
      </c>
      <c r="V69" s="750">
        <f>SUMIFS(KH_ĐL!$J:$J,KH_ĐL!$CD:$CD,V$10&amp;$B69,KH_ĐL!$CE:$CE,"Lò")</f>
        <v>0</v>
      </c>
      <c r="W69" s="750">
        <f>SUMIFS(KH_ĐL!$J:$J,KH_ĐL!$CD:$CD,W$10&amp;$B69,KH_ĐL!$CE:$CE,"Lò")</f>
        <v>0</v>
      </c>
      <c r="X69" s="754"/>
      <c r="Y69" s="748"/>
      <c r="Z69" s="743"/>
      <c r="AA69" s="749"/>
      <c r="AB69" s="749"/>
      <c r="AC69" s="749"/>
      <c r="AD69" s="749"/>
      <c r="AE69" s="749"/>
    </row>
    <row r="70" spans="1:31" ht="19.5" outlineLevel="1" x14ac:dyDescent="0.3">
      <c r="A70" s="745"/>
      <c r="B70" s="732">
        <f t="shared" si="15"/>
        <v>8.5</v>
      </c>
      <c r="C70" s="746"/>
      <c r="D70" s="729">
        <f t="shared" si="12"/>
        <v>140</v>
      </c>
      <c r="E70" s="750">
        <f>SUMIFS(KH_ĐL!$J:$J,KH_ĐL!$CD:$CD,E$10&amp;$B70,KH_ĐL!$CE:$CE,"Lò")</f>
        <v>0</v>
      </c>
      <c r="F70" s="750">
        <f>SUMIFS(KH_ĐL!$J:$J,KH_ĐL!$CD:$CD,F$10&amp;$B70,KH_ĐL!$CE:$CE,"Lò")</f>
        <v>0</v>
      </c>
      <c r="G70" s="750">
        <f>SUMIFS(KH_ĐL!$J:$J,KH_ĐL!$CD:$CD,G$10&amp;$B70,KH_ĐL!$CE:$CE,"Lò")</f>
        <v>15</v>
      </c>
      <c r="H70" s="750">
        <f>SUMIFS(KH_ĐL!$J:$J,KH_ĐL!$CD:$CD,H$10&amp;$B70,KH_ĐL!$CE:$CE,"Lò")</f>
        <v>25</v>
      </c>
      <c r="I70" s="750">
        <f>SUMIFS(KH_ĐL!$J:$J,KH_ĐL!$CD:$CD,I$10&amp;$B70,KH_ĐL!$CE:$CE,"Lò")</f>
        <v>5</v>
      </c>
      <c r="J70" s="750">
        <f>SUMIFS(KH_ĐL!$J:$J,KH_ĐL!$CD:$CD,J$10&amp;$B70,KH_ĐL!$CE:$CE,"Lò")</f>
        <v>0</v>
      </c>
      <c r="K70" s="750">
        <f>SUMIFS(KH_ĐL!$J:$J,KH_ĐL!$CD:$CD,K$10&amp;$B70,KH_ĐL!$CE:$CE,"Lò")</f>
        <v>0</v>
      </c>
      <c r="L70" s="750">
        <f>SUMIFS(KH_ĐL!$J:$J,KH_ĐL!$CD:$CD,L$10&amp;$B70,KH_ĐL!$CE:$CE,"Lò")</f>
        <v>0</v>
      </c>
      <c r="M70" s="750">
        <f>SUMIFS(KH_ĐL!$J:$J,KH_ĐL!$CD:$CD,M$10&amp;$B70,KH_ĐL!$CE:$CE,"Lò")</f>
        <v>0</v>
      </c>
      <c r="N70" s="750">
        <f>SUMIFS(KH_ĐL!$J:$J,KH_ĐL!$CD:$CD,N$10&amp;$B70,KH_ĐL!$CE:$CE,"Lò")</f>
        <v>0</v>
      </c>
      <c r="O70" s="750">
        <f>SUMIFS(KH_ĐL!$J:$J,KH_ĐL!$CD:$CD,O$10&amp;$B70,KH_ĐL!$CE:$CE,"Lò")</f>
        <v>20</v>
      </c>
      <c r="P70" s="750">
        <f>SUMIFS(KH_ĐL!$J:$J,KH_ĐL!$CD:$CD,P$10&amp;$B70,KH_ĐL!$CE:$CE,"Lò")</f>
        <v>15</v>
      </c>
      <c r="Q70" s="750">
        <f>SUMIFS(KH_ĐL!$J:$J,KH_ĐL!$CD:$CD,Q$10&amp;$B70,KH_ĐL!$CE:$CE,"Lò")</f>
        <v>0</v>
      </c>
      <c r="R70" s="750">
        <f>SUMIFS(KH_ĐL!$J:$J,KH_ĐL!$CD:$CD,R$10&amp;$B70,KH_ĐL!$CE:$CE,"Lò")</f>
        <v>0</v>
      </c>
      <c r="S70" s="750">
        <f>SUMIFS(KH_ĐL!$J:$J,KH_ĐL!$CD:$CD,S$10&amp;$B70,KH_ĐL!$CE:$CE,"Lò")</f>
        <v>0</v>
      </c>
      <c r="T70" s="750">
        <f>SUMIFS(KH_ĐL!$J:$J,KH_ĐL!$CD:$CD,T$10&amp;$B70,KH_ĐL!$CE:$CE,"Lò")</f>
        <v>30</v>
      </c>
      <c r="U70" s="750">
        <f>SUMIFS(KH_ĐL!$J:$J,KH_ĐL!$CD:$CD,U$10&amp;$B70,KH_ĐL!$CE:$CE,"Lò")</f>
        <v>30</v>
      </c>
      <c r="V70" s="750">
        <f>SUMIFS(KH_ĐL!$J:$J,KH_ĐL!$CD:$CD,V$10&amp;$B70,KH_ĐL!$CE:$CE,"Lò")</f>
        <v>0</v>
      </c>
      <c r="W70" s="750">
        <f>SUMIFS(KH_ĐL!$J:$J,KH_ĐL!$CD:$CD,W$10&amp;$B70,KH_ĐL!$CE:$CE,"Lò")</f>
        <v>45</v>
      </c>
      <c r="X70" s="754"/>
      <c r="Y70" s="748"/>
      <c r="Z70" s="743"/>
      <c r="AA70" s="749"/>
      <c r="AB70" s="749"/>
      <c r="AC70" s="749"/>
      <c r="AD70" s="749"/>
      <c r="AE70" s="749"/>
    </row>
    <row r="71" spans="1:31" ht="19.5" outlineLevel="1" x14ac:dyDescent="0.3">
      <c r="A71" s="745"/>
      <c r="B71" s="732">
        <f t="shared" si="15"/>
        <v>9.5</v>
      </c>
      <c r="C71" s="746"/>
      <c r="D71" s="729">
        <f t="shared" si="12"/>
        <v>90</v>
      </c>
      <c r="E71" s="750">
        <f>SUMIFS(KH_ĐL!$J:$J,KH_ĐL!$CD:$CD,E$10&amp;$B71,KH_ĐL!$CE:$CE,"Lò")</f>
        <v>70</v>
      </c>
      <c r="F71" s="750">
        <f>SUMIFS(KH_ĐL!$J:$J,KH_ĐL!$CD:$CD,F$10&amp;$B71,KH_ĐL!$CE:$CE,"Lò")</f>
        <v>0</v>
      </c>
      <c r="G71" s="750">
        <f>SUMIFS(KH_ĐL!$J:$J,KH_ĐL!$CD:$CD,G$10&amp;$B71,KH_ĐL!$CE:$CE,"Lò")</f>
        <v>0</v>
      </c>
      <c r="H71" s="750">
        <f>SUMIFS(KH_ĐL!$J:$J,KH_ĐL!$CD:$CD,H$10&amp;$B71,KH_ĐL!$CE:$CE,"Lò")</f>
        <v>0</v>
      </c>
      <c r="I71" s="750">
        <f>SUMIFS(KH_ĐL!$J:$J,KH_ĐL!$CD:$CD,I$10&amp;$B71,KH_ĐL!$CE:$CE,"Lò")</f>
        <v>0</v>
      </c>
      <c r="J71" s="750">
        <f>SUMIFS(KH_ĐL!$J:$J,KH_ĐL!$CD:$CD,J$10&amp;$B71,KH_ĐL!$CE:$CE,"Lò")</f>
        <v>0</v>
      </c>
      <c r="K71" s="750">
        <f>SUMIFS(KH_ĐL!$J:$J,KH_ĐL!$CD:$CD,K$10&amp;$B71,KH_ĐL!$CE:$CE,"Lò")</f>
        <v>0</v>
      </c>
      <c r="L71" s="750">
        <f>SUMIFS(KH_ĐL!$J:$J,KH_ĐL!$CD:$CD,L$10&amp;$B71,KH_ĐL!$CE:$CE,"Lò")</f>
        <v>0</v>
      </c>
      <c r="M71" s="750">
        <f>SUMIFS(KH_ĐL!$J:$J,KH_ĐL!$CD:$CD,M$10&amp;$B71,KH_ĐL!$CE:$CE,"Lò")</f>
        <v>0</v>
      </c>
      <c r="N71" s="750">
        <f>SUMIFS(KH_ĐL!$J:$J,KH_ĐL!$CD:$CD,N$10&amp;$B71,KH_ĐL!$CE:$CE,"Lò")</f>
        <v>0</v>
      </c>
      <c r="O71" s="750">
        <f>SUMIFS(KH_ĐL!$J:$J,KH_ĐL!$CD:$CD,O$10&amp;$B71,KH_ĐL!$CE:$CE,"Lò")</f>
        <v>5</v>
      </c>
      <c r="P71" s="750">
        <f>SUMIFS(KH_ĐL!$J:$J,KH_ĐL!$CD:$CD,P$10&amp;$B71,KH_ĐL!$CE:$CE,"Lò")</f>
        <v>0</v>
      </c>
      <c r="Q71" s="750">
        <f>SUMIFS(KH_ĐL!$J:$J,KH_ĐL!$CD:$CD,Q$10&amp;$B71,KH_ĐL!$CE:$CE,"Lò")</f>
        <v>0</v>
      </c>
      <c r="R71" s="750">
        <f>SUMIFS(KH_ĐL!$J:$J,KH_ĐL!$CD:$CD,R$10&amp;$B71,KH_ĐL!$CE:$CE,"Lò")</f>
        <v>0</v>
      </c>
      <c r="S71" s="750">
        <f>SUMIFS(KH_ĐL!$J:$J,KH_ĐL!$CD:$CD,S$10&amp;$B71,KH_ĐL!$CE:$CE,"Lò")</f>
        <v>15</v>
      </c>
      <c r="T71" s="750">
        <f>SUMIFS(KH_ĐL!$J:$J,KH_ĐL!$CD:$CD,T$10&amp;$B71,KH_ĐL!$CE:$CE,"Lò")</f>
        <v>0</v>
      </c>
      <c r="U71" s="750">
        <f>SUMIFS(KH_ĐL!$J:$J,KH_ĐL!$CD:$CD,U$10&amp;$B71,KH_ĐL!$CE:$CE,"Lò")</f>
        <v>0</v>
      </c>
      <c r="V71" s="750">
        <f>SUMIFS(KH_ĐL!$J:$J,KH_ĐL!$CD:$CD,V$10&amp;$B71,KH_ĐL!$CE:$CE,"Lò")</f>
        <v>0</v>
      </c>
      <c r="W71" s="750">
        <f>SUMIFS(KH_ĐL!$J:$J,KH_ĐL!$CD:$CD,W$10&amp;$B71,KH_ĐL!$CE:$CE,"Lò")</f>
        <v>40</v>
      </c>
      <c r="X71" s="754"/>
      <c r="Y71" s="748"/>
      <c r="Z71" s="743"/>
      <c r="AA71" s="749"/>
      <c r="AB71" s="749"/>
      <c r="AC71" s="749"/>
      <c r="AD71" s="749"/>
      <c r="AE71" s="749"/>
    </row>
    <row r="72" spans="1:31" ht="19.5" hidden="1" outlineLevel="1" x14ac:dyDescent="0.3">
      <c r="A72" s="745"/>
      <c r="B72" s="732">
        <f t="shared" si="15"/>
        <v>10.8</v>
      </c>
      <c r="C72" s="746"/>
      <c r="D72" s="729">
        <f t="shared" si="12"/>
        <v>0</v>
      </c>
      <c r="E72" s="750">
        <f>SUMIFS(KH_ĐL!$J:$J,KH_ĐL!$CD:$CD,E$10&amp;$B72,KH_ĐL!$CE:$CE,"Lò")</f>
        <v>0</v>
      </c>
      <c r="F72" s="750">
        <f>SUMIFS(KH_ĐL!$J:$J,KH_ĐL!$CD:$CD,F$10&amp;$B72,KH_ĐL!$CE:$CE,"Lò")</f>
        <v>0</v>
      </c>
      <c r="G72" s="750">
        <f>SUMIFS(KH_ĐL!$J:$J,KH_ĐL!$CD:$CD,G$10&amp;$B72,KH_ĐL!$CE:$CE,"Lò")</f>
        <v>0</v>
      </c>
      <c r="H72" s="750">
        <f>SUMIFS(KH_ĐL!$J:$J,KH_ĐL!$CD:$CD,H$10&amp;$B72,KH_ĐL!$CE:$CE,"Lò")</f>
        <v>0</v>
      </c>
      <c r="I72" s="750">
        <f>SUMIFS(KH_ĐL!$J:$J,KH_ĐL!$CD:$CD,I$10&amp;$B72,KH_ĐL!$CE:$CE,"Lò")</f>
        <v>0</v>
      </c>
      <c r="J72" s="750">
        <f>SUMIFS(KH_ĐL!$J:$J,KH_ĐL!$CD:$CD,J$10&amp;$B72,KH_ĐL!$CE:$CE,"Lò")</f>
        <v>0</v>
      </c>
      <c r="K72" s="750">
        <f>SUMIFS(KH_ĐL!$J:$J,KH_ĐL!$CD:$CD,K$10&amp;$B72,KH_ĐL!$CE:$CE,"Lò")</f>
        <v>0</v>
      </c>
      <c r="L72" s="750">
        <f>SUMIFS(KH_ĐL!$J:$J,KH_ĐL!$CD:$CD,L$10&amp;$B72,KH_ĐL!$CE:$CE,"Lò")</f>
        <v>0</v>
      </c>
      <c r="M72" s="750">
        <f>SUMIFS(KH_ĐL!$J:$J,KH_ĐL!$CD:$CD,M$10&amp;$B72,KH_ĐL!$CE:$CE,"Lò")</f>
        <v>0</v>
      </c>
      <c r="N72" s="750">
        <f>SUMIFS(KH_ĐL!$J:$J,KH_ĐL!$CD:$CD,N$10&amp;$B72,KH_ĐL!$CE:$CE,"Lò")</f>
        <v>0</v>
      </c>
      <c r="O72" s="750">
        <f>SUMIFS(KH_ĐL!$J:$J,KH_ĐL!$CD:$CD,O$10&amp;$B72,KH_ĐL!$CE:$CE,"Lò")</f>
        <v>0</v>
      </c>
      <c r="P72" s="750">
        <f>SUMIFS(KH_ĐL!$J:$J,KH_ĐL!$CD:$CD,P$10&amp;$B72,KH_ĐL!$CE:$CE,"Lò")</f>
        <v>0</v>
      </c>
      <c r="Q72" s="750">
        <f>SUMIFS(KH_ĐL!$J:$J,KH_ĐL!$CD:$CD,Q$10&amp;$B72,KH_ĐL!$CE:$CE,"Lò")</f>
        <v>0</v>
      </c>
      <c r="R72" s="750">
        <f>SUMIFS(KH_ĐL!$J:$J,KH_ĐL!$CD:$CD,R$10&amp;$B72,KH_ĐL!$CE:$CE,"Lò")</f>
        <v>0</v>
      </c>
      <c r="S72" s="750">
        <f>SUMIFS(KH_ĐL!$J:$J,KH_ĐL!$CD:$CD,S$10&amp;$B72,KH_ĐL!$CE:$CE,"Lò")</f>
        <v>0</v>
      </c>
      <c r="T72" s="750">
        <f>SUMIFS(KH_ĐL!$J:$J,KH_ĐL!$CD:$CD,T$10&amp;$B72,KH_ĐL!$CE:$CE,"Lò")</f>
        <v>0</v>
      </c>
      <c r="U72" s="750">
        <f>SUMIFS(KH_ĐL!$J:$J,KH_ĐL!$CD:$CD,U$10&amp;$B72,KH_ĐL!$CE:$CE,"Lò")</f>
        <v>0</v>
      </c>
      <c r="V72" s="750">
        <f>SUMIFS(KH_ĐL!$J:$J,KH_ĐL!$CD:$CD,V$10&amp;$B72,KH_ĐL!$CE:$CE,"Lò")</f>
        <v>0</v>
      </c>
      <c r="W72" s="750">
        <f>SUMIFS(KH_ĐL!$J:$J,KH_ĐL!$CD:$CD,W$10&amp;$B72,KH_ĐL!$CE:$CE,"Lò")</f>
        <v>0</v>
      </c>
      <c r="X72" s="754"/>
      <c r="Y72" s="748"/>
      <c r="Z72" s="743"/>
      <c r="AA72" s="749"/>
      <c r="AB72" s="749"/>
      <c r="AC72" s="749"/>
      <c r="AD72" s="749"/>
      <c r="AE72" s="749"/>
    </row>
    <row r="73" spans="1:31" ht="19.5" outlineLevel="1" x14ac:dyDescent="0.3">
      <c r="A73" s="745"/>
      <c r="B73" s="732">
        <f t="shared" si="15"/>
        <v>11.2</v>
      </c>
      <c r="C73" s="746"/>
      <c r="D73" s="729">
        <f t="shared" si="12"/>
        <v>1094</v>
      </c>
      <c r="E73" s="750">
        <f>SUMIFS(KH_ĐL!$J:$J,KH_ĐL!$CD:$CD,E$10&amp;$B73,KH_ĐL!$CE:$CE,"Lò")</f>
        <v>131</v>
      </c>
      <c r="F73" s="750">
        <f>SUMIFS(KH_ĐL!$J:$J,KH_ĐL!$CD:$CD,F$10&amp;$B73,KH_ĐL!$CE:$CE,"Lò")</f>
        <v>20</v>
      </c>
      <c r="G73" s="750">
        <f>SUMIFS(KH_ĐL!$J:$J,KH_ĐL!$CD:$CD,G$10&amp;$B73,KH_ĐL!$CE:$CE,"Lò")</f>
        <v>140</v>
      </c>
      <c r="H73" s="750">
        <f>SUMIFS(KH_ĐL!$J:$J,KH_ĐL!$CD:$CD,H$10&amp;$B73,KH_ĐL!$CE:$CE,"Lò")</f>
        <v>0</v>
      </c>
      <c r="I73" s="750">
        <f>SUMIFS(KH_ĐL!$J:$J,KH_ĐL!$CD:$CD,I$10&amp;$B73,KH_ĐL!$CE:$CE,"Lò")</f>
        <v>0</v>
      </c>
      <c r="J73" s="750">
        <f>SUMIFS(KH_ĐL!$J:$J,KH_ĐL!$CD:$CD,J$10&amp;$B73,KH_ĐL!$CE:$CE,"Lò")</f>
        <v>60</v>
      </c>
      <c r="K73" s="750">
        <f>SUMIFS(KH_ĐL!$J:$J,KH_ĐL!$CD:$CD,K$10&amp;$B73,KH_ĐL!$CE:$CE,"Lò")</f>
        <v>5</v>
      </c>
      <c r="L73" s="750">
        <f>SUMIFS(KH_ĐL!$J:$J,KH_ĐL!$CD:$CD,L$10&amp;$B73,KH_ĐL!$CE:$CE,"Lò")</f>
        <v>0</v>
      </c>
      <c r="M73" s="750">
        <f>SUMIFS(KH_ĐL!$J:$J,KH_ĐL!$CD:$CD,M$10&amp;$B73,KH_ĐL!$CE:$CE,"Lò")</f>
        <v>15</v>
      </c>
      <c r="N73" s="750">
        <f>SUMIFS(KH_ĐL!$J:$J,KH_ĐL!$CD:$CD,N$10&amp;$B73,KH_ĐL!$CE:$CE,"Lò")</f>
        <v>35</v>
      </c>
      <c r="O73" s="750">
        <f>SUMIFS(KH_ĐL!$J:$J,KH_ĐL!$CD:$CD,O$10&amp;$B73,KH_ĐL!$CE:$CE,"Lò")</f>
        <v>0</v>
      </c>
      <c r="P73" s="750">
        <f>SUMIFS(KH_ĐL!$J:$J,KH_ĐL!$CD:$CD,P$10&amp;$B73,KH_ĐL!$CE:$CE,"Lò")</f>
        <v>0</v>
      </c>
      <c r="Q73" s="750">
        <f>SUMIFS(KH_ĐL!$J:$J,KH_ĐL!$CD:$CD,Q$10&amp;$B73,KH_ĐL!$CE:$CE,"Lò")</f>
        <v>0</v>
      </c>
      <c r="R73" s="750">
        <f>SUMIFS(KH_ĐL!$J:$J,KH_ĐL!$CD:$CD,R$10&amp;$B73,KH_ĐL!$CE:$CE,"Lò")</f>
        <v>100</v>
      </c>
      <c r="S73" s="750">
        <f>SUMIFS(KH_ĐL!$J:$J,KH_ĐL!$CD:$CD,S$10&amp;$B73,KH_ĐL!$CE:$CE,"Lò")</f>
        <v>0</v>
      </c>
      <c r="T73" s="750">
        <f>SUMIFS(KH_ĐL!$J:$J,KH_ĐL!$CD:$CD,T$10&amp;$B73,KH_ĐL!$CE:$CE,"Lò")</f>
        <v>140</v>
      </c>
      <c r="U73" s="750">
        <f>SUMIFS(KH_ĐL!$J:$J,KH_ĐL!$CD:$CD,U$10&amp;$B73,KH_ĐL!$CE:$CE,"Lò")</f>
        <v>165</v>
      </c>
      <c r="V73" s="750">
        <f>SUMIFS(KH_ĐL!$J:$J,KH_ĐL!$CD:$CD,V$10&amp;$B73,KH_ĐL!$CE:$CE,"Lò")</f>
        <v>283</v>
      </c>
      <c r="W73" s="750">
        <f>SUMIFS(KH_ĐL!$J:$J,KH_ĐL!$CD:$CD,W$10&amp;$B73,KH_ĐL!$CE:$CE,"Lò")</f>
        <v>425</v>
      </c>
      <c r="X73" s="754"/>
      <c r="Y73" s="748"/>
      <c r="Z73" s="743"/>
      <c r="AA73" s="749"/>
      <c r="AB73" s="749"/>
      <c r="AC73" s="749"/>
      <c r="AD73" s="749"/>
      <c r="AE73" s="749"/>
    </row>
    <row r="74" spans="1:31" ht="19.5" outlineLevel="1" x14ac:dyDescent="0.3">
      <c r="A74" s="745"/>
      <c r="B74" s="732">
        <f t="shared" si="15"/>
        <v>13.1</v>
      </c>
      <c r="C74" s="746"/>
      <c r="D74" s="729">
        <f t="shared" si="12"/>
        <v>508</v>
      </c>
      <c r="E74" s="750">
        <f>SUMIFS(KH_ĐL!$J:$J,KH_ĐL!$CD:$CD,E$10&amp;$B74,KH_ĐL!$CE:$CE,"Lò")</f>
        <v>0</v>
      </c>
      <c r="F74" s="750">
        <f>SUMIFS(KH_ĐL!$J:$J,KH_ĐL!$CD:$CD,F$10&amp;$B74,KH_ĐL!$CE:$CE,"Lò")</f>
        <v>0</v>
      </c>
      <c r="G74" s="750">
        <f>SUMIFS(KH_ĐL!$J:$J,KH_ĐL!$CD:$CD,G$10&amp;$B74,KH_ĐL!$CE:$CE,"Lò")</f>
        <v>0</v>
      </c>
      <c r="H74" s="750">
        <f>SUMIFS(KH_ĐL!$J:$J,KH_ĐL!$CD:$CD,H$10&amp;$B74,KH_ĐL!$CE:$CE,"Lò")</f>
        <v>0</v>
      </c>
      <c r="I74" s="750">
        <f>SUMIFS(KH_ĐL!$J:$J,KH_ĐL!$CD:$CD,I$10&amp;$B74,KH_ĐL!$CE:$CE,"Lò")</f>
        <v>0</v>
      </c>
      <c r="J74" s="750">
        <f>SUMIFS(KH_ĐL!$J:$J,KH_ĐL!$CD:$CD,J$10&amp;$B74,KH_ĐL!$CE:$CE,"Lò")</f>
        <v>0</v>
      </c>
      <c r="K74" s="750">
        <f>SUMIFS(KH_ĐL!$J:$J,KH_ĐL!$CD:$CD,K$10&amp;$B74,KH_ĐL!$CE:$CE,"Lò")</f>
        <v>0</v>
      </c>
      <c r="L74" s="750">
        <f>SUMIFS(KH_ĐL!$J:$J,KH_ĐL!$CD:$CD,L$10&amp;$B74,KH_ĐL!$CE:$CE,"Lò")</f>
        <v>0</v>
      </c>
      <c r="M74" s="750">
        <f>SUMIFS(KH_ĐL!$J:$J,KH_ĐL!$CD:$CD,M$10&amp;$B74,KH_ĐL!$CE:$CE,"Lò")</f>
        <v>10</v>
      </c>
      <c r="N74" s="750">
        <f>SUMIFS(KH_ĐL!$J:$J,KH_ĐL!$CD:$CD,N$10&amp;$B74,KH_ĐL!$CE:$CE,"Lò")</f>
        <v>0</v>
      </c>
      <c r="O74" s="750">
        <f>SUMIFS(KH_ĐL!$J:$J,KH_ĐL!$CD:$CD,O$10&amp;$B74,KH_ĐL!$CE:$CE,"Lò")</f>
        <v>0</v>
      </c>
      <c r="P74" s="750">
        <f>SUMIFS(KH_ĐL!$J:$J,KH_ĐL!$CD:$CD,P$10&amp;$B74,KH_ĐL!$CE:$CE,"Lò")</f>
        <v>0</v>
      </c>
      <c r="Q74" s="750">
        <f>SUMIFS(KH_ĐL!$J:$J,KH_ĐL!$CD:$CD,Q$10&amp;$B74,KH_ĐL!$CE:$CE,"Lò")</f>
        <v>285</v>
      </c>
      <c r="R74" s="750">
        <f>SUMIFS(KH_ĐL!$J:$J,KH_ĐL!$CD:$CD,R$10&amp;$B74,KH_ĐL!$CE:$CE,"Lò")</f>
        <v>55</v>
      </c>
      <c r="S74" s="750">
        <f>SUMIFS(KH_ĐL!$J:$J,KH_ĐL!$CD:$CD,S$10&amp;$B74,KH_ĐL!$CE:$CE,"Lò")</f>
        <v>65</v>
      </c>
      <c r="T74" s="750">
        <f>SUMIFS(KH_ĐL!$J:$J,KH_ĐL!$CD:$CD,T$10&amp;$B74,KH_ĐL!$CE:$CE,"Lò")</f>
        <v>0</v>
      </c>
      <c r="U74" s="750">
        <f>SUMIFS(KH_ĐL!$J:$J,KH_ĐL!$CD:$CD,U$10&amp;$B74,KH_ĐL!$CE:$CE,"Lò")</f>
        <v>0</v>
      </c>
      <c r="V74" s="750">
        <f>SUMIFS(KH_ĐL!$J:$J,KH_ĐL!$CD:$CD,V$10&amp;$B74,KH_ĐL!$CE:$CE,"Lò")</f>
        <v>93</v>
      </c>
      <c r="W74" s="750">
        <f>SUMIFS(KH_ĐL!$J:$J,KH_ĐL!$CD:$CD,W$10&amp;$B74,KH_ĐL!$CE:$CE,"Lò")</f>
        <v>345</v>
      </c>
      <c r="X74" s="754"/>
      <c r="Y74" s="748"/>
      <c r="Z74" s="743"/>
      <c r="AA74" s="749"/>
      <c r="AB74" s="749"/>
      <c r="AC74" s="749"/>
      <c r="AD74" s="749"/>
      <c r="AE74" s="749"/>
    </row>
    <row r="75" spans="1:31" ht="19.5" outlineLevel="1" x14ac:dyDescent="0.3">
      <c r="A75" s="745"/>
      <c r="B75" s="732">
        <f t="shared" si="15"/>
        <v>14.5</v>
      </c>
      <c r="C75" s="746"/>
      <c r="D75" s="729">
        <f t="shared" si="12"/>
        <v>10</v>
      </c>
      <c r="E75" s="750">
        <f>SUMIFS(KH_ĐL!$J:$J,KH_ĐL!$CD:$CD,E$10&amp;$B75,KH_ĐL!$CE:$CE,"Lò")</f>
        <v>0</v>
      </c>
      <c r="F75" s="750">
        <f>SUMIFS(KH_ĐL!$J:$J,KH_ĐL!$CD:$CD,F$10&amp;$B75,KH_ĐL!$CE:$CE,"Lò")</f>
        <v>0</v>
      </c>
      <c r="G75" s="750">
        <f>SUMIFS(KH_ĐL!$J:$J,KH_ĐL!$CD:$CD,G$10&amp;$B75,KH_ĐL!$CE:$CE,"Lò")</f>
        <v>0</v>
      </c>
      <c r="H75" s="750">
        <f>SUMIFS(KH_ĐL!$J:$J,KH_ĐL!$CD:$CD,H$10&amp;$B75,KH_ĐL!$CE:$CE,"Lò")</f>
        <v>0</v>
      </c>
      <c r="I75" s="750">
        <f>SUMIFS(KH_ĐL!$J:$J,KH_ĐL!$CD:$CD,I$10&amp;$B75,KH_ĐL!$CE:$CE,"Lò")</f>
        <v>0</v>
      </c>
      <c r="J75" s="750">
        <f>SUMIFS(KH_ĐL!$J:$J,KH_ĐL!$CD:$CD,J$10&amp;$B75,KH_ĐL!$CE:$CE,"Lò")</f>
        <v>0</v>
      </c>
      <c r="K75" s="750">
        <f>SUMIFS(KH_ĐL!$J:$J,KH_ĐL!$CD:$CD,K$10&amp;$B75,KH_ĐL!$CE:$CE,"Lò")</f>
        <v>0</v>
      </c>
      <c r="L75" s="750">
        <f>SUMIFS(KH_ĐL!$J:$J,KH_ĐL!$CD:$CD,L$10&amp;$B75,KH_ĐL!$CE:$CE,"Lò")</f>
        <v>10</v>
      </c>
      <c r="M75" s="750">
        <f>SUMIFS(KH_ĐL!$J:$J,KH_ĐL!$CD:$CD,M$10&amp;$B75,KH_ĐL!$CE:$CE,"Lò")</f>
        <v>0</v>
      </c>
      <c r="N75" s="750">
        <f>SUMIFS(KH_ĐL!$J:$J,KH_ĐL!$CD:$CD,N$10&amp;$B75,KH_ĐL!$CE:$CE,"Lò")</f>
        <v>0</v>
      </c>
      <c r="O75" s="750">
        <f>SUMIFS(KH_ĐL!$J:$J,KH_ĐL!$CD:$CD,O$10&amp;$B75,KH_ĐL!$CE:$CE,"Lò")</f>
        <v>0</v>
      </c>
      <c r="P75" s="750">
        <f>SUMIFS(KH_ĐL!$J:$J,KH_ĐL!$CD:$CD,P$10&amp;$B75,KH_ĐL!$CE:$CE,"Lò")</f>
        <v>0</v>
      </c>
      <c r="Q75" s="750">
        <f>SUMIFS(KH_ĐL!$J:$J,KH_ĐL!$CD:$CD,Q$10&amp;$B75,KH_ĐL!$CE:$CE,"Lò")</f>
        <v>0</v>
      </c>
      <c r="R75" s="750">
        <f>SUMIFS(KH_ĐL!$J:$J,KH_ĐL!$CD:$CD,R$10&amp;$B75,KH_ĐL!$CE:$CE,"Lò")</f>
        <v>0</v>
      </c>
      <c r="S75" s="750">
        <f>SUMIFS(KH_ĐL!$J:$J,KH_ĐL!$CD:$CD,S$10&amp;$B75,KH_ĐL!$CE:$CE,"Lò")</f>
        <v>0</v>
      </c>
      <c r="T75" s="750">
        <f>SUMIFS(KH_ĐL!$J:$J,KH_ĐL!$CD:$CD,T$10&amp;$B75,KH_ĐL!$CE:$CE,"Lò")</f>
        <v>0</v>
      </c>
      <c r="U75" s="750">
        <f>SUMIFS(KH_ĐL!$J:$J,KH_ĐL!$CD:$CD,U$10&amp;$B75,KH_ĐL!$CE:$CE,"Lò")</f>
        <v>0</v>
      </c>
      <c r="V75" s="750">
        <f>SUMIFS(KH_ĐL!$J:$J,KH_ĐL!$CD:$CD,V$10&amp;$B75,KH_ĐL!$CE:$CE,"Lò")</f>
        <v>0</v>
      </c>
      <c r="W75" s="750">
        <f>SUMIFS(KH_ĐL!$J:$J,KH_ĐL!$CD:$CD,W$10&amp;$B75,KH_ĐL!$CE:$CE,"Lò")</f>
        <v>0</v>
      </c>
      <c r="X75" s="754"/>
      <c r="Y75" s="748"/>
      <c r="Z75" s="743"/>
      <c r="AA75" s="749"/>
      <c r="AB75" s="749"/>
      <c r="AC75" s="749"/>
      <c r="AD75" s="749"/>
      <c r="AE75" s="749"/>
    </row>
    <row r="76" spans="1:31" ht="19.5" outlineLevel="1" x14ac:dyDescent="0.3">
      <c r="A76" s="745"/>
      <c r="B76" s="732">
        <f t="shared" si="15"/>
        <v>16.100000000000001</v>
      </c>
      <c r="C76" s="746"/>
      <c r="D76" s="729">
        <f t="shared" si="12"/>
        <v>2266</v>
      </c>
      <c r="E76" s="750">
        <f>SUMIFS(KH_ĐL!$J:$J,KH_ĐL!$CD:$CD,E$10&amp;$B76,KH_ĐL!$CE:$CE,"Lò")</f>
        <v>0</v>
      </c>
      <c r="F76" s="750">
        <f>SUMIFS(KH_ĐL!$J:$J,KH_ĐL!$CD:$CD,F$10&amp;$B76,KH_ĐL!$CE:$CE,"Lò")</f>
        <v>0</v>
      </c>
      <c r="G76" s="750">
        <f>SUMIFS(KH_ĐL!$J:$J,KH_ĐL!$CD:$CD,G$10&amp;$B76,KH_ĐL!$CE:$CE,"Lò")</f>
        <v>0</v>
      </c>
      <c r="H76" s="750">
        <f>SUMIFS(KH_ĐL!$J:$J,KH_ĐL!$CD:$CD,H$10&amp;$B76,KH_ĐL!$CE:$CE,"Lò")</f>
        <v>0</v>
      </c>
      <c r="I76" s="750">
        <f>SUMIFS(KH_ĐL!$J:$J,KH_ĐL!$CD:$CD,I$10&amp;$B76,KH_ĐL!$CE:$CE,"Lò")</f>
        <v>0</v>
      </c>
      <c r="J76" s="750">
        <f>SUMIFS(KH_ĐL!$J:$J,KH_ĐL!$CD:$CD,J$10&amp;$B76,KH_ĐL!$CE:$CE,"Lò")</f>
        <v>0</v>
      </c>
      <c r="K76" s="750">
        <f>SUMIFS(KH_ĐL!$J:$J,KH_ĐL!$CD:$CD,K$10&amp;$B76,KH_ĐL!$CE:$CE,"Lò")</f>
        <v>0</v>
      </c>
      <c r="L76" s="750">
        <f>SUMIFS(KH_ĐL!$J:$J,KH_ĐL!$CD:$CD,L$10&amp;$B76,KH_ĐL!$CE:$CE,"Lò")</f>
        <v>0</v>
      </c>
      <c r="M76" s="750">
        <f>SUMIFS(KH_ĐL!$J:$J,KH_ĐL!$CD:$CD,M$10&amp;$B76,KH_ĐL!$CE:$CE,"Lò")</f>
        <v>0</v>
      </c>
      <c r="N76" s="750">
        <f>SUMIFS(KH_ĐL!$J:$J,KH_ĐL!$CD:$CD,N$10&amp;$B76,KH_ĐL!$CE:$CE,"Lò")</f>
        <v>0</v>
      </c>
      <c r="O76" s="750">
        <f>SUMIFS(KH_ĐL!$J:$J,KH_ĐL!$CD:$CD,O$10&amp;$B76,KH_ĐL!$CE:$CE,"Lò")</f>
        <v>0</v>
      </c>
      <c r="P76" s="750">
        <f>SUMIFS(KH_ĐL!$J:$J,KH_ĐL!$CD:$CD,P$10&amp;$B76,KH_ĐL!$CE:$CE,"Lò")</f>
        <v>490</v>
      </c>
      <c r="Q76" s="750">
        <f>SUMIFS(KH_ĐL!$J:$J,KH_ĐL!$CD:$CD,Q$10&amp;$B76,KH_ĐL!$CE:$CE,"Lò")</f>
        <v>200</v>
      </c>
      <c r="R76" s="750">
        <f>SUMIFS(KH_ĐL!$J:$J,KH_ĐL!$CD:$CD,R$10&amp;$B76,KH_ĐL!$CE:$CE,"Lò")</f>
        <v>443</v>
      </c>
      <c r="S76" s="750">
        <f>SUMIFS(KH_ĐL!$J:$J,KH_ĐL!$CD:$CD,S$10&amp;$B76,KH_ĐL!$CE:$CE,"Lò")</f>
        <v>175</v>
      </c>
      <c r="T76" s="750">
        <f>SUMIFS(KH_ĐL!$J:$J,KH_ĐL!$CD:$CD,T$10&amp;$B76,KH_ĐL!$CE:$CE,"Lò")</f>
        <v>468</v>
      </c>
      <c r="U76" s="750">
        <f>SUMIFS(KH_ĐL!$J:$J,KH_ĐL!$CD:$CD,U$10&amp;$B76,KH_ĐL!$CE:$CE,"Lò")</f>
        <v>165</v>
      </c>
      <c r="V76" s="750">
        <f>SUMIFS(KH_ĐL!$J:$J,KH_ĐL!$CD:$CD,V$10&amp;$B76,KH_ĐL!$CE:$CE,"Lò")</f>
        <v>325</v>
      </c>
      <c r="W76" s="750">
        <f>SUMIFS(KH_ĐL!$J:$J,KH_ĐL!$CD:$CD,W$10&amp;$B76,KH_ĐL!$CE:$CE,"Lò")</f>
        <v>395</v>
      </c>
      <c r="X76" s="754"/>
      <c r="Y76" s="748"/>
      <c r="Z76" s="743"/>
      <c r="AA76" s="749"/>
      <c r="AB76" s="749"/>
      <c r="AC76" s="749"/>
      <c r="AD76" s="749"/>
      <c r="AE76" s="749"/>
    </row>
    <row r="77" spans="1:31" ht="19.5" hidden="1" outlineLevel="1" x14ac:dyDescent="0.3">
      <c r="A77" s="745"/>
      <c r="B77" s="732">
        <f t="shared" si="15"/>
        <v>17.8</v>
      </c>
      <c r="C77" s="746"/>
      <c r="D77" s="729">
        <f t="shared" si="12"/>
        <v>0</v>
      </c>
      <c r="E77" s="750">
        <f>SUMIFS(KH_ĐL!$J:$J,KH_ĐL!$CD:$CD,E$10&amp;$B77,KH_ĐL!$CE:$CE,"Lò")</f>
        <v>0</v>
      </c>
      <c r="F77" s="750">
        <f>SUMIFS(KH_ĐL!$J:$J,KH_ĐL!$CD:$CD,F$10&amp;$B77,KH_ĐL!$CE:$CE,"Lò")</f>
        <v>0</v>
      </c>
      <c r="G77" s="750">
        <f>SUMIFS(KH_ĐL!$J:$J,KH_ĐL!$CD:$CD,G$10&amp;$B77,KH_ĐL!$CE:$CE,"Lò")</f>
        <v>0</v>
      </c>
      <c r="H77" s="750">
        <f>SUMIFS(KH_ĐL!$J:$J,KH_ĐL!$CD:$CD,H$10&amp;$B77,KH_ĐL!$CE:$CE,"Lò")</f>
        <v>0</v>
      </c>
      <c r="I77" s="750">
        <f>SUMIFS(KH_ĐL!$J:$J,KH_ĐL!$CD:$CD,I$10&amp;$B77,KH_ĐL!$CE:$CE,"Lò")</f>
        <v>0</v>
      </c>
      <c r="J77" s="750">
        <f>SUMIFS(KH_ĐL!$J:$J,KH_ĐL!$CD:$CD,J$10&amp;$B77,KH_ĐL!$CE:$CE,"Lò")</f>
        <v>0</v>
      </c>
      <c r="K77" s="750">
        <f>SUMIFS(KH_ĐL!$J:$J,KH_ĐL!$CD:$CD,K$10&amp;$B77,KH_ĐL!$CE:$CE,"Lò")</f>
        <v>0</v>
      </c>
      <c r="L77" s="750">
        <f>SUMIFS(KH_ĐL!$J:$J,KH_ĐL!$CD:$CD,L$10&amp;$B77,KH_ĐL!$CE:$CE,"Lò")</f>
        <v>0</v>
      </c>
      <c r="M77" s="750">
        <f>SUMIFS(KH_ĐL!$J:$J,KH_ĐL!$CD:$CD,M$10&amp;$B77,KH_ĐL!$CE:$CE,"Lò")</f>
        <v>0</v>
      </c>
      <c r="N77" s="750">
        <f>SUMIFS(KH_ĐL!$J:$J,KH_ĐL!$CD:$CD,N$10&amp;$B77,KH_ĐL!$CE:$CE,"Lò")</f>
        <v>0</v>
      </c>
      <c r="O77" s="750">
        <f>SUMIFS(KH_ĐL!$J:$J,KH_ĐL!$CD:$CD,O$10&amp;$B77,KH_ĐL!$CE:$CE,"Lò")</f>
        <v>0</v>
      </c>
      <c r="P77" s="750">
        <f>SUMIFS(KH_ĐL!$J:$J,KH_ĐL!$CD:$CD,P$10&amp;$B77,KH_ĐL!$CE:$CE,"Lò")</f>
        <v>0</v>
      </c>
      <c r="Q77" s="750">
        <f>SUMIFS(KH_ĐL!$J:$J,KH_ĐL!$CD:$CD,Q$10&amp;$B77,KH_ĐL!$CE:$CE,"Lò")</f>
        <v>0</v>
      </c>
      <c r="R77" s="750">
        <f>SUMIFS(KH_ĐL!$J:$J,KH_ĐL!$CD:$CD,R$10&amp;$B77,KH_ĐL!$CE:$CE,"Lò")</f>
        <v>0</v>
      </c>
      <c r="S77" s="750">
        <f>SUMIFS(KH_ĐL!$J:$J,KH_ĐL!$CD:$CD,S$10&amp;$B77,KH_ĐL!$CE:$CE,"Lò")</f>
        <v>0</v>
      </c>
      <c r="T77" s="750">
        <f>SUMIFS(KH_ĐL!$J:$J,KH_ĐL!$CD:$CD,T$10&amp;$B77,KH_ĐL!$CE:$CE,"Lò")</f>
        <v>0</v>
      </c>
      <c r="U77" s="750">
        <f>SUMIFS(KH_ĐL!$J:$J,KH_ĐL!$CD:$CD,U$10&amp;$B77,KH_ĐL!$CE:$CE,"Lò")</f>
        <v>0</v>
      </c>
      <c r="V77" s="750">
        <f>SUMIFS(KH_ĐL!$J:$J,KH_ĐL!$CD:$CD,V$10&amp;$B77,KH_ĐL!$CE:$CE,"Lò")</f>
        <v>0</v>
      </c>
      <c r="W77" s="750">
        <f>SUMIFS(KH_ĐL!$J:$J,KH_ĐL!$CD:$CD,W$10&amp;$B77,KH_ĐL!$CE:$CE,"Lò")</f>
        <v>0</v>
      </c>
      <c r="X77" s="754"/>
      <c r="Y77" s="748"/>
      <c r="Z77" s="743"/>
      <c r="AA77" s="749"/>
      <c r="AB77" s="749"/>
      <c r="AC77" s="749"/>
      <c r="AD77" s="749"/>
      <c r="AE77" s="749"/>
    </row>
    <row r="78" spans="1:31" ht="19.5" outlineLevel="1" x14ac:dyDescent="0.3">
      <c r="A78" s="745"/>
      <c r="B78" s="732">
        <f t="shared" si="15"/>
        <v>17.899999999999999</v>
      </c>
      <c r="C78" s="746"/>
      <c r="D78" s="729">
        <f t="shared" si="12"/>
        <v>355</v>
      </c>
      <c r="E78" s="750">
        <f>SUMIFS(KH_ĐL!$J:$J,KH_ĐL!$CD:$CD,E$10&amp;$B78,KH_ĐL!$CE:$CE,"Lò")</f>
        <v>0</v>
      </c>
      <c r="F78" s="750">
        <f>SUMIFS(KH_ĐL!$J:$J,KH_ĐL!$CD:$CD,F$10&amp;$B78,KH_ĐL!$CE:$CE,"Lò")</f>
        <v>0</v>
      </c>
      <c r="G78" s="750">
        <f>SUMIFS(KH_ĐL!$J:$J,KH_ĐL!$CD:$CD,G$10&amp;$B78,KH_ĐL!$CE:$CE,"Lò")</f>
        <v>0</v>
      </c>
      <c r="H78" s="750">
        <f>SUMIFS(KH_ĐL!$J:$J,KH_ĐL!$CD:$CD,H$10&amp;$B78,KH_ĐL!$CE:$CE,"Lò")</f>
        <v>0</v>
      </c>
      <c r="I78" s="750">
        <f>SUMIFS(KH_ĐL!$J:$J,KH_ĐL!$CD:$CD,I$10&amp;$B78,KH_ĐL!$CE:$CE,"Lò")</f>
        <v>0</v>
      </c>
      <c r="J78" s="750">
        <f>SUMIFS(KH_ĐL!$J:$J,KH_ĐL!$CD:$CD,J$10&amp;$B78,KH_ĐL!$CE:$CE,"Lò")</f>
        <v>0</v>
      </c>
      <c r="K78" s="750">
        <f>SUMIFS(KH_ĐL!$J:$J,KH_ĐL!$CD:$CD,K$10&amp;$B78,KH_ĐL!$CE:$CE,"Lò")</f>
        <v>0</v>
      </c>
      <c r="L78" s="750">
        <f>SUMIFS(KH_ĐL!$J:$J,KH_ĐL!$CD:$CD,L$10&amp;$B78,KH_ĐL!$CE:$CE,"Lò")</f>
        <v>0</v>
      </c>
      <c r="M78" s="750">
        <f>SUMIFS(KH_ĐL!$J:$J,KH_ĐL!$CD:$CD,M$10&amp;$B78,KH_ĐL!$CE:$CE,"Lò")</f>
        <v>0</v>
      </c>
      <c r="N78" s="750">
        <f>SUMIFS(KH_ĐL!$J:$J,KH_ĐL!$CD:$CD,N$10&amp;$B78,KH_ĐL!$CE:$CE,"Lò")</f>
        <v>0</v>
      </c>
      <c r="O78" s="750">
        <f>SUMIFS(KH_ĐL!$J:$J,KH_ĐL!$CD:$CD,O$10&amp;$B78,KH_ĐL!$CE:$CE,"Lò")</f>
        <v>0</v>
      </c>
      <c r="P78" s="750">
        <f>SUMIFS(KH_ĐL!$J:$J,KH_ĐL!$CD:$CD,P$10&amp;$B78,KH_ĐL!$CE:$CE,"Lò")</f>
        <v>0</v>
      </c>
      <c r="Q78" s="750">
        <f>SUMIFS(KH_ĐL!$J:$J,KH_ĐL!$CD:$CD,Q$10&amp;$B78,KH_ĐL!$CE:$CE,"Lò")</f>
        <v>355</v>
      </c>
      <c r="R78" s="750">
        <f>SUMIFS(KH_ĐL!$J:$J,KH_ĐL!$CD:$CD,R$10&amp;$B78,KH_ĐL!$CE:$CE,"Lò")</f>
        <v>0</v>
      </c>
      <c r="S78" s="750">
        <f>SUMIFS(KH_ĐL!$J:$J,KH_ĐL!$CD:$CD,S$10&amp;$B78,KH_ĐL!$CE:$CE,"Lò")</f>
        <v>0</v>
      </c>
      <c r="T78" s="750">
        <f>SUMIFS(KH_ĐL!$J:$J,KH_ĐL!$CD:$CD,T$10&amp;$B78,KH_ĐL!$CE:$CE,"Lò")</f>
        <v>0</v>
      </c>
      <c r="U78" s="750">
        <f>SUMIFS(KH_ĐL!$J:$J,KH_ĐL!$CD:$CD,U$10&amp;$B78,KH_ĐL!$CE:$CE,"Lò")</f>
        <v>0</v>
      </c>
      <c r="V78" s="750">
        <f>SUMIFS(KH_ĐL!$J:$J,KH_ĐL!$CD:$CD,V$10&amp;$B78,KH_ĐL!$CE:$CE,"Lò")</f>
        <v>0</v>
      </c>
      <c r="W78" s="750">
        <f>SUMIFS(KH_ĐL!$J:$J,KH_ĐL!$CD:$CD,W$10&amp;$B78,KH_ĐL!$CE:$CE,"Lò")</f>
        <v>0</v>
      </c>
      <c r="X78" s="754"/>
      <c r="Y78" s="748"/>
      <c r="Z78" s="743"/>
      <c r="AA78" s="749"/>
      <c r="AB78" s="749"/>
      <c r="AC78" s="749"/>
      <c r="AD78" s="749"/>
      <c r="AE78" s="749"/>
    </row>
    <row r="79" spans="1:31" ht="19.5" hidden="1" outlineLevel="1" x14ac:dyDescent="0.3">
      <c r="A79" s="745"/>
      <c r="B79" s="732">
        <f t="shared" si="15"/>
        <v>18.5</v>
      </c>
      <c r="C79" s="746"/>
      <c r="D79" s="729">
        <f t="shared" si="12"/>
        <v>0</v>
      </c>
      <c r="E79" s="750">
        <f>SUMIFS(KH_ĐL!$J:$J,KH_ĐL!$CD:$CD,E$10&amp;$B79,KH_ĐL!$CE:$CE,"Lò")</f>
        <v>0</v>
      </c>
      <c r="F79" s="750">
        <f>SUMIFS(KH_ĐL!$J:$J,KH_ĐL!$CD:$CD,F$10&amp;$B79,KH_ĐL!$CE:$CE,"Lò")</f>
        <v>0</v>
      </c>
      <c r="G79" s="750">
        <f>SUMIFS(KH_ĐL!$J:$J,KH_ĐL!$CD:$CD,G$10&amp;$B79,KH_ĐL!$CE:$CE,"Lò")</f>
        <v>0</v>
      </c>
      <c r="H79" s="750">
        <f>SUMIFS(KH_ĐL!$J:$J,KH_ĐL!$CD:$CD,H$10&amp;$B79,KH_ĐL!$CE:$CE,"Lò")</f>
        <v>0</v>
      </c>
      <c r="I79" s="750">
        <f>SUMIFS(KH_ĐL!$J:$J,KH_ĐL!$CD:$CD,I$10&amp;$B79,KH_ĐL!$CE:$CE,"Lò")</f>
        <v>0</v>
      </c>
      <c r="J79" s="750">
        <f>SUMIFS(KH_ĐL!$J:$J,KH_ĐL!$CD:$CD,J$10&amp;$B79,KH_ĐL!$CE:$CE,"Lò")</f>
        <v>0</v>
      </c>
      <c r="K79" s="750">
        <f>SUMIFS(KH_ĐL!$J:$J,KH_ĐL!$CD:$CD,K$10&amp;$B79,KH_ĐL!$CE:$CE,"Lò")</f>
        <v>0</v>
      </c>
      <c r="L79" s="750">
        <f>SUMIFS(KH_ĐL!$J:$J,KH_ĐL!$CD:$CD,L$10&amp;$B79,KH_ĐL!$CE:$CE,"Lò")</f>
        <v>0</v>
      </c>
      <c r="M79" s="750">
        <f>SUMIFS(KH_ĐL!$J:$J,KH_ĐL!$CD:$CD,M$10&amp;$B79,KH_ĐL!$CE:$CE,"Lò")</f>
        <v>0</v>
      </c>
      <c r="N79" s="750">
        <f>SUMIFS(KH_ĐL!$J:$J,KH_ĐL!$CD:$CD,N$10&amp;$B79,KH_ĐL!$CE:$CE,"Lò")</f>
        <v>0</v>
      </c>
      <c r="O79" s="750">
        <f>SUMIFS(KH_ĐL!$J:$J,KH_ĐL!$CD:$CD,O$10&amp;$B79,KH_ĐL!$CE:$CE,"Lò")</f>
        <v>0</v>
      </c>
      <c r="P79" s="750">
        <f>SUMIFS(KH_ĐL!$J:$J,KH_ĐL!$CD:$CD,P$10&amp;$B79,KH_ĐL!$CE:$CE,"Lò")</f>
        <v>0</v>
      </c>
      <c r="Q79" s="750">
        <f>SUMIFS(KH_ĐL!$J:$J,KH_ĐL!$CD:$CD,Q$10&amp;$B79,KH_ĐL!$CE:$CE,"Lò")</f>
        <v>0</v>
      </c>
      <c r="R79" s="750">
        <f>SUMIFS(KH_ĐL!$J:$J,KH_ĐL!$CD:$CD,R$10&amp;$B79,KH_ĐL!$CE:$CE,"Lò")</f>
        <v>0</v>
      </c>
      <c r="S79" s="750">
        <f>SUMIFS(KH_ĐL!$J:$J,KH_ĐL!$CD:$CD,S$10&amp;$B79,KH_ĐL!$CE:$CE,"Lò")</f>
        <v>0</v>
      </c>
      <c r="T79" s="750">
        <f>SUMIFS(KH_ĐL!$J:$J,KH_ĐL!$CD:$CD,T$10&amp;$B79,KH_ĐL!$CE:$CE,"Lò")</f>
        <v>0</v>
      </c>
      <c r="U79" s="750">
        <f>SUMIFS(KH_ĐL!$J:$J,KH_ĐL!$CD:$CD,U$10&amp;$B79,KH_ĐL!$CE:$CE,"Lò")</f>
        <v>0</v>
      </c>
      <c r="V79" s="750">
        <f>SUMIFS(KH_ĐL!$J:$J,KH_ĐL!$CD:$CD,V$10&amp;$B79,KH_ĐL!$CE:$CE,"Lò")</f>
        <v>0</v>
      </c>
      <c r="W79" s="750">
        <f>SUMIFS(KH_ĐL!$J:$J,KH_ĐL!$CD:$CD,W$10&amp;$B79,KH_ĐL!$CE:$CE,"Lò")</f>
        <v>0</v>
      </c>
      <c r="X79" s="754"/>
      <c r="Y79" s="748"/>
      <c r="Z79" s="743"/>
      <c r="AA79" s="749"/>
      <c r="AB79" s="749"/>
      <c r="AC79" s="749"/>
      <c r="AD79" s="749"/>
      <c r="AE79" s="749"/>
    </row>
    <row r="80" spans="1:31" ht="19.5" hidden="1" outlineLevel="1" x14ac:dyDescent="0.3">
      <c r="A80" s="745"/>
      <c r="B80" s="732">
        <f t="shared" si="15"/>
        <v>20.3</v>
      </c>
      <c r="C80" s="746"/>
      <c r="D80" s="729">
        <f t="shared" si="12"/>
        <v>70</v>
      </c>
      <c r="E80" s="750">
        <f>SUMIFS(KH_ĐL!$J:$J,KH_ĐL!$CD:$CD,E$10&amp;$B80,KH_ĐL!$CE:$CE,"Lò")</f>
        <v>0</v>
      </c>
      <c r="F80" s="750">
        <f>SUMIFS(KH_ĐL!$J:$J,KH_ĐL!$CD:$CD,F$10&amp;$B80,KH_ĐL!$CE:$CE,"Lò")</f>
        <v>0</v>
      </c>
      <c r="G80" s="750">
        <f>SUMIFS(KH_ĐL!$J:$J,KH_ĐL!$CD:$CD,G$10&amp;$B80,KH_ĐL!$CE:$CE,"Lò")</f>
        <v>0</v>
      </c>
      <c r="H80" s="750">
        <f>SUMIFS(KH_ĐL!$J:$J,KH_ĐL!$CD:$CD,H$10&amp;$B80,KH_ĐL!$CE:$CE,"Lò")</f>
        <v>0</v>
      </c>
      <c r="I80" s="750">
        <f>SUMIFS(KH_ĐL!$J:$J,KH_ĐL!$CD:$CD,I$10&amp;$B80,KH_ĐL!$CE:$CE,"Lò")</f>
        <v>0</v>
      </c>
      <c r="J80" s="750">
        <f>SUMIFS(KH_ĐL!$J:$J,KH_ĐL!$CD:$CD,J$10&amp;$B80,KH_ĐL!$CE:$CE,"Lò")</f>
        <v>0</v>
      </c>
      <c r="K80" s="750">
        <f>SUMIFS(KH_ĐL!$J:$J,KH_ĐL!$CD:$CD,K$10&amp;$B80,KH_ĐL!$CE:$CE,"Lò")</f>
        <v>0</v>
      </c>
      <c r="L80" s="750">
        <f>SUMIFS(KH_ĐL!$J:$J,KH_ĐL!$CD:$CD,L$10&amp;$B80,KH_ĐL!$CE:$CE,"Lò")</f>
        <v>0</v>
      </c>
      <c r="M80" s="750">
        <f>SUMIFS(KH_ĐL!$J:$J,KH_ĐL!$CD:$CD,M$10&amp;$B80,KH_ĐL!$CE:$CE,"Lò")</f>
        <v>0</v>
      </c>
      <c r="N80" s="750">
        <f>SUMIFS(KH_ĐL!$J:$J,KH_ĐL!$CD:$CD,N$10&amp;$B80,KH_ĐL!$CE:$CE,"Lò")</f>
        <v>0</v>
      </c>
      <c r="O80" s="750">
        <f>SUMIFS(KH_ĐL!$J:$J,KH_ĐL!$CD:$CD,O$10&amp;$B80,KH_ĐL!$CE:$CE,"Lò")</f>
        <v>0</v>
      </c>
      <c r="P80" s="750">
        <f>SUMIFS(KH_ĐL!$J:$J,KH_ĐL!$CD:$CD,P$10&amp;$B80,KH_ĐL!$CE:$CE,"Lò")</f>
        <v>0</v>
      </c>
      <c r="Q80" s="750">
        <f>SUMIFS(KH_ĐL!$J:$J,KH_ĐL!$CD:$CD,Q$10&amp;$B80,KH_ĐL!$CE:$CE,"Lò")</f>
        <v>0</v>
      </c>
      <c r="R80" s="750">
        <f>SUMIFS(KH_ĐL!$J:$J,KH_ĐL!$CD:$CD,R$10&amp;$B80,KH_ĐL!$CE:$CE,"Lò")</f>
        <v>70</v>
      </c>
      <c r="S80" s="750">
        <f>SUMIFS(KH_ĐL!$J:$J,KH_ĐL!$CD:$CD,S$10&amp;$B80,KH_ĐL!$CE:$CE,"Lò")</f>
        <v>0</v>
      </c>
      <c r="T80" s="750">
        <f>SUMIFS(KH_ĐL!$J:$J,KH_ĐL!$CD:$CD,T$10&amp;$B80,KH_ĐL!$CE:$CE,"Lò")</f>
        <v>0</v>
      </c>
      <c r="U80" s="750">
        <f>SUMIFS(KH_ĐL!$J:$J,KH_ĐL!$CD:$CD,U$10&amp;$B80,KH_ĐL!$CE:$CE,"Lò")</f>
        <v>0</v>
      </c>
      <c r="V80" s="750">
        <f>SUMIFS(KH_ĐL!$J:$J,KH_ĐL!$CD:$CD,V$10&amp;$B80,KH_ĐL!$CE:$CE,"Lò")</f>
        <v>0</v>
      </c>
      <c r="W80" s="750">
        <f>SUMIFS(KH_ĐL!$J:$J,KH_ĐL!$CD:$CD,W$10&amp;$B80,KH_ĐL!$CE:$CE,"Lò")</f>
        <v>0</v>
      </c>
      <c r="X80" s="754"/>
      <c r="Y80" s="748"/>
      <c r="Z80" s="743"/>
      <c r="AA80" s="749"/>
      <c r="AB80" s="749"/>
      <c r="AC80" s="749"/>
      <c r="AD80" s="749"/>
      <c r="AE80" s="749"/>
    </row>
    <row r="81" spans="1:31" ht="19.5" outlineLevel="1" x14ac:dyDescent="0.3">
      <c r="A81" s="745"/>
      <c r="B81" s="732">
        <f t="shared" si="15"/>
        <v>20.5</v>
      </c>
      <c r="C81" s="746"/>
      <c r="D81" s="729">
        <f t="shared" si="12"/>
        <v>35</v>
      </c>
      <c r="E81" s="750">
        <f>SUMIFS(KH_ĐL!$J:$J,KH_ĐL!$CD:$CD,E$10&amp;$B81,KH_ĐL!$CE:$CE,"Lò")</f>
        <v>0</v>
      </c>
      <c r="F81" s="750">
        <f>SUMIFS(KH_ĐL!$J:$J,KH_ĐL!$CD:$CD,F$10&amp;$B81,KH_ĐL!$CE:$CE,"Lò")</f>
        <v>0</v>
      </c>
      <c r="G81" s="750">
        <f>SUMIFS(KH_ĐL!$J:$J,KH_ĐL!$CD:$CD,G$10&amp;$B81,KH_ĐL!$CE:$CE,"Lò")</f>
        <v>0</v>
      </c>
      <c r="H81" s="750">
        <f>SUMIFS(KH_ĐL!$J:$J,KH_ĐL!$CD:$CD,H$10&amp;$B81,KH_ĐL!$CE:$CE,"Lò")</f>
        <v>0</v>
      </c>
      <c r="I81" s="750">
        <f>SUMIFS(KH_ĐL!$J:$J,KH_ĐL!$CD:$CD,I$10&amp;$B81,KH_ĐL!$CE:$CE,"Lò")</f>
        <v>0</v>
      </c>
      <c r="J81" s="750">
        <f>SUMIFS(KH_ĐL!$J:$J,KH_ĐL!$CD:$CD,J$10&amp;$B81,KH_ĐL!$CE:$CE,"Lò")</f>
        <v>0</v>
      </c>
      <c r="K81" s="750">
        <f>SUMIFS(KH_ĐL!$J:$J,KH_ĐL!$CD:$CD,K$10&amp;$B81,KH_ĐL!$CE:$CE,"Lò")</f>
        <v>0</v>
      </c>
      <c r="L81" s="750">
        <f>SUMIFS(KH_ĐL!$J:$J,KH_ĐL!$CD:$CD,L$10&amp;$B81,KH_ĐL!$CE:$CE,"Lò")</f>
        <v>0</v>
      </c>
      <c r="M81" s="750">
        <f>SUMIFS(KH_ĐL!$J:$J,KH_ĐL!$CD:$CD,M$10&amp;$B81,KH_ĐL!$CE:$CE,"Lò")</f>
        <v>0</v>
      </c>
      <c r="N81" s="750">
        <f>SUMIFS(KH_ĐL!$J:$J,KH_ĐL!$CD:$CD,N$10&amp;$B81,KH_ĐL!$CE:$CE,"Lò")</f>
        <v>0</v>
      </c>
      <c r="O81" s="750">
        <f>SUMIFS(KH_ĐL!$J:$J,KH_ĐL!$CD:$CD,O$10&amp;$B81,KH_ĐL!$CE:$CE,"Lò")</f>
        <v>0</v>
      </c>
      <c r="P81" s="750">
        <f>SUMIFS(KH_ĐL!$J:$J,KH_ĐL!$CD:$CD,P$10&amp;$B81,KH_ĐL!$CE:$CE,"Lò")</f>
        <v>30</v>
      </c>
      <c r="Q81" s="750">
        <f>SUMIFS(KH_ĐL!$J:$J,KH_ĐL!$CD:$CD,Q$10&amp;$B81,KH_ĐL!$CE:$CE,"Lò")</f>
        <v>0</v>
      </c>
      <c r="R81" s="750">
        <f>SUMIFS(KH_ĐL!$J:$J,KH_ĐL!$CD:$CD,R$10&amp;$B81,KH_ĐL!$CE:$CE,"Lò")</f>
        <v>0</v>
      </c>
      <c r="S81" s="750">
        <f>SUMIFS(KH_ĐL!$J:$J,KH_ĐL!$CD:$CD,S$10&amp;$B81,KH_ĐL!$CE:$CE,"Lò")</f>
        <v>5</v>
      </c>
      <c r="T81" s="750">
        <f>SUMIFS(KH_ĐL!$J:$J,KH_ĐL!$CD:$CD,T$10&amp;$B81,KH_ĐL!$CE:$CE,"Lò")</f>
        <v>0</v>
      </c>
      <c r="U81" s="750">
        <f>SUMIFS(KH_ĐL!$J:$J,KH_ĐL!$CD:$CD,U$10&amp;$B81,KH_ĐL!$CE:$CE,"Lò")</f>
        <v>0</v>
      </c>
      <c r="V81" s="750">
        <f>SUMIFS(KH_ĐL!$J:$J,KH_ĐL!$CD:$CD,V$10&amp;$B81,KH_ĐL!$CE:$CE,"Lò")</f>
        <v>0</v>
      </c>
      <c r="W81" s="750">
        <f>SUMIFS(KH_ĐL!$J:$J,KH_ĐL!$CD:$CD,W$10&amp;$B81,KH_ĐL!$CE:$CE,"Lò")</f>
        <v>0</v>
      </c>
      <c r="X81" s="754"/>
      <c r="Y81" s="748"/>
      <c r="Z81" s="743"/>
      <c r="AA81" s="749"/>
      <c r="AB81" s="749"/>
      <c r="AC81" s="749"/>
      <c r="AD81" s="749"/>
      <c r="AE81" s="749"/>
    </row>
    <row r="82" spans="1:31" ht="19.5" outlineLevel="1" x14ac:dyDescent="0.3">
      <c r="A82" s="745"/>
      <c r="B82" s="732">
        <f t="shared" si="15"/>
        <v>21.4</v>
      </c>
      <c r="C82" s="746"/>
      <c r="D82" s="729">
        <f t="shared" si="12"/>
        <v>210</v>
      </c>
      <c r="E82" s="750">
        <f>SUMIFS(KH_ĐL!$J:$J,KH_ĐL!$CD:$CD,E$10&amp;$B82,KH_ĐL!$CE:$CE,"Lò")</f>
        <v>0</v>
      </c>
      <c r="F82" s="750">
        <f>SUMIFS(KH_ĐL!$J:$J,KH_ĐL!$CD:$CD,F$10&amp;$B82,KH_ĐL!$CE:$CE,"Lò")</f>
        <v>0</v>
      </c>
      <c r="G82" s="750">
        <f>SUMIFS(KH_ĐL!$J:$J,KH_ĐL!$CD:$CD,G$10&amp;$B82,KH_ĐL!$CE:$CE,"Lò")</f>
        <v>0</v>
      </c>
      <c r="H82" s="750">
        <f>SUMIFS(KH_ĐL!$J:$J,KH_ĐL!$CD:$CD,H$10&amp;$B82,KH_ĐL!$CE:$CE,"Lò")</f>
        <v>0</v>
      </c>
      <c r="I82" s="750">
        <f>SUMIFS(KH_ĐL!$J:$J,KH_ĐL!$CD:$CD,I$10&amp;$B82,KH_ĐL!$CE:$CE,"Lò")</f>
        <v>0</v>
      </c>
      <c r="J82" s="750">
        <f>SUMIFS(KH_ĐL!$J:$J,KH_ĐL!$CD:$CD,J$10&amp;$B82,KH_ĐL!$CE:$CE,"Lò")</f>
        <v>0</v>
      </c>
      <c r="K82" s="750">
        <f>SUMIFS(KH_ĐL!$J:$J,KH_ĐL!$CD:$CD,K$10&amp;$B82,KH_ĐL!$CE:$CE,"Lò")</f>
        <v>0</v>
      </c>
      <c r="L82" s="750">
        <f>SUMIFS(KH_ĐL!$J:$J,KH_ĐL!$CD:$CD,L$10&amp;$B82,KH_ĐL!$CE:$CE,"Lò")</f>
        <v>0</v>
      </c>
      <c r="M82" s="750">
        <f>SUMIFS(KH_ĐL!$J:$J,KH_ĐL!$CD:$CD,M$10&amp;$B82,KH_ĐL!$CE:$CE,"Lò")</f>
        <v>0</v>
      </c>
      <c r="N82" s="750">
        <f>SUMIFS(KH_ĐL!$J:$J,KH_ĐL!$CD:$CD,N$10&amp;$B82,KH_ĐL!$CE:$CE,"Lò")</f>
        <v>0</v>
      </c>
      <c r="O82" s="750">
        <f>SUMIFS(KH_ĐL!$J:$J,KH_ĐL!$CD:$CD,O$10&amp;$B82,KH_ĐL!$CE:$CE,"Lò")</f>
        <v>0</v>
      </c>
      <c r="P82" s="750">
        <f>SUMIFS(KH_ĐL!$J:$J,KH_ĐL!$CD:$CD,P$10&amp;$B82,KH_ĐL!$CE:$CE,"Lò")</f>
        <v>0</v>
      </c>
      <c r="Q82" s="750">
        <f>SUMIFS(KH_ĐL!$J:$J,KH_ĐL!$CD:$CD,Q$10&amp;$B82,KH_ĐL!$CE:$CE,"Lò")</f>
        <v>0</v>
      </c>
      <c r="R82" s="750">
        <f>SUMIFS(KH_ĐL!$J:$J,KH_ĐL!$CD:$CD,R$10&amp;$B82,KH_ĐL!$CE:$CE,"Lò")</f>
        <v>0</v>
      </c>
      <c r="S82" s="750">
        <f>SUMIFS(KH_ĐL!$J:$J,KH_ĐL!$CD:$CD,S$10&amp;$B82,KH_ĐL!$CE:$CE,"Lò")</f>
        <v>0</v>
      </c>
      <c r="T82" s="750">
        <f>SUMIFS(KH_ĐL!$J:$J,KH_ĐL!$CD:$CD,T$10&amp;$B82,KH_ĐL!$CE:$CE,"Lò")</f>
        <v>0</v>
      </c>
      <c r="U82" s="750">
        <f>SUMIFS(KH_ĐL!$J:$J,KH_ĐL!$CD:$CD,U$10&amp;$B82,KH_ĐL!$CE:$CE,"Lò")</f>
        <v>0</v>
      </c>
      <c r="V82" s="750">
        <f>SUMIFS(KH_ĐL!$J:$J,KH_ĐL!$CD:$CD,V$10&amp;$B82,KH_ĐL!$CE:$CE,"Lò")</f>
        <v>210</v>
      </c>
      <c r="W82" s="750">
        <f>SUMIFS(KH_ĐL!$J:$J,KH_ĐL!$CD:$CD,W$10&amp;$B82,KH_ĐL!$CE:$CE,"Lò")</f>
        <v>0</v>
      </c>
      <c r="X82" s="754"/>
      <c r="Y82" s="748"/>
      <c r="Z82" s="743"/>
      <c r="AA82" s="749"/>
      <c r="AB82" s="749"/>
      <c r="AC82" s="749"/>
      <c r="AD82" s="749"/>
      <c r="AE82" s="749"/>
    </row>
    <row r="83" spans="1:31" ht="19.5" outlineLevel="1" x14ac:dyDescent="0.3">
      <c r="A83" s="745"/>
      <c r="B83" s="732">
        <f t="shared" si="15"/>
        <v>22</v>
      </c>
      <c r="C83" s="746"/>
      <c r="D83" s="729">
        <f t="shared" ref="D83:D93" si="16">SUM(E83:V83)</f>
        <v>492</v>
      </c>
      <c r="E83" s="750">
        <f>SUMIFS(KH_ĐL!$J:$J,KH_ĐL!$CD:$CD,E$10&amp;$B83,KH_ĐL!$CE:$CE,"Lò")</f>
        <v>0</v>
      </c>
      <c r="F83" s="750">
        <f>SUMIFS(KH_ĐL!$J:$J,KH_ĐL!$CD:$CD,F$10&amp;$B83,KH_ĐL!$CE:$CE,"Lò")</f>
        <v>0</v>
      </c>
      <c r="G83" s="750">
        <f>SUMIFS(KH_ĐL!$J:$J,KH_ĐL!$CD:$CD,G$10&amp;$B83,KH_ĐL!$CE:$CE,"Lò")</f>
        <v>0</v>
      </c>
      <c r="H83" s="750">
        <f>SUMIFS(KH_ĐL!$J:$J,KH_ĐL!$CD:$CD,H$10&amp;$B83,KH_ĐL!$CE:$CE,"Lò")</f>
        <v>0</v>
      </c>
      <c r="I83" s="750">
        <f>SUMIFS(KH_ĐL!$J:$J,KH_ĐL!$CD:$CD,I$10&amp;$B83,KH_ĐL!$CE:$CE,"Lò")</f>
        <v>0</v>
      </c>
      <c r="J83" s="750">
        <f>SUMIFS(KH_ĐL!$J:$J,KH_ĐL!$CD:$CD,J$10&amp;$B83,KH_ĐL!$CE:$CE,"Lò")</f>
        <v>0</v>
      </c>
      <c r="K83" s="750">
        <f>SUMIFS(KH_ĐL!$J:$J,KH_ĐL!$CD:$CD,K$10&amp;$B83,KH_ĐL!$CE:$CE,"Lò")</f>
        <v>0</v>
      </c>
      <c r="L83" s="750">
        <f>SUMIFS(KH_ĐL!$J:$J,KH_ĐL!$CD:$CD,L$10&amp;$B83,KH_ĐL!$CE:$CE,"Lò")</f>
        <v>0</v>
      </c>
      <c r="M83" s="750">
        <f>SUMIFS(KH_ĐL!$J:$J,KH_ĐL!$CD:$CD,M$10&amp;$B83,KH_ĐL!$CE:$CE,"Lò")</f>
        <v>0</v>
      </c>
      <c r="N83" s="750">
        <f>SUMIFS(KH_ĐL!$J:$J,KH_ĐL!$CD:$CD,N$10&amp;$B83,KH_ĐL!$CE:$CE,"Lò")</f>
        <v>0</v>
      </c>
      <c r="O83" s="750">
        <f>SUMIFS(KH_ĐL!$J:$J,KH_ĐL!$CD:$CD,O$10&amp;$B83,KH_ĐL!$CE:$CE,"Lò")</f>
        <v>0</v>
      </c>
      <c r="P83" s="750">
        <f>SUMIFS(KH_ĐL!$J:$J,KH_ĐL!$CD:$CD,P$10&amp;$B83,KH_ĐL!$CE:$CE,"Lò")</f>
        <v>0</v>
      </c>
      <c r="Q83" s="750">
        <f>SUMIFS(KH_ĐL!$J:$J,KH_ĐL!$CD:$CD,Q$10&amp;$B83,KH_ĐL!$CE:$CE,"Lò")</f>
        <v>171</v>
      </c>
      <c r="R83" s="750">
        <f>SUMIFS(KH_ĐL!$J:$J,KH_ĐL!$CD:$CD,R$10&amp;$B83,KH_ĐL!$CE:$CE,"Lò")</f>
        <v>0</v>
      </c>
      <c r="S83" s="750">
        <f>SUMIFS(KH_ĐL!$J:$J,KH_ĐL!$CD:$CD,S$10&amp;$B83,KH_ĐL!$CE:$CE,"Lò")</f>
        <v>0</v>
      </c>
      <c r="T83" s="750">
        <f>SUMIFS(KH_ĐL!$J:$J,KH_ĐL!$CD:$CD,T$10&amp;$B83,KH_ĐL!$CE:$CE,"Lò")</f>
        <v>0</v>
      </c>
      <c r="U83" s="750">
        <f>SUMIFS(KH_ĐL!$J:$J,KH_ĐL!$CD:$CD,U$10&amp;$B83,KH_ĐL!$CE:$CE,"Lò")</f>
        <v>0</v>
      </c>
      <c r="V83" s="750">
        <f>SUMIFS(KH_ĐL!$J:$J,KH_ĐL!$CD:$CD,V$10&amp;$B83,KH_ĐL!$CE:$CE,"Lò")</f>
        <v>321</v>
      </c>
      <c r="W83" s="750">
        <f>SUMIFS(KH_ĐL!$J:$J,KH_ĐL!$CD:$CD,W$10&amp;$B83,KH_ĐL!$CE:$CE,"Lò")</f>
        <v>0</v>
      </c>
      <c r="X83" s="754"/>
      <c r="Y83" s="748"/>
      <c r="Z83" s="743"/>
      <c r="AA83" s="749"/>
      <c r="AB83" s="749"/>
      <c r="AC83" s="749"/>
      <c r="AD83" s="749"/>
      <c r="AE83" s="749"/>
    </row>
    <row r="84" spans="1:31" ht="19.5" outlineLevel="1" x14ac:dyDescent="0.3">
      <c r="A84" s="745"/>
      <c r="B84" s="732">
        <f t="shared" si="15"/>
        <v>22.2</v>
      </c>
      <c r="C84" s="746"/>
      <c r="D84" s="729">
        <f t="shared" si="16"/>
        <v>470</v>
      </c>
      <c r="E84" s="750">
        <f>SUMIFS(KH_ĐL!$J:$J,KH_ĐL!$CD:$CD,E$10&amp;$B84,KH_ĐL!$CE:$CE,"Lò")</f>
        <v>0</v>
      </c>
      <c r="F84" s="750">
        <f>SUMIFS(KH_ĐL!$J:$J,KH_ĐL!$CD:$CD,F$10&amp;$B84,KH_ĐL!$CE:$CE,"Lò")</f>
        <v>0</v>
      </c>
      <c r="G84" s="750">
        <f>SUMIFS(KH_ĐL!$J:$J,KH_ĐL!$CD:$CD,G$10&amp;$B84,KH_ĐL!$CE:$CE,"Lò")</f>
        <v>0</v>
      </c>
      <c r="H84" s="750">
        <f>SUMIFS(KH_ĐL!$J:$J,KH_ĐL!$CD:$CD,H$10&amp;$B84,KH_ĐL!$CE:$CE,"Lò")</f>
        <v>0</v>
      </c>
      <c r="I84" s="750">
        <f>SUMIFS(KH_ĐL!$J:$J,KH_ĐL!$CD:$CD,I$10&amp;$B84,KH_ĐL!$CE:$CE,"Lò")</f>
        <v>0</v>
      </c>
      <c r="J84" s="750">
        <f>SUMIFS(KH_ĐL!$J:$J,KH_ĐL!$CD:$CD,J$10&amp;$B84,KH_ĐL!$CE:$CE,"Lò")</f>
        <v>0</v>
      </c>
      <c r="K84" s="750">
        <f>SUMIFS(KH_ĐL!$J:$J,KH_ĐL!$CD:$CD,K$10&amp;$B84,KH_ĐL!$CE:$CE,"Lò")</f>
        <v>0</v>
      </c>
      <c r="L84" s="750">
        <f>SUMIFS(KH_ĐL!$J:$J,KH_ĐL!$CD:$CD,L$10&amp;$B84,KH_ĐL!$CE:$CE,"Lò")</f>
        <v>0</v>
      </c>
      <c r="M84" s="750">
        <f>SUMIFS(KH_ĐL!$J:$J,KH_ĐL!$CD:$CD,M$10&amp;$B84,KH_ĐL!$CE:$CE,"Lò")</f>
        <v>0</v>
      </c>
      <c r="N84" s="750">
        <f>SUMIFS(KH_ĐL!$J:$J,KH_ĐL!$CD:$CD,N$10&amp;$B84,KH_ĐL!$CE:$CE,"Lò")</f>
        <v>0</v>
      </c>
      <c r="O84" s="750">
        <f>SUMIFS(KH_ĐL!$J:$J,KH_ĐL!$CD:$CD,O$10&amp;$B84,KH_ĐL!$CE:$CE,"Lò")</f>
        <v>0</v>
      </c>
      <c r="P84" s="750">
        <f>SUMIFS(KH_ĐL!$J:$J,KH_ĐL!$CD:$CD,P$10&amp;$B84,KH_ĐL!$CE:$CE,"Lò")</f>
        <v>0</v>
      </c>
      <c r="Q84" s="750">
        <f>SUMIFS(KH_ĐL!$J:$J,KH_ĐL!$CD:$CD,Q$10&amp;$B84,KH_ĐL!$CE:$CE,"Lò")</f>
        <v>205</v>
      </c>
      <c r="R84" s="750">
        <f>SUMIFS(KH_ĐL!$J:$J,KH_ĐL!$CD:$CD,R$10&amp;$B84,KH_ĐL!$CE:$CE,"Lò")</f>
        <v>0</v>
      </c>
      <c r="S84" s="750">
        <f>SUMIFS(KH_ĐL!$J:$J,KH_ĐL!$CD:$CD,S$10&amp;$B84,KH_ĐL!$CE:$CE,"Lò")</f>
        <v>0</v>
      </c>
      <c r="T84" s="750">
        <f>SUMIFS(KH_ĐL!$J:$J,KH_ĐL!$CD:$CD,T$10&amp;$B84,KH_ĐL!$CE:$CE,"Lò")</f>
        <v>0</v>
      </c>
      <c r="U84" s="750">
        <f>SUMIFS(KH_ĐL!$J:$J,KH_ĐL!$CD:$CD,U$10&amp;$B84,KH_ĐL!$CE:$CE,"Lò")</f>
        <v>0</v>
      </c>
      <c r="V84" s="750">
        <f>SUMIFS(KH_ĐL!$J:$J,KH_ĐL!$CD:$CD,V$10&amp;$B84,KH_ĐL!$CE:$CE,"Lò")</f>
        <v>265</v>
      </c>
      <c r="W84" s="750">
        <f>SUMIFS(KH_ĐL!$J:$J,KH_ĐL!$CD:$CD,W$10&amp;$B84,KH_ĐL!$CE:$CE,"Lò")</f>
        <v>0</v>
      </c>
      <c r="X84" s="754"/>
      <c r="Y84" s="748"/>
      <c r="Z84" s="743"/>
      <c r="AA84" s="749"/>
      <c r="AB84" s="749"/>
      <c r="AC84" s="749"/>
      <c r="AD84" s="749"/>
      <c r="AE84" s="749"/>
    </row>
    <row r="85" spans="1:31" ht="19.5" hidden="1" outlineLevel="1" x14ac:dyDescent="0.3">
      <c r="A85" s="745"/>
      <c r="B85" s="732">
        <f t="shared" si="15"/>
        <v>23.9</v>
      </c>
      <c r="C85" s="746"/>
      <c r="D85" s="729">
        <f t="shared" si="16"/>
        <v>0</v>
      </c>
      <c r="E85" s="750">
        <f>SUMIFS(KH_ĐL!$J:$J,KH_ĐL!$CD:$CD,E$10&amp;$B85,KH_ĐL!$CE:$CE,"Lò")</f>
        <v>0</v>
      </c>
      <c r="F85" s="750">
        <f>SUMIFS(KH_ĐL!$J:$J,KH_ĐL!$CD:$CD,F$10&amp;$B85,KH_ĐL!$CE:$CE,"Lò")</f>
        <v>0</v>
      </c>
      <c r="G85" s="750">
        <f>SUMIFS(KH_ĐL!$J:$J,KH_ĐL!$CD:$CD,G$10&amp;$B85,KH_ĐL!$CE:$CE,"Lò")</f>
        <v>0</v>
      </c>
      <c r="H85" s="750">
        <f>SUMIFS(KH_ĐL!$J:$J,KH_ĐL!$CD:$CD,H$10&amp;$B85,KH_ĐL!$CE:$CE,"Lò")</f>
        <v>0</v>
      </c>
      <c r="I85" s="750">
        <f>SUMIFS(KH_ĐL!$J:$J,KH_ĐL!$CD:$CD,I$10&amp;$B85,KH_ĐL!$CE:$CE,"Lò")</f>
        <v>0</v>
      </c>
      <c r="J85" s="750">
        <f>SUMIFS(KH_ĐL!$J:$J,KH_ĐL!$CD:$CD,J$10&amp;$B85,KH_ĐL!$CE:$CE,"Lò")</f>
        <v>0</v>
      </c>
      <c r="K85" s="750">
        <f>SUMIFS(KH_ĐL!$J:$J,KH_ĐL!$CD:$CD,K$10&amp;$B85,KH_ĐL!$CE:$CE,"Lò")</f>
        <v>0</v>
      </c>
      <c r="L85" s="750">
        <f>SUMIFS(KH_ĐL!$J:$J,KH_ĐL!$CD:$CD,L$10&amp;$B85,KH_ĐL!$CE:$CE,"Lò")</f>
        <v>0</v>
      </c>
      <c r="M85" s="750">
        <f>SUMIFS(KH_ĐL!$J:$J,KH_ĐL!$CD:$CD,M$10&amp;$B85,KH_ĐL!$CE:$CE,"Lò")</f>
        <v>0</v>
      </c>
      <c r="N85" s="750">
        <f>SUMIFS(KH_ĐL!$J:$J,KH_ĐL!$CD:$CD,N$10&amp;$B85,KH_ĐL!$CE:$CE,"Lò")</f>
        <v>0</v>
      </c>
      <c r="O85" s="750">
        <f>SUMIFS(KH_ĐL!$J:$J,KH_ĐL!$CD:$CD,O$10&amp;$B85,KH_ĐL!$CE:$CE,"Lò")</f>
        <v>0</v>
      </c>
      <c r="P85" s="750">
        <f>SUMIFS(KH_ĐL!$J:$J,KH_ĐL!$CD:$CD,P$10&amp;$B85,KH_ĐL!$CE:$CE,"Lò")</f>
        <v>0</v>
      </c>
      <c r="Q85" s="750">
        <f>SUMIFS(KH_ĐL!$J:$J,KH_ĐL!$CD:$CD,Q$10&amp;$B85,KH_ĐL!$CE:$CE,"Lò")</f>
        <v>0</v>
      </c>
      <c r="R85" s="750">
        <f>SUMIFS(KH_ĐL!$J:$J,KH_ĐL!$CD:$CD,R$10&amp;$B85,KH_ĐL!$CE:$CE,"Lò")</f>
        <v>0</v>
      </c>
      <c r="S85" s="750">
        <f>SUMIFS(KH_ĐL!$J:$J,KH_ĐL!$CD:$CD,S$10&amp;$B85,KH_ĐL!$CE:$CE,"Lò")</f>
        <v>0</v>
      </c>
      <c r="T85" s="750">
        <f>SUMIFS(KH_ĐL!$J:$J,KH_ĐL!$CD:$CD,T$10&amp;$B85,KH_ĐL!$CE:$CE,"Lò")</f>
        <v>0</v>
      </c>
      <c r="U85" s="750">
        <f>SUMIFS(KH_ĐL!$J:$J,KH_ĐL!$CD:$CD,U$10&amp;$B85,KH_ĐL!$CE:$CE,"Lò")</f>
        <v>0</v>
      </c>
      <c r="V85" s="750">
        <f>SUMIFS(KH_ĐL!$J:$J,KH_ĐL!$CD:$CD,V$10&amp;$B85,KH_ĐL!$CE:$CE,"Lò")</f>
        <v>0</v>
      </c>
      <c r="W85" s="750">
        <f>SUMIFS(KH_ĐL!$J:$J,KH_ĐL!$CD:$CD,W$10&amp;$B85,KH_ĐL!$CE:$CE,"Lò")</f>
        <v>0</v>
      </c>
      <c r="X85" s="754"/>
      <c r="Y85" s="748"/>
      <c r="Z85" s="743"/>
      <c r="AA85" s="749"/>
      <c r="AB85" s="749"/>
      <c r="AC85" s="749"/>
      <c r="AD85" s="749"/>
      <c r="AE85" s="749"/>
    </row>
    <row r="86" spans="1:31" ht="19.5" hidden="1" outlineLevel="1" x14ac:dyDescent="0.3">
      <c r="A86" s="745"/>
      <c r="B86" s="732">
        <f t="shared" si="15"/>
        <v>24</v>
      </c>
      <c r="C86" s="746"/>
      <c r="D86" s="729">
        <f t="shared" si="16"/>
        <v>0</v>
      </c>
      <c r="E86" s="750">
        <f>SUMIFS(KH_ĐL!$J:$J,KH_ĐL!$CD:$CD,E$10&amp;$B86,KH_ĐL!$CE:$CE,"Lò")</f>
        <v>0</v>
      </c>
      <c r="F86" s="750">
        <f>SUMIFS(KH_ĐL!$J:$J,KH_ĐL!$CD:$CD,F$10&amp;$B86,KH_ĐL!$CE:$CE,"Lò")</f>
        <v>0</v>
      </c>
      <c r="G86" s="750">
        <f>SUMIFS(KH_ĐL!$J:$J,KH_ĐL!$CD:$CD,G$10&amp;$B86,KH_ĐL!$CE:$CE,"Lò")</f>
        <v>0</v>
      </c>
      <c r="H86" s="750">
        <f>SUMIFS(KH_ĐL!$J:$J,KH_ĐL!$CD:$CD,H$10&amp;$B86,KH_ĐL!$CE:$CE,"Lò")</f>
        <v>0</v>
      </c>
      <c r="I86" s="750">
        <f>SUMIFS(KH_ĐL!$J:$J,KH_ĐL!$CD:$CD,I$10&amp;$B86,KH_ĐL!$CE:$CE,"Lò")</f>
        <v>0</v>
      </c>
      <c r="J86" s="750">
        <f>SUMIFS(KH_ĐL!$J:$J,KH_ĐL!$CD:$CD,J$10&amp;$B86,KH_ĐL!$CE:$CE,"Lò")</f>
        <v>0</v>
      </c>
      <c r="K86" s="750">
        <f>SUMIFS(KH_ĐL!$J:$J,KH_ĐL!$CD:$CD,K$10&amp;$B86,KH_ĐL!$CE:$CE,"Lò")</f>
        <v>0</v>
      </c>
      <c r="L86" s="750">
        <f>SUMIFS(KH_ĐL!$J:$J,KH_ĐL!$CD:$CD,L$10&amp;$B86,KH_ĐL!$CE:$CE,"Lò")</f>
        <v>0</v>
      </c>
      <c r="M86" s="750">
        <f>SUMIFS(KH_ĐL!$J:$J,KH_ĐL!$CD:$CD,M$10&amp;$B86,KH_ĐL!$CE:$CE,"Lò")</f>
        <v>0</v>
      </c>
      <c r="N86" s="750">
        <f>SUMIFS(KH_ĐL!$J:$J,KH_ĐL!$CD:$CD,N$10&amp;$B86,KH_ĐL!$CE:$CE,"Lò")</f>
        <v>0</v>
      </c>
      <c r="O86" s="750">
        <f>SUMIFS(KH_ĐL!$J:$J,KH_ĐL!$CD:$CD,O$10&amp;$B86,KH_ĐL!$CE:$CE,"Lò")</f>
        <v>0</v>
      </c>
      <c r="P86" s="750">
        <f>SUMIFS(KH_ĐL!$J:$J,KH_ĐL!$CD:$CD,P$10&amp;$B86,KH_ĐL!$CE:$CE,"Lò")</f>
        <v>0</v>
      </c>
      <c r="Q86" s="750">
        <f>SUMIFS(KH_ĐL!$J:$J,KH_ĐL!$CD:$CD,Q$10&amp;$B86,KH_ĐL!$CE:$CE,"Lò")</f>
        <v>0</v>
      </c>
      <c r="R86" s="750">
        <f>SUMIFS(KH_ĐL!$J:$J,KH_ĐL!$CD:$CD,R$10&amp;$B86,KH_ĐL!$CE:$CE,"Lò")</f>
        <v>0</v>
      </c>
      <c r="S86" s="750">
        <f>SUMIFS(KH_ĐL!$J:$J,KH_ĐL!$CD:$CD,S$10&amp;$B86,KH_ĐL!$CE:$CE,"Lò")</f>
        <v>0</v>
      </c>
      <c r="T86" s="750">
        <f>SUMIFS(KH_ĐL!$J:$J,KH_ĐL!$CD:$CD,T$10&amp;$B86,KH_ĐL!$CE:$CE,"Lò")</f>
        <v>0</v>
      </c>
      <c r="U86" s="750">
        <f>SUMIFS(KH_ĐL!$J:$J,KH_ĐL!$CD:$CD,U$10&amp;$B86,KH_ĐL!$CE:$CE,"Lò")</f>
        <v>0</v>
      </c>
      <c r="V86" s="750">
        <f>SUMIFS(KH_ĐL!$J:$J,KH_ĐL!$CD:$CD,V$10&amp;$B86,KH_ĐL!$CE:$CE,"Lò")</f>
        <v>0</v>
      </c>
      <c r="W86" s="750">
        <f>SUMIFS(KH_ĐL!$J:$J,KH_ĐL!$CD:$CD,W$10&amp;$B86,KH_ĐL!$CE:$CE,"Lò")</f>
        <v>0</v>
      </c>
      <c r="X86" s="754"/>
      <c r="Y86" s="748"/>
      <c r="Z86" s="743"/>
      <c r="AA86" s="749"/>
      <c r="AB86" s="749"/>
      <c r="AC86" s="749"/>
      <c r="AD86" s="749"/>
      <c r="AE86" s="749"/>
    </row>
    <row r="87" spans="1:31" ht="19.5" outlineLevel="1" x14ac:dyDescent="0.3">
      <c r="A87" s="745"/>
      <c r="B87" s="732">
        <f t="shared" si="15"/>
        <v>24.8</v>
      </c>
      <c r="C87" s="746"/>
      <c r="D87" s="729">
        <f t="shared" si="16"/>
        <v>1340</v>
      </c>
      <c r="E87" s="750">
        <f>SUMIFS(KH_ĐL!$J:$J,KH_ĐL!$CD:$CD,E$10&amp;$B87,KH_ĐL!$CE:$CE,"Lò")</f>
        <v>0</v>
      </c>
      <c r="F87" s="750">
        <f>SUMIFS(KH_ĐL!$J:$J,KH_ĐL!$CD:$CD,F$10&amp;$B87,KH_ĐL!$CE:$CE,"Lò")</f>
        <v>0</v>
      </c>
      <c r="G87" s="750">
        <f>SUMIFS(KH_ĐL!$J:$J,KH_ĐL!$CD:$CD,G$10&amp;$B87,KH_ĐL!$CE:$CE,"Lò")</f>
        <v>0</v>
      </c>
      <c r="H87" s="750">
        <f>SUMIFS(KH_ĐL!$J:$J,KH_ĐL!$CD:$CD,H$10&amp;$B87,KH_ĐL!$CE:$CE,"Lò")</f>
        <v>0</v>
      </c>
      <c r="I87" s="750">
        <f>SUMIFS(KH_ĐL!$J:$J,KH_ĐL!$CD:$CD,I$10&amp;$B87,KH_ĐL!$CE:$CE,"Lò")</f>
        <v>0</v>
      </c>
      <c r="J87" s="750">
        <f>SUMIFS(KH_ĐL!$J:$J,KH_ĐL!$CD:$CD,J$10&amp;$B87,KH_ĐL!$CE:$CE,"Lò")</f>
        <v>0</v>
      </c>
      <c r="K87" s="750">
        <f>SUMIFS(KH_ĐL!$J:$J,KH_ĐL!$CD:$CD,K$10&amp;$B87,KH_ĐL!$CE:$CE,"Lò")</f>
        <v>0</v>
      </c>
      <c r="L87" s="750">
        <f>SUMIFS(KH_ĐL!$J:$J,KH_ĐL!$CD:$CD,L$10&amp;$B87,KH_ĐL!$CE:$CE,"Lò")</f>
        <v>0</v>
      </c>
      <c r="M87" s="750">
        <f>SUMIFS(KH_ĐL!$J:$J,KH_ĐL!$CD:$CD,M$10&amp;$B87,KH_ĐL!$CE:$CE,"Lò")</f>
        <v>0</v>
      </c>
      <c r="N87" s="750">
        <f>SUMIFS(KH_ĐL!$J:$J,KH_ĐL!$CD:$CD,N$10&amp;$B87,KH_ĐL!$CE:$CE,"Lò")</f>
        <v>0</v>
      </c>
      <c r="O87" s="750">
        <f>SUMIFS(KH_ĐL!$J:$J,KH_ĐL!$CD:$CD,O$10&amp;$B87,KH_ĐL!$CE:$CE,"Lò")</f>
        <v>0</v>
      </c>
      <c r="P87" s="750">
        <f>SUMIFS(KH_ĐL!$J:$J,KH_ĐL!$CD:$CD,P$10&amp;$B87,KH_ĐL!$CE:$CE,"Lò")</f>
        <v>0</v>
      </c>
      <c r="Q87" s="750">
        <f>SUMIFS(KH_ĐL!$J:$J,KH_ĐL!$CD:$CD,Q$10&amp;$B87,KH_ĐL!$CE:$CE,"Lò")</f>
        <v>0</v>
      </c>
      <c r="R87" s="750">
        <f>SUMIFS(KH_ĐL!$J:$J,KH_ĐL!$CD:$CD,R$10&amp;$B87,KH_ĐL!$CE:$CE,"Lò")</f>
        <v>0</v>
      </c>
      <c r="S87" s="750">
        <f>SUMIFS(KH_ĐL!$J:$J,KH_ĐL!$CD:$CD,S$10&amp;$B87,KH_ĐL!$CE:$CE,"Lò")</f>
        <v>0</v>
      </c>
      <c r="T87" s="750">
        <f>SUMIFS(KH_ĐL!$J:$J,KH_ĐL!$CD:$CD,T$10&amp;$B87,KH_ĐL!$CE:$CE,"Lò")</f>
        <v>0</v>
      </c>
      <c r="U87" s="750">
        <f>SUMIFS(KH_ĐL!$J:$J,KH_ĐL!$CD:$CD,U$10&amp;$B87,KH_ĐL!$CE:$CE,"Lò")</f>
        <v>0</v>
      </c>
      <c r="V87" s="750">
        <f>SUMIFS(KH_ĐL!$J:$J,KH_ĐL!$CD:$CD,V$10&amp;$B87,KH_ĐL!$CE:$CE,"Lò")</f>
        <v>1340</v>
      </c>
      <c r="W87" s="750">
        <f>SUMIFS(KH_ĐL!$J:$J,KH_ĐL!$CD:$CD,W$10&amp;$B87,KH_ĐL!$CE:$CE,"Lò")</f>
        <v>0</v>
      </c>
      <c r="X87" s="754"/>
      <c r="Y87" s="748"/>
      <c r="Z87" s="743"/>
      <c r="AA87" s="749"/>
      <c r="AB87" s="749"/>
      <c r="AC87" s="749"/>
      <c r="AD87" s="749"/>
      <c r="AE87" s="749"/>
    </row>
    <row r="88" spans="1:31" ht="19.5" hidden="1" outlineLevel="1" x14ac:dyDescent="0.3">
      <c r="A88" s="745"/>
      <c r="B88" s="732">
        <f t="shared" si="15"/>
        <v>24.9</v>
      </c>
      <c r="C88" s="746"/>
      <c r="D88" s="729">
        <f t="shared" si="16"/>
        <v>0</v>
      </c>
      <c r="E88" s="750">
        <f>SUMIFS(KH_ĐL!$J:$J,KH_ĐL!$CD:$CD,E$10&amp;$B88,KH_ĐL!$CE:$CE,"Lò")</f>
        <v>0</v>
      </c>
      <c r="F88" s="750">
        <f>SUMIFS(KH_ĐL!$J:$J,KH_ĐL!$CD:$CD,F$10&amp;$B88,KH_ĐL!$CE:$CE,"Lò")</f>
        <v>0</v>
      </c>
      <c r="G88" s="750">
        <f>SUMIFS(KH_ĐL!$J:$J,KH_ĐL!$CD:$CD,G$10&amp;$B88,KH_ĐL!$CE:$CE,"Lò")</f>
        <v>0</v>
      </c>
      <c r="H88" s="750">
        <f>SUMIFS(KH_ĐL!$J:$J,KH_ĐL!$CD:$CD,H$10&amp;$B88,KH_ĐL!$CE:$CE,"Lò")</f>
        <v>0</v>
      </c>
      <c r="I88" s="750">
        <f>SUMIFS(KH_ĐL!$J:$J,KH_ĐL!$CD:$CD,I$10&amp;$B88,KH_ĐL!$CE:$CE,"Lò")</f>
        <v>0</v>
      </c>
      <c r="J88" s="750">
        <f>SUMIFS(KH_ĐL!$J:$J,KH_ĐL!$CD:$CD,J$10&amp;$B88,KH_ĐL!$CE:$CE,"Lò")</f>
        <v>0</v>
      </c>
      <c r="K88" s="750">
        <f>SUMIFS(KH_ĐL!$J:$J,KH_ĐL!$CD:$CD,K$10&amp;$B88,KH_ĐL!$CE:$CE,"Lò")</f>
        <v>0</v>
      </c>
      <c r="L88" s="750">
        <f>SUMIFS(KH_ĐL!$J:$J,KH_ĐL!$CD:$CD,L$10&amp;$B88,KH_ĐL!$CE:$CE,"Lò")</f>
        <v>0</v>
      </c>
      <c r="M88" s="750">
        <f>SUMIFS(KH_ĐL!$J:$J,KH_ĐL!$CD:$CD,M$10&amp;$B88,KH_ĐL!$CE:$CE,"Lò")</f>
        <v>0</v>
      </c>
      <c r="N88" s="750">
        <f>SUMIFS(KH_ĐL!$J:$J,KH_ĐL!$CD:$CD,N$10&amp;$B88,KH_ĐL!$CE:$CE,"Lò")</f>
        <v>0</v>
      </c>
      <c r="O88" s="750">
        <f>SUMIFS(KH_ĐL!$J:$J,KH_ĐL!$CD:$CD,O$10&amp;$B88,KH_ĐL!$CE:$CE,"Lò")</f>
        <v>0</v>
      </c>
      <c r="P88" s="750">
        <f>SUMIFS(KH_ĐL!$J:$J,KH_ĐL!$CD:$CD,P$10&amp;$B88,KH_ĐL!$CE:$CE,"Lò")</f>
        <v>0</v>
      </c>
      <c r="Q88" s="750">
        <f>SUMIFS(KH_ĐL!$J:$J,KH_ĐL!$CD:$CD,Q$10&amp;$B88,KH_ĐL!$CE:$CE,"Lò")</f>
        <v>0</v>
      </c>
      <c r="R88" s="750">
        <f>SUMIFS(KH_ĐL!$J:$J,KH_ĐL!$CD:$CD,R$10&amp;$B88,KH_ĐL!$CE:$CE,"Lò")</f>
        <v>0</v>
      </c>
      <c r="S88" s="750">
        <f>SUMIFS(KH_ĐL!$J:$J,KH_ĐL!$CD:$CD,S$10&amp;$B88,KH_ĐL!$CE:$CE,"Lò")</f>
        <v>0</v>
      </c>
      <c r="T88" s="750">
        <f>SUMIFS(KH_ĐL!$J:$J,KH_ĐL!$CD:$CD,T$10&amp;$B88,KH_ĐL!$CE:$CE,"Lò")</f>
        <v>0</v>
      </c>
      <c r="U88" s="750">
        <f>SUMIFS(KH_ĐL!$J:$J,KH_ĐL!$CD:$CD,U$10&amp;$B88,KH_ĐL!$CE:$CE,"Lò")</f>
        <v>0</v>
      </c>
      <c r="V88" s="750">
        <f>SUMIFS(KH_ĐL!$J:$J,KH_ĐL!$CD:$CD,V$10&amp;$B88,KH_ĐL!$CE:$CE,"Lò")</f>
        <v>0</v>
      </c>
      <c r="W88" s="750">
        <f>SUMIFS(KH_ĐL!$J:$J,KH_ĐL!$CD:$CD,W$10&amp;$B88,KH_ĐL!$CE:$CE,"Lò")</f>
        <v>0</v>
      </c>
      <c r="X88" s="754"/>
      <c r="Y88" s="748"/>
      <c r="Z88" s="743"/>
      <c r="AA88" s="749"/>
      <c r="AB88" s="749"/>
      <c r="AC88" s="749"/>
      <c r="AD88" s="749"/>
      <c r="AE88" s="749"/>
    </row>
    <row r="89" spans="1:31" ht="19.5" outlineLevel="1" x14ac:dyDescent="0.3">
      <c r="A89" s="745"/>
      <c r="B89" s="732">
        <f t="shared" si="15"/>
        <v>28.3</v>
      </c>
      <c r="C89" s="746"/>
      <c r="D89" s="729">
        <f t="shared" si="16"/>
        <v>38</v>
      </c>
      <c r="E89" s="750">
        <f>SUMIFS(KH_ĐL!$J:$J,KH_ĐL!$CD:$CD,E$10&amp;$B89,KH_ĐL!$CE:$CE,"Lò")</f>
        <v>0</v>
      </c>
      <c r="F89" s="750">
        <f>SUMIFS(KH_ĐL!$J:$J,KH_ĐL!$CD:$CD,F$10&amp;$B89,KH_ĐL!$CE:$CE,"Lò")</f>
        <v>0</v>
      </c>
      <c r="G89" s="750">
        <f>SUMIFS(KH_ĐL!$J:$J,KH_ĐL!$CD:$CD,G$10&amp;$B89,KH_ĐL!$CE:$CE,"Lò")</f>
        <v>0</v>
      </c>
      <c r="H89" s="750">
        <f>SUMIFS(KH_ĐL!$J:$J,KH_ĐL!$CD:$CD,H$10&amp;$B89,KH_ĐL!$CE:$CE,"Lò")</f>
        <v>0</v>
      </c>
      <c r="I89" s="750">
        <f>SUMIFS(KH_ĐL!$J:$J,KH_ĐL!$CD:$CD,I$10&amp;$B89,KH_ĐL!$CE:$CE,"Lò")</f>
        <v>0</v>
      </c>
      <c r="J89" s="750">
        <f>SUMIFS(KH_ĐL!$J:$J,KH_ĐL!$CD:$CD,J$10&amp;$B89,KH_ĐL!$CE:$CE,"Lò")</f>
        <v>0</v>
      </c>
      <c r="K89" s="750">
        <f>SUMIFS(KH_ĐL!$J:$J,KH_ĐL!$CD:$CD,K$10&amp;$B89,KH_ĐL!$CE:$CE,"Lò")</f>
        <v>0</v>
      </c>
      <c r="L89" s="750">
        <f>SUMIFS(KH_ĐL!$J:$J,KH_ĐL!$CD:$CD,L$10&amp;$B89,KH_ĐL!$CE:$CE,"Lò")</f>
        <v>0</v>
      </c>
      <c r="M89" s="750">
        <f>SUMIFS(KH_ĐL!$J:$J,KH_ĐL!$CD:$CD,M$10&amp;$B89,KH_ĐL!$CE:$CE,"Lò")</f>
        <v>0</v>
      </c>
      <c r="N89" s="750">
        <f>SUMIFS(KH_ĐL!$J:$J,KH_ĐL!$CD:$CD,N$10&amp;$B89,KH_ĐL!$CE:$CE,"Lò")</f>
        <v>0</v>
      </c>
      <c r="O89" s="750">
        <f>SUMIFS(KH_ĐL!$J:$J,KH_ĐL!$CD:$CD,O$10&amp;$B89,KH_ĐL!$CE:$CE,"Lò")</f>
        <v>0</v>
      </c>
      <c r="P89" s="750">
        <f>SUMIFS(KH_ĐL!$J:$J,KH_ĐL!$CD:$CD,P$10&amp;$B89,KH_ĐL!$CE:$CE,"Lò")</f>
        <v>0</v>
      </c>
      <c r="Q89" s="750">
        <f>SUMIFS(KH_ĐL!$J:$J,KH_ĐL!$CD:$CD,Q$10&amp;$B89,KH_ĐL!$CE:$CE,"Lò")</f>
        <v>0</v>
      </c>
      <c r="R89" s="750">
        <f>SUMIFS(KH_ĐL!$J:$J,KH_ĐL!$CD:$CD,R$10&amp;$B89,KH_ĐL!$CE:$CE,"Lò")</f>
        <v>0</v>
      </c>
      <c r="S89" s="750">
        <f>SUMIFS(KH_ĐL!$J:$J,KH_ĐL!$CD:$CD,S$10&amp;$B89,KH_ĐL!$CE:$CE,"Lò")</f>
        <v>0</v>
      </c>
      <c r="T89" s="750">
        <f>SUMIFS(KH_ĐL!$J:$J,KH_ĐL!$CD:$CD,T$10&amp;$B89,KH_ĐL!$CE:$CE,"Lò")</f>
        <v>0</v>
      </c>
      <c r="U89" s="750">
        <f>SUMIFS(KH_ĐL!$J:$J,KH_ĐL!$CD:$CD,U$10&amp;$B89,KH_ĐL!$CE:$CE,"Lò")</f>
        <v>0</v>
      </c>
      <c r="V89" s="750">
        <f>SUMIFS(KH_ĐL!$J:$J,KH_ĐL!$CD:$CD,V$10&amp;$B89,KH_ĐL!$CE:$CE,"Lò")</f>
        <v>38</v>
      </c>
      <c r="W89" s="750">
        <f>SUMIFS(KH_ĐL!$J:$J,KH_ĐL!$CD:$CD,W$10&amp;$B89,KH_ĐL!$CE:$CE,"Lò")</f>
        <v>0</v>
      </c>
      <c r="X89" s="754"/>
      <c r="Y89" s="748"/>
      <c r="Z89" s="743"/>
      <c r="AA89" s="749"/>
      <c r="AB89" s="749"/>
      <c r="AC89" s="749"/>
      <c r="AD89" s="749"/>
      <c r="AE89" s="749"/>
    </row>
    <row r="90" spans="1:31" ht="19.5" hidden="1" outlineLevel="1" x14ac:dyDescent="0.3">
      <c r="A90" s="745"/>
      <c r="B90" s="732">
        <f t="shared" si="15"/>
        <v>45</v>
      </c>
      <c r="C90" s="746"/>
      <c r="D90" s="729">
        <f t="shared" si="16"/>
        <v>0</v>
      </c>
      <c r="E90" s="750">
        <f>SUMIFS(KH_ĐL!$J:$J,KH_ĐL!$CD:$CD,E$10&amp;$B90,KH_ĐL!$CE:$CE,"Lò")</f>
        <v>0</v>
      </c>
      <c r="F90" s="750">
        <f>SUMIFS(KH_ĐL!$J:$J,KH_ĐL!$CD:$CD,F$10&amp;$B90,KH_ĐL!$CE:$CE,"Lò")</f>
        <v>0</v>
      </c>
      <c r="G90" s="750">
        <f>SUMIFS(KH_ĐL!$J:$J,KH_ĐL!$CD:$CD,G$10&amp;$B90,KH_ĐL!$CE:$CE,"Lò")</f>
        <v>0</v>
      </c>
      <c r="H90" s="750">
        <f>SUMIFS(KH_ĐL!$J:$J,KH_ĐL!$CD:$CD,H$10&amp;$B90,KH_ĐL!$CE:$CE,"Lò")</f>
        <v>0</v>
      </c>
      <c r="I90" s="750">
        <f>SUMIFS(KH_ĐL!$J:$J,KH_ĐL!$CD:$CD,I$10&amp;$B90,KH_ĐL!$CE:$CE,"Lò")</f>
        <v>0</v>
      </c>
      <c r="J90" s="750">
        <f>SUMIFS(KH_ĐL!$J:$J,KH_ĐL!$CD:$CD,J$10&amp;$B90,KH_ĐL!$CE:$CE,"Lò")</f>
        <v>0</v>
      </c>
      <c r="K90" s="750">
        <f>SUMIFS(KH_ĐL!$J:$J,KH_ĐL!$CD:$CD,K$10&amp;$B90,KH_ĐL!$CE:$CE,"Lò")</f>
        <v>0</v>
      </c>
      <c r="L90" s="750">
        <f>SUMIFS(KH_ĐL!$J:$J,KH_ĐL!$CD:$CD,L$10&amp;$B90,KH_ĐL!$CE:$CE,"Lò")</f>
        <v>0</v>
      </c>
      <c r="M90" s="750">
        <f>SUMIFS(KH_ĐL!$J:$J,KH_ĐL!$CD:$CD,M$10&amp;$B90,KH_ĐL!$CE:$CE,"Lò")</f>
        <v>0</v>
      </c>
      <c r="N90" s="750">
        <f>SUMIFS(KH_ĐL!$J:$J,KH_ĐL!$CD:$CD,N$10&amp;$B90,KH_ĐL!$CE:$CE,"Lò")</f>
        <v>0</v>
      </c>
      <c r="O90" s="750">
        <f>SUMIFS(KH_ĐL!$J:$J,KH_ĐL!$CD:$CD,O$10&amp;$B90,KH_ĐL!$CE:$CE,"Lò")</f>
        <v>0</v>
      </c>
      <c r="P90" s="750">
        <f>SUMIFS(KH_ĐL!$J:$J,KH_ĐL!$CD:$CD,P$10&amp;$B90,KH_ĐL!$CE:$CE,"Lò")</f>
        <v>0</v>
      </c>
      <c r="Q90" s="750">
        <f>SUMIFS(KH_ĐL!$J:$J,KH_ĐL!$CD:$CD,Q$10&amp;$B90,KH_ĐL!$CE:$CE,"Lò")</f>
        <v>0</v>
      </c>
      <c r="R90" s="750">
        <f>SUMIFS(KH_ĐL!$J:$J,KH_ĐL!$CD:$CD,R$10&amp;$B90,KH_ĐL!$CE:$CE,"Lò")</f>
        <v>0</v>
      </c>
      <c r="S90" s="750">
        <f>SUMIFS(KH_ĐL!$J:$J,KH_ĐL!$CD:$CD,S$10&amp;$B90,KH_ĐL!$CE:$CE,"Lò")</f>
        <v>0</v>
      </c>
      <c r="T90" s="750">
        <f>SUMIFS(KH_ĐL!$J:$J,KH_ĐL!$CD:$CD,T$10&amp;$B90,KH_ĐL!$CE:$CE,"Lò")</f>
        <v>0</v>
      </c>
      <c r="U90" s="750">
        <f>SUMIFS(KH_ĐL!$J:$J,KH_ĐL!$CD:$CD,U$10&amp;$B90,KH_ĐL!$CE:$CE,"Lò")</f>
        <v>0</v>
      </c>
      <c r="V90" s="750">
        <f>SUMIFS(KH_ĐL!$J:$J,KH_ĐL!$CD:$CD,V$10&amp;$B90,KH_ĐL!$CE:$CE,"Lò")</f>
        <v>0</v>
      </c>
      <c r="W90" s="750">
        <f>SUMIFS(KH_ĐL!$J:$J,KH_ĐL!$CD:$CD,W$10&amp;$B90,KH_ĐL!$CE:$CE,"Lò")</f>
        <v>0</v>
      </c>
      <c r="X90" s="754"/>
      <c r="Y90" s="748"/>
      <c r="Z90" s="743"/>
      <c r="AA90" s="749"/>
      <c r="AB90" s="749"/>
      <c r="AC90" s="749"/>
      <c r="AD90" s="749"/>
      <c r="AE90" s="749"/>
    </row>
    <row r="91" spans="1:31" ht="19.5" hidden="1" outlineLevel="1" x14ac:dyDescent="0.3">
      <c r="A91" s="745"/>
      <c r="B91" s="732">
        <f t="shared" si="15"/>
        <v>56</v>
      </c>
      <c r="C91" s="746"/>
      <c r="D91" s="729">
        <f t="shared" si="16"/>
        <v>0</v>
      </c>
      <c r="E91" s="750">
        <f>SUMIFS(KH_ĐL!$J:$J,KH_ĐL!$CD:$CD,E$10&amp;$B91,KH_ĐL!$CE:$CE,"Lò")</f>
        <v>0</v>
      </c>
      <c r="F91" s="750">
        <f>SUMIFS(KH_ĐL!$J:$J,KH_ĐL!$CD:$CD,F$10&amp;$B91,KH_ĐL!$CE:$CE,"Lò")</f>
        <v>0</v>
      </c>
      <c r="G91" s="750">
        <f>SUMIFS(KH_ĐL!$J:$J,KH_ĐL!$CD:$CD,G$10&amp;$B91,KH_ĐL!$CE:$CE,"Lò")</f>
        <v>0</v>
      </c>
      <c r="H91" s="750">
        <f>SUMIFS(KH_ĐL!$J:$J,KH_ĐL!$CD:$CD,H$10&amp;$B91,KH_ĐL!$CE:$CE,"Lò")</f>
        <v>0</v>
      </c>
      <c r="I91" s="750">
        <f>SUMIFS(KH_ĐL!$J:$J,KH_ĐL!$CD:$CD,I$10&amp;$B91,KH_ĐL!$CE:$CE,"Lò")</f>
        <v>0</v>
      </c>
      <c r="J91" s="750">
        <f>SUMIFS(KH_ĐL!$J:$J,KH_ĐL!$CD:$CD,J$10&amp;$B91,KH_ĐL!$CE:$CE,"Lò")</f>
        <v>0</v>
      </c>
      <c r="K91" s="750">
        <f>SUMIFS(KH_ĐL!$J:$J,KH_ĐL!$CD:$CD,K$10&amp;$B91,KH_ĐL!$CE:$CE,"Lò")</f>
        <v>0</v>
      </c>
      <c r="L91" s="750">
        <f>SUMIFS(KH_ĐL!$J:$J,KH_ĐL!$CD:$CD,L$10&amp;$B91,KH_ĐL!$CE:$CE,"Lò")</f>
        <v>0</v>
      </c>
      <c r="M91" s="750">
        <f>SUMIFS(KH_ĐL!$J:$J,KH_ĐL!$CD:$CD,M$10&amp;$B91,KH_ĐL!$CE:$CE,"Lò")</f>
        <v>0</v>
      </c>
      <c r="N91" s="750">
        <f>SUMIFS(KH_ĐL!$J:$J,KH_ĐL!$CD:$CD,N$10&amp;$B91,KH_ĐL!$CE:$CE,"Lò")</f>
        <v>0</v>
      </c>
      <c r="O91" s="750">
        <f>SUMIFS(KH_ĐL!$J:$J,KH_ĐL!$CD:$CD,O$10&amp;$B91,KH_ĐL!$CE:$CE,"Lò")</f>
        <v>0</v>
      </c>
      <c r="P91" s="750">
        <f>SUMIFS(KH_ĐL!$J:$J,KH_ĐL!$CD:$CD,P$10&amp;$B91,KH_ĐL!$CE:$CE,"Lò")</f>
        <v>0</v>
      </c>
      <c r="Q91" s="750">
        <f>SUMIFS(KH_ĐL!$J:$J,KH_ĐL!$CD:$CD,Q$10&amp;$B91,KH_ĐL!$CE:$CE,"Lò")</f>
        <v>0</v>
      </c>
      <c r="R91" s="750">
        <f>SUMIFS(KH_ĐL!$J:$J,KH_ĐL!$CD:$CD,R$10&amp;$B91,KH_ĐL!$CE:$CE,"Lò")</f>
        <v>0</v>
      </c>
      <c r="S91" s="750">
        <f>SUMIFS(KH_ĐL!$J:$J,KH_ĐL!$CD:$CD,S$10&amp;$B91,KH_ĐL!$CE:$CE,"Lò")</f>
        <v>0</v>
      </c>
      <c r="T91" s="750">
        <f>SUMIFS(KH_ĐL!$J:$J,KH_ĐL!$CD:$CD,T$10&amp;$B91,KH_ĐL!$CE:$CE,"Lò")</f>
        <v>0</v>
      </c>
      <c r="U91" s="750">
        <f>SUMIFS(KH_ĐL!$J:$J,KH_ĐL!$CD:$CD,U$10&amp;$B91,KH_ĐL!$CE:$CE,"Lò")</f>
        <v>0</v>
      </c>
      <c r="V91" s="750">
        <f>SUMIFS(KH_ĐL!$J:$J,KH_ĐL!$CD:$CD,V$10&amp;$B91,KH_ĐL!$CE:$CE,"Lò")</f>
        <v>0</v>
      </c>
      <c r="W91" s="750">
        <f>SUMIFS(KH_ĐL!$J:$J,KH_ĐL!$CD:$CD,W$10&amp;$B91,KH_ĐL!$CE:$CE,"Lò")</f>
        <v>0</v>
      </c>
      <c r="X91" s="754"/>
      <c r="Y91" s="748"/>
      <c r="Z91" s="743"/>
      <c r="AA91" s="749"/>
      <c r="AB91" s="749"/>
      <c r="AC91" s="749"/>
      <c r="AD91" s="749"/>
      <c r="AE91" s="749"/>
    </row>
    <row r="92" spans="1:31" ht="19.5" hidden="1" outlineLevel="1" x14ac:dyDescent="0.3">
      <c r="A92" s="745"/>
      <c r="B92" s="732">
        <f t="shared" si="15"/>
        <v>0</v>
      </c>
      <c r="C92" s="746"/>
      <c r="D92" s="729">
        <f t="shared" si="16"/>
        <v>0</v>
      </c>
      <c r="E92" s="750">
        <f>SUMIFS(KH_ĐL!$J:$J,KH_ĐL!$CD:$CD,E$10&amp;$B92,KH_ĐL!$CE:$CE,"Lò")</f>
        <v>0</v>
      </c>
      <c r="F92" s="750">
        <f>SUMIFS(KH_ĐL!$J:$J,KH_ĐL!$CD:$CD,F$10&amp;$B92,KH_ĐL!$CE:$CE,"Lò")</f>
        <v>0</v>
      </c>
      <c r="G92" s="750">
        <f>SUMIFS(KH_ĐL!$J:$J,KH_ĐL!$CD:$CD,G$10&amp;$B92,KH_ĐL!$CE:$CE,"Lò")</f>
        <v>0</v>
      </c>
      <c r="H92" s="750">
        <f>SUMIFS(KH_ĐL!$J:$J,KH_ĐL!$CD:$CD,H$10&amp;$B92,KH_ĐL!$CE:$CE,"Lò")</f>
        <v>0</v>
      </c>
      <c r="I92" s="750">
        <f>SUMIFS(KH_ĐL!$J:$J,KH_ĐL!$CD:$CD,I$10&amp;$B92,KH_ĐL!$CE:$CE,"Lò")</f>
        <v>0</v>
      </c>
      <c r="J92" s="750">
        <f>SUMIFS(KH_ĐL!$J:$J,KH_ĐL!$CD:$CD,J$10&amp;$B92,KH_ĐL!$CE:$CE,"Lò")</f>
        <v>0</v>
      </c>
      <c r="K92" s="750">
        <f>SUMIFS(KH_ĐL!$J:$J,KH_ĐL!$CD:$CD,K$10&amp;$B92,KH_ĐL!$CE:$CE,"Lò")</f>
        <v>0</v>
      </c>
      <c r="L92" s="750">
        <f>SUMIFS(KH_ĐL!$J:$J,KH_ĐL!$CD:$CD,L$10&amp;$B92,KH_ĐL!$CE:$CE,"Lò")</f>
        <v>0</v>
      </c>
      <c r="M92" s="750">
        <f>SUMIFS(KH_ĐL!$J:$J,KH_ĐL!$CD:$CD,M$10&amp;$B92,KH_ĐL!$CE:$CE,"Lò")</f>
        <v>0</v>
      </c>
      <c r="N92" s="750">
        <f>SUMIFS(KH_ĐL!$J:$J,KH_ĐL!$CD:$CD,N$10&amp;$B92,KH_ĐL!$CE:$CE,"Lò")</f>
        <v>0</v>
      </c>
      <c r="O92" s="750">
        <f>SUMIFS(KH_ĐL!$J:$J,KH_ĐL!$CD:$CD,O$10&amp;$B92,KH_ĐL!$CE:$CE,"Lò")</f>
        <v>0</v>
      </c>
      <c r="P92" s="750">
        <f>SUMIFS(KH_ĐL!$J:$J,KH_ĐL!$CD:$CD,P$10&amp;$B92,KH_ĐL!$CE:$CE,"Lò")</f>
        <v>0</v>
      </c>
      <c r="Q92" s="750">
        <f>SUMIFS(KH_ĐL!$J:$J,KH_ĐL!$CD:$CD,Q$10&amp;$B92,KH_ĐL!$CE:$CE,"Lò")</f>
        <v>0</v>
      </c>
      <c r="R92" s="750">
        <f>SUMIFS(KH_ĐL!$J:$J,KH_ĐL!$CD:$CD,R$10&amp;$B92,KH_ĐL!$CE:$CE,"Lò")</f>
        <v>0</v>
      </c>
      <c r="S92" s="750">
        <f>SUMIFS(KH_ĐL!$J:$J,KH_ĐL!$CD:$CD,S$10&amp;$B92,KH_ĐL!$CE:$CE,"Lò")</f>
        <v>0</v>
      </c>
      <c r="T92" s="750">
        <f>SUMIFS(KH_ĐL!$J:$J,KH_ĐL!$CD:$CD,T$10&amp;$B92,KH_ĐL!$CE:$CE,"Lò")</f>
        <v>0</v>
      </c>
      <c r="U92" s="750">
        <f>SUMIFS(KH_ĐL!$J:$J,KH_ĐL!$CD:$CD,U$10&amp;$B92,KH_ĐL!$CE:$CE,"Lò")</f>
        <v>0</v>
      </c>
      <c r="V92" s="750">
        <f>SUMIFS(KH_ĐL!$J:$J,KH_ĐL!$CD:$CD,V$10&amp;$B92,KH_ĐL!$CE:$CE,"Lò")</f>
        <v>0</v>
      </c>
      <c r="W92" s="750">
        <f>SUMIFS(KH_ĐL!$J:$J,KH_ĐL!$CD:$CD,W$10&amp;$B92,KH_ĐL!$CE:$CE,"Lò")</f>
        <v>0</v>
      </c>
      <c r="X92" s="754"/>
      <c r="Y92" s="748"/>
      <c r="Z92" s="743"/>
      <c r="AA92" s="749"/>
      <c r="AB92" s="749"/>
      <c r="AC92" s="749"/>
      <c r="AD92" s="749"/>
      <c r="AE92" s="749"/>
    </row>
    <row r="93" spans="1:31" ht="19.5" hidden="1" outlineLevel="1" x14ac:dyDescent="0.3">
      <c r="A93" s="745"/>
      <c r="B93" s="732">
        <f t="shared" si="15"/>
        <v>0</v>
      </c>
      <c r="C93" s="746"/>
      <c r="D93" s="729">
        <f t="shared" si="16"/>
        <v>0</v>
      </c>
      <c r="E93" s="750">
        <f>SUMIFS(KH_ĐL!$J:$J,KH_ĐL!$CD:$CD,E$10&amp;$B93,KH_ĐL!$CE:$CE,"Lò")</f>
        <v>0</v>
      </c>
      <c r="F93" s="750">
        <f>SUMIFS(KH_ĐL!$J:$J,KH_ĐL!$CD:$CD,F$10&amp;$B93,KH_ĐL!$CE:$CE,"Lò")</f>
        <v>0</v>
      </c>
      <c r="G93" s="750">
        <f>SUMIFS(KH_ĐL!$J:$J,KH_ĐL!$CD:$CD,G$10&amp;$B93,KH_ĐL!$CE:$CE,"Lò")</f>
        <v>0</v>
      </c>
      <c r="H93" s="750">
        <f>SUMIFS(KH_ĐL!$J:$J,KH_ĐL!$CD:$CD,H$10&amp;$B93,KH_ĐL!$CE:$CE,"Lò")</f>
        <v>0</v>
      </c>
      <c r="I93" s="750">
        <f>SUMIFS(KH_ĐL!$J:$J,KH_ĐL!$CD:$CD,I$10&amp;$B93,KH_ĐL!$CE:$CE,"Lò")</f>
        <v>0</v>
      </c>
      <c r="J93" s="750">
        <f>SUMIFS(KH_ĐL!$J:$J,KH_ĐL!$CD:$CD,J$10&amp;$B93,KH_ĐL!$CE:$CE,"Lò")</f>
        <v>0</v>
      </c>
      <c r="K93" s="750">
        <f>SUMIFS(KH_ĐL!$J:$J,KH_ĐL!$CD:$CD,K$10&amp;$B93,KH_ĐL!$CE:$CE,"Lò")</f>
        <v>0</v>
      </c>
      <c r="L93" s="750">
        <f>SUMIFS(KH_ĐL!$J:$J,KH_ĐL!$CD:$CD,L$10&amp;$B93,KH_ĐL!$CE:$CE,"Lò")</f>
        <v>0</v>
      </c>
      <c r="M93" s="750">
        <f>SUMIFS(KH_ĐL!$J:$J,KH_ĐL!$CD:$CD,M$10&amp;$B93,KH_ĐL!$CE:$CE,"Lò")</f>
        <v>0</v>
      </c>
      <c r="N93" s="750">
        <f>SUMIFS(KH_ĐL!$J:$J,KH_ĐL!$CD:$CD,N$10&amp;$B93,KH_ĐL!$CE:$CE,"Lò")</f>
        <v>0</v>
      </c>
      <c r="O93" s="750">
        <f>SUMIFS(KH_ĐL!$J:$J,KH_ĐL!$CD:$CD,O$10&amp;$B93,KH_ĐL!$CE:$CE,"Lò")</f>
        <v>0</v>
      </c>
      <c r="P93" s="750">
        <f>SUMIFS(KH_ĐL!$J:$J,KH_ĐL!$CD:$CD,P$10&amp;$B93,KH_ĐL!$CE:$CE,"Lò")</f>
        <v>0</v>
      </c>
      <c r="Q93" s="750">
        <f>SUMIFS(KH_ĐL!$J:$J,KH_ĐL!$CD:$CD,Q$10&amp;$B93,KH_ĐL!$CE:$CE,"Lò")</f>
        <v>0</v>
      </c>
      <c r="R93" s="750">
        <f>SUMIFS(KH_ĐL!$J:$J,KH_ĐL!$CD:$CD,R$10&amp;$B93,KH_ĐL!$CE:$CE,"Lò")</f>
        <v>0</v>
      </c>
      <c r="S93" s="750">
        <f>SUMIFS(KH_ĐL!$J:$J,KH_ĐL!$CD:$CD,S$10&amp;$B93,KH_ĐL!$CE:$CE,"Lò")</f>
        <v>0</v>
      </c>
      <c r="T93" s="750">
        <f>SUMIFS(KH_ĐL!$J:$J,KH_ĐL!$CD:$CD,T$10&amp;$B93,KH_ĐL!$CE:$CE,"Lò")</f>
        <v>0</v>
      </c>
      <c r="U93" s="750">
        <f>SUMIFS(KH_ĐL!$J:$J,KH_ĐL!$CD:$CD,U$10&amp;$B93,KH_ĐL!$CE:$CE,"Lò")</f>
        <v>0</v>
      </c>
      <c r="V93" s="750">
        <f>SUMIFS(KH_ĐL!$J:$J,KH_ĐL!$CD:$CD,V$10&amp;$B93,KH_ĐL!$CE:$CE,"Lò")</f>
        <v>0</v>
      </c>
      <c r="W93" s="750">
        <f>SUMIFS(KH_ĐL!$J:$J,KH_ĐL!$CD:$CD,W$10&amp;$B93,KH_ĐL!$CE:$CE,"Lò")</f>
        <v>0</v>
      </c>
      <c r="X93" s="754"/>
      <c r="Y93" s="748"/>
      <c r="Z93" s="743"/>
      <c r="AA93" s="749"/>
      <c r="AB93" s="749"/>
      <c r="AC93" s="749"/>
      <c r="AD93" s="749"/>
      <c r="AE93" s="749"/>
    </row>
    <row r="94" spans="1:31" ht="19.5" hidden="1" outlineLevel="1" x14ac:dyDescent="0.3">
      <c r="A94" s="745"/>
      <c r="B94" s="732">
        <f t="shared" si="15"/>
        <v>0</v>
      </c>
      <c r="C94" s="746"/>
      <c r="D94" s="729"/>
      <c r="E94" s="750">
        <f>SUMIFS(KH_ĐL!$J:$J,KH_ĐL!$CD:$CD,E$10&amp;$B94,KH_ĐL!$CE:$CE,"Lò")</f>
        <v>0</v>
      </c>
      <c r="F94" s="750">
        <f>SUMIFS(KH_ĐL!$J:$J,KH_ĐL!$CD:$CD,F$10&amp;$B94,KH_ĐL!$CE:$CE,"Lò")</f>
        <v>0</v>
      </c>
      <c r="G94" s="750">
        <f>SUMIFS(KH_ĐL!$J:$J,KH_ĐL!$CD:$CD,G$10&amp;$B94,KH_ĐL!$CE:$CE,"Lò")</f>
        <v>0</v>
      </c>
      <c r="H94" s="750">
        <f>SUMIFS(KH_ĐL!$J:$J,KH_ĐL!$CD:$CD,H$10&amp;$B94,KH_ĐL!$CE:$CE,"Lò")</f>
        <v>0</v>
      </c>
      <c r="I94" s="750">
        <f>SUMIFS(KH_ĐL!$J:$J,KH_ĐL!$CD:$CD,I$10&amp;$B94,KH_ĐL!$CE:$CE,"Lò")</f>
        <v>0</v>
      </c>
      <c r="J94" s="750">
        <f>SUMIFS(KH_ĐL!$J:$J,KH_ĐL!$CD:$CD,J$10&amp;$B94,KH_ĐL!$CE:$CE,"Lò")</f>
        <v>0</v>
      </c>
      <c r="K94" s="750">
        <f>SUMIFS(KH_ĐL!$J:$J,KH_ĐL!$CD:$CD,K$10&amp;$B94,KH_ĐL!$CE:$CE,"Lò")</f>
        <v>0</v>
      </c>
      <c r="L94" s="750">
        <f>SUMIFS(KH_ĐL!$J:$J,KH_ĐL!$CD:$CD,L$10&amp;$B94,KH_ĐL!$CE:$CE,"Lò")</f>
        <v>0</v>
      </c>
      <c r="M94" s="750">
        <f>SUMIFS(KH_ĐL!$J:$J,KH_ĐL!$CD:$CD,M$10&amp;$B94,KH_ĐL!$CE:$CE,"Lò")</f>
        <v>0</v>
      </c>
      <c r="N94" s="750">
        <f>SUMIFS(KH_ĐL!$J:$J,KH_ĐL!$CD:$CD,N$10&amp;$B94,KH_ĐL!$CE:$CE,"Lò")</f>
        <v>0</v>
      </c>
      <c r="O94" s="750">
        <f>SUMIFS(KH_ĐL!$J:$J,KH_ĐL!$CD:$CD,O$10&amp;$B94,KH_ĐL!$CE:$CE,"Lò")</f>
        <v>0</v>
      </c>
      <c r="P94" s="750">
        <f>SUMIFS(KH_ĐL!$J:$J,KH_ĐL!$CD:$CD,P$10&amp;$B94,KH_ĐL!$CE:$CE,"Lò")</f>
        <v>0</v>
      </c>
      <c r="Q94" s="750">
        <f>SUMIFS(KH_ĐL!$J:$J,KH_ĐL!$CD:$CD,Q$10&amp;$B94,KH_ĐL!$CE:$CE,"Lò")</f>
        <v>0</v>
      </c>
      <c r="R94" s="750">
        <f>SUMIFS(KH_ĐL!$J:$J,KH_ĐL!$CD:$CD,R$10&amp;$B94,KH_ĐL!$CE:$CE,"Lò")</f>
        <v>0</v>
      </c>
      <c r="S94" s="750">
        <f>SUMIFS(KH_ĐL!$J:$J,KH_ĐL!$CD:$CD,S$10&amp;$B94,KH_ĐL!$CE:$CE,"Lò")</f>
        <v>0</v>
      </c>
      <c r="T94" s="750">
        <f>SUMIFS(KH_ĐL!$J:$J,KH_ĐL!$CD:$CD,T$10&amp;$B94,KH_ĐL!$CE:$CE,"Lò")</f>
        <v>0</v>
      </c>
      <c r="U94" s="750">
        <f>SUMIFS(KH_ĐL!$J:$J,KH_ĐL!$CD:$CD,U$10&amp;$B94,KH_ĐL!$CE:$CE,"Lò")</f>
        <v>0</v>
      </c>
      <c r="V94" s="750">
        <f>SUMIFS(KH_ĐL!$J:$J,KH_ĐL!$CD:$CD,V$10&amp;$B94,KH_ĐL!$CE:$CE,"Lò")</f>
        <v>0</v>
      </c>
      <c r="W94" s="750">
        <f>SUMIFS(KH_ĐL!$J:$J,KH_ĐL!$CD:$CD,W$10&amp;$B94,KH_ĐL!$CE:$CE,"Lò")</f>
        <v>0</v>
      </c>
      <c r="X94" s="754"/>
      <c r="Y94" s="748"/>
      <c r="Z94" s="743"/>
      <c r="AA94" s="749"/>
      <c r="AB94" s="749"/>
      <c r="AC94" s="749"/>
      <c r="AD94" s="749"/>
      <c r="AE94" s="749"/>
    </row>
    <row r="95" spans="1:31" ht="19.5" hidden="1" outlineLevel="1" x14ac:dyDescent="0.3">
      <c r="A95" s="745"/>
      <c r="B95" s="732">
        <f t="shared" si="15"/>
        <v>0</v>
      </c>
      <c r="C95" s="746"/>
      <c r="D95" s="729"/>
      <c r="E95" s="750">
        <f>SUMIFS(KH_ĐL!$J:$J,KH_ĐL!$CD:$CD,E$10&amp;$B95,KH_ĐL!$CE:$CE,"Lò")</f>
        <v>0</v>
      </c>
      <c r="F95" s="750">
        <f>SUMIFS(KH_ĐL!$J:$J,KH_ĐL!$CD:$CD,F$10&amp;$B95,KH_ĐL!$CE:$CE,"Lò")</f>
        <v>0</v>
      </c>
      <c r="G95" s="750">
        <f>SUMIFS(KH_ĐL!$J:$J,KH_ĐL!$CD:$CD,G$10&amp;$B95,KH_ĐL!$CE:$CE,"Lò")</f>
        <v>0</v>
      </c>
      <c r="H95" s="750">
        <f>SUMIFS(KH_ĐL!$J:$J,KH_ĐL!$CD:$CD,H$10&amp;$B95,KH_ĐL!$CE:$CE,"Lò")</f>
        <v>0</v>
      </c>
      <c r="I95" s="750">
        <f>SUMIFS(KH_ĐL!$J:$J,KH_ĐL!$CD:$CD,I$10&amp;$B95,KH_ĐL!$CE:$CE,"Lò")</f>
        <v>0</v>
      </c>
      <c r="J95" s="750">
        <f>SUMIFS(KH_ĐL!$J:$J,KH_ĐL!$CD:$CD,J$10&amp;$B95,KH_ĐL!$CE:$CE,"Lò")</f>
        <v>0</v>
      </c>
      <c r="K95" s="750">
        <f>SUMIFS(KH_ĐL!$J:$J,KH_ĐL!$CD:$CD,K$10&amp;$B95,KH_ĐL!$CE:$CE,"Lò")</f>
        <v>0</v>
      </c>
      <c r="L95" s="750">
        <f>SUMIFS(KH_ĐL!$J:$J,KH_ĐL!$CD:$CD,L$10&amp;$B95,KH_ĐL!$CE:$CE,"Lò")</f>
        <v>0</v>
      </c>
      <c r="M95" s="750">
        <f>SUMIFS(KH_ĐL!$J:$J,KH_ĐL!$CD:$CD,M$10&amp;$B95,KH_ĐL!$CE:$CE,"Lò")</f>
        <v>0</v>
      </c>
      <c r="N95" s="750">
        <f>SUMIFS(KH_ĐL!$J:$J,KH_ĐL!$CD:$CD,N$10&amp;$B95,KH_ĐL!$CE:$CE,"Lò")</f>
        <v>0</v>
      </c>
      <c r="O95" s="750">
        <f>SUMIFS(KH_ĐL!$J:$J,KH_ĐL!$CD:$CD,O$10&amp;$B95,KH_ĐL!$CE:$CE,"Lò")</f>
        <v>0</v>
      </c>
      <c r="P95" s="750">
        <f>SUMIFS(KH_ĐL!$J:$J,KH_ĐL!$CD:$CD,P$10&amp;$B95,KH_ĐL!$CE:$CE,"Lò")</f>
        <v>0</v>
      </c>
      <c r="Q95" s="750">
        <f>SUMIFS(KH_ĐL!$J:$J,KH_ĐL!$CD:$CD,Q$10&amp;$B95,KH_ĐL!$CE:$CE,"Lò")</f>
        <v>0</v>
      </c>
      <c r="R95" s="750">
        <f>SUMIFS(KH_ĐL!$J:$J,KH_ĐL!$CD:$CD,R$10&amp;$B95,KH_ĐL!$CE:$CE,"Lò")</f>
        <v>0</v>
      </c>
      <c r="S95" s="750">
        <f>SUMIFS(KH_ĐL!$J:$J,KH_ĐL!$CD:$CD,S$10&amp;$B95,KH_ĐL!$CE:$CE,"Lò")</f>
        <v>0</v>
      </c>
      <c r="T95" s="750">
        <f>SUMIFS(KH_ĐL!$J:$J,KH_ĐL!$CD:$CD,T$10&amp;$B95,KH_ĐL!$CE:$CE,"Lò")</f>
        <v>0</v>
      </c>
      <c r="U95" s="750">
        <f>SUMIFS(KH_ĐL!$J:$J,KH_ĐL!$CD:$CD,U$10&amp;$B95,KH_ĐL!$CE:$CE,"Lò")</f>
        <v>0</v>
      </c>
      <c r="V95" s="750">
        <f>SUMIFS(KH_ĐL!$J:$J,KH_ĐL!$CD:$CD,V$10&amp;$B95,KH_ĐL!$CE:$CE,"Lò")</f>
        <v>0</v>
      </c>
      <c r="W95" s="750">
        <f>SUMIFS(KH_ĐL!$J:$J,KH_ĐL!$CD:$CD,W$10&amp;$B95,KH_ĐL!$CE:$CE,"Lò")</f>
        <v>0</v>
      </c>
      <c r="X95" s="754"/>
      <c r="Y95" s="748"/>
      <c r="Z95" s="743"/>
      <c r="AA95" s="749"/>
      <c r="AB95" s="749"/>
      <c r="AC95" s="749"/>
      <c r="AD95" s="749"/>
      <c r="AE95" s="749"/>
    </row>
    <row r="96" spans="1:31" ht="19.5" hidden="1" outlineLevel="1" x14ac:dyDescent="0.3">
      <c r="A96" s="745"/>
      <c r="B96" s="732">
        <f>B65</f>
        <v>0</v>
      </c>
      <c r="C96" s="746"/>
      <c r="D96" s="729"/>
      <c r="E96" s="750">
        <f>SUMIFS(KH_ĐL!$J:$J,KH_ĐL!$CD:$CD,E$10&amp;$B96,KH_ĐL!$CE:$CE,"Lò")</f>
        <v>0</v>
      </c>
      <c r="F96" s="750">
        <f>SUMIFS(KH_ĐL!$J:$J,KH_ĐL!$CD:$CD,F$10&amp;$B96,KH_ĐL!$CE:$CE,"Lò")</f>
        <v>0</v>
      </c>
      <c r="G96" s="750">
        <f>SUMIFS(KH_ĐL!$J:$J,KH_ĐL!$CD:$CD,G$10&amp;$B96,KH_ĐL!$CE:$CE,"Lò")</f>
        <v>0</v>
      </c>
      <c r="H96" s="750">
        <f>SUMIFS(KH_ĐL!$J:$J,KH_ĐL!$CD:$CD,H$10&amp;$B96,KH_ĐL!$CE:$CE,"Lò")</f>
        <v>0</v>
      </c>
      <c r="I96" s="750">
        <f>SUMIFS(KH_ĐL!$J:$J,KH_ĐL!$CD:$CD,I$10&amp;$B96,KH_ĐL!$CE:$CE,"Lò")</f>
        <v>0</v>
      </c>
      <c r="J96" s="750">
        <f>SUMIFS(KH_ĐL!$J:$J,KH_ĐL!$CD:$CD,J$10&amp;$B96,KH_ĐL!$CE:$CE,"Lò")</f>
        <v>0</v>
      </c>
      <c r="K96" s="750">
        <f>SUMIFS(KH_ĐL!$J:$J,KH_ĐL!$CD:$CD,K$10&amp;$B96,KH_ĐL!$CE:$CE,"Lò")</f>
        <v>0</v>
      </c>
      <c r="L96" s="750">
        <f>SUMIFS(KH_ĐL!$J:$J,KH_ĐL!$CD:$CD,L$10&amp;$B96,KH_ĐL!$CE:$CE,"Lò")</f>
        <v>0</v>
      </c>
      <c r="M96" s="750">
        <f>SUMIFS(KH_ĐL!$J:$J,KH_ĐL!$CD:$CD,M$10&amp;$B96,KH_ĐL!$CE:$CE,"Lò")</f>
        <v>0</v>
      </c>
      <c r="N96" s="750">
        <f>SUMIFS(KH_ĐL!$J:$J,KH_ĐL!$CD:$CD,N$10&amp;$B96,KH_ĐL!$CE:$CE,"Lò")</f>
        <v>0</v>
      </c>
      <c r="O96" s="750">
        <f>SUMIFS(KH_ĐL!$J:$J,KH_ĐL!$CD:$CD,O$10&amp;$B96,KH_ĐL!$CE:$CE,"Lò")</f>
        <v>0</v>
      </c>
      <c r="P96" s="750">
        <f>SUMIFS(KH_ĐL!$J:$J,KH_ĐL!$CD:$CD,P$10&amp;$B96,KH_ĐL!$CE:$CE,"Lò")</f>
        <v>0</v>
      </c>
      <c r="Q96" s="750">
        <f>SUMIFS(KH_ĐL!$J:$J,KH_ĐL!$CD:$CD,Q$10&amp;$B96,KH_ĐL!$CE:$CE,"Lò")</f>
        <v>0</v>
      </c>
      <c r="R96" s="750">
        <f>SUMIFS(KH_ĐL!$J:$J,KH_ĐL!$CD:$CD,R$10&amp;$B96,KH_ĐL!$CE:$CE,"Lò")</f>
        <v>0</v>
      </c>
      <c r="S96" s="750">
        <f>SUMIFS(KH_ĐL!$J:$J,KH_ĐL!$CD:$CD,S$10&amp;$B96,KH_ĐL!$CE:$CE,"Lò")</f>
        <v>0</v>
      </c>
      <c r="T96" s="750">
        <f>SUMIFS(KH_ĐL!$J:$J,KH_ĐL!$CD:$CD,T$10&amp;$B96,KH_ĐL!$CE:$CE,"Lò")</f>
        <v>0</v>
      </c>
      <c r="U96" s="750">
        <f>SUMIFS(KH_ĐL!$J:$J,KH_ĐL!$CD:$CD,U$10&amp;$B96,KH_ĐL!$CE:$CE,"Lò")</f>
        <v>0</v>
      </c>
      <c r="V96" s="750">
        <f>SUMIFS(KH_ĐL!$J:$J,KH_ĐL!$CD:$CD,V$10&amp;$B96,KH_ĐL!$CE:$CE,"Lò")</f>
        <v>0</v>
      </c>
      <c r="W96" s="750">
        <f>SUMIFS(KH_ĐL!$J:$J,KH_ĐL!$CD:$CD,W$10&amp;$B96,KH_ĐL!$CE:$CE,"Lò")</f>
        <v>0</v>
      </c>
      <c r="X96" s="754"/>
      <c r="Y96" s="748"/>
      <c r="Z96" s="743"/>
      <c r="AA96" s="749"/>
      <c r="AB96" s="749"/>
      <c r="AC96" s="749"/>
      <c r="AD96" s="749"/>
      <c r="AE96" s="749"/>
    </row>
    <row r="97" spans="1:31" ht="19.5" hidden="1" outlineLevel="1" x14ac:dyDescent="0.3">
      <c r="A97" s="745"/>
      <c r="B97" s="732">
        <f>B66</f>
        <v>0</v>
      </c>
      <c r="C97" s="746"/>
      <c r="D97" s="729"/>
      <c r="E97" s="750">
        <f>SUMIFS(KH_ĐL!$J:$J,KH_ĐL!$CD:$CD,E$10&amp;$B97,KH_ĐL!$CE:$CE,"Lò")</f>
        <v>0</v>
      </c>
      <c r="F97" s="750">
        <f>SUMIFS(KH_ĐL!$J:$J,KH_ĐL!$CD:$CD,F$10&amp;$B97,KH_ĐL!$CE:$CE,"Lò")</f>
        <v>0</v>
      </c>
      <c r="G97" s="750">
        <f>SUMIFS(KH_ĐL!$J:$J,KH_ĐL!$CD:$CD,G$10&amp;$B97,KH_ĐL!$CE:$CE,"Lò")</f>
        <v>0</v>
      </c>
      <c r="H97" s="750">
        <f>SUMIFS(KH_ĐL!$J:$J,KH_ĐL!$CD:$CD,H$10&amp;$B97,KH_ĐL!$CE:$CE,"Lò")</f>
        <v>0</v>
      </c>
      <c r="I97" s="750">
        <f>SUMIFS(KH_ĐL!$J:$J,KH_ĐL!$CD:$CD,I$10&amp;$B97,KH_ĐL!$CE:$CE,"Lò")</f>
        <v>0</v>
      </c>
      <c r="J97" s="750">
        <f>SUMIFS(KH_ĐL!$J:$J,KH_ĐL!$CD:$CD,J$10&amp;$B97,KH_ĐL!$CE:$CE,"Lò")</f>
        <v>0</v>
      </c>
      <c r="K97" s="750">
        <f>SUMIFS(KH_ĐL!$J:$J,KH_ĐL!$CD:$CD,K$10&amp;$B97,KH_ĐL!$CE:$CE,"Lò")</f>
        <v>0</v>
      </c>
      <c r="L97" s="750">
        <f>SUMIFS(KH_ĐL!$J:$J,KH_ĐL!$CD:$CD,L$10&amp;$B97,KH_ĐL!$CE:$CE,"Lò")</f>
        <v>0</v>
      </c>
      <c r="M97" s="750">
        <f>SUMIFS(KH_ĐL!$J:$J,KH_ĐL!$CD:$CD,M$10&amp;$B97,KH_ĐL!$CE:$CE,"Lò")</f>
        <v>0</v>
      </c>
      <c r="N97" s="750">
        <f>SUMIFS(KH_ĐL!$J:$J,KH_ĐL!$CD:$CD,N$10&amp;$B97,KH_ĐL!$CE:$CE,"Lò")</f>
        <v>0</v>
      </c>
      <c r="O97" s="750">
        <f>SUMIFS(KH_ĐL!$J:$J,KH_ĐL!$CD:$CD,O$10&amp;$B97,KH_ĐL!$CE:$CE,"Lò")</f>
        <v>0</v>
      </c>
      <c r="P97" s="750">
        <f>SUMIFS(KH_ĐL!$J:$J,KH_ĐL!$CD:$CD,P$10&amp;$B97,KH_ĐL!$CE:$CE,"Lò")</f>
        <v>0</v>
      </c>
      <c r="Q97" s="750">
        <f>SUMIFS(KH_ĐL!$J:$J,KH_ĐL!$CD:$CD,Q$10&amp;$B97,KH_ĐL!$CE:$CE,"Lò")</f>
        <v>0</v>
      </c>
      <c r="R97" s="750">
        <f>SUMIFS(KH_ĐL!$J:$J,KH_ĐL!$CD:$CD,R$10&amp;$B97,KH_ĐL!$CE:$CE,"Lò")</f>
        <v>0</v>
      </c>
      <c r="S97" s="750">
        <f>SUMIFS(KH_ĐL!$J:$J,KH_ĐL!$CD:$CD,S$10&amp;$B97,KH_ĐL!$CE:$CE,"Lò")</f>
        <v>0</v>
      </c>
      <c r="T97" s="750">
        <f>SUMIFS(KH_ĐL!$J:$J,KH_ĐL!$CD:$CD,T$10&amp;$B97,KH_ĐL!$CE:$CE,"Lò")</f>
        <v>0</v>
      </c>
      <c r="U97" s="750">
        <f>SUMIFS(KH_ĐL!$J:$J,KH_ĐL!$CD:$CD,U$10&amp;$B97,KH_ĐL!$CE:$CE,"Lò")</f>
        <v>0</v>
      </c>
      <c r="V97" s="750">
        <f>SUMIFS(KH_ĐL!$J:$J,KH_ĐL!$CD:$CD,V$10&amp;$B97,KH_ĐL!$CE:$CE,"Lò")</f>
        <v>0</v>
      </c>
      <c r="W97" s="750">
        <f>SUMIFS(KH_ĐL!$J:$J,KH_ĐL!$CD:$CD,W$10&amp;$B97,KH_ĐL!$CE:$CE,"Lò")</f>
        <v>0</v>
      </c>
      <c r="X97" s="754"/>
      <c r="Y97" s="748"/>
      <c r="Z97" s="743"/>
      <c r="AA97" s="749"/>
      <c r="AB97" s="749"/>
      <c r="AC97" s="749"/>
      <c r="AD97" s="749"/>
      <c r="AE97" s="749"/>
    </row>
    <row r="98" spans="1:31" ht="19.5" hidden="1" x14ac:dyDescent="0.3">
      <c r="A98" s="745"/>
      <c r="B98" s="732"/>
      <c r="C98" s="746"/>
      <c r="D98" s="729"/>
      <c r="E98" s="713"/>
      <c r="F98" s="713"/>
      <c r="G98" s="713"/>
      <c r="H98" s="713"/>
      <c r="I98" s="713"/>
      <c r="J98" s="713"/>
      <c r="K98" s="713"/>
      <c r="L98" s="713"/>
      <c r="M98" s="713"/>
      <c r="N98" s="713"/>
      <c r="O98" s="713"/>
      <c r="P98" s="713"/>
      <c r="Q98" s="713"/>
      <c r="R98" s="713"/>
      <c r="S98" s="713"/>
      <c r="T98" s="713"/>
      <c r="U98" s="713"/>
      <c r="V98" s="713"/>
      <c r="W98" s="730"/>
      <c r="X98" s="754"/>
      <c r="Y98" s="748"/>
      <c r="Z98" s="743"/>
      <c r="AA98" s="749"/>
      <c r="AB98" s="749"/>
      <c r="AC98" s="749"/>
      <c r="AD98" s="749"/>
      <c r="AE98" s="749"/>
    </row>
    <row r="99" spans="1:31" ht="19.5" hidden="1" x14ac:dyDescent="0.3">
      <c r="A99" s="755"/>
      <c r="B99" s="741" t="s">
        <v>327</v>
      </c>
      <c r="C99" s="746"/>
      <c r="D99" s="756">
        <f t="shared" si="12"/>
        <v>0</v>
      </c>
      <c r="E99" s="757"/>
      <c r="F99" s="757"/>
      <c r="G99" s="757"/>
      <c r="H99" s="757"/>
      <c r="I99" s="757"/>
      <c r="J99" s="757"/>
      <c r="K99" s="757"/>
      <c r="L99" s="757"/>
      <c r="M99" s="757"/>
      <c r="N99" s="757"/>
      <c r="O99" s="757"/>
      <c r="P99" s="757"/>
      <c r="Q99" s="757"/>
      <c r="R99" s="712"/>
      <c r="S99" s="758"/>
      <c r="T99" s="712"/>
      <c r="U99" s="721"/>
      <c r="V99" s="730"/>
      <c r="W99" s="730"/>
      <c r="X99" s="759"/>
      <c r="Y99" s="760"/>
      <c r="Z99" s="761"/>
      <c r="AA99" s="761"/>
      <c r="AB99" s="761"/>
      <c r="AC99" s="761"/>
      <c r="AD99" s="761"/>
      <c r="AE99" s="761"/>
    </row>
    <row r="100" spans="1:31" ht="18.75" hidden="1" x14ac:dyDescent="0.3">
      <c r="A100" s="755"/>
      <c r="B100" s="728"/>
      <c r="C100" s="746" t="s">
        <v>323</v>
      </c>
      <c r="D100" s="756">
        <f t="shared" si="12"/>
        <v>0</v>
      </c>
      <c r="E100" s="750"/>
      <c r="F100" s="750"/>
      <c r="G100" s="746"/>
      <c r="H100" s="746"/>
      <c r="I100" s="746"/>
      <c r="J100" s="746"/>
      <c r="K100" s="746"/>
      <c r="L100" s="746"/>
      <c r="M100" s="746"/>
      <c r="N100" s="746"/>
      <c r="O100" s="746"/>
      <c r="P100" s="746"/>
      <c r="Q100" s="746"/>
      <c r="R100" s="746"/>
      <c r="S100" s="746"/>
      <c r="T100" s="746"/>
      <c r="U100" s="746"/>
      <c r="V100" s="730"/>
      <c r="W100" s="730"/>
      <c r="X100" s="762"/>
      <c r="Y100" s="752"/>
      <c r="Z100" s="761"/>
      <c r="AA100" s="761"/>
      <c r="AB100" s="761"/>
      <c r="AC100" s="761"/>
      <c r="AD100" s="761"/>
      <c r="AE100" s="761"/>
    </row>
    <row r="101" spans="1:31" ht="18.75" hidden="1" x14ac:dyDescent="0.3">
      <c r="A101" s="755"/>
      <c r="B101" s="728"/>
      <c r="C101" s="746" t="s">
        <v>308</v>
      </c>
      <c r="D101" s="756">
        <f t="shared" si="12"/>
        <v>0</v>
      </c>
      <c r="E101" s="750"/>
      <c r="F101" s="750"/>
      <c r="G101" s="746"/>
      <c r="H101" s="746"/>
      <c r="I101" s="746"/>
      <c r="J101" s="746"/>
      <c r="K101" s="746"/>
      <c r="L101" s="746"/>
      <c r="M101" s="746"/>
      <c r="N101" s="746"/>
      <c r="O101" s="746"/>
      <c r="P101" s="746"/>
      <c r="Q101" s="746"/>
      <c r="R101" s="746"/>
      <c r="S101" s="746"/>
      <c r="T101" s="746"/>
      <c r="U101" s="746"/>
      <c r="V101" s="730"/>
      <c r="W101" s="730"/>
      <c r="X101" s="762"/>
      <c r="Y101" s="752"/>
      <c r="Z101" s="761"/>
      <c r="AA101" s="761"/>
      <c r="AB101" s="761"/>
      <c r="AC101" s="761"/>
      <c r="AD101" s="761"/>
      <c r="AE101" s="761"/>
    </row>
    <row r="102" spans="1:31" ht="18.75" hidden="1" x14ac:dyDescent="0.3">
      <c r="A102" s="755"/>
      <c r="B102" s="728"/>
      <c r="C102" s="746" t="s">
        <v>308</v>
      </c>
      <c r="D102" s="729">
        <f t="shared" si="12"/>
        <v>0</v>
      </c>
      <c r="E102" s="713"/>
      <c r="F102" s="713"/>
      <c r="G102" s="746"/>
      <c r="H102" s="746"/>
      <c r="I102" s="746"/>
      <c r="J102" s="746"/>
      <c r="K102" s="746"/>
      <c r="L102" s="746"/>
      <c r="M102" s="746"/>
      <c r="N102" s="746"/>
      <c r="O102" s="746"/>
      <c r="P102" s="746"/>
      <c r="Q102" s="746"/>
      <c r="R102" s="746"/>
      <c r="S102" s="763"/>
      <c r="T102" s="764"/>
      <c r="U102" s="763"/>
      <c r="V102" s="730"/>
      <c r="W102" s="730"/>
      <c r="X102" s="762"/>
      <c r="Y102" s="752"/>
      <c r="Z102" s="761"/>
      <c r="AA102" s="761"/>
      <c r="AB102" s="761"/>
      <c r="AC102" s="761"/>
      <c r="AD102" s="761"/>
      <c r="AE102" s="761"/>
    </row>
    <row r="103" spans="1:31" ht="18.75" hidden="1" x14ac:dyDescent="0.3">
      <c r="A103" s="755"/>
      <c r="B103" s="728"/>
      <c r="C103" s="746" t="s">
        <v>308</v>
      </c>
      <c r="D103" s="729">
        <f t="shared" si="12"/>
        <v>0</v>
      </c>
      <c r="E103" s="713"/>
      <c r="F103" s="713"/>
      <c r="G103" s="746"/>
      <c r="H103" s="746"/>
      <c r="I103" s="746"/>
      <c r="J103" s="746"/>
      <c r="K103" s="746"/>
      <c r="L103" s="746"/>
      <c r="M103" s="746"/>
      <c r="N103" s="746"/>
      <c r="O103" s="746"/>
      <c r="P103" s="746"/>
      <c r="Q103" s="746"/>
      <c r="R103" s="744"/>
      <c r="S103" s="746"/>
      <c r="T103" s="764"/>
      <c r="U103" s="763"/>
      <c r="V103" s="730"/>
      <c r="W103" s="730"/>
      <c r="X103" s="762"/>
      <c r="Y103" s="752"/>
      <c r="Z103" s="761"/>
      <c r="AA103" s="761"/>
      <c r="AB103" s="761"/>
      <c r="AC103" s="761"/>
      <c r="AD103" s="761"/>
      <c r="AE103" s="761"/>
    </row>
    <row r="104" spans="1:31" ht="18.75" hidden="1" x14ac:dyDescent="0.3">
      <c r="A104" s="755"/>
      <c r="B104" s="728"/>
      <c r="C104" s="746" t="s">
        <v>308</v>
      </c>
      <c r="D104" s="729">
        <f t="shared" si="12"/>
        <v>0</v>
      </c>
      <c r="E104" s="713"/>
      <c r="F104" s="713"/>
      <c r="G104" s="746"/>
      <c r="H104" s="746"/>
      <c r="I104" s="746"/>
      <c r="J104" s="746"/>
      <c r="K104" s="746"/>
      <c r="L104" s="746"/>
      <c r="M104" s="746"/>
      <c r="N104" s="746"/>
      <c r="O104" s="746"/>
      <c r="P104" s="746"/>
      <c r="Q104" s="746"/>
      <c r="R104" s="746"/>
      <c r="S104" s="746"/>
      <c r="T104" s="746"/>
      <c r="U104" s="763"/>
      <c r="V104" s="730"/>
      <c r="W104" s="730"/>
      <c r="X104" s="762"/>
      <c r="Y104" s="752"/>
      <c r="Z104" s="761"/>
      <c r="AA104" s="761"/>
      <c r="AB104" s="761"/>
      <c r="AC104" s="761"/>
      <c r="AD104" s="761"/>
      <c r="AE104" s="761"/>
    </row>
    <row r="105" spans="1:31" ht="18.75" hidden="1" x14ac:dyDescent="0.3">
      <c r="A105" s="755"/>
      <c r="B105" s="728"/>
      <c r="C105" s="746" t="s">
        <v>308</v>
      </c>
      <c r="D105" s="729">
        <f t="shared" si="12"/>
        <v>0</v>
      </c>
      <c r="E105" s="713"/>
      <c r="F105" s="713"/>
      <c r="G105" s="746"/>
      <c r="H105" s="746"/>
      <c r="I105" s="746"/>
      <c r="J105" s="746"/>
      <c r="K105" s="746"/>
      <c r="L105" s="746"/>
      <c r="M105" s="746"/>
      <c r="N105" s="746"/>
      <c r="O105" s="746"/>
      <c r="P105" s="746"/>
      <c r="Q105" s="746"/>
      <c r="R105" s="746"/>
      <c r="S105" s="746"/>
      <c r="T105" s="764"/>
      <c r="U105" s="746"/>
      <c r="V105" s="730"/>
      <c r="W105" s="730"/>
      <c r="X105" s="762"/>
      <c r="Y105" s="752"/>
      <c r="Z105" s="761"/>
      <c r="AA105" s="761"/>
      <c r="AB105" s="761"/>
      <c r="AC105" s="761"/>
      <c r="AD105" s="761"/>
      <c r="AE105" s="761"/>
    </row>
    <row r="106" spans="1:31" ht="18.75" hidden="1" x14ac:dyDescent="0.3">
      <c r="A106" s="755"/>
      <c r="B106" s="728"/>
      <c r="C106" s="746" t="s">
        <v>308</v>
      </c>
      <c r="D106" s="729">
        <f t="shared" si="12"/>
        <v>0</v>
      </c>
      <c r="E106" s="713"/>
      <c r="F106" s="713"/>
      <c r="G106" s="746"/>
      <c r="H106" s="746"/>
      <c r="I106" s="746"/>
      <c r="J106" s="746"/>
      <c r="K106" s="746"/>
      <c r="L106" s="746"/>
      <c r="M106" s="746"/>
      <c r="N106" s="746"/>
      <c r="O106" s="746"/>
      <c r="P106" s="746"/>
      <c r="Q106" s="746"/>
      <c r="R106" s="744"/>
      <c r="S106" s="746"/>
      <c r="T106" s="764"/>
      <c r="U106" s="746"/>
      <c r="V106" s="730"/>
      <c r="W106" s="730"/>
      <c r="X106" s="762"/>
      <c r="Y106" s="752"/>
      <c r="Z106" s="761"/>
      <c r="AA106" s="761"/>
      <c r="AB106" s="761"/>
      <c r="AC106" s="761"/>
      <c r="AD106" s="761"/>
      <c r="AE106" s="761"/>
    </row>
    <row r="107" spans="1:31" ht="18.75" hidden="1" x14ac:dyDescent="0.3">
      <c r="A107" s="755"/>
      <c r="B107" s="741" t="s">
        <v>328</v>
      </c>
      <c r="C107" s="746"/>
      <c r="D107" s="729">
        <f t="shared" si="12"/>
        <v>0</v>
      </c>
      <c r="E107" s="712"/>
      <c r="F107" s="712"/>
      <c r="G107" s="712"/>
      <c r="H107" s="712"/>
      <c r="I107" s="712"/>
      <c r="J107" s="712"/>
      <c r="K107" s="712"/>
      <c r="L107" s="712"/>
      <c r="M107" s="712"/>
      <c r="N107" s="712"/>
      <c r="O107" s="712"/>
      <c r="P107" s="712"/>
      <c r="Q107" s="712"/>
      <c r="R107" s="712"/>
      <c r="S107" s="712"/>
      <c r="T107" s="712"/>
      <c r="U107" s="712"/>
      <c r="V107" s="730"/>
      <c r="W107" s="730"/>
      <c r="X107" s="759"/>
      <c r="Y107" s="760"/>
      <c r="Z107" s="761"/>
      <c r="AA107" s="761"/>
      <c r="AB107" s="761"/>
      <c r="AC107" s="761"/>
      <c r="AD107" s="761"/>
      <c r="AE107" s="761"/>
    </row>
    <row r="108" spans="1:31" ht="19.149999999999999" hidden="1" customHeight="1" x14ac:dyDescent="0.3">
      <c r="A108" s="755"/>
      <c r="B108" s="728" t="s">
        <v>329</v>
      </c>
      <c r="C108" s="746" t="s">
        <v>323</v>
      </c>
      <c r="D108" s="729">
        <f t="shared" si="12"/>
        <v>0</v>
      </c>
      <c r="E108" s="713"/>
      <c r="F108" s="713"/>
      <c r="G108" s="746"/>
      <c r="H108" s="746"/>
      <c r="I108" s="746"/>
      <c r="J108" s="746"/>
      <c r="K108" s="746"/>
      <c r="L108" s="746"/>
      <c r="M108" s="746"/>
      <c r="N108" s="746"/>
      <c r="O108" s="746"/>
      <c r="P108" s="746"/>
      <c r="Q108" s="746"/>
      <c r="R108" s="746"/>
      <c r="S108" s="746"/>
      <c r="T108" s="764"/>
      <c r="U108" s="746"/>
      <c r="V108" s="730"/>
      <c r="W108" s="730"/>
      <c r="X108" s="762"/>
      <c r="Y108" s="752"/>
      <c r="Z108" s="761"/>
      <c r="AA108" s="761"/>
      <c r="AB108" s="761"/>
      <c r="AC108" s="761"/>
      <c r="AD108" s="761"/>
      <c r="AE108" s="761"/>
    </row>
    <row r="109" spans="1:31" ht="19.149999999999999" hidden="1" customHeight="1" x14ac:dyDescent="0.3">
      <c r="A109" s="755"/>
      <c r="B109" s="728" t="s">
        <v>330</v>
      </c>
      <c r="C109" s="746" t="s">
        <v>308</v>
      </c>
      <c r="D109" s="729">
        <f t="shared" si="12"/>
        <v>0</v>
      </c>
      <c r="E109" s="713"/>
      <c r="F109" s="713"/>
      <c r="G109" s="746"/>
      <c r="H109" s="746"/>
      <c r="I109" s="746"/>
      <c r="J109" s="746"/>
      <c r="K109" s="746"/>
      <c r="L109" s="746"/>
      <c r="M109" s="746"/>
      <c r="N109" s="746"/>
      <c r="O109" s="746"/>
      <c r="P109" s="746"/>
      <c r="Q109" s="746"/>
      <c r="R109" s="746"/>
      <c r="S109" s="746"/>
      <c r="T109" s="764"/>
      <c r="U109" s="746"/>
      <c r="V109" s="730"/>
      <c r="W109" s="730"/>
      <c r="X109" s="762"/>
      <c r="Y109" s="752"/>
      <c r="Z109" s="761"/>
      <c r="AA109" s="761"/>
      <c r="AB109" s="761"/>
      <c r="AC109" s="761"/>
      <c r="AD109" s="761"/>
      <c r="AE109" s="761"/>
    </row>
    <row r="110" spans="1:31" ht="19.149999999999999" hidden="1" customHeight="1" x14ac:dyDescent="0.3">
      <c r="A110" s="755"/>
      <c r="B110" s="728" t="s">
        <v>331</v>
      </c>
      <c r="C110" s="746" t="s">
        <v>308</v>
      </c>
      <c r="D110" s="729">
        <f t="shared" si="12"/>
        <v>0</v>
      </c>
      <c r="E110" s="713"/>
      <c r="F110" s="713"/>
      <c r="G110" s="746"/>
      <c r="H110" s="746"/>
      <c r="I110" s="746"/>
      <c r="J110" s="746"/>
      <c r="K110" s="746"/>
      <c r="L110" s="746"/>
      <c r="M110" s="746"/>
      <c r="N110" s="746"/>
      <c r="O110" s="746"/>
      <c r="P110" s="746"/>
      <c r="Q110" s="746"/>
      <c r="R110" s="732"/>
      <c r="S110" s="763"/>
      <c r="T110" s="764"/>
      <c r="U110" s="763"/>
      <c r="V110" s="730"/>
      <c r="W110" s="730"/>
      <c r="X110" s="762"/>
      <c r="Y110" s="752"/>
      <c r="Z110" s="761"/>
      <c r="AA110" s="761"/>
      <c r="AB110" s="761"/>
      <c r="AC110" s="761"/>
      <c r="AD110" s="761"/>
      <c r="AE110" s="761"/>
    </row>
    <row r="111" spans="1:31" ht="19.149999999999999" hidden="1" customHeight="1" x14ac:dyDescent="0.3">
      <c r="A111" s="755"/>
      <c r="B111" s="728" t="s">
        <v>332</v>
      </c>
      <c r="C111" s="746" t="s">
        <v>308</v>
      </c>
      <c r="D111" s="729">
        <f t="shared" si="12"/>
        <v>0</v>
      </c>
      <c r="E111" s="713"/>
      <c r="F111" s="713"/>
      <c r="G111" s="746"/>
      <c r="H111" s="746"/>
      <c r="I111" s="746"/>
      <c r="J111" s="746"/>
      <c r="K111" s="746"/>
      <c r="L111" s="746"/>
      <c r="M111" s="746"/>
      <c r="N111" s="746"/>
      <c r="O111" s="746"/>
      <c r="P111" s="746"/>
      <c r="Q111" s="746"/>
      <c r="R111" s="744"/>
      <c r="S111" s="763"/>
      <c r="T111" s="713"/>
      <c r="U111" s="763"/>
      <c r="V111" s="730"/>
      <c r="W111" s="730"/>
      <c r="X111" s="762"/>
      <c r="Y111" s="752"/>
      <c r="Z111" s="761"/>
      <c r="AA111" s="761"/>
      <c r="AB111" s="761"/>
      <c r="AC111" s="761"/>
      <c r="AD111" s="761"/>
      <c r="AE111" s="761"/>
    </row>
    <row r="112" spans="1:31" ht="19.149999999999999" hidden="1" customHeight="1" x14ac:dyDescent="0.3">
      <c r="A112" s="755"/>
      <c r="B112" s="728" t="s">
        <v>333</v>
      </c>
      <c r="C112" s="746" t="s">
        <v>308</v>
      </c>
      <c r="D112" s="729">
        <f t="shared" si="12"/>
        <v>0</v>
      </c>
      <c r="E112" s="713"/>
      <c r="F112" s="713"/>
      <c r="G112" s="746"/>
      <c r="H112" s="746"/>
      <c r="I112" s="746"/>
      <c r="J112" s="746"/>
      <c r="K112" s="746"/>
      <c r="L112" s="746"/>
      <c r="M112" s="746"/>
      <c r="N112" s="746"/>
      <c r="O112" s="746"/>
      <c r="P112" s="746"/>
      <c r="Q112" s="746"/>
      <c r="R112" s="746"/>
      <c r="S112" s="746"/>
      <c r="T112" s="764"/>
      <c r="U112" s="746"/>
      <c r="V112" s="730"/>
      <c r="W112" s="730"/>
      <c r="X112" s="762"/>
      <c r="Y112" s="752"/>
      <c r="Z112" s="761"/>
      <c r="AA112" s="761"/>
      <c r="AB112" s="761"/>
      <c r="AC112" s="761"/>
      <c r="AD112" s="761"/>
      <c r="AE112" s="761"/>
    </row>
    <row r="113" spans="1:31" ht="19.149999999999999" hidden="1" customHeight="1" x14ac:dyDescent="0.3">
      <c r="A113" s="755"/>
      <c r="B113" s="728" t="s">
        <v>334</v>
      </c>
      <c r="C113" s="746" t="s">
        <v>308</v>
      </c>
      <c r="D113" s="729">
        <f t="shared" si="12"/>
        <v>0</v>
      </c>
      <c r="E113" s="713"/>
      <c r="F113" s="713"/>
      <c r="G113" s="746"/>
      <c r="H113" s="746"/>
      <c r="I113" s="746"/>
      <c r="J113" s="746"/>
      <c r="K113" s="746"/>
      <c r="L113" s="746"/>
      <c r="M113" s="746"/>
      <c r="N113" s="746"/>
      <c r="O113" s="746"/>
      <c r="P113" s="746"/>
      <c r="Q113" s="746"/>
      <c r="R113" s="763"/>
      <c r="S113" s="746"/>
      <c r="T113" s="746"/>
      <c r="U113" s="763"/>
      <c r="V113" s="730"/>
      <c r="W113" s="730"/>
      <c r="X113" s="762"/>
      <c r="Y113" s="752"/>
      <c r="Z113" s="761"/>
      <c r="AA113" s="761"/>
      <c r="AB113" s="761"/>
      <c r="AC113" s="761"/>
      <c r="AD113" s="761"/>
      <c r="AE113" s="761"/>
    </row>
    <row r="114" spans="1:31" ht="19.149999999999999" hidden="1" customHeight="1" x14ac:dyDescent="0.3">
      <c r="A114" s="755"/>
      <c r="B114" s="741" t="s">
        <v>335</v>
      </c>
      <c r="C114" s="746"/>
      <c r="D114" s="729">
        <f t="shared" si="12"/>
        <v>0</v>
      </c>
      <c r="E114" s="712"/>
      <c r="F114" s="712"/>
      <c r="G114" s="712"/>
      <c r="H114" s="712"/>
      <c r="I114" s="712"/>
      <c r="J114" s="712"/>
      <c r="K114" s="712"/>
      <c r="L114" s="712"/>
      <c r="M114" s="712"/>
      <c r="N114" s="712"/>
      <c r="O114" s="712"/>
      <c r="P114" s="712"/>
      <c r="Q114" s="712"/>
      <c r="R114" s="712"/>
      <c r="S114" s="712"/>
      <c r="T114" s="712"/>
      <c r="U114" s="712"/>
      <c r="V114" s="730"/>
      <c r="W114" s="730"/>
      <c r="X114" s="759"/>
      <c r="Y114" s="760"/>
      <c r="Z114" s="761"/>
      <c r="AA114" s="761"/>
      <c r="AB114" s="761"/>
      <c r="AC114" s="761"/>
      <c r="AD114" s="761"/>
      <c r="AE114" s="761"/>
    </row>
    <row r="115" spans="1:31" ht="19.149999999999999" hidden="1" customHeight="1" x14ac:dyDescent="0.3">
      <c r="A115" s="755"/>
      <c r="B115" s="728" t="s">
        <v>336</v>
      </c>
      <c r="C115" s="746" t="s">
        <v>323</v>
      </c>
      <c r="D115" s="729">
        <f t="shared" si="12"/>
        <v>0</v>
      </c>
      <c r="E115" s="713"/>
      <c r="F115" s="713"/>
      <c r="G115" s="746"/>
      <c r="H115" s="746"/>
      <c r="I115" s="746"/>
      <c r="J115" s="746"/>
      <c r="K115" s="712"/>
      <c r="L115" s="712"/>
      <c r="M115" s="712"/>
      <c r="N115" s="712"/>
      <c r="O115" s="712"/>
      <c r="P115" s="712"/>
      <c r="Q115" s="712"/>
      <c r="R115" s="746"/>
      <c r="S115" s="746"/>
      <c r="T115" s="746"/>
      <c r="U115" s="746"/>
      <c r="V115" s="730"/>
      <c r="W115" s="730"/>
      <c r="X115" s="762"/>
      <c r="Y115" s="752"/>
      <c r="Z115" s="761"/>
      <c r="AA115" s="761"/>
      <c r="AB115" s="761"/>
      <c r="AC115" s="761"/>
      <c r="AD115" s="761"/>
      <c r="AE115" s="761"/>
    </row>
    <row r="116" spans="1:31" ht="19.149999999999999" hidden="1" customHeight="1" x14ac:dyDescent="0.3">
      <c r="A116" s="755"/>
      <c r="B116" s="728" t="s">
        <v>337</v>
      </c>
      <c r="C116" s="746" t="s">
        <v>308</v>
      </c>
      <c r="D116" s="729">
        <f t="shared" si="12"/>
        <v>0</v>
      </c>
      <c r="E116" s="713"/>
      <c r="F116" s="713"/>
      <c r="G116" s="746"/>
      <c r="H116" s="746"/>
      <c r="I116" s="746"/>
      <c r="J116" s="746"/>
      <c r="K116" s="712"/>
      <c r="L116" s="712"/>
      <c r="M116" s="712"/>
      <c r="N116" s="712"/>
      <c r="O116" s="712"/>
      <c r="P116" s="712"/>
      <c r="Q116" s="712"/>
      <c r="R116" s="746"/>
      <c r="S116" s="746"/>
      <c r="T116" s="746"/>
      <c r="U116" s="746"/>
      <c r="V116" s="730"/>
      <c r="W116" s="730"/>
      <c r="X116" s="762"/>
      <c r="Y116" s="752"/>
      <c r="Z116" s="761"/>
      <c r="AA116" s="761"/>
      <c r="AB116" s="761"/>
      <c r="AC116" s="761"/>
      <c r="AD116" s="761"/>
      <c r="AE116" s="761"/>
    </row>
    <row r="117" spans="1:31" ht="19.149999999999999" hidden="1" customHeight="1" x14ac:dyDescent="0.3">
      <c r="A117" s="755"/>
      <c r="B117" s="728" t="s">
        <v>338</v>
      </c>
      <c r="C117" s="746" t="s">
        <v>308</v>
      </c>
      <c r="D117" s="729">
        <f t="shared" si="12"/>
        <v>0</v>
      </c>
      <c r="E117" s="713"/>
      <c r="F117" s="713"/>
      <c r="G117" s="746"/>
      <c r="H117" s="746"/>
      <c r="I117" s="746"/>
      <c r="J117" s="746"/>
      <c r="K117" s="712"/>
      <c r="L117" s="712"/>
      <c r="M117" s="712"/>
      <c r="N117" s="712"/>
      <c r="O117" s="712"/>
      <c r="P117" s="712"/>
      <c r="Q117" s="712"/>
      <c r="R117" s="732"/>
      <c r="S117" s="746"/>
      <c r="T117" s="746"/>
      <c r="U117" s="746"/>
      <c r="V117" s="730"/>
      <c r="W117" s="730"/>
      <c r="X117" s="762"/>
      <c r="Y117" s="752"/>
      <c r="Z117" s="761"/>
      <c r="AA117" s="761"/>
      <c r="AB117" s="761"/>
      <c r="AC117" s="761"/>
      <c r="AD117" s="761"/>
      <c r="AE117" s="761"/>
    </row>
    <row r="118" spans="1:31" ht="19.149999999999999" hidden="1" customHeight="1" x14ac:dyDescent="0.3">
      <c r="A118" s="755"/>
      <c r="B118" s="728" t="s">
        <v>339</v>
      </c>
      <c r="C118" s="746" t="s">
        <v>308</v>
      </c>
      <c r="D118" s="729">
        <f t="shared" si="12"/>
        <v>0</v>
      </c>
      <c r="E118" s="713"/>
      <c r="F118" s="713"/>
      <c r="G118" s="746"/>
      <c r="H118" s="746"/>
      <c r="I118" s="746"/>
      <c r="J118" s="746"/>
      <c r="K118" s="712"/>
      <c r="L118" s="712"/>
      <c r="M118" s="712"/>
      <c r="N118" s="712"/>
      <c r="O118" s="712"/>
      <c r="P118" s="712"/>
      <c r="Q118" s="712"/>
      <c r="R118" s="744"/>
      <c r="S118" s="746"/>
      <c r="T118" s="732"/>
      <c r="U118" s="746"/>
      <c r="V118" s="730"/>
      <c r="W118" s="730"/>
      <c r="X118" s="762"/>
      <c r="Y118" s="752"/>
      <c r="Z118" s="761"/>
      <c r="AA118" s="761"/>
      <c r="AB118" s="761"/>
      <c r="AC118" s="761"/>
      <c r="AD118" s="761"/>
      <c r="AE118" s="761"/>
    </row>
    <row r="119" spans="1:31" ht="19.149999999999999" hidden="1" customHeight="1" x14ac:dyDescent="0.3">
      <c r="A119" s="755"/>
      <c r="B119" s="728" t="s">
        <v>340</v>
      </c>
      <c r="C119" s="746" t="s">
        <v>308</v>
      </c>
      <c r="D119" s="729">
        <f t="shared" si="12"/>
        <v>0</v>
      </c>
      <c r="E119" s="713"/>
      <c r="F119" s="713"/>
      <c r="G119" s="746"/>
      <c r="H119" s="746"/>
      <c r="I119" s="746"/>
      <c r="J119" s="746"/>
      <c r="K119" s="712"/>
      <c r="L119" s="712"/>
      <c r="M119" s="712"/>
      <c r="N119" s="712"/>
      <c r="O119" s="712"/>
      <c r="P119" s="712"/>
      <c r="Q119" s="712"/>
      <c r="R119" s="746"/>
      <c r="S119" s="746"/>
      <c r="T119" s="746"/>
      <c r="U119" s="746"/>
      <c r="V119" s="730"/>
      <c r="W119" s="730"/>
      <c r="X119" s="762"/>
      <c r="Y119" s="752"/>
      <c r="Z119" s="761"/>
      <c r="AA119" s="761"/>
      <c r="AB119" s="761"/>
      <c r="AC119" s="761"/>
      <c r="AD119" s="761"/>
      <c r="AE119" s="761"/>
    </row>
    <row r="120" spans="1:31" ht="19.149999999999999" hidden="1" customHeight="1" x14ac:dyDescent="0.3">
      <c r="A120" s="755"/>
      <c r="B120" s="728" t="s">
        <v>341</v>
      </c>
      <c r="C120" s="746" t="s">
        <v>308</v>
      </c>
      <c r="D120" s="729">
        <f t="shared" si="12"/>
        <v>0</v>
      </c>
      <c r="E120" s="713"/>
      <c r="F120" s="713"/>
      <c r="G120" s="746"/>
      <c r="H120" s="746"/>
      <c r="I120" s="746"/>
      <c r="J120" s="746"/>
      <c r="K120" s="712"/>
      <c r="L120" s="712"/>
      <c r="M120" s="712"/>
      <c r="N120" s="712"/>
      <c r="O120" s="712"/>
      <c r="P120" s="712"/>
      <c r="Q120" s="712"/>
      <c r="R120" s="746"/>
      <c r="S120" s="746"/>
      <c r="T120" s="746"/>
      <c r="U120" s="746"/>
      <c r="V120" s="730"/>
      <c r="W120" s="730"/>
      <c r="X120" s="762"/>
      <c r="Y120" s="752"/>
      <c r="Z120" s="761"/>
      <c r="AA120" s="761"/>
      <c r="AB120" s="761"/>
      <c r="AC120" s="761"/>
      <c r="AD120" s="761"/>
      <c r="AE120" s="761"/>
    </row>
    <row r="121" spans="1:31" s="765" customFormat="1" ht="28.5" customHeight="1" x14ac:dyDescent="0.3">
      <c r="A121" s="718">
        <v>4</v>
      </c>
      <c r="B121" s="741" t="s">
        <v>342</v>
      </c>
      <c r="C121" s="720" t="s">
        <v>323</v>
      </c>
      <c r="D121" s="735">
        <f>SUM(E121:W121)</f>
        <v>7500</v>
      </c>
      <c r="E121" s="713">
        <f>SUM(E122:E123)</f>
        <v>105</v>
      </c>
      <c r="F121" s="713">
        <f t="shared" ref="F121:V121" si="17">SUM(F122:F123)</f>
        <v>283</v>
      </c>
      <c r="G121" s="713">
        <f t="shared" si="17"/>
        <v>150</v>
      </c>
      <c r="H121" s="713">
        <f t="shared" si="17"/>
        <v>310</v>
      </c>
      <c r="I121" s="713">
        <f t="shared" si="17"/>
        <v>150</v>
      </c>
      <c r="J121" s="713">
        <f t="shared" si="17"/>
        <v>145</v>
      </c>
      <c r="K121" s="713">
        <f t="shared" si="17"/>
        <v>167</v>
      </c>
      <c r="L121" s="713">
        <f t="shared" si="17"/>
        <v>245</v>
      </c>
      <c r="M121" s="713">
        <f t="shared" si="17"/>
        <v>240</v>
      </c>
      <c r="N121" s="713">
        <f t="shared" si="17"/>
        <v>260</v>
      </c>
      <c r="O121" s="713">
        <f t="shared" si="17"/>
        <v>205</v>
      </c>
      <c r="P121" s="713">
        <f t="shared" si="17"/>
        <v>360</v>
      </c>
      <c r="Q121" s="713">
        <f t="shared" si="17"/>
        <v>500</v>
      </c>
      <c r="R121" s="713">
        <f t="shared" si="17"/>
        <v>200</v>
      </c>
      <c r="S121" s="713">
        <f t="shared" si="17"/>
        <v>435</v>
      </c>
      <c r="T121" s="713">
        <f t="shared" si="17"/>
        <v>385</v>
      </c>
      <c r="U121" s="713">
        <f t="shared" si="17"/>
        <v>360</v>
      </c>
      <c r="V121" s="713">
        <f t="shared" si="17"/>
        <v>133</v>
      </c>
      <c r="W121" s="713">
        <f>SUM(W122:W123)</f>
        <v>2867</v>
      </c>
      <c r="X121" s="714"/>
      <c r="Y121" s="715"/>
      <c r="Z121" s="716"/>
      <c r="AA121" s="716"/>
      <c r="AB121" s="716"/>
      <c r="AC121" s="716"/>
      <c r="AD121" s="716"/>
      <c r="AE121" s="716"/>
    </row>
    <row r="122" spans="1:31" ht="19.149999999999999" customHeight="1" x14ac:dyDescent="0.3">
      <c r="A122" s="755"/>
      <c r="B122" s="766" t="s">
        <v>343</v>
      </c>
      <c r="C122" s="744" t="s">
        <v>308</v>
      </c>
      <c r="D122" s="729">
        <f>SUM(E122:W122)</f>
        <v>3414</v>
      </c>
      <c r="E122" s="713">
        <f>SUMIFS(KH_ĐL!$K:$K,KH_ĐL!$CF:$CF,E$10&amp;"Xé")</f>
        <v>60</v>
      </c>
      <c r="F122" s="713">
        <f>SUMIFS(KH_ĐL!$K:$K,KH_ĐL!$CF:$CF,F$10&amp;"Xé")</f>
        <v>128</v>
      </c>
      <c r="G122" s="713">
        <f>SUMIFS(KH_ĐL!$K:$K,KH_ĐL!$CF:$CF,G$10&amp;"Xé")</f>
        <v>85</v>
      </c>
      <c r="H122" s="713">
        <f>SUMIFS(KH_ĐL!$K:$K,KH_ĐL!$CF:$CF,H$10&amp;"Xé")</f>
        <v>190</v>
      </c>
      <c r="I122" s="713">
        <f>SUMIFS(KH_ĐL!$K:$K,KH_ĐL!$CF:$CF,I$10&amp;"Xé")</f>
        <v>100</v>
      </c>
      <c r="J122" s="713">
        <f>SUMIFS(KH_ĐL!$K:$K,KH_ĐL!$CF:$CF,J$10&amp;"Xé")</f>
        <v>65</v>
      </c>
      <c r="K122" s="713">
        <f>SUMIFS(KH_ĐL!$K:$K,KH_ĐL!$CF:$CF,K$10&amp;"Xé")</f>
        <v>87</v>
      </c>
      <c r="L122" s="713">
        <f>SUMIFS(KH_ĐL!$K:$K,KH_ĐL!$CF:$CF,L$10&amp;"Xé")</f>
        <v>125</v>
      </c>
      <c r="M122" s="713">
        <f>SUMIFS(KH_ĐL!$K:$K,KH_ĐL!$CF:$CF,M$10&amp;"Xé")</f>
        <v>98</v>
      </c>
      <c r="N122" s="713">
        <f>SUMIFS(KH_ĐL!$K:$K,KH_ĐL!$CF:$CF,N$10&amp;"Xé")</f>
        <v>180</v>
      </c>
      <c r="O122" s="713">
        <f>SUMIFS(KH_ĐL!$K:$K,KH_ĐL!$CF:$CF,O$10&amp;"Xé")</f>
        <v>145</v>
      </c>
      <c r="P122" s="713">
        <f>SUMIFS(KH_ĐL!$K:$K,KH_ĐL!$CF:$CF,P$10&amp;"Xé")</f>
        <v>70</v>
      </c>
      <c r="Q122" s="713">
        <f>SUMIFS(KH_ĐL!$K:$K,KH_ĐL!$CF:$CF,Q$10&amp;"Xé")</f>
        <v>240</v>
      </c>
      <c r="R122" s="713">
        <f>SUMIFS(KH_ĐL!$K:$K,KH_ĐL!$CF:$CF,R$10&amp;"Xé")</f>
        <v>150</v>
      </c>
      <c r="S122" s="713">
        <f>SUMIFS(KH_ĐL!$K:$K,KH_ĐL!$CF:$CF,S$10&amp;"Xé")</f>
        <v>0</v>
      </c>
      <c r="T122" s="713">
        <f>SUMIFS(KH_ĐL!$K:$K,KH_ĐL!$CF:$CF,T$10&amp;"Xé")</f>
        <v>0</v>
      </c>
      <c r="U122" s="713">
        <f>SUMIFS(KH_ĐL!$K:$K,KH_ĐL!$CF:$CF,U$10&amp;"Xé")</f>
        <v>120</v>
      </c>
      <c r="V122" s="713">
        <f>SUMIFS(KH_ĐL!$K:$K,KH_ĐL!$CF:$CF,V$10&amp;"Xé")</f>
        <v>5</v>
      </c>
      <c r="W122" s="713">
        <f>SUMIFS(KH_ĐL!$K:$K,KH_ĐL!$CF:$CF,W$10&amp;"Xé")</f>
        <v>1566</v>
      </c>
      <c r="X122" s="762"/>
      <c r="Y122" s="760"/>
      <c r="Z122" s="761"/>
      <c r="AA122" s="761"/>
      <c r="AB122" s="761"/>
      <c r="AC122" s="761"/>
      <c r="AD122" s="761"/>
      <c r="AE122" s="761"/>
    </row>
    <row r="123" spans="1:31" ht="19.149999999999999" customHeight="1" x14ac:dyDescent="0.3">
      <c r="A123" s="755"/>
      <c r="B123" s="766" t="s">
        <v>344</v>
      </c>
      <c r="C123" s="744" t="s">
        <v>308</v>
      </c>
      <c r="D123" s="729">
        <f>SUM(E123:W123)</f>
        <v>4086</v>
      </c>
      <c r="E123" s="713">
        <f>SUMIFS(KH_ĐL!$J:$J,KH_ĐL!$CF:$CF,E$10&amp;"Xé")</f>
        <v>45</v>
      </c>
      <c r="F123" s="713">
        <f>SUMIFS(KH_ĐL!$J:$J,KH_ĐL!$CF:$CF,F$10&amp;"Xé")</f>
        <v>155</v>
      </c>
      <c r="G123" s="713">
        <f>SUMIFS(KH_ĐL!$J:$J,KH_ĐL!$CF:$CF,G$10&amp;"Xé")</f>
        <v>65</v>
      </c>
      <c r="H123" s="713">
        <f>SUMIFS(KH_ĐL!$J:$J,KH_ĐL!$CF:$CF,H$10&amp;"Xé")</f>
        <v>120</v>
      </c>
      <c r="I123" s="713">
        <f>SUMIFS(KH_ĐL!$J:$J,KH_ĐL!$CF:$CF,I$10&amp;"Xé")</f>
        <v>50</v>
      </c>
      <c r="J123" s="713">
        <f>SUMIFS(KH_ĐL!$J:$J,KH_ĐL!$CF:$CF,J$10&amp;"Xé")</f>
        <v>80</v>
      </c>
      <c r="K123" s="713">
        <f>SUMIFS(KH_ĐL!$J:$J,KH_ĐL!$CF:$CF,K$10&amp;"Xé")</f>
        <v>80</v>
      </c>
      <c r="L123" s="713">
        <f>SUMIFS(KH_ĐL!$J:$J,KH_ĐL!$CF:$CF,L$10&amp;"Xé")</f>
        <v>120</v>
      </c>
      <c r="M123" s="713">
        <f>SUMIFS(KH_ĐL!$J:$J,KH_ĐL!$CF:$CF,M$10&amp;"Xé")</f>
        <v>142</v>
      </c>
      <c r="N123" s="713">
        <f>SUMIFS(KH_ĐL!$J:$J,KH_ĐL!$CF:$CF,N$10&amp;"Xé")</f>
        <v>80</v>
      </c>
      <c r="O123" s="713">
        <f>SUMIFS(KH_ĐL!$J:$J,KH_ĐL!$CF:$CF,O$10&amp;"Xé")</f>
        <v>60</v>
      </c>
      <c r="P123" s="713">
        <f>SUMIFS(KH_ĐL!$J:$J,KH_ĐL!$CF:$CF,P$10&amp;"Xé")</f>
        <v>290</v>
      </c>
      <c r="Q123" s="713">
        <f>SUMIFS(KH_ĐL!$J:$J,KH_ĐL!$CF:$CF,Q$10&amp;"Xé")</f>
        <v>260</v>
      </c>
      <c r="R123" s="713">
        <f>SUMIFS(KH_ĐL!$J:$J,KH_ĐL!$CF:$CF,R$10&amp;"Xé")</f>
        <v>50</v>
      </c>
      <c r="S123" s="713">
        <f>SUMIFS(KH_ĐL!$J:$J,KH_ĐL!$CF:$CF,S$10&amp;"Xé")</f>
        <v>435</v>
      </c>
      <c r="T123" s="713">
        <f>SUMIFS(KH_ĐL!$J:$J,KH_ĐL!$CF:$CF,T$10&amp;"Xé")</f>
        <v>385</v>
      </c>
      <c r="U123" s="713">
        <f>SUMIFS(KH_ĐL!$J:$J,KH_ĐL!$CF:$CF,U$10&amp;"Xé")</f>
        <v>240</v>
      </c>
      <c r="V123" s="713">
        <f>SUMIFS(KH_ĐL!$J:$J,KH_ĐL!$CF:$CF,V$10&amp;"Xé")</f>
        <v>128</v>
      </c>
      <c r="W123" s="713">
        <f>SUMIFS(KH_ĐL!$J:$J,KH_ĐL!$CF:$CF,W$10&amp;"Xé")</f>
        <v>1301</v>
      </c>
      <c r="X123" s="762"/>
      <c r="Y123" s="760"/>
      <c r="Z123" s="761"/>
      <c r="AA123" s="761"/>
      <c r="AB123" s="761"/>
      <c r="AC123" s="761"/>
      <c r="AD123" s="761"/>
      <c r="AE123" s="761"/>
    </row>
    <row r="124" spans="1:31" ht="19.149999999999999" hidden="1" customHeight="1" x14ac:dyDescent="0.3">
      <c r="A124" s="718">
        <v>5</v>
      </c>
      <c r="B124" s="719" t="s">
        <v>345</v>
      </c>
      <c r="C124" s="720" t="s">
        <v>323</v>
      </c>
      <c r="D124" s="729">
        <f>SUM(E124:V124)</f>
        <v>0</v>
      </c>
      <c r="E124" s="713">
        <f>SUMIFS(KH_ĐL!$J:$J,KH_ĐL!$CD:$CD,E$10&amp;"Xé")</f>
        <v>0</v>
      </c>
      <c r="F124" s="713"/>
      <c r="G124" s="713"/>
      <c r="H124" s="713"/>
      <c r="I124" s="713"/>
      <c r="J124" s="713"/>
      <c r="K124" s="713"/>
      <c r="L124" s="713"/>
      <c r="M124" s="713"/>
      <c r="N124" s="713"/>
      <c r="O124" s="713"/>
      <c r="P124" s="712"/>
      <c r="Q124" s="712"/>
      <c r="R124" s="712"/>
      <c r="S124" s="712"/>
      <c r="T124" s="712"/>
      <c r="U124" s="712"/>
      <c r="V124" s="730"/>
      <c r="W124" s="730"/>
      <c r="X124" s="714"/>
      <c r="Y124" s="724"/>
      <c r="Z124" s="725"/>
      <c r="AA124" s="725"/>
      <c r="AB124" s="725"/>
      <c r="AC124" s="725"/>
      <c r="AD124" s="725"/>
      <c r="AE124" s="725"/>
    </row>
    <row r="125" spans="1:31" ht="18.75" hidden="1" customHeight="1" x14ac:dyDescent="0.3">
      <c r="A125" s="767"/>
      <c r="B125" s="766"/>
      <c r="C125" s="768" t="s">
        <v>323</v>
      </c>
      <c r="D125" s="729">
        <f>SUM(E125:V125)</f>
        <v>0</v>
      </c>
      <c r="E125" s="713">
        <f>SUMIFS(KH_ĐL!$J:$J,KH_ĐL!$CD:$CD,E$10&amp;"Xé")</f>
        <v>0</v>
      </c>
      <c r="F125" s="713"/>
      <c r="G125" s="763"/>
      <c r="H125" s="763"/>
      <c r="I125" s="763"/>
      <c r="J125" s="763"/>
      <c r="K125" s="763"/>
      <c r="L125" s="763"/>
      <c r="M125" s="763"/>
      <c r="N125" s="763"/>
      <c r="O125" s="763"/>
      <c r="P125" s="763"/>
      <c r="Q125" s="763"/>
      <c r="R125" s="763"/>
      <c r="S125" s="763"/>
      <c r="T125" s="763"/>
      <c r="U125" s="763"/>
      <c r="V125" s="730"/>
      <c r="W125" s="730"/>
      <c r="X125" s="769"/>
      <c r="Y125" s="760"/>
      <c r="Z125" s="761"/>
      <c r="AA125" s="761"/>
      <c r="AB125" s="761"/>
      <c r="AC125" s="761"/>
      <c r="AD125" s="761"/>
      <c r="AE125" s="761"/>
    </row>
    <row r="126" spans="1:31" ht="18.75" hidden="1" customHeight="1" x14ac:dyDescent="0.3">
      <c r="A126" s="767"/>
      <c r="B126" s="766"/>
      <c r="C126" s="768" t="s">
        <v>323</v>
      </c>
      <c r="D126" s="729">
        <f>SUM(E126:V126)</f>
        <v>0</v>
      </c>
      <c r="E126" s="713">
        <f>SUMIFS(KH_ĐL!$J:$J,KH_ĐL!$CD:$CD,E$10&amp;"Xé")</f>
        <v>0</v>
      </c>
      <c r="F126" s="713"/>
      <c r="G126" s="764"/>
      <c r="H126" s="764"/>
      <c r="I126" s="746"/>
      <c r="J126" s="746"/>
      <c r="K126" s="746"/>
      <c r="L126" s="746"/>
      <c r="M126" s="746"/>
      <c r="N126" s="746"/>
      <c r="O126" s="746"/>
      <c r="P126" s="746"/>
      <c r="Q126" s="746"/>
      <c r="R126" s="746"/>
      <c r="S126" s="746"/>
      <c r="T126" s="746"/>
      <c r="U126" s="746"/>
      <c r="V126" s="730"/>
      <c r="W126" s="730"/>
      <c r="X126" s="769"/>
      <c r="Y126" s="760"/>
      <c r="Z126" s="761"/>
      <c r="AA126" s="761"/>
      <c r="AB126" s="761"/>
      <c r="AC126" s="761"/>
      <c r="AD126" s="761"/>
      <c r="AE126" s="761"/>
    </row>
    <row r="127" spans="1:31" ht="19.149999999999999" customHeight="1" thickBot="1" x14ac:dyDescent="0.35">
      <c r="A127" s="770">
        <v>5</v>
      </c>
      <c r="B127" s="771" t="s">
        <v>346</v>
      </c>
      <c r="C127" s="772" t="s">
        <v>323</v>
      </c>
      <c r="D127" s="772"/>
      <c r="E127" s="773"/>
      <c r="F127" s="773"/>
      <c r="G127" s="774"/>
      <c r="H127" s="774"/>
      <c r="I127" s="774"/>
      <c r="J127" s="774"/>
      <c r="K127" s="774"/>
      <c r="L127" s="774"/>
      <c r="M127" s="774"/>
      <c r="N127" s="774"/>
      <c r="O127" s="774"/>
      <c r="P127" s="775"/>
      <c r="Q127" s="775"/>
      <c r="R127" s="775"/>
      <c r="S127" s="775"/>
      <c r="T127" s="775"/>
      <c r="U127" s="775"/>
      <c r="V127" s="776"/>
      <c r="W127" s="776"/>
      <c r="X127" s="777"/>
      <c r="Y127" s="724"/>
      <c r="Z127" s="725"/>
      <c r="AA127" s="725"/>
      <c r="AB127" s="725"/>
      <c r="AC127" s="725"/>
      <c r="AD127" s="725"/>
      <c r="AE127" s="725"/>
    </row>
    <row r="128" spans="1:31" ht="25.5" hidden="1" customHeight="1" x14ac:dyDescent="0.3">
      <c r="A128" s="71"/>
      <c r="B128" s="778" t="s">
        <v>186</v>
      </c>
      <c r="C128" s="232"/>
      <c r="D128" s="232"/>
      <c r="E128" s="232"/>
      <c r="F128" s="232"/>
      <c r="G128" s="232"/>
      <c r="H128" s="232"/>
      <c r="I128" s="232"/>
      <c r="J128" s="232"/>
      <c r="K128" s="232"/>
      <c r="L128" s="232"/>
      <c r="M128" s="232"/>
      <c r="N128" s="232"/>
      <c r="O128" s="232"/>
      <c r="P128" s="232"/>
      <c r="Q128" s="232"/>
      <c r="R128" s="232"/>
      <c r="S128" s="232"/>
      <c r="T128" s="232"/>
      <c r="U128" s="232"/>
      <c r="V128" s="232"/>
      <c r="W128" s="232"/>
      <c r="X128" s="231"/>
      <c r="Y128" s="760"/>
      <c r="Z128" s="761"/>
      <c r="AA128" s="761"/>
      <c r="AB128" s="761"/>
      <c r="AC128" s="761"/>
      <c r="AD128" s="761"/>
      <c r="AE128" s="761"/>
    </row>
    <row r="129" spans="1:31" ht="123.75" hidden="1" customHeight="1" x14ac:dyDescent="0.3">
      <c r="A129" s="779"/>
      <c r="B129" s="964" t="s">
        <v>347</v>
      </c>
      <c r="C129" s="964"/>
      <c r="D129" s="964"/>
      <c r="E129" s="964"/>
      <c r="F129" s="964"/>
      <c r="G129" s="964"/>
      <c r="H129" s="964"/>
      <c r="I129" s="964"/>
      <c r="J129" s="964"/>
      <c r="K129" s="964"/>
      <c r="L129" s="964"/>
      <c r="M129" s="964"/>
      <c r="N129" s="964"/>
      <c r="O129" s="964"/>
      <c r="P129" s="964"/>
      <c r="Q129" s="964"/>
      <c r="R129" s="964"/>
      <c r="S129" s="964"/>
      <c r="T129" s="964"/>
      <c r="U129" s="964"/>
      <c r="V129" s="964"/>
      <c r="W129" s="964"/>
      <c r="X129" s="964"/>
      <c r="Y129" s="231"/>
      <c r="Z129" s="780"/>
      <c r="AA129" s="780"/>
      <c r="AB129" s="780"/>
      <c r="AC129" s="780"/>
      <c r="AD129" s="780"/>
      <c r="AE129" s="780"/>
    </row>
    <row r="130" spans="1:31" ht="285" hidden="1" customHeight="1" x14ac:dyDescent="0.3">
      <c r="A130" s="781"/>
      <c r="B130" s="964" t="s">
        <v>348</v>
      </c>
      <c r="C130" s="964"/>
      <c r="D130" s="964"/>
      <c r="E130" s="964"/>
      <c r="F130" s="964"/>
      <c r="G130" s="964"/>
      <c r="H130" s="964"/>
      <c r="I130" s="964"/>
      <c r="J130" s="964"/>
      <c r="K130" s="964"/>
      <c r="L130" s="964"/>
      <c r="M130" s="964"/>
      <c r="N130" s="964"/>
      <c r="O130" s="964"/>
      <c r="P130" s="964"/>
      <c r="Q130" s="964"/>
      <c r="R130" s="964"/>
      <c r="S130" s="964"/>
      <c r="T130" s="964"/>
      <c r="U130" s="964"/>
      <c r="V130" s="964"/>
      <c r="W130" s="964"/>
      <c r="X130" s="964"/>
      <c r="Y130" s="231" t="s">
        <v>182</v>
      </c>
      <c r="Z130" s="780"/>
      <c r="AA130" s="780"/>
      <c r="AB130" s="780"/>
      <c r="AC130" s="780"/>
      <c r="AD130" s="780"/>
      <c r="AE130" s="780"/>
    </row>
    <row r="131" spans="1:31" ht="255" hidden="1" customHeight="1" x14ac:dyDescent="0.2">
      <c r="A131" s="782"/>
      <c r="B131" s="964" t="s">
        <v>349</v>
      </c>
      <c r="C131" s="964"/>
      <c r="D131" s="964"/>
      <c r="E131" s="964"/>
      <c r="F131" s="964"/>
      <c r="G131" s="964"/>
      <c r="H131" s="964"/>
      <c r="I131" s="964"/>
      <c r="J131" s="964"/>
      <c r="K131" s="964"/>
      <c r="L131" s="964"/>
      <c r="M131" s="964"/>
      <c r="N131" s="964"/>
      <c r="O131" s="964"/>
      <c r="P131" s="964"/>
      <c r="Q131" s="964"/>
      <c r="R131" s="964"/>
      <c r="S131" s="964"/>
      <c r="T131" s="964"/>
      <c r="U131" s="964"/>
      <c r="V131" s="964"/>
      <c r="W131" s="964"/>
      <c r="X131" s="964"/>
      <c r="Y131" s="783"/>
      <c r="Z131" s="784"/>
      <c r="AA131" s="784"/>
      <c r="AB131" s="784"/>
      <c r="AC131" s="784"/>
      <c r="AD131" s="784"/>
      <c r="AE131" s="784"/>
    </row>
    <row r="132" spans="1:31" ht="178.5" hidden="1" customHeight="1" x14ac:dyDescent="0.2">
      <c r="A132" s="785"/>
      <c r="B132" s="972" t="s">
        <v>350</v>
      </c>
      <c r="C132" s="972"/>
      <c r="D132" s="972"/>
      <c r="E132" s="972"/>
      <c r="F132" s="972"/>
      <c r="G132" s="972"/>
      <c r="H132" s="972"/>
      <c r="I132" s="972"/>
      <c r="J132" s="972"/>
      <c r="K132" s="972"/>
      <c r="L132" s="972"/>
      <c r="M132" s="972"/>
      <c r="N132" s="972"/>
      <c r="O132" s="972"/>
      <c r="P132" s="972"/>
      <c r="Q132" s="972"/>
      <c r="R132" s="972"/>
      <c r="S132" s="972"/>
      <c r="T132" s="972"/>
      <c r="U132" s="972"/>
      <c r="V132" s="972"/>
      <c r="W132" s="972"/>
      <c r="X132" s="972"/>
      <c r="Y132" s="783"/>
      <c r="Z132" s="784"/>
      <c r="AA132" s="784"/>
      <c r="AB132" s="784"/>
      <c r="AC132" s="784"/>
      <c r="AD132" s="784"/>
      <c r="AE132" s="784"/>
    </row>
    <row r="133" spans="1:31" ht="276.75" hidden="1" customHeight="1" x14ac:dyDescent="0.2">
      <c r="A133" s="782"/>
      <c r="B133" s="964" t="s">
        <v>351</v>
      </c>
      <c r="C133" s="964"/>
      <c r="D133" s="964"/>
      <c r="E133" s="964"/>
      <c r="F133" s="964"/>
      <c r="G133" s="964"/>
      <c r="H133" s="964"/>
      <c r="I133" s="964"/>
      <c r="J133" s="964"/>
      <c r="K133" s="964"/>
      <c r="L133" s="964"/>
      <c r="M133" s="964"/>
      <c r="N133" s="964"/>
      <c r="O133" s="964"/>
      <c r="P133" s="964"/>
      <c r="Q133" s="964"/>
      <c r="R133" s="964"/>
      <c r="S133" s="964"/>
      <c r="T133" s="964"/>
      <c r="U133" s="964"/>
      <c r="V133" s="964"/>
      <c r="W133" s="964"/>
      <c r="X133" s="964"/>
      <c r="Y133" s="783"/>
      <c r="Z133" s="784"/>
      <c r="AA133" s="784"/>
      <c r="AB133" s="784"/>
      <c r="AC133" s="784"/>
      <c r="AD133" s="784"/>
      <c r="AE133" s="784"/>
    </row>
    <row r="134" spans="1:31" ht="91.5" hidden="1" customHeight="1" x14ac:dyDescent="0.2">
      <c r="A134" s="782"/>
      <c r="B134" s="964" t="s">
        <v>352</v>
      </c>
      <c r="C134" s="964"/>
      <c r="D134" s="964"/>
      <c r="E134" s="964"/>
      <c r="F134" s="964"/>
      <c r="G134" s="964"/>
      <c r="H134" s="964"/>
      <c r="I134" s="964"/>
      <c r="J134" s="964"/>
      <c r="K134" s="964"/>
      <c r="L134" s="964"/>
      <c r="M134" s="964"/>
      <c r="N134" s="964"/>
      <c r="O134" s="964"/>
      <c r="P134" s="964"/>
      <c r="Q134" s="964"/>
      <c r="R134" s="964"/>
      <c r="S134" s="964"/>
      <c r="T134" s="964"/>
      <c r="U134" s="964"/>
      <c r="V134" s="964"/>
      <c r="W134" s="964"/>
      <c r="X134" s="964"/>
      <c r="Y134" s="783"/>
      <c r="Z134" s="784"/>
      <c r="AA134" s="784"/>
      <c r="AB134" s="784"/>
      <c r="AC134" s="784"/>
      <c r="AD134" s="784"/>
      <c r="AE134" s="784"/>
    </row>
    <row r="135" spans="1:31" ht="132" hidden="1" customHeight="1" x14ac:dyDescent="0.2">
      <c r="A135" s="786"/>
      <c r="B135" s="964" t="s">
        <v>353</v>
      </c>
      <c r="C135" s="964"/>
      <c r="D135" s="964"/>
      <c r="E135" s="964"/>
      <c r="F135" s="964"/>
      <c r="G135" s="964"/>
      <c r="H135" s="964"/>
      <c r="I135" s="964"/>
      <c r="J135" s="964"/>
      <c r="K135" s="964"/>
      <c r="L135" s="964"/>
      <c r="M135" s="964"/>
      <c r="N135" s="964"/>
      <c r="O135" s="964"/>
      <c r="P135" s="964"/>
      <c r="Q135" s="964"/>
      <c r="R135" s="964"/>
      <c r="S135" s="964"/>
      <c r="T135" s="964"/>
      <c r="U135" s="964"/>
      <c r="V135" s="964"/>
      <c r="W135" s="964"/>
      <c r="X135" s="964"/>
      <c r="Y135" s="787"/>
      <c r="Z135" s="726"/>
      <c r="AA135" s="726"/>
      <c r="AB135" s="726"/>
      <c r="AC135" s="726"/>
      <c r="AD135" s="726"/>
      <c r="AE135" s="726"/>
    </row>
    <row r="136" spans="1:31" ht="213.75" hidden="1" customHeight="1" x14ac:dyDescent="0.2">
      <c r="A136" s="782"/>
      <c r="B136" s="964" t="s">
        <v>354</v>
      </c>
      <c r="C136" s="964"/>
      <c r="D136" s="964"/>
      <c r="E136" s="964"/>
      <c r="F136" s="964"/>
      <c r="G136" s="964"/>
      <c r="H136" s="964"/>
      <c r="I136" s="964"/>
      <c r="J136" s="964"/>
      <c r="K136" s="964"/>
      <c r="L136" s="964"/>
      <c r="M136" s="964"/>
      <c r="N136" s="964"/>
      <c r="O136" s="964"/>
      <c r="P136" s="964"/>
      <c r="Q136" s="964"/>
      <c r="R136" s="964"/>
      <c r="S136" s="964"/>
      <c r="T136" s="964"/>
      <c r="U136" s="964"/>
      <c r="V136" s="964"/>
      <c r="W136" s="964"/>
      <c r="X136" s="964"/>
      <c r="Y136" s="724"/>
      <c r="Z136" s="788"/>
      <c r="AA136" s="788"/>
      <c r="AB136" s="788"/>
      <c r="AC136" s="788"/>
      <c r="AD136" s="788"/>
      <c r="AE136" s="788"/>
    </row>
    <row r="137" spans="1:31" ht="159" hidden="1" customHeight="1" x14ac:dyDescent="0.2">
      <c r="A137" s="785"/>
      <c r="B137" s="972" t="s">
        <v>355</v>
      </c>
      <c r="C137" s="972"/>
      <c r="D137" s="972"/>
      <c r="E137" s="972"/>
      <c r="F137" s="972"/>
      <c r="G137" s="972"/>
      <c r="H137" s="972"/>
      <c r="I137" s="972"/>
      <c r="J137" s="972"/>
      <c r="K137" s="972"/>
      <c r="L137" s="972"/>
      <c r="M137" s="972"/>
      <c r="N137" s="972"/>
      <c r="O137" s="972"/>
      <c r="P137" s="972"/>
      <c r="Q137" s="972"/>
      <c r="R137" s="972"/>
      <c r="S137" s="972"/>
      <c r="T137" s="972"/>
      <c r="U137" s="972"/>
      <c r="V137" s="972"/>
      <c r="W137" s="972"/>
      <c r="X137" s="972"/>
      <c r="Y137" s="789"/>
      <c r="Z137" s="725"/>
      <c r="AA137" s="725"/>
      <c r="AB137" s="725"/>
      <c r="AC137" s="725"/>
      <c r="AD137" s="725"/>
      <c r="AE137" s="725"/>
    </row>
    <row r="138" spans="1:31" ht="97.5" hidden="1" customHeight="1" x14ac:dyDescent="0.2">
      <c r="A138" s="785"/>
      <c r="B138" s="972" t="s">
        <v>356</v>
      </c>
      <c r="C138" s="972"/>
      <c r="D138" s="972"/>
      <c r="E138" s="972"/>
      <c r="F138" s="972"/>
      <c r="G138" s="972"/>
      <c r="H138" s="972"/>
      <c r="I138" s="972"/>
      <c r="J138" s="972"/>
      <c r="K138" s="972"/>
      <c r="L138" s="972"/>
      <c r="M138" s="972"/>
      <c r="N138" s="972"/>
      <c r="O138" s="972"/>
      <c r="P138" s="972"/>
      <c r="Q138" s="972"/>
      <c r="R138" s="972"/>
      <c r="S138" s="972"/>
      <c r="T138" s="972"/>
      <c r="U138" s="972"/>
      <c r="V138" s="972"/>
      <c r="W138" s="972"/>
      <c r="X138" s="972"/>
      <c r="Y138" s="724"/>
      <c r="Z138" s="725"/>
      <c r="AA138" s="725"/>
      <c r="AB138" s="725"/>
      <c r="AC138" s="725"/>
      <c r="AD138" s="725"/>
      <c r="AE138" s="725"/>
    </row>
    <row r="139" spans="1:31" ht="234" hidden="1" customHeight="1" x14ac:dyDescent="0.2">
      <c r="A139" s="782"/>
      <c r="B139" s="966" t="s">
        <v>357</v>
      </c>
      <c r="C139" s="966"/>
      <c r="D139" s="966"/>
      <c r="E139" s="966"/>
      <c r="F139" s="966"/>
      <c r="G139" s="966"/>
      <c r="H139" s="966"/>
      <c r="I139" s="966"/>
      <c r="J139" s="966"/>
      <c r="K139" s="966"/>
      <c r="L139" s="966"/>
      <c r="M139" s="966"/>
      <c r="N139" s="966"/>
      <c r="O139" s="966"/>
      <c r="P139" s="966"/>
      <c r="Q139" s="966"/>
      <c r="R139" s="966"/>
      <c r="S139" s="966"/>
      <c r="T139" s="966"/>
      <c r="U139" s="966"/>
      <c r="V139" s="966"/>
      <c r="W139" s="966"/>
      <c r="X139" s="966"/>
      <c r="Y139" s="724"/>
      <c r="Z139" s="725"/>
      <c r="AA139" s="725"/>
      <c r="AB139" s="725"/>
      <c r="AC139" s="725"/>
      <c r="AD139" s="725"/>
      <c r="AE139" s="725"/>
    </row>
    <row r="140" spans="1:31" ht="320.25" hidden="1" customHeight="1" x14ac:dyDescent="0.2">
      <c r="A140" s="782"/>
      <c r="B140" s="964" t="s">
        <v>358</v>
      </c>
      <c r="C140" s="964"/>
      <c r="D140" s="964"/>
      <c r="E140" s="964"/>
      <c r="F140" s="964"/>
      <c r="G140" s="964"/>
      <c r="H140" s="964"/>
      <c r="I140" s="964"/>
      <c r="J140" s="964"/>
      <c r="K140" s="964"/>
      <c r="L140" s="964"/>
      <c r="M140" s="964"/>
      <c r="N140" s="964"/>
      <c r="O140" s="964"/>
      <c r="P140" s="964"/>
      <c r="Q140" s="964"/>
      <c r="R140" s="964"/>
      <c r="S140" s="964"/>
      <c r="T140" s="964"/>
      <c r="U140" s="964"/>
      <c r="V140" s="964"/>
      <c r="W140" s="964"/>
      <c r="X140" s="964"/>
      <c r="Y140" s="724"/>
      <c r="Z140" s="725"/>
      <c r="AA140" s="725"/>
      <c r="AB140" s="725"/>
      <c r="AC140" s="725"/>
      <c r="AD140" s="725"/>
      <c r="AE140" s="725"/>
    </row>
    <row r="141" spans="1:31" ht="261.75" hidden="1" customHeight="1" x14ac:dyDescent="0.2">
      <c r="A141" s="782"/>
      <c r="B141" s="964" t="s">
        <v>359</v>
      </c>
      <c r="C141" s="965"/>
      <c r="D141" s="965"/>
      <c r="E141" s="965"/>
      <c r="F141" s="965"/>
      <c r="G141" s="965"/>
      <c r="H141" s="965"/>
      <c r="I141" s="965"/>
      <c r="J141" s="965"/>
      <c r="K141" s="965"/>
      <c r="L141" s="965"/>
      <c r="M141" s="965"/>
      <c r="N141" s="965"/>
      <c r="O141" s="965"/>
      <c r="P141" s="965"/>
      <c r="Q141" s="965"/>
      <c r="R141" s="965"/>
      <c r="S141" s="965"/>
      <c r="T141" s="965"/>
      <c r="U141" s="965"/>
      <c r="V141" s="965"/>
      <c r="W141" s="965"/>
      <c r="X141" s="965"/>
      <c r="Y141" s="724"/>
      <c r="Z141" s="725"/>
      <c r="AA141" s="725"/>
      <c r="AB141" s="725"/>
      <c r="AC141" s="725"/>
      <c r="AD141" s="725"/>
      <c r="AE141" s="725"/>
    </row>
    <row r="142" spans="1:31" ht="214.5" hidden="1" customHeight="1" x14ac:dyDescent="0.2">
      <c r="A142" s="782"/>
      <c r="B142" s="966" t="s">
        <v>360</v>
      </c>
      <c r="C142" s="966"/>
      <c r="D142" s="966"/>
      <c r="E142" s="966"/>
      <c r="F142" s="966"/>
      <c r="G142" s="966"/>
      <c r="H142" s="966"/>
      <c r="I142" s="966"/>
      <c r="J142" s="966"/>
      <c r="K142" s="966"/>
      <c r="L142" s="966"/>
      <c r="M142" s="966"/>
      <c r="N142" s="966"/>
      <c r="O142" s="966"/>
      <c r="P142" s="966"/>
      <c r="Q142" s="966"/>
      <c r="R142" s="966"/>
      <c r="S142" s="966"/>
      <c r="T142" s="966"/>
      <c r="U142" s="966"/>
      <c r="V142" s="966"/>
      <c r="W142" s="966"/>
      <c r="X142" s="966"/>
      <c r="Y142" s="724"/>
      <c r="Z142" s="725"/>
      <c r="AA142" s="725"/>
      <c r="AB142" s="725"/>
      <c r="AC142" s="725"/>
      <c r="AD142" s="725"/>
      <c r="AE142" s="725"/>
    </row>
    <row r="143" spans="1:31" ht="405.75" hidden="1" customHeight="1" x14ac:dyDescent="0.2">
      <c r="A143" s="781"/>
      <c r="B143" s="966" t="s">
        <v>361</v>
      </c>
      <c r="C143" s="966"/>
      <c r="D143" s="966"/>
      <c r="E143" s="966"/>
      <c r="F143" s="966"/>
      <c r="G143" s="966"/>
      <c r="H143" s="966"/>
      <c r="I143" s="966"/>
      <c r="J143" s="966"/>
      <c r="K143" s="966"/>
      <c r="L143" s="966"/>
      <c r="M143" s="966"/>
      <c r="N143" s="966"/>
      <c r="O143" s="966"/>
      <c r="P143" s="966"/>
      <c r="Q143" s="966"/>
      <c r="R143" s="966"/>
      <c r="S143" s="966"/>
      <c r="T143" s="966"/>
      <c r="U143" s="966"/>
      <c r="V143" s="966"/>
      <c r="W143" s="966"/>
      <c r="X143" s="966"/>
      <c r="Y143" s="724"/>
      <c r="Z143" s="725"/>
      <c r="AA143" s="725"/>
      <c r="AB143" s="725"/>
      <c r="AC143" s="725"/>
      <c r="AD143" s="725"/>
      <c r="AE143" s="725"/>
    </row>
    <row r="144" spans="1:31" ht="281.25" hidden="1" customHeight="1" x14ac:dyDescent="0.2">
      <c r="A144" s="782"/>
      <c r="B144" s="964" t="s">
        <v>362</v>
      </c>
      <c r="C144" s="964"/>
      <c r="D144" s="964"/>
      <c r="E144" s="964"/>
      <c r="F144" s="964"/>
      <c r="G144" s="964"/>
      <c r="H144" s="964"/>
      <c r="I144" s="964"/>
      <c r="J144" s="964"/>
      <c r="K144" s="964"/>
      <c r="L144" s="964"/>
      <c r="M144" s="964"/>
      <c r="N144" s="964"/>
      <c r="O144" s="964"/>
      <c r="P144" s="964"/>
      <c r="Q144" s="964"/>
      <c r="R144" s="964"/>
      <c r="S144" s="964"/>
      <c r="T144" s="964"/>
      <c r="U144" s="964"/>
      <c r="V144" s="964"/>
      <c r="W144" s="964"/>
      <c r="X144" s="964"/>
      <c r="Y144" s="724"/>
      <c r="Z144" s="725"/>
      <c r="AA144" s="725"/>
      <c r="AB144" s="725"/>
      <c r="AC144" s="725"/>
      <c r="AD144" s="725"/>
      <c r="AE144" s="725"/>
    </row>
    <row r="145" spans="1:31" ht="216" hidden="1" customHeight="1" x14ac:dyDescent="0.2">
      <c r="A145" s="782"/>
      <c r="B145" s="967" t="s">
        <v>363</v>
      </c>
      <c r="C145" s="967"/>
      <c r="D145" s="967"/>
      <c r="E145" s="967"/>
      <c r="F145" s="967"/>
      <c r="G145" s="967"/>
      <c r="H145" s="967"/>
      <c r="I145" s="967"/>
      <c r="J145" s="967"/>
      <c r="K145" s="967"/>
      <c r="L145" s="967"/>
      <c r="M145" s="967"/>
      <c r="N145" s="967"/>
      <c r="O145" s="967"/>
      <c r="P145" s="967"/>
      <c r="Q145" s="967"/>
      <c r="R145" s="967"/>
      <c r="S145" s="967"/>
      <c r="T145" s="967"/>
      <c r="U145" s="967"/>
      <c r="V145" s="967"/>
      <c r="W145" s="967"/>
      <c r="X145" s="967"/>
      <c r="Y145" s="724"/>
      <c r="Z145" s="788"/>
      <c r="AA145" s="788"/>
      <c r="AB145" s="788"/>
      <c r="AC145" s="788"/>
      <c r="AD145" s="788"/>
      <c r="AE145" s="788"/>
    </row>
    <row r="146" spans="1:31" s="792" customFormat="1" ht="42.75" hidden="1" customHeight="1" x14ac:dyDescent="0.35">
      <c r="A146" s="968" t="s">
        <v>364</v>
      </c>
      <c r="B146" s="963"/>
      <c r="C146" s="968" t="s">
        <v>365</v>
      </c>
      <c r="D146" s="963"/>
      <c r="E146" s="963"/>
      <c r="F146" s="963"/>
      <c r="G146" s="963"/>
      <c r="H146" s="790"/>
      <c r="I146" s="968" t="s">
        <v>366</v>
      </c>
      <c r="J146" s="963"/>
      <c r="K146" s="963"/>
      <c r="L146" s="791"/>
      <c r="M146" s="791"/>
      <c r="O146" s="790" t="s">
        <v>119</v>
      </c>
      <c r="P146" s="791"/>
      <c r="Q146" s="791"/>
      <c r="R146" s="791"/>
      <c r="S146" s="968" t="s">
        <v>367</v>
      </c>
      <c r="T146" s="963"/>
      <c r="U146" s="963"/>
      <c r="V146" s="963"/>
      <c r="W146" s="963"/>
      <c r="X146" s="963"/>
      <c r="Y146" s="793"/>
      <c r="Z146" s="793"/>
      <c r="AA146" s="793"/>
      <c r="AB146" s="793"/>
      <c r="AC146" s="793"/>
      <c r="AD146" s="793"/>
      <c r="AE146" s="793"/>
    </row>
    <row r="147" spans="1:31" s="792" customFormat="1" ht="32.25" hidden="1" customHeight="1" x14ac:dyDescent="0.35">
      <c r="A147" s="794"/>
      <c r="B147" s="795"/>
      <c r="C147" s="796"/>
      <c r="D147" s="796"/>
      <c r="E147" s="796"/>
      <c r="F147" s="796"/>
      <c r="G147" s="796"/>
      <c r="H147" s="796"/>
      <c r="I147" s="796"/>
      <c r="J147" s="796"/>
      <c r="K147" s="796"/>
      <c r="L147" s="796"/>
      <c r="M147" s="796"/>
      <c r="N147" s="796"/>
      <c r="O147" s="796"/>
      <c r="P147" s="796"/>
      <c r="Q147" s="796"/>
      <c r="R147" s="796"/>
      <c r="S147" s="796"/>
      <c r="T147" s="796"/>
      <c r="U147" s="796"/>
      <c r="V147" s="796"/>
      <c r="W147" s="796"/>
      <c r="X147" s="797"/>
      <c r="Y147" s="793"/>
      <c r="Z147" s="793"/>
      <c r="AA147" s="793"/>
      <c r="AB147" s="793"/>
      <c r="AC147" s="793"/>
      <c r="AD147" s="793"/>
      <c r="AE147" s="793"/>
    </row>
    <row r="148" spans="1:31" s="792" customFormat="1" ht="21" hidden="1" customHeight="1" x14ac:dyDescent="0.35">
      <c r="A148" s="794"/>
      <c r="B148" s="795"/>
      <c r="C148" s="796"/>
      <c r="D148" s="796"/>
      <c r="E148" s="796"/>
      <c r="F148" s="796"/>
      <c r="G148" s="796"/>
      <c r="H148" s="796"/>
      <c r="I148" s="796"/>
      <c r="J148" s="796"/>
      <c r="K148" s="796"/>
      <c r="L148" s="796"/>
      <c r="M148" s="796"/>
      <c r="N148" s="796"/>
      <c r="O148" s="796"/>
      <c r="P148" s="796"/>
      <c r="Q148" s="796"/>
      <c r="R148" s="796"/>
      <c r="S148" s="796"/>
      <c r="T148" s="796"/>
      <c r="U148" s="796"/>
      <c r="V148" s="796"/>
      <c r="W148" s="796"/>
      <c r="X148" s="797"/>
      <c r="Y148" s="793"/>
      <c r="Z148" s="793"/>
      <c r="AA148" s="793"/>
      <c r="AB148" s="793"/>
      <c r="AC148" s="793"/>
      <c r="AD148" s="793"/>
      <c r="AE148" s="793"/>
    </row>
    <row r="149" spans="1:31" s="792" customFormat="1" ht="18" hidden="1" customHeight="1" x14ac:dyDescent="0.35">
      <c r="A149" s="794"/>
      <c r="B149" s="791"/>
      <c r="C149" s="798"/>
      <c r="D149" s="799"/>
      <c r="E149" s="796"/>
      <c r="F149" s="796"/>
      <c r="G149" s="796"/>
      <c r="H149" s="796"/>
      <c r="I149" s="796"/>
      <c r="J149" s="796"/>
      <c r="K149" s="796"/>
      <c r="L149" s="969"/>
      <c r="M149" s="963"/>
      <c r="N149" s="963"/>
      <c r="O149" s="963"/>
      <c r="P149" s="963"/>
      <c r="Q149" s="963"/>
      <c r="R149" s="963"/>
      <c r="S149" s="796"/>
      <c r="T149" s="796"/>
      <c r="U149" s="796"/>
      <c r="V149" s="796"/>
      <c r="W149" s="796"/>
      <c r="X149" s="797"/>
      <c r="Y149" s="793"/>
      <c r="Z149" s="793"/>
      <c r="AA149" s="793"/>
      <c r="AB149" s="793"/>
      <c r="AC149" s="793"/>
      <c r="AD149" s="793"/>
      <c r="AE149" s="793"/>
    </row>
    <row r="150" spans="1:31" s="792" customFormat="1" ht="18.75" hidden="1" customHeight="1" x14ac:dyDescent="0.35">
      <c r="A150" s="794"/>
      <c r="B150" s="795"/>
      <c r="C150" s="796"/>
      <c r="D150" s="796"/>
      <c r="E150" s="796"/>
      <c r="F150" s="796"/>
      <c r="G150" s="796"/>
      <c r="H150" s="796"/>
      <c r="I150" s="796"/>
      <c r="J150" s="796"/>
      <c r="K150" s="796"/>
      <c r="L150" s="796"/>
      <c r="M150" s="796"/>
      <c r="N150" s="796"/>
      <c r="O150" s="796"/>
      <c r="P150" s="796"/>
      <c r="Q150" s="796"/>
      <c r="R150" s="796"/>
      <c r="S150" s="796"/>
      <c r="T150" s="796"/>
      <c r="U150" s="796"/>
      <c r="V150" s="796"/>
      <c r="W150" s="796"/>
      <c r="X150" s="797"/>
      <c r="Y150" s="793"/>
      <c r="Z150" s="793"/>
      <c r="AA150" s="793"/>
      <c r="AB150" s="793"/>
      <c r="AC150" s="793"/>
      <c r="AD150" s="793"/>
      <c r="AE150" s="793"/>
    </row>
    <row r="151" spans="1:31" s="792" customFormat="1" ht="18.75" hidden="1" customHeight="1" x14ac:dyDescent="0.35">
      <c r="A151" s="962" t="s">
        <v>368</v>
      </c>
      <c r="B151" s="963"/>
      <c r="C151" s="962" t="s">
        <v>32</v>
      </c>
      <c r="D151" s="963"/>
      <c r="E151" s="963"/>
      <c r="F151" s="963"/>
      <c r="G151" s="963"/>
      <c r="H151" s="796"/>
      <c r="I151" s="962" t="s">
        <v>369</v>
      </c>
      <c r="J151" s="963"/>
      <c r="K151" s="963"/>
      <c r="L151" s="796"/>
      <c r="M151" s="796"/>
      <c r="N151" s="796"/>
      <c r="O151" s="796" t="s">
        <v>370</v>
      </c>
      <c r="P151" s="796"/>
      <c r="Q151" s="796"/>
      <c r="R151" s="796"/>
      <c r="S151" s="962" t="s">
        <v>371</v>
      </c>
      <c r="T151" s="963"/>
      <c r="U151" s="963"/>
      <c r="V151" s="963"/>
      <c r="W151" s="963"/>
      <c r="X151" s="963"/>
      <c r="Y151" s="793"/>
      <c r="Z151" s="793"/>
      <c r="AA151" s="793"/>
      <c r="AB151" s="793"/>
      <c r="AC151" s="793"/>
      <c r="AD151" s="793"/>
      <c r="AE151" s="793"/>
    </row>
    <row r="152" spans="1:31" ht="18.75" hidden="1" customHeight="1" x14ac:dyDescent="0.3">
      <c r="A152" s="232"/>
      <c r="B152" s="800"/>
      <c r="C152" s="232"/>
      <c r="D152" s="232"/>
      <c r="E152" s="232"/>
      <c r="F152" s="232"/>
      <c r="G152" s="232"/>
      <c r="H152" s="232"/>
      <c r="I152" s="232"/>
      <c r="J152" s="232"/>
      <c r="K152" s="232"/>
      <c r="L152" s="232"/>
      <c r="M152" s="232"/>
      <c r="N152" s="232"/>
      <c r="O152" s="232"/>
      <c r="P152" s="232"/>
      <c r="Q152" s="232"/>
      <c r="R152" s="232"/>
      <c r="S152" s="232"/>
      <c r="T152" s="232"/>
      <c r="U152" s="232"/>
      <c r="V152" s="37"/>
      <c r="W152" s="232"/>
      <c r="X152" s="231"/>
      <c r="Y152" s="231"/>
      <c r="Z152" s="231"/>
      <c r="AA152" s="231"/>
      <c r="AB152" s="231"/>
      <c r="AC152" s="231"/>
      <c r="AD152" s="231"/>
      <c r="AE152" s="231"/>
    </row>
    <row r="153" spans="1:31" ht="15.75" customHeight="1" thickTop="1" x14ac:dyDescent="0.25">
      <c r="A153" s="37"/>
      <c r="B153" s="801"/>
      <c r="C153" s="37"/>
      <c r="D153" s="37"/>
      <c r="E153" s="37"/>
      <c r="F153" s="37"/>
      <c r="G153" s="37"/>
      <c r="H153" s="37"/>
      <c r="I153" s="37"/>
      <c r="J153" s="37"/>
      <c r="K153" s="37"/>
      <c r="L153" s="37"/>
      <c r="M153" s="37"/>
      <c r="N153" s="37"/>
      <c r="O153" s="37"/>
      <c r="P153" s="37"/>
      <c r="Q153" s="37"/>
      <c r="R153" s="37"/>
      <c r="S153" s="37"/>
      <c r="T153" s="37"/>
      <c r="U153" s="37"/>
      <c r="V153" s="37"/>
      <c r="W153" s="37"/>
      <c r="X153" s="36"/>
      <c r="Y153" s="36"/>
      <c r="Z153" s="36"/>
      <c r="AA153" s="36"/>
      <c r="AB153" s="36"/>
      <c r="AC153" s="36"/>
      <c r="AD153" s="36"/>
      <c r="AE153" s="36"/>
    </row>
    <row r="154" spans="1:31" ht="15.75" customHeight="1" x14ac:dyDescent="0.25">
      <c r="A154" s="37"/>
      <c r="B154" s="801"/>
      <c r="C154" s="37"/>
      <c r="D154" s="37"/>
      <c r="E154" s="37"/>
      <c r="F154" s="37"/>
      <c r="G154" s="37"/>
      <c r="H154" s="37"/>
      <c r="I154" s="37"/>
      <c r="J154" s="37"/>
      <c r="K154" s="37"/>
      <c r="L154" s="37"/>
      <c r="M154" s="37"/>
      <c r="N154" s="37"/>
      <c r="O154" s="37"/>
      <c r="P154" s="37"/>
      <c r="Q154" s="37"/>
      <c r="R154" s="37"/>
      <c r="S154" s="37"/>
      <c r="T154" s="37"/>
      <c r="U154" s="37"/>
      <c r="V154" s="37"/>
      <c r="W154" s="37"/>
      <c r="X154" s="36"/>
      <c r="Y154" s="36"/>
      <c r="Z154" s="36"/>
      <c r="AA154" s="36"/>
      <c r="AB154" s="36"/>
      <c r="AC154" s="36"/>
      <c r="AD154" s="36"/>
      <c r="AE154" s="36"/>
    </row>
    <row r="155" spans="1:31" ht="15.75" customHeight="1" x14ac:dyDescent="0.25">
      <c r="A155" s="37"/>
      <c r="B155" s="801"/>
      <c r="C155" s="37"/>
      <c r="D155" s="37"/>
      <c r="E155" s="37"/>
      <c r="F155" s="37"/>
      <c r="G155" s="37"/>
      <c r="H155" s="37"/>
      <c r="I155" s="37"/>
      <c r="J155" s="37"/>
      <c r="K155" s="37"/>
      <c r="L155" s="37"/>
      <c r="M155" s="37"/>
      <c r="N155" s="37"/>
      <c r="O155" s="37"/>
      <c r="P155" s="37"/>
      <c r="Q155" s="37"/>
      <c r="R155" s="37"/>
      <c r="S155" s="37"/>
      <c r="T155" s="37"/>
      <c r="U155" s="37"/>
      <c r="V155" s="37"/>
      <c r="W155" s="37"/>
      <c r="X155" s="36"/>
      <c r="Y155" s="36"/>
      <c r="Z155" s="36"/>
      <c r="AA155" s="36"/>
      <c r="AB155" s="36"/>
      <c r="AC155" s="36"/>
      <c r="AD155" s="36"/>
      <c r="AE155" s="36"/>
    </row>
    <row r="156" spans="1:31" ht="15.75" customHeight="1" x14ac:dyDescent="0.25">
      <c r="A156" s="37"/>
      <c r="B156" s="801"/>
      <c r="C156" s="37"/>
      <c r="D156" s="37"/>
      <c r="E156" s="37"/>
      <c r="F156" s="37"/>
      <c r="G156" s="37"/>
      <c r="H156" s="37"/>
      <c r="I156" s="37"/>
      <c r="J156" s="37"/>
      <c r="K156" s="37"/>
      <c r="L156" s="37"/>
      <c r="M156" s="37"/>
      <c r="N156" s="37"/>
      <c r="O156" s="37"/>
      <c r="P156" s="37"/>
      <c r="Q156" s="37"/>
      <c r="R156" s="37"/>
      <c r="S156" s="37"/>
      <c r="T156" s="37"/>
      <c r="U156" s="37"/>
      <c r="V156" s="37"/>
      <c r="W156" s="37"/>
      <c r="X156" s="36"/>
      <c r="Y156" s="36"/>
      <c r="Z156" s="36"/>
      <c r="AA156" s="36"/>
      <c r="AB156" s="36"/>
      <c r="AC156" s="36"/>
      <c r="AD156" s="36"/>
      <c r="AE156" s="36"/>
    </row>
    <row r="157" spans="1:31" ht="15.75" customHeight="1" x14ac:dyDescent="0.25">
      <c r="A157" s="37"/>
      <c r="B157" s="801"/>
      <c r="C157" s="37"/>
      <c r="D157" s="37"/>
      <c r="E157" s="37"/>
      <c r="F157" s="37"/>
      <c r="G157" s="37"/>
      <c r="H157" s="37"/>
      <c r="I157" s="37"/>
      <c r="J157" s="37"/>
      <c r="K157" s="37"/>
      <c r="L157" s="37"/>
      <c r="M157" s="37"/>
      <c r="N157" s="37"/>
      <c r="O157" s="37"/>
      <c r="P157" s="37"/>
      <c r="Q157" s="37"/>
      <c r="R157" s="37"/>
      <c r="S157" s="37"/>
      <c r="T157" s="37"/>
      <c r="U157" s="37"/>
      <c r="V157" s="37"/>
      <c r="W157" s="37"/>
      <c r="X157" s="36"/>
      <c r="Y157" s="36"/>
      <c r="Z157" s="36"/>
      <c r="AA157" s="36"/>
      <c r="AB157" s="36"/>
      <c r="AC157" s="36"/>
      <c r="AD157" s="36"/>
      <c r="AE157" s="36"/>
    </row>
    <row r="158" spans="1:31" ht="15.75" customHeight="1" x14ac:dyDescent="0.25">
      <c r="A158" s="37"/>
      <c r="B158" s="801"/>
      <c r="C158" s="37"/>
      <c r="D158" s="37"/>
      <c r="E158" s="37"/>
      <c r="F158" s="37"/>
      <c r="G158" s="37"/>
      <c r="H158" s="37"/>
      <c r="I158" s="37"/>
      <c r="J158" s="37"/>
      <c r="K158" s="37"/>
      <c r="L158" s="37"/>
      <c r="M158" s="37"/>
      <c r="N158" s="37"/>
      <c r="O158" s="37"/>
      <c r="P158" s="37"/>
      <c r="Q158" s="37"/>
      <c r="R158" s="37"/>
      <c r="S158" s="37"/>
      <c r="T158" s="37"/>
      <c r="U158" s="37"/>
      <c r="V158" s="37"/>
      <c r="W158" s="37"/>
      <c r="X158" s="36"/>
      <c r="Y158" s="36"/>
      <c r="Z158" s="36"/>
      <c r="AA158" s="36"/>
      <c r="AB158" s="36"/>
      <c r="AC158" s="36"/>
      <c r="AD158" s="36"/>
      <c r="AE158" s="36"/>
    </row>
    <row r="159" spans="1:31" ht="15.75" customHeight="1" x14ac:dyDescent="0.25">
      <c r="A159" s="37"/>
      <c r="B159" s="801"/>
      <c r="C159" s="37"/>
      <c r="D159" s="37"/>
      <c r="E159" s="37"/>
      <c r="F159" s="37"/>
      <c r="G159" s="37"/>
      <c r="H159" s="37"/>
      <c r="I159" s="37"/>
      <c r="J159" s="37"/>
      <c r="K159" s="37"/>
      <c r="L159" s="37"/>
      <c r="M159" s="37"/>
      <c r="N159" s="37"/>
      <c r="O159" s="37"/>
      <c r="P159" s="37"/>
      <c r="Q159" s="37"/>
      <c r="R159" s="37" t="s">
        <v>372</v>
      </c>
      <c r="S159" s="37"/>
      <c r="T159" s="37"/>
      <c r="U159" s="37"/>
      <c r="V159" s="37"/>
      <c r="W159" s="37"/>
      <c r="X159" s="36"/>
      <c r="Y159" s="36"/>
      <c r="Z159" s="36"/>
      <c r="AA159" s="36"/>
      <c r="AB159" s="36"/>
      <c r="AC159" s="36"/>
      <c r="AD159" s="36"/>
      <c r="AE159" s="36"/>
    </row>
    <row r="160" spans="1:31" ht="15.75" customHeight="1" x14ac:dyDescent="0.25">
      <c r="A160" s="37"/>
      <c r="B160" s="801"/>
      <c r="C160" s="37"/>
      <c r="D160" s="37"/>
      <c r="E160" s="37"/>
      <c r="F160" s="37"/>
      <c r="G160" s="37"/>
      <c r="H160" s="37"/>
      <c r="I160" s="37"/>
      <c r="J160" s="37"/>
      <c r="K160" s="37"/>
      <c r="L160" s="37"/>
      <c r="M160" s="37"/>
      <c r="N160" s="37"/>
      <c r="O160" s="37"/>
      <c r="P160" s="37"/>
      <c r="Q160" s="37"/>
      <c r="R160" s="37"/>
      <c r="S160" s="37"/>
      <c r="T160" s="37"/>
      <c r="U160" s="37"/>
      <c r="V160" s="37"/>
      <c r="W160" s="37"/>
      <c r="X160" s="36"/>
      <c r="Y160" s="36"/>
      <c r="Z160" s="36"/>
      <c r="AA160" s="36"/>
      <c r="AB160" s="36"/>
      <c r="AC160" s="36"/>
      <c r="AD160" s="36"/>
      <c r="AE160" s="36"/>
    </row>
    <row r="161" spans="1:31" ht="15.75" customHeight="1" x14ac:dyDescent="0.25">
      <c r="A161" s="37"/>
      <c r="B161" s="801"/>
      <c r="C161" s="37"/>
      <c r="D161" s="37"/>
      <c r="E161" s="37"/>
      <c r="F161" s="37"/>
      <c r="G161" s="37"/>
      <c r="H161" s="37"/>
      <c r="I161" s="37"/>
      <c r="J161" s="37"/>
      <c r="K161" s="37"/>
      <c r="L161" s="37"/>
      <c r="M161" s="37"/>
      <c r="N161" s="37"/>
      <c r="O161" s="37"/>
      <c r="P161" s="37"/>
      <c r="Q161" s="37"/>
      <c r="R161" s="37"/>
      <c r="S161" s="37"/>
      <c r="T161" s="37"/>
      <c r="U161" s="37"/>
      <c r="V161" s="37"/>
      <c r="W161" s="37"/>
      <c r="X161" s="36"/>
      <c r="Y161" s="36"/>
      <c r="Z161" s="36"/>
      <c r="AA161" s="36"/>
      <c r="AB161" s="36"/>
      <c r="AC161" s="36"/>
      <c r="AD161" s="36"/>
      <c r="AE161" s="36"/>
    </row>
    <row r="162" spans="1:31" ht="15.75" customHeight="1" x14ac:dyDescent="0.25">
      <c r="A162" s="37"/>
      <c r="B162" s="801"/>
      <c r="C162" s="37"/>
      <c r="D162" s="37"/>
      <c r="E162" s="37"/>
      <c r="F162" s="37"/>
      <c r="G162" s="37"/>
      <c r="H162" s="37"/>
      <c r="I162" s="37"/>
      <c r="J162" s="37"/>
      <c r="K162" s="37"/>
      <c r="L162" s="37"/>
      <c r="M162" s="37"/>
      <c r="N162" s="37"/>
      <c r="O162" s="37"/>
      <c r="P162" s="37"/>
      <c r="Q162" s="37"/>
      <c r="R162" s="37"/>
      <c r="S162" s="37"/>
      <c r="T162" s="37"/>
      <c r="U162" s="37"/>
      <c r="V162" s="37"/>
      <c r="W162" s="37"/>
      <c r="X162" s="36"/>
      <c r="Y162" s="36"/>
      <c r="Z162" s="36"/>
      <c r="AA162" s="36"/>
      <c r="AB162" s="36"/>
      <c r="AC162" s="36"/>
      <c r="AD162" s="36"/>
      <c r="AE162" s="36"/>
    </row>
    <row r="163" spans="1:31" ht="15.75" customHeight="1" x14ac:dyDescent="0.25">
      <c r="A163" s="37"/>
      <c r="B163" s="801"/>
      <c r="C163" s="37"/>
      <c r="D163" s="37"/>
      <c r="E163" s="37"/>
      <c r="F163" s="37"/>
      <c r="G163" s="37"/>
      <c r="H163" s="37"/>
      <c r="I163" s="37"/>
      <c r="J163" s="37"/>
      <c r="K163" s="37"/>
      <c r="L163" s="37"/>
      <c r="M163" s="37"/>
      <c r="N163" s="37"/>
      <c r="O163" s="37"/>
      <c r="P163" s="37"/>
      <c r="Q163" s="37"/>
      <c r="R163" s="37"/>
      <c r="S163" s="37"/>
      <c r="T163" s="37"/>
      <c r="U163" s="37"/>
      <c r="V163" s="37"/>
      <c r="W163" s="37"/>
      <c r="X163" s="36"/>
      <c r="Y163" s="36"/>
      <c r="Z163" s="36"/>
      <c r="AA163" s="36"/>
      <c r="AB163" s="36"/>
      <c r="AC163" s="36"/>
      <c r="AD163" s="36"/>
      <c r="AE163" s="36"/>
    </row>
    <row r="164" spans="1:31" ht="15.75" customHeight="1" x14ac:dyDescent="0.25">
      <c r="A164" s="37"/>
      <c r="B164" s="801"/>
      <c r="C164" s="37"/>
      <c r="D164" s="37"/>
      <c r="E164" s="37"/>
      <c r="F164" s="37"/>
      <c r="G164" s="37"/>
      <c r="H164" s="37"/>
      <c r="I164" s="37"/>
      <c r="J164" s="37"/>
      <c r="K164" s="37"/>
      <c r="L164" s="37"/>
      <c r="M164" s="37"/>
      <c r="N164" s="37"/>
      <c r="O164" s="37"/>
      <c r="P164" s="37"/>
      <c r="Q164" s="37"/>
      <c r="R164" s="37"/>
      <c r="S164" s="37"/>
      <c r="T164" s="37"/>
      <c r="U164" s="37"/>
      <c r="V164" s="37"/>
      <c r="W164" s="37"/>
      <c r="X164" s="36"/>
      <c r="Y164" s="36"/>
      <c r="Z164" s="36"/>
      <c r="AA164" s="36"/>
      <c r="AB164" s="36"/>
      <c r="AC164" s="36"/>
      <c r="AD164" s="36"/>
      <c r="AE164" s="36"/>
    </row>
    <row r="165" spans="1:31" ht="15.75" customHeight="1" x14ac:dyDescent="0.25">
      <c r="A165" s="37"/>
      <c r="B165" s="801"/>
      <c r="C165" s="37"/>
      <c r="D165" s="37"/>
      <c r="E165" s="37"/>
      <c r="F165" s="37"/>
      <c r="G165" s="37"/>
      <c r="H165" s="37"/>
      <c r="I165" s="37"/>
      <c r="J165" s="37"/>
      <c r="K165" s="37"/>
      <c r="L165" s="37"/>
      <c r="M165" s="37"/>
      <c r="N165" s="37"/>
      <c r="O165" s="37"/>
      <c r="P165" s="37"/>
      <c r="Q165" s="37"/>
      <c r="R165" s="37"/>
      <c r="S165" s="37"/>
      <c r="T165" s="37"/>
      <c r="U165" s="37"/>
      <c r="V165" s="37"/>
      <c r="W165" s="37"/>
      <c r="X165" s="36"/>
      <c r="Y165" s="36"/>
      <c r="Z165" s="36"/>
      <c r="AA165" s="36"/>
      <c r="AB165" s="36"/>
      <c r="AC165" s="36"/>
      <c r="AD165" s="36"/>
      <c r="AE165" s="36"/>
    </row>
    <row r="166" spans="1:31" ht="15.75" customHeight="1" x14ac:dyDescent="0.25">
      <c r="A166" s="37"/>
      <c r="B166" s="801"/>
      <c r="C166" s="37"/>
      <c r="D166" s="37"/>
      <c r="E166" s="37"/>
      <c r="F166" s="37"/>
      <c r="G166" s="37"/>
      <c r="H166" s="37"/>
      <c r="I166" s="37"/>
      <c r="J166" s="37"/>
      <c r="K166" s="37"/>
      <c r="L166" s="37"/>
      <c r="M166" s="37"/>
      <c r="N166" s="37"/>
      <c r="O166" s="37"/>
      <c r="P166" s="37"/>
      <c r="Q166" s="37"/>
      <c r="R166" s="37"/>
      <c r="S166" s="37"/>
      <c r="T166" s="37"/>
      <c r="U166" s="37"/>
      <c r="V166" s="37"/>
      <c r="W166" s="37"/>
      <c r="X166" s="36"/>
      <c r="Y166" s="36"/>
      <c r="Z166" s="36"/>
      <c r="AA166" s="36"/>
      <c r="AB166" s="36"/>
      <c r="AC166" s="36"/>
      <c r="AD166" s="36"/>
      <c r="AE166" s="36"/>
    </row>
    <row r="167" spans="1:31" ht="15.75" customHeight="1" x14ac:dyDescent="0.25">
      <c r="A167" s="37"/>
      <c r="B167" s="801"/>
      <c r="C167" s="37"/>
      <c r="D167" s="37"/>
      <c r="E167" s="37"/>
      <c r="F167" s="37"/>
      <c r="G167" s="37"/>
      <c r="H167" s="37"/>
      <c r="I167" s="37"/>
      <c r="J167" s="37"/>
      <c r="K167" s="37"/>
      <c r="L167" s="37"/>
      <c r="M167" s="37"/>
      <c r="N167" s="37"/>
      <c r="O167" s="37"/>
      <c r="P167" s="37"/>
      <c r="Q167" s="37"/>
      <c r="R167" s="37"/>
      <c r="S167" s="37"/>
      <c r="T167" s="37"/>
      <c r="U167" s="37"/>
      <c r="V167" s="37"/>
      <c r="W167" s="37"/>
      <c r="X167" s="36"/>
      <c r="Y167" s="36"/>
      <c r="Z167" s="36"/>
      <c r="AA167" s="36"/>
      <c r="AB167" s="36"/>
      <c r="AC167" s="36"/>
      <c r="AD167" s="36"/>
      <c r="AE167" s="36"/>
    </row>
    <row r="168" spans="1:31" ht="15.75" customHeight="1" x14ac:dyDescent="0.25">
      <c r="A168" s="37"/>
      <c r="B168" s="801"/>
      <c r="C168" s="37"/>
      <c r="D168" s="37"/>
      <c r="E168" s="37"/>
      <c r="F168" s="37"/>
      <c r="G168" s="37"/>
      <c r="H168" s="37"/>
      <c r="I168" s="37"/>
      <c r="J168" s="37"/>
      <c r="K168" s="37"/>
      <c r="L168" s="37"/>
      <c r="M168" s="37"/>
      <c r="N168" s="37"/>
      <c r="O168" s="37"/>
      <c r="P168" s="37"/>
      <c r="Q168" s="37"/>
      <c r="R168" s="37"/>
      <c r="S168" s="37"/>
      <c r="T168" s="37"/>
      <c r="U168" s="37"/>
      <c r="V168" s="37"/>
      <c r="W168" s="37"/>
      <c r="X168" s="36"/>
      <c r="Y168" s="36"/>
      <c r="Z168" s="36"/>
      <c r="AA168" s="36"/>
      <c r="AB168" s="36"/>
      <c r="AC168" s="36"/>
      <c r="AD168" s="36"/>
      <c r="AE168" s="36"/>
    </row>
    <row r="169" spans="1:31" ht="15.75" customHeight="1" x14ac:dyDescent="0.25">
      <c r="A169" s="37"/>
      <c r="B169" s="801"/>
      <c r="C169" s="37"/>
      <c r="D169" s="37"/>
      <c r="E169" s="37"/>
      <c r="F169" s="37"/>
      <c r="G169" s="37"/>
      <c r="H169" s="37"/>
      <c r="I169" s="37"/>
      <c r="J169" s="37"/>
      <c r="K169" s="37"/>
      <c r="L169" s="37"/>
      <c r="M169" s="37"/>
      <c r="N169" s="37"/>
      <c r="O169" s="37"/>
      <c r="P169" s="37"/>
      <c r="Q169" s="37"/>
      <c r="R169" s="37"/>
      <c r="S169" s="37"/>
      <c r="T169" s="37"/>
      <c r="U169" s="37"/>
      <c r="V169" s="37"/>
      <c r="W169" s="37"/>
      <c r="X169" s="36"/>
      <c r="Y169" s="36"/>
      <c r="Z169" s="36"/>
      <c r="AA169" s="36"/>
      <c r="AB169" s="36"/>
      <c r="AC169" s="36"/>
      <c r="AD169" s="36"/>
      <c r="AE169" s="36"/>
    </row>
    <row r="170" spans="1:31" ht="15.75" customHeight="1" x14ac:dyDescent="0.25">
      <c r="A170" s="37"/>
      <c r="B170" s="801"/>
      <c r="C170" s="37"/>
      <c r="D170" s="37"/>
      <c r="E170" s="37"/>
      <c r="F170" s="37"/>
      <c r="G170" s="37"/>
      <c r="H170" s="37"/>
      <c r="I170" s="37"/>
      <c r="J170" s="37"/>
      <c r="K170" s="37"/>
      <c r="L170" s="37"/>
      <c r="M170" s="37"/>
      <c r="N170" s="37"/>
      <c r="O170" s="37"/>
      <c r="P170" s="37"/>
      <c r="Q170" s="37"/>
      <c r="R170" s="37"/>
      <c r="S170" s="37"/>
      <c r="T170" s="37"/>
      <c r="U170" s="37"/>
      <c r="V170" s="37"/>
      <c r="W170" s="37"/>
      <c r="X170" s="36"/>
      <c r="Y170" s="36"/>
      <c r="Z170" s="36"/>
      <c r="AA170" s="36"/>
      <c r="AB170" s="36"/>
      <c r="AC170" s="36"/>
      <c r="AD170" s="36"/>
      <c r="AE170" s="36"/>
    </row>
    <row r="171" spans="1:31" ht="15.75" customHeight="1" x14ac:dyDescent="0.25">
      <c r="A171" s="37"/>
      <c r="B171" s="801"/>
      <c r="C171" s="37"/>
      <c r="D171" s="37"/>
      <c r="E171" s="37"/>
      <c r="F171" s="37"/>
      <c r="G171" s="37"/>
      <c r="H171" s="37"/>
      <c r="I171" s="37"/>
      <c r="J171" s="37"/>
      <c r="K171" s="37"/>
      <c r="L171" s="37"/>
      <c r="M171" s="37"/>
      <c r="N171" s="37"/>
      <c r="O171" s="37"/>
      <c r="P171" s="37"/>
      <c r="Q171" s="37"/>
      <c r="R171" s="37"/>
      <c r="S171" s="37"/>
      <c r="T171" s="37"/>
      <c r="U171" s="37"/>
      <c r="V171" s="37"/>
      <c r="W171" s="37"/>
      <c r="X171" s="36"/>
      <c r="Y171" s="36"/>
      <c r="Z171" s="36"/>
      <c r="AA171" s="36"/>
      <c r="AB171" s="36"/>
      <c r="AC171" s="36"/>
      <c r="AD171" s="36"/>
      <c r="AE171" s="36"/>
    </row>
    <row r="172" spans="1:31" ht="15.75" customHeight="1" x14ac:dyDescent="0.25">
      <c r="A172" s="37"/>
      <c r="B172" s="801"/>
      <c r="C172" s="37"/>
      <c r="D172" s="37"/>
      <c r="E172" s="37"/>
      <c r="F172" s="37"/>
      <c r="G172" s="37"/>
      <c r="H172" s="37"/>
      <c r="I172" s="37"/>
      <c r="J172" s="37"/>
      <c r="K172" s="37"/>
      <c r="L172" s="37"/>
      <c r="M172" s="37"/>
      <c r="N172" s="37"/>
      <c r="O172" s="37"/>
      <c r="P172" s="37"/>
      <c r="Q172" s="37"/>
      <c r="R172" s="37"/>
      <c r="S172" s="37"/>
      <c r="T172" s="37"/>
      <c r="U172" s="37"/>
      <c r="V172" s="37"/>
      <c r="W172" s="37"/>
      <c r="X172" s="36"/>
      <c r="Y172" s="36"/>
      <c r="Z172" s="36"/>
      <c r="AA172" s="36"/>
      <c r="AB172" s="36"/>
      <c r="AC172" s="36"/>
      <c r="AD172" s="36"/>
      <c r="AE172" s="36"/>
    </row>
    <row r="173" spans="1:31" ht="15.75" customHeight="1" x14ac:dyDescent="0.25">
      <c r="A173" s="37"/>
      <c r="B173" s="801"/>
      <c r="C173" s="37"/>
      <c r="D173" s="37"/>
      <c r="E173" s="37"/>
      <c r="F173" s="37"/>
      <c r="G173" s="37"/>
      <c r="H173" s="37"/>
      <c r="I173" s="37"/>
      <c r="J173" s="37"/>
      <c r="K173" s="37"/>
      <c r="L173" s="37"/>
      <c r="M173" s="37"/>
      <c r="N173" s="37"/>
      <c r="O173" s="37"/>
      <c r="P173" s="37"/>
      <c r="Q173" s="37"/>
      <c r="R173" s="37"/>
      <c r="S173" s="37"/>
      <c r="T173" s="37"/>
      <c r="U173" s="37"/>
      <c r="V173" s="37"/>
      <c r="W173" s="37"/>
      <c r="X173" s="36"/>
      <c r="Y173" s="36"/>
      <c r="Z173" s="36"/>
      <c r="AA173" s="36"/>
      <c r="AB173" s="36"/>
      <c r="AC173" s="36"/>
      <c r="AD173" s="36"/>
      <c r="AE173" s="36"/>
    </row>
    <row r="174" spans="1:31" ht="15.75" customHeight="1" x14ac:dyDescent="0.25">
      <c r="A174" s="37"/>
      <c r="B174" s="801"/>
      <c r="C174" s="37"/>
      <c r="D174" s="37"/>
      <c r="E174" s="37"/>
      <c r="F174" s="37"/>
      <c r="G174" s="37"/>
      <c r="H174" s="37"/>
      <c r="I174" s="37"/>
      <c r="J174" s="37"/>
      <c r="K174" s="37"/>
      <c r="L174" s="37"/>
      <c r="M174" s="37"/>
      <c r="N174" s="37"/>
      <c r="O174" s="37"/>
      <c r="P174" s="37"/>
      <c r="Q174" s="37"/>
      <c r="R174" s="37"/>
      <c r="S174" s="37"/>
      <c r="T174" s="37"/>
      <c r="U174" s="37"/>
      <c r="V174" s="37"/>
      <c r="W174" s="37"/>
      <c r="X174" s="36"/>
      <c r="Y174" s="36"/>
      <c r="Z174" s="36"/>
      <c r="AA174" s="36"/>
      <c r="AB174" s="36"/>
      <c r="AC174" s="36"/>
      <c r="AD174" s="36"/>
      <c r="AE174" s="36"/>
    </row>
    <row r="175" spans="1:31" ht="15.75" customHeight="1" x14ac:dyDescent="0.25">
      <c r="A175" s="37"/>
      <c r="B175" s="801"/>
      <c r="C175" s="37"/>
      <c r="D175" s="37"/>
      <c r="E175" s="37"/>
      <c r="F175" s="37"/>
      <c r="G175" s="37"/>
      <c r="H175" s="37"/>
      <c r="I175" s="37"/>
      <c r="J175" s="37"/>
      <c r="K175" s="37"/>
      <c r="L175" s="37"/>
      <c r="M175" s="37"/>
      <c r="N175" s="37"/>
      <c r="O175" s="37"/>
      <c r="P175" s="37"/>
      <c r="Q175" s="37"/>
      <c r="R175" s="37"/>
      <c r="S175" s="37"/>
      <c r="T175" s="37"/>
      <c r="U175" s="37"/>
      <c r="V175" s="37"/>
      <c r="W175" s="37"/>
      <c r="X175" s="36"/>
      <c r="Y175" s="36"/>
      <c r="Z175" s="36"/>
      <c r="AA175" s="36"/>
      <c r="AB175" s="36"/>
      <c r="AC175" s="36"/>
      <c r="AD175" s="36"/>
      <c r="AE175" s="36"/>
    </row>
    <row r="176" spans="1:31" ht="15.75" customHeight="1" x14ac:dyDescent="0.25">
      <c r="A176" s="37"/>
      <c r="B176" s="801"/>
      <c r="C176" s="37"/>
      <c r="D176" s="37"/>
      <c r="E176" s="37"/>
      <c r="F176" s="37"/>
      <c r="G176" s="37"/>
      <c r="H176" s="37"/>
      <c r="I176" s="37"/>
      <c r="J176" s="37"/>
      <c r="K176" s="37"/>
      <c r="L176" s="37"/>
      <c r="M176" s="37"/>
      <c r="N176" s="37"/>
      <c r="O176" s="37"/>
      <c r="P176" s="37"/>
      <c r="Q176" s="37"/>
      <c r="R176" s="37"/>
      <c r="S176" s="37"/>
      <c r="T176" s="37"/>
      <c r="U176" s="37"/>
      <c r="V176" s="37"/>
      <c r="W176" s="37"/>
      <c r="X176" s="36"/>
      <c r="Y176" s="36"/>
      <c r="Z176" s="36"/>
      <c r="AA176" s="36"/>
      <c r="AB176" s="36"/>
      <c r="AC176" s="36"/>
      <c r="AD176" s="36"/>
      <c r="AE176" s="36"/>
    </row>
    <row r="177" spans="1:31" ht="15.75" customHeight="1" x14ac:dyDescent="0.25">
      <c r="A177" s="37"/>
      <c r="B177" s="801"/>
      <c r="C177" s="37"/>
      <c r="D177" s="37"/>
      <c r="E177" s="37"/>
      <c r="F177" s="37"/>
      <c r="G177" s="37"/>
      <c r="H177" s="37"/>
      <c r="I177" s="37"/>
      <c r="J177" s="37"/>
      <c r="K177" s="37"/>
      <c r="L177" s="37"/>
      <c r="M177" s="37"/>
      <c r="N177" s="37"/>
      <c r="O177" s="37"/>
      <c r="P177" s="37"/>
      <c r="Q177" s="37"/>
      <c r="R177" s="37"/>
      <c r="S177" s="37"/>
      <c r="T177" s="37"/>
      <c r="U177" s="37"/>
      <c r="V177" s="37"/>
      <c r="W177" s="37"/>
      <c r="X177" s="36"/>
      <c r="Y177" s="36"/>
      <c r="Z177" s="36"/>
      <c r="AA177" s="36"/>
      <c r="AB177" s="36"/>
      <c r="AC177" s="36"/>
      <c r="AD177" s="36"/>
      <c r="AE177" s="36"/>
    </row>
    <row r="178" spans="1:31" ht="15.75" customHeight="1" x14ac:dyDescent="0.25">
      <c r="A178" s="37"/>
      <c r="B178" s="801"/>
      <c r="C178" s="37"/>
      <c r="D178" s="37"/>
      <c r="E178" s="37"/>
      <c r="F178" s="37"/>
      <c r="G178" s="37"/>
      <c r="H178" s="37"/>
      <c r="I178" s="37"/>
      <c r="J178" s="37"/>
      <c r="K178" s="37"/>
      <c r="L178" s="37"/>
      <c r="M178" s="37"/>
      <c r="N178" s="37"/>
      <c r="O178" s="37"/>
      <c r="P178" s="37"/>
      <c r="Q178" s="37"/>
      <c r="R178" s="37"/>
      <c r="S178" s="37"/>
      <c r="T178" s="37"/>
      <c r="U178" s="37"/>
      <c r="V178" s="37"/>
      <c r="W178" s="37"/>
      <c r="X178" s="36"/>
      <c r="Y178" s="36"/>
      <c r="Z178" s="36"/>
      <c r="AA178" s="36"/>
      <c r="AB178" s="36"/>
      <c r="AC178" s="36"/>
      <c r="AD178" s="36"/>
      <c r="AE178" s="36"/>
    </row>
    <row r="179" spans="1:31" ht="15.75" customHeight="1" x14ac:dyDescent="0.25">
      <c r="A179" s="37"/>
      <c r="B179" s="801"/>
      <c r="C179" s="37"/>
      <c r="D179" s="37"/>
      <c r="E179" s="37"/>
      <c r="F179" s="37"/>
      <c r="G179" s="37"/>
      <c r="H179" s="37"/>
      <c r="I179" s="37"/>
      <c r="J179" s="37"/>
      <c r="K179" s="37"/>
      <c r="L179" s="37"/>
      <c r="M179" s="37"/>
      <c r="N179" s="37"/>
      <c r="O179" s="37"/>
      <c r="P179" s="37"/>
      <c r="Q179" s="37"/>
      <c r="R179" s="37"/>
      <c r="S179" s="37"/>
      <c r="T179" s="37"/>
      <c r="U179" s="37"/>
      <c r="V179" s="37"/>
      <c r="W179" s="37"/>
      <c r="X179" s="36"/>
      <c r="Y179" s="36"/>
      <c r="Z179" s="36"/>
      <c r="AA179" s="36"/>
      <c r="AB179" s="36"/>
      <c r="AC179" s="36"/>
      <c r="AD179" s="36"/>
      <c r="AE179" s="36"/>
    </row>
    <row r="180" spans="1:31" ht="15.75" customHeight="1" x14ac:dyDescent="0.25">
      <c r="A180" s="37"/>
      <c r="B180" s="801"/>
      <c r="C180" s="37"/>
      <c r="D180" s="37"/>
      <c r="E180" s="37"/>
      <c r="F180" s="37"/>
      <c r="G180" s="37"/>
      <c r="H180" s="37"/>
      <c r="I180" s="37"/>
      <c r="J180" s="37"/>
      <c r="K180" s="37"/>
      <c r="L180" s="37"/>
      <c r="M180" s="37"/>
      <c r="N180" s="37"/>
      <c r="O180" s="37"/>
      <c r="P180" s="37"/>
      <c r="Q180" s="37"/>
      <c r="R180" s="37"/>
      <c r="S180" s="37"/>
      <c r="T180" s="37"/>
      <c r="U180" s="37"/>
      <c r="V180" s="37"/>
      <c r="W180" s="37"/>
      <c r="X180" s="36"/>
      <c r="Y180" s="36"/>
      <c r="Z180" s="36"/>
      <c r="AA180" s="36"/>
      <c r="AB180" s="36"/>
      <c r="AC180" s="36"/>
      <c r="AD180" s="36"/>
      <c r="AE180" s="36"/>
    </row>
    <row r="181" spans="1:31" ht="15.75" customHeight="1" x14ac:dyDescent="0.25">
      <c r="A181" s="37"/>
      <c r="B181" s="801"/>
      <c r="C181" s="37"/>
      <c r="D181" s="37"/>
      <c r="E181" s="37"/>
      <c r="F181" s="37"/>
      <c r="G181" s="37"/>
      <c r="H181" s="37"/>
      <c r="I181" s="37"/>
      <c r="J181" s="37"/>
      <c r="K181" s="37"/>
      <c r="L181" s="37"/>
      <c r="M181" s="37"/>
      <c r="N181" s="37"/>
      <c r="O181" s="37"/>
      <c r="P181" s="37"/>
      <c r="Q181" s="37"/>
      <c r="R181" s="37"/>
      <c r="S181" s="37"/>
      <c r="T181" s="37"/>
      <c r="U181" s="37"/>
      <c r="V181" s="37"/>
      <c r="W181" s="37"/>
      <c r="X181" s="36"/>
      <c r="Y181" s="36"/>
      <c r="Z181" s="36"/>
      <c r="AA181" s="36"/>
      <c r="AB181" s="36"/>
      <c r="AC181" s="36"/>
      <c r="AD181" s="36"/>
      <c r="AE181" s="36"/>
    </row>
    <row r="182" spans="1:31" ht="15.75" customHeight="1" x14ac:dyDescent="0.25">
      <c r="A182" s="37"/>
      <c r="B182" s="801"/>
      <c r="C182" s="37"/>
      <c r="D182" s="37"/>
      <c r="E182" s="37"/>
      <c r="F182" s="37"/>
      <c r="G182" s="37"/>
      <c r="H182" s="37"/>
      <c r="I182" s="37"/>
      <c r="J182" s="37"/>
      <c r="K182" s="37"/>
      <c r="L182" s="37"/>
      <c r="M182" s="37"/>
      <c r="N182" s="37"/>
      <c r="O182" s="37"/>
      <c r="P182" s="37"/>
      <c r="Q182" s="37"/>
      <c r="R182" s="37"/>
      <c r="S182" s="37"/>
      <c r="T182" s="37"/>
      <c r="U182" s="37"/>
      <c r="V182" s="37"/>
      <c r="W182" s="37"/>
      <c r="X182" s="36"/>
      <c r="Y182" s="36"/>
      <c r="Z182" s="36"/>
      <c r="AA182" s="36"/>
      <c r="AB182" s="36"/>
      <c r="AC182" s="36"/>
      <c r="AD182" s="36"/>
      <c r="AE182" s="36"/>
    </row>
    <row r="183" spans="1:31" ht="15.75" customHeight="1" x14ac:dyDescent="0.25">
      <c r="A183" s="37"/>
      <c r="B183" s="801"/>
      <c r="C183" s="37"/>
      <c r="D183" s="37"/>
      <c r="E183" s="37"/>
      <c r="F183" s="37"/>
      <c r="G183" s="37"/>
      <c r="H183" s="37"/>
      <c r="I183" s="37"/>
      <c r="J183" s="37"/>
      <c r="K183" s="37"/>
      <c r="L183" s="37"/>
      <c r="M183" s="37"/>
      <c r="N183" s="37"/>
      <c r="O183" s="37"/>
      <c r="P183" s="37"/>
      <c r="Q183" s="37"/>
      <c r="R183" s="37"/>
      <c r="S183" s="37"/>
      <c r="T183" s="37"/>
      <c r="U183" s="37"/>
      <c r="V183" s="37"/>
      <c r="W183" s="37"/>
      <c r="X183" s="36"/>
      <c r="Y183" s="36"/>
      <c r="Z183" s="36"/>
      <c r="AA183" s="36"/>
      <c r="AB183" s="36"/>
      <c r="AC183" s="36"/>
      <c r="AD183" s="36"/>
      <c r="AE183" s="36"/>
    </row>
    <row r="184" spans="1:31" ht="15.75" customHeight="1" x14ac:dyDescent="0.25">
      <c r="A184" s="37"/>
      <c r="B184" s="801"/>
      <c r="C184" s="37"/>
      <c r="D184" s="37"/>
      <c r="E184" s="37"/>
      <c r="F184" s="37"/>
      <c r="G184" s="37"/>
      <c r="H184" s="37"/>
      <c r="I184" s="37"/>
      <c r="J184" s="37"/>
      <c r="K184" s="37"/>
      <c r="L184" s="37"/>
      <c r="M184" s="37"/>
      <c r="N184" s="37"/>
      <c r="O184" s="37"/>
      <c r="P184" s="37"/>
      <c r="Q184" s="37"/>
      <c r="R184" s="37"/>
      <c r="S184" s="37"/>
      <c r="T184" s="37"/>
      <c r="U184" s="37"/>
      <c r="V184" s="37"/>
      <c r="W184" s="37"/>
      <c r="X184" s="36"/>
      <c r="Y184" s="36"/>
      <c r="Z184" s="36"/>
      <c r="AA184" s="36"/>
      <c r="AB184" s="36"/>
      <c r="AC184" s="36"/>
      <c r="AD184" s="36"/>
      <c r="AE184" s="36"/>
    </row>
    <row r="185" spans="1:31" ht="15.75" customHeight="1" x14ac:dyDescent="0.25">
      <c r="A185" s="37"/>
      <c r="B185" s="801"/>
      <c r="C185" s="37"/>
      <c r="D185" s="37"/>
      <c r="E185" s="37"/>
      <c r="F185" s="37"/>
      <c r="G185" s="37"/>
      <c r="H185" s="37"/>
      <c r="I185" s="37"/>
      <c r="J185" s="37"/>
      <c r="K185" s="37"/>
      <c r="L185" s="37"/>
      <c r="M185" s="37"/>
      <c r="N185" s="37"/>
      <c r="O185" s="37"/>
      <c r="P185" s="37"/>
      <c r="Q185" s="37"/>
      <c r="R185" s="37"/>
      <c r="S185" s="37"/>
      <c r="T185" s="37"/>
      <c r="U185" s="37"/>
      <c r="V185" s="37"/>
      <c r="W185" s="37"/>
      <c r="X185" s="36"/>
      <c r="Y185" s="36"/>
      <c r="Z185" s="36"/>
      <c r="AA185" s="36"/>
      <c r="AB185" s="36"/>
      <c r="AC185" s="36"/>
      <c r="AD185" s="36"/>
      <c r="AE185" s="36"/>
    </row>
    <row r="186" spans="1:31" ht="15.75" customHeight="1" x14ac:dyDescent="0.25">
      <c r="A186" s="37"/>
      <c r="B186" s="801"/>
      <c r="C186" s="37"/>
      <c r="D186" s="37"/>
      <c r="E186" s="37"/>
      <c r="F186" s="37"/>
      <c r="G186" s="37"/>
      <c r="H186" s="37"/>
      <c r="I186" s="37"/>
      <c r="J186" s="37"/>
      <c r="K186" s="37"/>
      <c r="L186" s="37"/>
      <c r="M186" s="37"/>
      <c r="N186" s="37"/>
      <c r="O186" s="37"/>
      <c r="P186" s="37"/>
      <c r="Q186" s="37"/>
      <c r="R186" s="37"/>
      <c r="S186" s="37"/>
      <c r="T186" s="37"/>
      <c r="U186" s="37"/>
      <c r="V186" s="37"/>
      <c r="W186" s="37"/>
      <c r="X186" s="36"/>
      <c r="Y186" s="36"/>
      <c r="Z186" s="36"/>
      <c r="AA186" s="36"/>
      <c r="AB186" s="36"/>
      <c r="AC186" s="36"/>
      <c r="AD186" s="36"/>
      <c r="AE186" s="36"/>
    </row>
    <row r="187" spans="1:31" ht="15.75" customHeight="1" x14ac:dyDescent="0.25">
      <c r="A187" s="37"/>
      <c r="B187" s="801"/>
      <c r="C187" s="37"/>
      <c r="D187" s="37"/>
      <c r="E187" s="37"/>
      <c r="F187" s="37"/>
      <c r="G187" s="37"/>
      <c r="H187" s="37"/>
      <c r="I187" s="37"/>
      <c r="J187" s="37"/>
      <c r="K187" s="37"/>
      <c r="L187" s="37"/>
      <c r="M187" s="37"/>
      <c r="N187" s="37"/>
      <c r="O187" s="37"/>
      <c r="P187" s="37"/>
      <c r="Q187" s="37"/>
      <c r="R187" s="37"/>
      <c r="S187" s="37"/>
      <c r="T187" s="37"/>
      <c r="U187" s="37"/>
      <c r="V187" s="37"/>
      <c r="W187" s="37"/>
      <c r="X187" s="36"/>
      <c r="Y187" s="36"/>
      <c r="Z187" s="36"/>
      <c r="AA187" s="36"/>
      <c r="AB187" s="36"/>
      <c r="AC187" s="36"/>
      <c r="AD187" s="36"/>
      <c r="AE187" s="36"/>
    </row>
    <row r="188" spans="1:31" ht="15.75" customHeight="1" x14ac:dyDescent="0.25">
      <c r="A188" s="37"/>
      <c r="B188" s="801"/>
      <c r="C188" s="37"/>
      <c r="D188" s="37"/>
      <c r="E188" s="37"/>
      <c r="F188" s="37"/>
      <c r="G188" s="37"/>
      <c r="H188" s="37"/>
      <c r="I188" s="37"/>
      <c r="J188" s="37"/>
      <c r="K188" s="37"/>
      <c r="L188" s="37"/>
      <c r="M188" s="37"/>
      <c r="N188" s="37"/>
      <c r="O188" s="37"/>
      <c r="P188" s="37"/>
      <c r="Q188" s="37"/>
      <c r="R188" s="37"/>
      <c r="S188" s="37"/>
      <c r="T188" s="37"/>
      <c r="U188" s="37"/>
      <c r="V188" s="37"/>
      <c r="W188" s="37"/>
      <c r="X188" s="36"/>
      <c r="Y188" s="36"/>
      <c r="Z188" s="36"/>
      <c r="AA188" s="36"/>
      <c r="AB188" s="36"/>
      <c r="AC188" s="36"/>
      <c r="AD188" s="36"/>
      <c r="AE188" s="36"/>
    </row>
    <row r="189" spans="1:31" ht="15.75" customHeight="1" x14ac:dyDescent="0.25">
      <c r="A189" s="37"/>
      <c r="B189" s="801"/>
      <c r="C189" s="37"/>
      <c r="D189" s="37"/>
      <c r="E189" s="37"/>
      <c r="F189" s="37"/>
      <c r="G189" s="37"/>
      <c r="H189" s="37"/>
      <c r="I189" s="37"/>
      <c r="J189" s="37"/>
      <c r="K189" s="37"/>
      <c r="L189" s="37"/>
      <c r="M189" s="37"/>
      <c r="N189" s="37"/>
      <c r="O189" s="37"/>
      <c r="P189" s="37"/>
      <c r="Q189" s="37"/>
      <c r="R189" s="37"/>
      <c r="S189" s="37"/>
      <c r="T189" s="37"/>
      <c r="U189" s="37"/>
      <c r="V189" s="37"/>
      <c r="W189" s="37"/>
      <c r="X189" s="36"/>
      <c r="Y189" s="36"/>
      <c r="Z189" s="36"/>
      <c r="AA189" s="36"/>
      <c r="AB189" s="36"/>
      <c r="AC189" s="36"/>
      <c r="AD189" s="36"/>
      <c r="AE189" s="36"/>
    </row>
    <row r="190" spans="1:31" ht="15.75" customHeight="1" x14ac:dyDescent="0.25">
      <c r="A190" s="37"/>
      <c r="B190" s="801"/>
      <c r="C190" s="37"/>
      <c r="D190" s="37"/>
      <c r="E190" s="37"/>
      <c r="F190" s="37"/>
      <c r="G190" s="37"/>
      <c r="H190" s="37"/>
      <c r="I190" s="37"/>
      <c r="J190" s="37"/>
      <c r="K190" s="37"/>
      <c r="L190" s="37"/>
      <c r="M190" s="37"/>
      <c r="N190" s="37"/>
      <c r="O190" s="37"/>
      <c r="P190" s="37"/>
      <c r="Q190" s="37"/>
      <c r="R190" s="37"/>
      <c r="S190" s="37"/>
      <c r="T190" s="37"/>
      <c r="U190" s="37"/>
      <c r="V190" s="37"/>
      <c r="W190" s="37"/>
      <c r="X190" s="36"/>
      <c r="Y190" s="36"/>
      <c r="Z190" s="36"/>
      <c r="AA190" s="36"/>
      <c r="AB190" s="36"/>
      <c r="AC190" s="36"/>
      <c r="AD190" s="36"/>
      <c r="AE190" s="36"/>
    </row>
    <row r="191" spans="1:31" ht="15.75" customHeight="1" x14ac:dyDescent="0.25">
      <c r="A191" s="37"/>
      <c r="B191" s="801"/>
      <c r="C191" s="37"/>
      <c r="D191" s="37"/>
      <c r="E191" s="37"/>
      <c r="F191" s="37"/>
      <c r="G191" s="37"/>
      <c r="H191" s="37"/>
      <c r="I191" s="37"/>
      <c r="J191" s="37"/>
      <c r="K191" s="37"/>
      <c r="L191" s="37"/>
      <c r="M191" s="37"/>
      <c r="N191" s="37"/>
      <c r="O191" s="37"/>
      <c r="P191" s="37"/>
      <c r="Q191" s="37"/>
      <c r="R191" s="37"/>
      <c r="S191" s="37"/>
      <c r="T191" s="37"/>
      <c r="U191" s="37"/>
      <c r="V191" s="37"/>
      <c r="W191" s="37"/>
      <c r="X191" s="36"/>
      <c r="Y191" s="36"/>
      <c r="Z191" s="36"/>
      <c r="AA191" s="36"/>
      <c r="AB191" s="36"/>
      <c r="AC191" s="36"/>
      <c r="AD191" s="36"/>
      <c r="AE191" s="36"/>
    </row>
    <row r="192" spans="1:31" ht="15.75" customHeight="1" x14ac:dyDescent="0.25">
      <c r="A192" s="37"/>
      <c r="B192" s="801"/>
      <c r="C192" s="37"/>
      <c r="D192" s="37"/>
      <c r="E192" s="37"/>
      <c r="F192" s="37"/>
      <c r="G192" s="37"/>
      <c r="H192" s="37"/>
      <c r="I192" s="37"/>
      <c r="J192" s="37"/>
      <c r="K192" s="37"/>
      <c r="L192" s="37"/>
      <c r="M192" s="37"/>
      <c r="N192" s="37"/>
      <c r="O192" s="37"/>
      <c r="P192" s="37"/>
      <c r="Q192" s="37"/>
      <c r="R192" s="37"/>
      <c r="S192" s="37"/>
      <c r="T192" s="37"/>
      <c r="U192" s="37"/>
      <c r="V192" s="37"/>
      <c r="W192" s="37"/>
      <c r="X192" s="36"/>
      <c r="Y192" s="36"/>
      <c r="Z192" s="36"/>
      <c r="AA192" s="36"/>
      <c r="AB192" s="36"/>
      <c r="AC192" s="36"/>
      <c r="AD192" s="36"/>
      <c r="AE192" s="36"/>
    </row>
    <row r="193" spans="1:31" ht="15.75" customHeight="1" x14ac:dyDescent="0.25">
      <c r="A193" s="37"/>
      <c r="B193" s="801"/>
      <c r="C193" s="37"/>
      <c r="D193" s="37"/>
      <c r="E193" s="37"/>
      <c r="F193" s="37"/>
      <c r="G193" s="37"/>
      <c r="H193" s="37"/>
      <c r="I193" s="37"/>
      <c r="J193" s="37"/>
      <c r="K193" s="37"/>
      <c r="L193" s="37"/>
      <c r="M193" s="37"/>
      <c r="N193" s="37"/>
      <c r="O193" s="37"/>
      <c r="P193" s="37"/>
      <c r="Q193" s="37"/>
      <c r="R193" s="37"/>
      <c r="S193" s="37"/>
      <c r="T193" s="37"/>
      <c r="U193" s="37"/>
      <c r="V193" s="37"/>
      <c r="W193" s="37"/>
      <c r="X193" s="36"/>
      <c r="Y193" s="36"/>
      <c r="Z193" s="36"/>
      <c r="AA193" s="36"/>
      <c r="AB193" s="36"/>
      <c r="AC193" s="36"/>
      <c r="AD193" s="36"/>
      <c r="AE193" s="36"/>
    </row>
    <row r="194" spans="1:31" ht="15.75" customHeight="1" x14ac:dyDescent="0.25">
      <c r="A194" s="37"/>
      <c r="B194" s="801"/>
      <c r="C194" s="37"/>
      <c r="D194" s="37"/>
      <c r="E194" s="37"/>
      <c r="F194" s="37"/>
      <c r="G194" s="37"/>
      <c r="H194" s="37"/>
      <c r="I194" s="37"/>
      <c r="J194" s="37"/>
      <c r="K194" s="37"/>
      <c r="L194" s="37"/>
      <c r="M194" s="37"/>
      <c r="N194" s="37"/>
      <c r="O194" s="37"/>
      <c r="P194" s="37"/>
      <c r="Q194" s="37"/>
      <c r="R194" s="37"/>
      <c r="S194" s="37"/>
      <c r="T194" s="37"/>
      <c r="U194" s="37"/>
      <c r="V194" s="37"/>
      <c r="W194" s="37"/>
      <c r="X194" s="36"/>
      <c r="Y194" s="36"/>
      <c r="Z194" s="36"/>
      <c r="AA194" s="36"/>
      <c r="AB194" s="36"/>
      <c r="AC194" s="36"/>
      <c r="AD194" s="36"/>
      <c r="AE194" s="36"/>
    </row>
    <row r="195" spans="1:31" ht="15.75" customHeight="1" x14ac:dyDescent="0.25">
      <c r="A195" s="37"/>
      <c r="B195" s="801"/>
      <c r="C195" s="37"/>
      <c r="D195" s="37"/>
      <c r="E195" s="37"/>
      <c r="F195" s="37"/>
      <c r="G195" s="37"/>
      <c r="H195" s="37"/>
      <c r="I195" s="37"/>
      <c r="J195" s="37"/>
      <c r="K195" s="37"/>
      <c r="L195" s="37"/>
      <c r="M195" s="37"/>
      <c r="N195" s="37"/>
      <c r="O195" s="37"/>
      <c r="P195" s="37"/>
      <c r="Q195" s="37"/>
      <c r="R195" s="37"/>
      <c r="S195" s="37"/>
      <c r="T195" s="37"/>
      <c r="U195" s="37"/>
      <c r="V195" s="37"/>
      <c r="W195" s="37"/>
      <c r="X195" s="36"/>
      <c r="Y195" s="36"/>
      <c r="Z195" s="36"/>
      <c r="AA195" s="36"/>
      <c r="AB195" s="36"/>
      <c r="AC195" s="36"/>
      <c r="AD195" s="36"/>
      <c r="AE195" s="36"/>
    </row>
    <row r="196" spans="1:31" ht="15.75" customHeight="1" x14ac:dyDescent="0.25">
      <c r="A196" s="37"/>
      <c r="B196" s="801"/>
      <c r="C196" s="37"/>
      <c r="D196" s="37"/>
      <c r="E196" s="37"/>
      <c r="F196" s="37"/>
      <c r="G196" s="37"/>
      <c r="H196" s="37"/>
      <c r="I196" s="37"/>
      <c r="J196" s="37"/>
      <c r="K196" s="37"/>
      <c r="L196" s="37"/>
      <c r="M196" s="37"/>
      <c r="N196" s="37"/>
      <c r="O196" s="37"/>
      <c r="P196" s="37"/>
      <c r="Q196" s="37"/>
      <c r="R196" s="37"/>
      <c r="S196" s="37"/>
      <c r="T196" s="37"/>
      <c r="U196" s="37"/>
      <c r="V196" s="37"/>
      <c r="W196" s="37"/>
      <c r="X196" s="36"/>
      <c r="Y196" s="36"/>
      <c r="Z196" s="36"/>
      <c r="AA196" s="36"/>
      <c r="AB196" s="36"/>
      <c r="AC196" s="36"/>
      <c r="AD196" s="36"/>
      <c r="AE196" s="36"/>
    </row>
    <row r="197" spans="1:31" ht="15.75" customHeight="1" x14ac:dyDescent="0.25">
      <c r="A197" s="37"/>
      <c r="B197" s="801"/>
      <c r="C197" s="37"/>
      <c r="D197" s="37"/>
      <c r="E197" s="37"/>
      <c r="F197" s="37"/>
      <c r="G197" s="37"/>
      <c r="H197" s="37"/>
      <c r="I197" s="37"/>
      <c r="J197" s="37"/>
      <c r="K197" s="37"/>
      <c r="L197" s="37"/>
      <c r="M197" s="37"/>
      <c r="N197" s="37"/>
      <c r="O197" s="37"/>
      <c r="P197" s="37"/>
      <c r="Q197" s="37"/>
      <c r="R197" s="37"/>
      <c r="S197" s="37"/>
      <c r="T197" s="37"/>
      <c r="U197" s="37"/>
      <c r="V197" s="37"/>
      <c r="W197" s="37"/>
      <c r="X197" s="36"/>
      <c r="Y197" s="36"/>
      <c r="Z197" s="36"/>
      <c r="AA197" s="36"/>
      <c r="AB197" s="36"/>
      <c r="AC197" s="36"/>
      <c r="AD197" s="36"/>
      <c r="AE197" s="36"/>
    </row>
    <row r="198" spans="1:31" ht="15.75" customHeight="1" x14ac:dyDescent="0.25">
      <c r="A198" s="37"/>
      <c r="B198" s="801"/>
      <c r="C198" s="37"/>
      <c r="D198" s="37"/>
      <c r="E198" s="37"/>
      <c r="F198" s="37"/>
      <c r="G198" s="37"/>
      <c r="H198" s="37"/>
      <c r="I198" s="37"/>
      <c r="J198" s="37"/>
      <c r="K198" s="37"/>
      <c r="L198" s="37"/>
      <c r="M198" s="37"/>
      <c r="N198" s="37"/>
      <c r="O198" s="37"/>
      <c r="P198" s="37"/>
      <c r="Q198" s="37"/>
      <c r="R198" s="37"/>
      <c r="S198" s="37"/>
      <c r="T198" s="37"/>
      <c r="U198" s="37"/>
      <c r="V198" s="37"/>
      <c r="W198" s="37"/>
      <c r="X198" s="36"/>
      <c r="Y198" s="36"/>
      <c r="Z198" s="36"/>
      <c r="AA198" s="36"/>
      <c r="AB198" s="36"/>
      <c r="AC198" s="36"/>
      <c r="AD198" s="36"/>
      <c r="AE198" s="36"/>
    </row>
    <row r="199" spans="1:31" ht="15.75" customHeight="1" x14ac:dyDescent="0.25">
      <c r="A199" s="37"/>
      <c r="B199" s="801"/>
      <c r="C199" s="37"/>
      <c r="D199" s="37"/>
      <c r="E199" s="37"/>
      <c r="F199" s="37"/>
      <c r="G199" s="37"/>
      <c r="H199" s="37"/>
      <c r="I199" s="37"/>
      <c r="J199" s="37"/>
      <c r="K199" s="37"/>
      <c r="L199" s="37"/>
      <c r="M199" s="37"/>
      <c r="N199" s="37"/>
      <c r="O199" s="37"/>
      <c r="P199" s="37"/>
      <c r="Q199" s="37"/>
      <c r="R199" s="37"/>
      <c r="S199" s="37"/>
      <c r="T199" s="37"/>
      <c r="U199" s="37"/>
      <c r="V199" s="37"/>
      <c r="W199" s="37"/>
      <c r="X199" s="36"/>
      <c r="Y199" s="36"/>
      <c r="Z199" s="36"/>
      <c r="AA199" s="36"/>
      <c r="AB199" s="36"/>
      <c r="AC199" s="36"/>
      <c r="AD199" s="36"/>
      <c r="AE199" s="36"/>
    </row>
    <row r="200" spans="1:31" ht="15.75" customHeight="1" x14ac:dyDescent="0.25">
      <c r="A200" s="37"/>
      <c r="B200" s="801"/>
      <c r="C200" s="37"/>
      <c r="D200" s="37"/>
      <c r="E200" s="37"/>
      <c r="F200" s="37"/>
      <c r="G200" s="37"/>
      <c r="H200" s="37"/>
      <c r="I200" s="37"/>
      <c r="J200" s="37"/>
      <c r="K200" s="37"/>
      <c r="L200" s="37"/>
      <c r="M200" s="37"/>
      <c r="N200" s="37"/>
      <c r="O200" s="37"/>
      <c r="P200" s="37"/>
      <c r="Q200" s="37"/>
      <c r="R200" s="37"/>
      <c r="S200" s="37"/>
      <c r="T200" s="37"/>
      <c r="U200" s="37"/>
      <c r="V200" s="37"/>
      <c r="W200" s="37"/>
      <c r="X200" s="36"/>
      <c r="Y200" s="36"/>
      <c r="Z200" s="36"/>
      <c r="AA200" s="36"/>
      <c r="AB200" s="36"/>
      <c r="AC200" s="36"/>
      <c r="AD200" s="36"/>
      <c r="AE200" s="36"/>
    </row>
    <row r="201" spans="1:31" ht="15.75" customHeight="1" x14ac:dyDescent="0.25">
      <c r="A201" s="37"/>
      <c r="B201" s="801"/>
      <c r="C201" s="37"/>
      <c r="D201" s="37"/>
      <c r="E201" s="37"/>
      <c r="F201" s="37"/>
      <c r="G201" s="37"/>
      <c r="H201" s="37"/>
      <c r="I201" s="37"/>
      <c r="J201" s="37"/>
      <c r="K201" s="37"/>
      <c r="L201" s="37"/>
      <c r="M201" s="37"/>
      <c r="N201" s="37"/>
      <c r="O201" s="37"/>
      <c r="P201" s="37"/>
      <c r="Q201" s="37"/>
      <c r="R201" s="37"/>
      <c r="S201" s="37"/>
      <c r="T201" s="37"/>
      <c r="U201" s="37"/>
      <c r="V201" s="37"/>
      <c r="W201" s="37"/>
      <c r="X201" s="36"/>
      <c r="Y201" s="36"/>
      <c r="Z201" s="36"/>
      <c r="AA201" s="36"/>
      <c r="AB201" s="36"/>
      <c r="AC201" s="36"/>
      <c r="AD201" s="36"/>
      <c r="AE201" s="36"/>
    </row>
    <row r="202" spans="1:31" ht="15.75" customHeight="1" x14ac:dyDescent="0.25">
      <c r="A202" s="37"/>
      <c r="B202" s="801"/>
      <c r="C202" s="37"/>
      <c r="D202" s="37"/>
      <c r="E202" s="37"/>
      <c r="F202" s="37"/>
      <c r="G202" s="37"/>
      <c r="H202" s="37"/>
      <c r="I202" s="37"/>
      <c r="J202" s="37"/>
      <c r="K202" s="37"/>
      <c r="L202" s="37"/>
      <c r="M202" s="37"/>
      <c r="N202" s="37"/>
      <c r="O202" s="37"/>
      <c r="P202" s="37"/>
      <c r="Q202" s="37"/>
      <c r="R202" s="37"/>
      <c r="S202" s="37"/>
      <c r="T202" s="37"/>
      <c r="U202" s="37"/>
      <c r="V202" s="37"/>
      <c r="W202" s="37"/>
      <c r="X202" s="36"/>
      <c r="Y202" s="36"/>
      <c r="Z202" s="36"/>
      <c r="AA202" s="36"/>
      <c r="AB202" s="36"/>
      <c r="AC202" s="36"/>
      <c r="AD202" s="36"/>
      <c r="AE202" s="36"/>
    </row>
    <row r="203" spans="1:31" ht="15.75" customHeight="1" x14ac:dyDescent="0.25">
      <c r="A203" s="37"/>
      <c r="B203" s="801"/>
      <c r="C203" s="37"/>
      <c r="D203" s="37"/>
      <c r="E203" s="37"/>
      <c r="F203" s="37"/>
      <c r="G203" s="37"/>
      <c r="H203" s="37"/>
      <c r="I203" s="37"/>
      <c r="J203" s="37"/>
      <c r="K203" s="37"/>
      <c r="L203" s="37"/>
      <c r="M203" s="37"/>
      <c r="N203" s="37"/>
      <c r="O203" s="37"/>
      <c r="P203" s="37"/>
      <c r="Q203" s="37"/>
      <c r="R203" s="37"/>
      <c r="S203" s="37"/>
      <c r="T203" s="37"/>
      <c r="U203" s="37"/>
      <c r="V203" s="37"/>
      <c r="W203" s="37"/>
      <c r="X203" s="36"/>
      <c r="Y203" s="36"/>
      <c r="Z203" s="36"/>
      <c r="AA203" s="36"/>
      <c r="AB203" s="36"/>
      <c r="AC203" s="36"/>
      <c r="AD203" s="36"/>
      <c r="AE203" s="36"/>
    </row>
    <row r="204" spans="1:31" ht="15.75" customHeight="1" x14ac:dyDescent="0.25">
      <c r="A204" s="37"/>
      <c r="B204" s="801"/>
      <c r="C204" s="37"/>
      <c r="D204" s="37"/>
      <c r="E204" s="37"/>
      <c r="F204" s="37"/>
      <c r="G204" s="37"/>
      <c r="H204" s="37"/>
      <c r="I204" s="37"/>
      <c r="J204" s="37"/>
      <c r="K204" s="37"/>
      <c r="L204" s="37"/>
      <c r="M204" s="37"/>
      <c r="N204" s="37"/>
      <c r="O204" s="37"/>
      <c r="P204" s="37"/>
      <c r="Q204" s="37"/>
      <c r="R204" s="37"/>
      <c r="S204" s="37"/>
      <c r="T204" s="37"/>
      <c r="U204" s="37"/>
      <c r="V204" s="37"/>
      <c r="W204" s="37"/>
      <c r="X204" s="36"/>
      <c r="Y204" s="36"/>
      <c r="Z204" s="36"/>
      <c r="AA204" s="36"/>
      <c r="AB204" s="36"/>
      <c r="AC204" s="36"/>
      <c r="AD204" s="36"/>
      <c r="AE204" s="36"/>
    </row>
    <row r="205" spans="1:31" ht="15.75" customHeight="1" x14ac:dyDescent="0.25">
      <c r="A205" s="37"/>
      <c r="B205" s="801"/>
      <c r="C205" s="37"/>
      <c r="D205" s="37"/>
      <c r="E205" s="37"/>
      <c r="F205" s="37"/>
      <c r="G205" s="37"/>
      <c r="H205" s="37"/>
      <c r="I205" s="37"/>
      <c r="J205" s="37"/>
      <c r="K205" s="37"/>
      <c r="L205" s="37"/>
      <c r="M205" s="37"/>
      <c r="N205" s="37"/>
      <c r="O205" s="37"/>
      <c r="P205" s="37"/>
      <c r="Q205" s="37"/>
      <c r="R205" s="37"/>
      <c r="S205" s="37"/>
      <c r="T205" s="37"/>
      <c r="U205" s="37"/>
      <c r="V205" s="37"/>
      <c r="W205" s="37"/>
      <c r="X205" s="36"/>
      <c r="Y205" s="36"/>
      <c r="Z205" s="36"/>
      <c r="AA205" s="36"/>
      <c r="AB205" s="36"/>
      <c r="AC205" s="36"/>
      <c r="AD205" s="36"/>
      <c r="AE205" s="36"/>
    </row>
    <row r="206" spans="1:31" ht="15.75" customHeight="1" x14ac:dyDescent="0.25">
      <c r="A206" s="37"/>
      <c r="B206" s="801"/>
      <c r="C206" s="37"/>
      <c r="D206" s="37"/>
      <c r="E206" s="37"/>
      <c r="F206" s="37"/>
      <c r="G206" s="37"/>
      <c r="H206" s="37"/>
      <c r="I206" s="37"/>
      <c r="J206" s="37"/>
      <c r="K206" s="37"/>
      <c r="L206" s="37"/>
      <c r="M206" s="37"/>
      <c r="N206" s="37"/>
      <c r="O206" s="37"/>
      <c r="P206" s="37"/>
      <c r="Q206" s="37"/>
      <c r="R206" s="37"/>
      <c r="S206" s="37"/>
      <c r="T206" s="37"/>
      <c r="U206" s="37"/>
      <c r="V206" s="37"/>
      <c r="W206" s="37"/>
      <c r="X206" s="36"/>
      <c r="Y206" s="36"/>
      <c r="Z206" s="36"/>
      <c r="AA206" s="36"/>
      <c r="AB206" s="36"/>
      <c r="AC206" s="36"/>
      <c r="AD206" s="36"/>
      <c r="AE206" s="36"/>
    </row>
    <row r="207" spans="1:31" ht="15.75" customHeight="1" x14ac:dyDescent="0.25">
      <c r="A207" s="37"/>
      <c r="B207" s="801"/>
      <c r="C207" s="37"/>
      <c r="D207" s="37"/>
      <c r="E207" s="37"/>
      <c r="F207" s="37"/>
      <c r="G207" s="37"/>
      <c r="H207" s="37"/>
      <c r="I207" s="37"/>
      <c r="J207" s="37"/>
      <c r="K207" s="37"/>
      <c r="L207" s="37"/>
      <c r="M207" s="37"/>
      <c r="N207" s="37"/>
      <c r="O207" s="37"/>
      <c r="P207" s="37"/>
      <c r="Q207" s="37"/>
      <c r="R207" s="37"/>
      <c r="S207" s="37"/>
      <c r="T207" s="37"/>
      <c r="U207" s="37"/>
      <c r="V207" s="37"/>
      <c r="W207" s="37"/>
      <c r="X207" s="36"/>
      <c r="Y207" s="36"/>
      <c r="Z207" s="36"/>
      <c r="AA207" s="36"/>
      <c r="AB207" s="36"/>
      <c r="AC207" s="36"/>
      <c r="AD207" s="36"/>
      <c r="AE207" s="36"/>
    </row>
    <row r="208" spans="1:31" ht="15.75" customHeight="1" x14ac:dyDescent="0.25">
      <c r="A208" s="37"/>
      <c r="B208" s="801"/>
      <c r="C208" s="37"/>
      <c r="D208" s="37"/>
      <c r="E208" s="37"/>
      <c r="F208" s="37"/>
      <c r="G208" s="37"/>
      <c r="H208" s="37"/>
      <c r="I208" s="37"/>
      <c r="J208" s="37"/>
      <c r="K208" s="37"/>
      <c r="L208" s="37"/>
      <c r="M208" s="37"/>
      <c r="N208" s="37"/>
      <c r="O208" s="37"/>
      <c r="P208" s="37"/>
      <c r="Q208" s="37"/>
      <c r="R208" s="37"/>
      <c r="S208" s="37"/>
      <c r="T208" s="37"/>
      <c r="U208" s="37"/>
      <c r="V208" s="37"/>
      <c r="W208" s="37"/>
      <c r="X208" s="36"/>
      <c r="Y208" s="36"/>
      <c r="Z208" s="36"/>
      <c r="AA208" s="36"/>
      <c r="AB208" s="36"/>
      <c r="AC208" s="36"/>
      <c r="AD208" s="36"/>
      <c r="AE208" s="36"/>
    </row>
    <row r="209" spans="1:31" ht="15.75" customHeight="1" x14ac:dyDescent="0.25">
      <c r="A209" s="37"/>
      <c r="B209" s="801"/>
      <c r="C209" s="37"/>
      <c r="D209" s="37"/>
      <c r="E209" s="37"/>
      <c r="F209" s="37"/>
      <c r="G209" s="37"/>
      <c r="H209" s="37"/>
      <c r="I209" s="37"/>
      <c r="J209" s="37"/>
      <c r="K209" s="37"/>
      <c r="L209" s="37"/>
      <c r="M209" s="37"/>
      <c r="N209" s="37"/>
      <c r="O209" s="37"/>
      <c r="P209" s="37"/>
      <c r="Q209" s="37"/>
      <c r="R209" s="37"/>
      <c r="S209" s="37"/>
      <c r="T209" s="37"/>
      <c r="U209" s="37"/>
      <c r="V209" s="37"/>
      <c r="W209" s="37"/>
      <c r="X209" s="36"/>
      <c r="Y209" s="36"/>
      <c r="Z209" s="36"/>
      <c r="AA209" s="36"/>
      <c r="AB209" s="36"/>
      <c r="AC209" s="36"/>
      <c r="AD209" s="36"/>
      <c r="AE209" s="36"/>
    </row>
    <row r="210" spans="1:31" ht="15.75" customHeight="1" x14ac:dyDescent="0.25">
      <c r="A210" s="37"/>
      <c r="B210" s="801"/>
      <c r="C210" s="37"/>
      <c r="D210" s="37"/>
      <c r="E210" s="37"/>
      <c r="F210" s="37"/>
      <c r="G210" s="37"/>
      <c r="H210" s="37"/>
      <c r="I210" s="37"/>
      <c r="J210" s="37"/>
      <c r="K210" s="37"/>
      <c r="L210" s="37"/>
      <c r="M210" s="37"/>
      <c r="N210" s="37"/>
      <c r="O210" s="37"/>
      <c r="P210" s="37"/>
      <c r="Q210" s="37"/>
      <c r="R210" s="37"/>
      <c r="S210" s="37"/>
      <c r="T210" s="37"/>
      <c r="U210" s="37"/>
      <c r="V210" s="37"/>
      <c r="W210" s="37"/>
      <c r="X210" s="36"/>
      <c r="Y210" s="36"/>
      <c r="Z210" s="36"/>
      <c r="AA210" s="36"/>
      <c r="AB210" s="36"/>
      <c r="AC210" s="36"/>
      <c r="AD210" s="36"/>
      <c r="AE210" s="36"/>
    </row>
    <row r="211" spans="1:31" ht="15.75" customHeight="1" x14ac:dyDescent="0.25">
      <c r="A211" s="37"/>
      <c r="B211" s="801"/>
      <c r="C211" s="37"/>
      <c r="D211" s="37"/>
      <c r="E211" s="37"/>
      <c r="F211" s="37"/>
      <c r="G211" s="37"/>
      <c r="H211" s="37"/>
      <c r="I211" s="37"/>
      <c r="J211" s="37"/>
      <c r="K211" s="37"/>
      <c r="L211" s="37"/>
      <c r="M211" s="37"/>
      <c r="N211" s="37"/>
      <c r="O211" s="37"/>
      <c r="P211" s="37"/>
      <c r="Q211" s="37"/>
      <c r="R211" s="37"/>
      <c r="S211" s="37"/>
      <c r="T211" s="37"/>
      <c r="U211" s="37"/>
      <c r="V211" s="37"/>
      <c r="W211" s="37"/>
      <c r="X211" s="36"/>
      <c r="Y211" s="36"/>
      <c r="Z211" s="36"/>
      <c r="AA211" s="36"/>
      <c r="AB211" s="36"/>
      <c r="AC211" s="36"/>
      <c r="AD211" s="36"/>
      <c r="AE211" s="36"/>
    </row>
    <row r="212" spans="1:31" ht="15.75" customHeight="1" x14ac:dyDescent="0.25">
      <c r="A212" s="37"/>
      <c r="B212" s="801"/>
      <c r="C212" s="37"/>
      <c r="D212" s="37"/>
      <c r="E212" s="37"/>
      <c r="F212" s="37"/>
      <c r="G212" s="37"/>
      <c r="H212" s="37"/>
      <c r="I212" s="37"/>
      <c r="J212" s="37"/>
      <c r="K212" s="37"/>
      <c r="L212" s="37"/>
      <c r="M212" s="37"/>
      <c r="N212" s="37"/>
      <c r="O212" s="37"/>
      <c r="P212" s="37"/>
      <c r="Q212" s="37"/>
      <c r="R212" s="37"/>
      <c r="S212" s="37"/>
      <c r="T212" s="37"/>
      <c r="U212" s="37"/>
      <c r="V212" s="37"/>
      <c r="W212" s="37"/>
      <c r="X212" s="36"/>
      <c r="Y212" s="36"/>
      <c r="Z212" s="36"/>
      <c r="AA212" s="36"/>
      <c r="AB212" s="36"/>
      <c r="AC212" s="36"/>
      <c r="AD212" s="36"/>
      <c r="AE212" s="36"/>
    </row>
    <row r="213" spans="1:31" ht="15.75" customHeight="1" x14ac:dyDescent="0.25">
      <c r="A213" s="37"/>
      <c r="B213" s="801"/>
      <c r="C213" s="37"/>
      <c r="D213" s="37"/>
      <c r="E213" s="37"/>
      <c r="F213" s="37"/>
      <c r="G213" s="37"/>
      <c r="H213" s="37"/>
      <c r="I213" s="37"/>
      <c r="J213" s="37"/>
      <c r="K213" s="37"/>
      <c r="L213" s="37"/>
      <c r="M213" s="37"/>
      <c r="N213" s="37"/>
      <c r="O213" s="37"/>
      <c r="P213" s="37"/>
      <c r="Q213" s="37"/>
      <c r="R213" s="37"/>
      <c r="S213" s="37"/>
      <c r="T213" s="37"/>
      <c r="U213" s="37"/>
      <c r="V213" s="37"/>
      <c r="W213" s="37"/>
      <c r="X213" s="36"/>
      <c r="Y213" s="36"/>
      <c r="Z213" s="36"/>
      <c r="AA213" s="36"/>
      <c r="AB213" s="36"/>
      <c r="AC213" s="36"/>
      <c r="AD213" s="36"/>
      <c r="AE213" s="36"/>
    </row>
    <row r="214" spans="1:31" ht="15.75" customHeight="1" x14ac:dyDescent="0.25">
      <c r="A214" s="37"/>
      <c r="B214" s="801"/>
      <c r="C214" s="37"/>
      <c r="D214" s="37"/>
      <c r="E214" s="37"/>
      <c r="F214" s="37"/>
      <c r="G214" s="37"/>
      <c r="H214" s="37"/>
      <c r="I214" s="37"/>
      <c r="J214" s="37"/>
      <c r="K214" s="37"/>
      <c r="L214" s="37"/>
      <c r="M214" s="37"/>
      <c r="N214" s="37"/>
      <c r="O214" s="37"/>
      <c r="P214" s="37"/>
      <c r="Q214" s="37"/>
      <c r="R214" s="37"/>
      <c r="S214" s="37"/>
      <c r="T214" s="37"/>
      <c r="U214" s="37"/>
      <c r="V214" s="37"/>
      <c r="W214" s="37"/>
      <c r="X214" s="36"/>
      <c r="Y214" s="36"/>
      <c r="Z214" s="36"/>
      <c r="AA214" s="36"/>
      <c r="AB214" s="36"/>
      <c r="AC214" s="36"/>
      <c r="AD214" s="36"/>
      <c r="AE214" s="36"/>
    </row>
    <row r="215" spans="1:31" ht="15.75" customHeight="1" x14ac:dyDescent="0.25">
      <c r="A215" s="37"/>
      <c r="B215" s="801"/>
      <c r="C215" s="37"/>
      <c r="D215" s="37"/>
      <c r="E215" s="37"/>
      <c r="F215" s="37"/>
      <c r="G215" s="37"/>
      <c r="H215" s="37"/>
      <c r="I215" s="37"/>
      <c r="J215" s="37"/>
      <c r="K215" s="37"/>
      <c r="L215" s="37"/>
      <c r="M215" s="37"/>
      <c r="N215" s="37"/>
      <c r="O215" s="37"/>
      <c r="P215" s="37"/>
      <c r="Q215" s="37"/>
      <c r="R215" s="37"/>
      <c r="S215" s="37"/>
      <c r="T215" s="37"/>
      <c r="U215" s="37"/>
      <c r="V215" s="37"/>
      <c r="W215" s="37"/>
      <c r="X215" s="36"/>
      <c r="Y215" s="36"/>
      <c r="Z215" s="36"/>
      <c r="AA215" s="36"/>
      <c r="AB215" s="36"/>
      <c r="AC215" s="36"/>
      <c r="AD215" s="36"/>
      <c r="AE215" s="36"/>
    </row>
    <row r="216" spans="1:31" ht="15.75" customHeight="1" x14ac:dyDescent="0.25">
      <c r="A216" s="37"/>
      <c r="B216" s="801"/>
      <c r="C216" s="37"/>
      <c r="D216" s="37"/>
      <c r="E216" s="37"/>
      <c r="F216" s="37"/>
      <c r="G216" s="37"/>
      <c r="H216" s="37"/>
      <c r="I216" s="37"/>
      <c r="J216" s="37"/>
      <c r="K216" s="37"/>
      <c r="L216" s="37"/>
      <c r="M216" s="37"/>
      <c r="N216" s="37"/>
      <c r="O216" s="37"/>
      <c r="P216" s="37"/>
      <c r="Q216" s="37"/>
      <c r="R216" s="37"/>
      <c r="S216" s="37"/>
      <c r="T216" s="37"/>
      <c r="U216" s="37"/>
      <c r="V216" s="37"/>
      <c r="W216" s="37"/>
      <c r="X216" s="36"/>
      <c r="Y216" s="36"/>
      <c r="Z216" s="36"/>
      <c r="AA216" s="36"/>
      <c r="AB216" s="36"/>
      <c r="AC216" s="36"/>
      <c r="AD216" s="36"/>
      <c r="AE216" s="36"/>
    </row>
    <row r="217" spans="1:31" ht="15.75" customHeight="1" x14ac:dyDescent="0.25">
      <c r="A217" s="37"/>
      <c r="B217" s="801"/>
      <c r="C217" s="37"/>
      <c r="D217" s="37"/>
      <c r="E217" s="37"/>
      <c r="F217" s="37"/>
      <c r="G217" s="37"/>
      <c r="H217" s="37"/>
      <c r="I217" s="37"/>
      <c r="J217" s="37"/>
      <c r="K217" s="37"/>
      <c r="L217" s="37"/>
      <c r="M217" s="37"/>
      <c r="N217" s="37"/>
      <c r="O217" s="37"/>
      <c r="P217" s="37"/>
      <c r="Q217" s="37"/>
      <c r="R217" s="37"/>
      <c r="S217" s="37"/>
      <c r="T217" s="37"/>
      <c r="U217" s="37"/>
      <c r="V217" s="37"/>
      <c r="W217" s="37"/>
      <c r="X217" s="36"/>
      <c r="Y217" s="36"/>
      <c r="Z217" s="36"/>
      <c r="AA217" s="36"/>
      <c r="AB217" s="36"/>
      <c r="AC217" s="36"/>
      <c r="AD217" s="36"/>
      <c r="AE217" s="36"/>
    </row>
    <row r="218" spans="1:31" ht="15.75" customHeight="1" x14ac:dyDescent="0.25">
      <c r="A218" s="37"/>
      <c r="B218" s="801"/>
      <c r="C218" s="37"/>
      <c r="D218" s="37"/>
      <c r="E218" s="37"/>
      <c r="F218" s="37"/>
      <c r="G218" s="37"/>
      <c r="H218" s="37"/>
      <c r="I218" s="37"/>
      <c r="J218" s="37"/>
      <c r="K218" s="37"/>
      <c r="L218" s="37"/>
      <c r="M218" s="37"/>
      <c r="N218" s="37"/>
      <c r="O218" s="37"/>
      <c r="P218" s="37"/>
      <c r="Q218" s="37"/>
      <c r="R218" s="37"/>
      <c r="S218" s="37"/>
      <c r="T218" s="37"/>
      <c r="U218" s="37"/>
      <c r="V218" s="37"/>
      <c r="W218" s="37"/>
      <c r="X218" s="36"/>
      <c r="Y218" s="36"/>
      <c r="Z218" s="36"/>
      <c r="AA218" s="36"/>
      <c r="AB218" s="36"/>
      <c r="AC218" s="36"/>
      <c r="AD218" s="36"/>
      <c r="AE218" s="36"/>
    </row>
    <row r="219" spans="1:31" ht="15.75" customHeight="1" x14ac:dyDescent="0.25">
      <c r="A219" s="37"/>
      <c r="B219" s="801"/>
      <c r="C219" s="37"/>
      <c r="D219" s="37"/>
      <c r="E219" s="37"/>
      <c r="F219" s="37"/>
      <c r="G219" s="37"/>
      <c r="H219" s="37"/>
      <c r="I219" s="37"/>
      <c r="J219" s="37"/>
      <c r="K219" s="37"/>
      <c r="L219" s="37"/>
      <c r="M219" s="37"/>
      <c r="N219" s="37"/>
      <c r="O219" s="37"/>
      <c r="P219" s="37"/>
      <c r="Q219" s="37"/>
      <c r="R219" s="37"/>
      <c r="S219" s="37"/>
      <c r="T219" s="37"/>
      <c r="U219" s="37"/>
      <c r="V219" s="37"/>
      <c r="W219" s="37"/>
      <c r="X219" s="36"/>
      <c r="Y219" s="36"/>
      <c r="Z219" s="36"/>
      <c r="AA219" s="36"/>
      <c r="AB219" s="36"/>
      <c r="AC219" s="36"/>
      <c r="AD219" s="36"/>
      <c r="AE219" s="36"/>
    </row>
    <row r="220" spans="1:31" ht="15.75" customHeight="1" x14ac:dyDescent="0.25">
      <c r="A220" s="37"/>
      <c r="B220" s="801"/>
      <c r="C220" s="37"/>
      <c r="D220" s="37"/>
      <c r="E220" s="37"/>
      <c r="F220" s="37"/>
      <c r="G220" s="37"/>
      <c r="H220" s="37"/>
      <c r="I220" s="37"/>
      <c r="J220" s="37"/>
      <c r="K220" s="37"/>
      <c r="L220" s="37"/>
      <c r="M220" s="37"/>
      <c r="N220" s="37"/>
      <c r="O220" s="37"/>
      <c r="P220" s="37"/>
      <c r="Q220" s="37"/>
      <c r="R220" s="37"/>
      <c r="S220" s="37"/>
      <c r="T220" s="37"/>
      <c r="U220" s="37"/>
      <c r="V220" s="37"/>
      <c r="W220" s="37"/>
      <c r="X220" s="36"/>
      <c r="Y220" s="36"/>
      <c r="Z220" s="36"/>
      <c r="AA220" s="36"/>
      <c r="AB220" s="36"/>
      <c r="AC220" s="36"/>
      <c r="AD220" s="36"/>
      <c r="AE220" s="36"/>
    </row>
    <row r="221" spans="1:31" ht="15.75" customHeight="1" x14ac:dyDescent="0.25">
      <c r="A221" s="37"/>
      <c r="B221" s="801"/>
      <c r="C221" s="37"/>
      <c r="D221" s="37"/>
      <c r="E221" s="37"/>
      <c r="F221" s="37"/>
      <c r="G221" s="37"/>
      <c r="H221" s="37"/>
      <c r="I221" s="37"/>
      <c r="J221" s="37"/>
      <c r="K221" s="37"/>
      <c r="L221" s="37"/>
      <c r="M221" s="37"/>
      <c r="N221" s="37"/>
      <c r="O221" s="37"/>
      <c r="P221" s="37"/>
      <c r="Q221" s="37"/>
      <c r="R221" s="37"/>
      <c r="S221" s="37"/>
      <c r="T221" s="37"/>
      <c r="U221" s="37"/>
      <c r="V221" s="37"/>
      <c r="W221" s="37"/>
      <c r="X221" s="36"/>
      <c r="Y221" s="36"/>
      <c r="Z221" s="36"/>
      <c r="AA221" s="36"/>
      <c r="AB221" s="36"/>
      <c r="AC221" s="36"/>
      <c r="AD221" s="36"/>
      <c r="AE221" s="36"/>
    </row>
    <row r="222" spans="1:31" ht="15.75" customHeight="1" x14ac:dyDescent="0.25">
      <c r="A222" s="37"/>
      <c r="B222" s="801"/>
      <c r="C222" s="37"/>
      <c r="D222" s="37"/>
      <c r="E222" s="37"/>
      <c r="F222" s="37"/>
      <c r="G222" s="37"/>
      <c r="H222" s="37"/>
      <c r="I222" s="37"/>
      <c r="J222" s="37"/>
      <c r="K222" s="37"/>
      <c r="L222" s="37"/>
      <c r="M222" s="37"/>
      <c r="N222" s="37"/>
      <c r="O222" s="37"/>
      <c r="P222" s="37"/>
      <c r="Q222" s="37"/>
      <c r="R222" s="37"/>
      <c r="S222" s="37"/>
      <c r="T222" s="37"/>
      <c r="U222" s="37"/>
      <c r="V222" s="37"/>
      <c r="W222" s="37"/>
      <c r="X222" s="36"/>
      <c r="Y222" s="36"/>
      <c r="Z222" s="36"/>
      <c r="AA222" s="36"/>
      <c r="AB222" s="36"/>
      <c r="AC222" s="36"/>
      <c r="AD222" s="36"/>
      <c r="AE222" s="36"/>
    </row>
    <row r="223" spans="1:31" ht="15.75" customHeight="1" x14ac:dyDescent="0.25">
      <c r="A223" s="37"/>
      <c r="B223" s="801"/>
      <c r="C223" s="37"/>
      <c r="D223" s="37"/>
      <c r="E223" s="37"/>
      <c r="F223" s="37"/>
      <c r="G223" s="37"/>
      <c r="H223" s="37"/>
      <c r="I223" s="37"/>
      <c r="J223" s="37"/>
      <c r="K223" s="37"/>
      <c r="L223" s="37"/>
      <c r="M223" s="37"/>
      <c r="N223" s="37"/>
      <c r="O223" s="37"/>
      <c r="P223" s="37"/>
      <c r="Q223" s="37"/>
      <c r="R223" s="37"/>
      <c r="S223" s="37"/>
      <c r="T223" s="37"/>
      <c r="U223" s="37"/>
      <c r="V223" s="37"/>
      <c r="W223" s="37"/>
      <c r="X223" s="36"/>
      <c r="Y223" s="36"/>
      <c r="Z223" s="36"/>
      <c r="AA223" s="36"/>
      <c r="AB223" s="36"/>
      <c r="AC223" s="36"/>
      <c r="AD223" s="36"/>
      <c r="AE223" s="36"/>
    </row>
    <row r="224" spans="1:31" ht="15.75" customHeight="1" x14ac:dyDescent="0.25">
      <c r="A224" s="37"/>
      <c r="B224" s="801"/>
      <c r="C224" s="37"/>
      <c r="D224" s="37"/>
      <c r="E224" s="37"/>
      <c r="F224" s="37"/>
      <c r="G224" s="37"/>
      <c r="H224" s="37"/>
      <c r="I224" s="37"/>
      <c r="J224" s="37"/>
      <c r="K224" s="37"/>
      <c r="L224" s="37"/>
      <c r="M224" s="37"/>
      <c r="N224" s="37"/>
      <c r="O224" s="37"/>
      <c r="P224" s="37"/>
      <c r="Q224" s="37"/>
      <c r="R224" s="37"/>
      <c r="S224" s="37"/>
      <c r="T224" s="37"/>
      <c r="U224" s="37"/>
      <c r="V224" s="37"/>
      <c r="W224" s="37"/>
      <c r="X224" s="36"/>
      <c r="Y224" s="36"/>
      <c r="Z224" s="36"/>
      <c r="AA224" s="36"/>
      <c r="AB224" s="36"/>
      <c r="AC224" s="36"/>
      <c r="AD224" s="36"/>
      <c r="AE224" s="36"/>
    </row>
    <row r="225" spans="1:31" ht="15.75" customHeight="1" x14ac:dyDescent="0.25">
      <c r="A225" s="37"/>
      <c r="B225" s="801"/>
      <c r="C225" s="37"/>
      <c r="D225" s="37"/>
      <c r="E225" s="37"/>
      <c r="F225" s="37"/>
      <c r="G225" s="37"/>
      <c r="H225" s="37"/>
      <c r="I225" s="37"/>
      <c r="J225" s="37"/>
      <c r="K225" s="37"/>
      <c r="L225" s="37"/>
      <c r="M225" s="37"/>
      <c r="N225" s="37"/>
      <c r="O225" s="37"/>
      <c r="P225" s="37"/>
      <c r="Q225" s="37"/>
      <c r="R225" s="37"/>
      <c r="S225" s="37"/>
      <c r="T225" s="37"/>
      <c r="U225" s="37"/>
      <c r="V225" s="37"/>
      <c r="W225" s="37"/>
      <c r="X225" s="36"/>
      <c r="Y225" s="36"/>
      <c r="Z225" s="36"/>
      <c r="AA225" s="36"/>
      <c r="AB225" s="36"/>
      <c r="AC225" s="36"/>
      <c r="AD225" s="36"/>
      <c r="AE225" s="36"/>
    </row>
    <row r="226" spans="1:31" ht="15.75" customHeight="1" x14ac:dyDescent="0.25">
      <c r="A226" s="37"/>
      <c r="B226" s="801"/>
      <c r="C226" s="37"/>
      <c r="D226" s="37"/>
      <c r="E226" s="37"/>
      <c r="F226" s="37"/>
      <c r="G226" s="37"/>
      <c r="H226" s="37"/>
      <c r="I226" s="37"/>
      <c r="J226" s="37"/>
      <c r="K226" s="37"/>
      <c r="L226" s="37"/>
      <c r="M226" s="37"/>
      <c r="N226" s="37"/>
      <c r="O226" s="37"/>
      <c r="P226" s="37"/>
      <c r="Q226" s="37"/>
      <c r="R226" s="37"/>
      <c r="S226" s="37"/>
      <c r="T226" s="37"/>
      <c r="U226" s="37"/>
      <c r="V226" s="37"/>
      <c r="W226" s="37"/>
      <c r="X226" s="36"/>
      <c r="Y226" s="36"/>
      <c r="Z226" s="36"/>
      <c r="AA226" s="36"/>
      <c r="AB226" s="36"/>
      <c r="AC226" s="36"/>
      <c r="AD226" s="36"/>
      <c r="AE226" s="36"/>
    </row>
    <row r="227" spans="1:31" ht="15.75" customHeight="1" x14ac:dyDescent="0.25">
      <c r="A227" s="37"/>
      <c r="B227" s="801"/>
      <c r="C227" s="37"/>
      <c r="D227" s="37"/>
      <c r="E227" s="37"/>
      <c r="F227" s="37"/>
      <c r="G227" s="37"/>
      <c r="H227" s="37"/>
      <c r="I227" s="37"/>
      <c r="J227" s="37"/>
      <c r="K227" s="37"/>
      <c r="L227" s="37"/>
      <c r="M227" s="37"/>
      <c r="N227" s="37"/>
      <c r="O227" s="37"/>
      <c r="P227" s="37"/>
      <c r="Q227" s="37"/>
      <c r="R227" s="37"/>
      <c r="S227" s="37"/>
      <c r="T227" s="37"/>
      <c r="U227" s="37"/>
      <c r="V227" s="37"/>
      <c r="W227" s="37"/>
      <c r="X227" s="36"/>
      <c r="Y227" s="36"/>
      <c r="Z227" s="36"/>
      <c r="AA227" s="36"/>
      <c r="AB227" s="36"/>
      <c r="AC227" s="36"/>
      <c r="AD227" s="36"/>
      <c r="AE227" s="36"/>
    </row>
    <row r="228" spans="1:31" ht="15.75" customHeight="1" x14ac:dyDescent="0.25">
      <c r="A228" s="37"/>
      <c r="B228" s="801"/>
      <c r="C228" s="37"/>
      <c r="D228" s="37"/>
      <c r="E228" s="37"/>
      <c r="F228" s="37"/>
      <c r="G228" s="37"/>
      <c r="H228" s="37"/>
      <c r="I228" s="37"/>
      <c r="J228" s="37"/>
      <c r="K228" s="37"/>
      <c r="L228" s="37"/>
      <c r="M228" s="37"/>
      <c r="N228" s="37"/>
      <c r="O228" s="37"/>
      <c r="P228" s="37"/>
      <c r="Q228" s="37"/>
      <c r="R228" s="37"/>
      <c r="S228" s="37"/>
      <c r="T228" s="37"/>
      <c r="U228" s="37"/>
      <c r="V228" s="37"/>
      <c r="W228" s="37"/>
      <c r="X228" s="36"/>
      <c r="Y228" s="36"/>
      <c r="Z228" s="36"/>
      <c r="AA228" s="36"/>
      <c r="AB228" s="36"/>
      <c r="AC228" s="36"/>
      <c r="AD228" s="36"/>
      <c r="AE228" s="36"/>
    </row>
    <row r="229" spans="1:31" ht="15.75" customHeight="1" x14ac:dyDescent="0.25">
      <c r="A229" s="37"/>
      <c r="B229" s="801"/>
      <c r="C229" s="37"/>
      <c r="D229" s="37"/>
      <c r="E229" s="37"/>
      <c r="F229" s="37"/>
      <c r="G229" s="37"/>
      <c r="H229" s="37"/>
      <c r="I229" s="37"/>
      <c r="J229" s="37"/>
      <c r="K229" s="37"/>
      <c r="L229" s="37"/>
      <c r="M229" s="37"/>
      <c r="N229" s="37"/>
      <c r="O229" s="37"/>
      <c r="P229" s="37"/>
      <c r="Q229" s="37"/>
      <c r="R229" s="37"/>
      <c r="S229" s="37"/>
      <c r="T229" s="37"/>
      <c r="U229" s="37"/>
      <c r="V229" s="37"/>
      <c r="W229" s="37"/>
      <c r="X229" s="36"/>
      <c r="Y229" s="36"/>
      <c r="Z229" s="36"/>
      <c r="AA229" s="36"/>
      <c r="AB229" s="36"/>
      <c r="AC229" s="36"/>
      <c r="AD229" s="36"/>
      <c r="AE229" s="36"/>
    </row>
    <row r="230" spans="1:31" ht="15.75" customHeight="1" x14ac:dyDescent="0.25">
      <c r="A230" s="37"/>
      <c r="B230" s="801"/>
      <c r="C230" s="37"/>
      <c r="D230" s="37"/>
      <c r="E230" s="37"/>
      <c r="F230" s="37"/>
      <c r="G230" s="37"/>
      <c r="H230" s="37"/>
      <c r="I230" s="37"/>
      <c r="J230" s="37"/>
      <c r="K230" s="37"/>
      <c r="L230" s="37"/>
      <c r="M230" s="37"/>
      <c r="N230" s="37"/>
      <c r="O230" s="37"/>
      <c r="P230" s="37"/>
      <c r="Q230" s="37"/>
      <c r="R230" s="37"/>
      <c r="S230" s="37"/>
      <c r="T230" s="37"/>
      <c r="U230" s="37"/>
      <c r="V230" s="37"/>
      <c r="W230" s="37"/>
      <c r="X230" s="36"/>
      <c r="Y230" s="36"/>
      <c r="Z230" s="36"/>
      <c r="AA230" s="36"/>
      <c r="AB230" s="36"/>
      <c r="AC230" s="36"/>
      <c r="AD230" s="36"/>
      <c r="AE230" s="36"/>
    </row>
    <row r="231" spans="1:31" ht="15.75" customHeight="1" x14ac:dyDescent="0.25">
      <c r="A231" s="37"/>
      <c r="B231" s="801"/>
      <c r="C231" s="37"/>
      <c r="D231" s="37"/>
      <c r="E231" s="37"/>
      <c r="F231" s="37"/>
      <c r="G231" s="37"/>
      <c r="H231" s="37"/>
      <c r="I231" s="37"/>
      <c r="J231" s="37"/>
      <c r="K231" s="37"/>
      <c r="L231" s="37"/>
      <c r="M231" s="37"/>
      <c r="N231" s="37"/>
      <c r="O231" s="37"/>
      <c r="P231" s="37"/>
      <c r="Q231" s="37"/>
      <c r="R231" s="37"/>
      <c r="S231" s="37"/>
      <c r="T231" s="37"/>
      <c r="U231" s="37"/>
      <c r="V231" s="37"/>
      <c r="W231" s="37"/>
      <c r="X231" s="36"/>
      <c r="Y231" s="36"/>
      <c r="Z231" s="36"/>
      <c r="AA231" s="36"/>
      <c r="AB231" s="36"/>
      <c r="AC231" s="36"/>
      <c r="AD231" s="36"/>
      <c r="AE231" s="36"/>
    </row>
    <row r="232" spans="1:31" ht="15.75" customHeight="1" x14ac:dyDescent="0.25">
      <c r="A232" s="37"/>
      <c r="B232" s="801"/>
      <c r="C232" s="37"/>
      <c r="D232" s="37"/>
      <c r="E232" s="37"/>
      <c r="F232" s="37"/>
      <c r="G232" s="37"/>
      <c r="H232" s="37"/>
      <c r="I232" s="37"/>
      <c r="J232" s="37"/>
      <c r="K232" s="37"/>
      <c r="L232" s="37"/>
      <c r="M232" s="37"/>
      <c r="N232" s="37"/>
      <c r="O232" s="37"/>
      <c r="P232" s="37"/>
      <c r="Q232" s="37"/>
      <c r="R232" s="37"/>
      <c r="S232" s="37"/>
      <c r="T232" s="37"/>
      <c r="U232" s="37"/>
      <c r="V232" s="37"/>
      <c r="W232" s="37"/>
      <c r="X232" s="36"/>
      <c r="Y232" s="36"/>
      <c r="Z232" s="36"/>
      <c r="AA232" s="36"/>
      <c r="AB232" s="36"/>
      <c r="AC232" s="36"/>
      <c r="AD232" s="36"/>
      <c r="AE232" s="36"/>
    </row>
    <row r="233" spans="1:31" ht="15.75" customHeight="1" x14ac:dyDescent="0.25">
      <c r="A233" s="37"/>
      <c r="B233" s="801"/>
      <c r="C233" s="37"/>
      <c r="D233" s="37"/>
      <c r="E233" s="37"/>
      <c r="F233" s="37"/>
      <c r="G233" s="37"/>
      <c r="H233" s="37"/>
      <c r="I233" s="37"/>
      <c r="J233" s="37"/>
      <c r="K233" s="37"/>
      <c r="L233" s="37"/>
      <c r="M233" s="37"/>
      <c r="N233" s="37"/>
      <c r="O233" s="37"/>
      <c r="P233" s="37"/>
      <c r="Q233" s="37"/>
      <c r="R233" s="37"/>
      <c r="S233" s="37"/>
      <c r="T233" s="37"/>
      <c r="U233" s="37"/>
      <c r="V233" s="37"/>
      <c r="W233" s="37"/>
      <c r="X233" s="36"/>
      <c r="Y233" s="36"/>
      <c r="Z233" s="36"/>
      <c r="AA233" s="36"/>
      <c r="AB233" s="36"/>
      <c r="AC233" s="36"/>
      <c r="AD233" s="36"/>
      <c r="AE233" s="36"/>
    </row>
    <row r="234" spans="1:31" ht="15.75" customHeight="1" x14ac:dyDescent="0.25">
      <c r="A234" s="37"/>
      <c r="B234" s="801"/>
      <c r="C234" s="37"/>
      <c r="D234" s="37"/>
      <c r="E234" s="37"/>
      <c r="F234" s="37"/>
      <c r="G234" s="37"/>
      <c r="H234" s="37"/>
      <c r="I234" s="37"/>
      <c r="J234" s="37"/>
      <c r="K234" s="37"/>
      <c r="L234" s="37"/>
      <c r="M234" s="37"/>
      <c r="N234" s="37"/>
      <c r="O234" s="37"/>
      <c r="P234" s="37"/>
      <c r="Q234" s="37"/>
      <c r="R234" s="37"/>
      <c r="S234" s="37"/>
      <c r="T234" s="37"/>
      <c r="U234" s="37"/>
      <c r="V234" s="37"/>
      <c r="W234" s="37"/>
      <c r="X234" s="36"/>
      <c r="Y234" s="36"/>
      <c r="Z234" s="36"/>
      <c r="AA234" s="36"/>
      <c r="AB234" s="36"/>
      <c r="AC234" s="36"/>
      <c r="AD234" s="36"/>
      <c r="AE234" s="36"/>
    </row>
    <row r="235" spans="1:31" ht="15.75" customHeight="1" x14ac:dyDescent="0.25">
      <c r="A235" s="37"/>
      <c r="B235" s="801"/>
      <c r="C235" s="37"/>
      <c r="D235" s="37"/>
      <c r="E235" s="37"/>
      <c r="F235" s="37"/>
      <c r="G235" s="37"/>
      <c r="H235" s="37"/>
      <c r="I235" s="37"/>
      <c r="J235" s="37"/>
      <c r="K235" s="37"/>
      <c r="L235" s="37"/>
      <c r="M235" s="37"/>
      <c r="N235" s="37"/>
      <c r="O235" s="37"/>
      <c r="P235" s="37"/>
      <c r="Q235" s="37"/>
      <c r="R235" s="37"/>
      <c r="S235" s="37"/>
      <c r="T235" s="37"/>
      <c r="U235" s="37"/>
      <c r="V235" s="37"/>
      <c r="W235" s="37"/>
      <c r="X235" s="36"/>
      <c r="Y235" s="36"/>
      <c r="Z235" s="36"/>
      <c r="AA235" s="36"/>
      <c r="AB235" s="36"/>
      <c r="AC235" s="36"/>
      <c r="AD235" s="36"/>
      <c r="AE235" s="36"/>
    </row>
    <row r="236" spans="1:31" ht="15.75" customHeight="1" x14ac:dyDescent="0.25">
      <c r="A236" s="37"/>
      <c r="B236" s="801"/>
      <c r="C236" s="37"/>
      <c r="D236" s="37"/>
      <c r="E236" s="37"/>
      <c r="F236" s="37"/>
      <c r="G236" s="37"/>
      <c r="H236" s="37"/>
      <c r="I236" s="37"/>
      <c r="J236" s="37"/>
      <c r="K236" s="37"/>
      <c r="L236" s="37"/>
      <c r="M236" s="37"/>
      <c r="N236" s="37"/>
      <c r="O236" s="37"/>
      <c r="P236" s="37"/>
      <c r="Q236" s="37"/>
      <c r="R236" s="37"/>
      <c r="S236" s="37"/>
      <c r="T236" s="37"/>
      <c r="U236" s="37"/>
      <c r="V236" s="37"/>
      <c r="W236" s="37"/>
      <c r="X236" s="36"/>
      <c r="Y236" s="36"/>
      <c r="Z236" s="36"/>
      <c r="AA236" s="36"/>
      <c r="AB236" s="36"/>
      <c r="AC236" s="36"/>
      <c r="AD236" s="36"/>
      <c r="AE236" s="36"/>
    </row>
    <row r="237" spans="1:31" ht="15.75" customHeight="1" x14ac:dyDescent="0.25">
      <c r="A237" s="37"/>
      <c r="B237" s="801"/>
      <c r="C237" s="37"/>
      <c r="D237" s="37"/>
      <c r="E237" s="37"/>
      <c r="F237" s="37"/>
      <c r="G237" s="37"/>
      <c r="H237" s="37"/>
      <c r="I237" s="37"/>
      <c r="J237" s="37"/>
      <c r="K237" s="37"/>
      <c r="L237" s="37"/>
      <c r="M237" s="37"/>
      <c r="N237" s="37"/>
      <c r="O237" s="37"/>
      <c r="P237" s="37"/>
      <c r="Q237" s="37"/>
      <c r="R237" s="37"/>
      <c r="S237" s="37"/>
      <c r="T237" s="37"/>
      <c r="U237" s="37"/>
      <c r="V237" s="37"/>
      <c r="W237" s="37"/>
      <c r="X237" s="36"/>
      <c r="Y237" s="36"/>
      <c r="Z237" s="36"/>
      <c r="AA237" s="36"/>
      <c r="AB237" s="36"/>
      <c r="AC237" s="36"/>
      <c r="AD237" s="36"/>
      <c r="AE237" s="36"/>
    </row>
    <row r="238" spans="1:31" ht="15.75" customHeight="1" x14ac:dyDescent="0.25">
      <c r="A238" s="37"/>
      <c r="B238" s="801"/>
      <c r="C238" s="37"/>
      <c r="D238" s="37"/>
      <c r="E238" s="37"/>
      <c r="F238" s="37"/>
      <c r="G238" s="37"/>
      <c r="H238" s="37"/>
      <c r="I238" s="37"/>
      <c r="J238" s="37"/>
      <c r="K238" s="37"/>
      <c r="L238" s="37"/>
      <c r="M238" s="37"/>
      <c r="N238" s="37"/>
      <c r="O238" s="37"/>
      <c r="P238" s="37"/>
      <c r="Q238" s="37"/>
      <c r="R238" s="37"/>
      <c r="S238" s="37"/>
      <c r="T238" s="37"/>
      <c r="U238" s="37"/>
      <c r="V238" s="37"/>
      <c r="W238" s="37"/>
      <c r="X238" s="36"/>
      <c r="Y238" s="36"/>
      <c r="Z238" s="36"/>
      <c r="AA238" s="36"/>
      <c r="AB238" s="36"/>
      <c r="AC238" s="36"/>
      <c r="AD238" s="36"/>
      <c r="AE238" s="36"/>
    </row>
    <row r="239" spans="1:31" ht="15.75" customHeight="1" x14ac:dyDescent="0.25">
      <c r="A239" s="37"/>
      <c r="B239" s="801"/>
      <c r="C239" s="37"/>
      <c r="D239" s="37"/>
      <c r="E239" s="37"/>
      <c r="F239" s="37"/>
      <c r="G239" s="37"/>
      <c r="H239" s="37"/>
      <c r="I239" s="37"/>
      <c r="J239" s="37"/>
      <c r="K239" s="37"/>
      <c r="L239" s="37"/>
      <c r="M239" s="37"/>
      <c r="N239" s="37"/>
      <c r="O239" s="37"/>
      <c r="P239" s="37"/>
      <c r="Q239" s="37"/>
      <c r="R239" s="37"/>
      <c r="S239" s="37"/>
      <c r="T239" s="37"/>
      <c r="U239" s="37"/>
      <c r="V239" s="37"/>
      <c r="W239" s="37"/>
      <c r="X239" s="36"/>
      <c r="Y239" s="36"/>
      <c r="Z239" s="36"/>
      <c r="AA239" s="36"/>
      <c r="AB239" s="36"/>
      <c r="AC239" s="36"/>
      <c r="AD239" s="36"/>
      <c r="AE239" s="36"/>
    </row>
    <row r="240" spans="1:31" ht="15.75" customHeight="1" x14ac:dyDescent="0.25">
      <c r="A240" s="37"/>
      <c r="B240" s="801"/>
      <c r="C240" s="37"/>
      <c r="D240" s="37"/>
      <c r="E240" s="37"/>
      <c r="F240" s="37"/>
      <c r="G240" s="37"/>
      <c r="H240" s="37"/>
      <c r="I240" s="37"/>
      <c r="J240" s="37"/>
      <c r="K240" s="37"/>
      <c r="L240" s="37"/>
      <c r="M240" s="37"/>
      <c r="N240" s="37"/>
      <c r="O240" s="37"/>
      <c r="P240" s="37"/>
      <c r="Q240" s="37"/>
      <c r="R240" s="37"/>
      <c r="S240" s="37"/>
      <c r="T240" s="37"/>
      <c r="U240" s="37"/>
      <c r="V240" s="37"/>
      <c r="W240" s="37"/>
      <c r="X240" s="36"/>
      <c r="Y240" s="36"/>
      <c r="Z240" s="36"/>
      <c r="AA240" s="36"/>
      <c r="AB240" s="36"/>
      <c r="AC240" s="36"/>
      <c r="AD240" s="36"/>
      <c r="AE240" s="36"/>
    </row>
    <row r="241" spans="1:31" ht="15.75" customHeight="1" x14ac:dyDescent="0.25">
      <c r="A241" s="37"/>
      <c r="B241" s="801"/>
      <c r="C241" s="37"/>
      <c r="D241" s="37"/>
      <c r="E241" s="37"/>
      <c r="F241" s="37"/>
      <c r="G241" s="37"/>
      <c r="H241" s="37"/>
      <c r="I241" s="37"/>
      <c r="J241" s="37"/>
      <c r="K241" s="37"/>
      <c r="L241" s="37"/>
      <c r="M241" s="37"/>
      <c r="N241" s="37"/>
      <c r="O241" s="37"/>
      <c r="P241" s="37"/>
      <c r="Q241" s="37"/>
      <c r="R241" s="37"/>
      <c r="S241" s="37"/>
      <c r="T241" s="37"/>
      <c r="U241" s="37"/>
      <c r="V241" s="37"/>
      <c r="W241" s="37"/>
      <c r="X241" s="36"/>
      <c r="Y241" s="36"/>
      <c r="Z241" s="36"/>
      <c r="AA241" s="36"/>
      <c r="AB241" s="36"/>
      <c r="AC241" s="36"/>
      <c r="AD241" s="36"/>
      <c r="AE241" s="36"/>
    </row>
    <row r="242" spans="1:31" ht="15.75" customHeight="1" x14ac:dyDescent="0.25">
      <c r="A242" s="37"/>
      <c r="B242" s="801"/>
      <c r="C242" s="37"/>
      <c r="D242" s="37"/>
      <c r="E242" s="37"/>
      <c r="F242" s="37"/>
      <c r="G242" s="37"/>
      <c r="H242" s="37"/>
      <c r="I242" s="37"/>
      <c r="J242" s="37"/>
      <c r="K242" s="37"/>
      <c r="L242" s="37"/>
      <c r="M242" s="37"/>
      <c r="N242" s="37"/>
      <c r="O242" s="37"/>
      <c r="P242" s="37"/>
      <c r="Q242" s="37"/>
      <c r="R242" s="37"/>
      <c r="S242" s="37"/>
      <c r="T242" s="37"/>
      <c r="U242" s="37"/>
      <c r="V242" s="37"/>
      <c r="W242" s="37"/>
      <c r="X242" s="36"/>
      <c r="Y242" s="36"/>
      <c r="Z242" s="36"/>
      <c r="AA242" s="36"/>
      <c r="AB242" s="36"/>
      <c r="AC242" s="36"/>
      <c r="AD242" s="36"/>
      <c r="AE242" s="36"/>
    </row>
    <row r="243" spans="1:31" ht="15.75" customHeight="1" x14ac:dyDescent="0.25">
      <c r="A243" s="37"/>
      <c r="B243" s="801"/>
      <c r="C243" s="37"/>
      <c r="D243" s="37"/>
      <c r="E243" s="37"/>
      <c r="F243" s="37"/>
      <c r="G243" s="37"/>
      <c r="H243" s="37"/>
      <c r="I243" s="37"/>
      <c r="J243" s="37"/>
      <c r="K243" s="37"/>
      <c r="L243" s="37"/>
      <c r="M243" s="37"/>
      <c r="N243" s="37"/>
      <c r="O243" s="37"/>
      <c r="P243" s="37"/>
      <c r="Q243" s="37"/>
      <c r="R243" s="37"/>
      <c r="S243" s="37"/>
      <c r="T243" s="37"/>
      <c r="U243" s="37"/>
      <c r="V243" s="37"/>
      <c r="W243" s="37"/>
      <c r="X243" s="36"/>
      <c r="Y243" s="36"/>
      <c r="Z243" s="36"/>
      <c r="AA243" s="36"/>
      <c r="AB243" s="36"/>
      <c r="AC243" s="36"/>
      <c r="AD243" s="36"/>
      <c r="AE243" s="36"/>
    </row>
    <row r="244" spans="1:31" ht="15.75" customHeight="1" x14ac:dyDescent="0.25">
      <c r="A244" s="37"/>
      <c r="B244" s="801"/>
      <c r="C244" s="37"/>
      <c r="D244" s="37"/>
      <c r="E244" s="37"/>
      <c r="F244" s="37"/>
      <c r="G244" s="37"/>
      <c r="H244" s="37"/>
      <c r="I244" s="37"/>
      <c r="J244" s="37"/>
      <c r="K244" s="37"/>
      <c r="L244" s="37"/>
      <c r="M244" s="37"/>
      <c r="N244" s="37"/>
      <c r="O244" s="37"/>
      <c r="P244" s="37"/>
      <c r="Q244" s="37"/>
      <c r="R244" s="37"/>
      <c r="S244" s="37"/>
      <c r="T244" s="37"/>
      <c r="U244" s="37"/>
      <c r="V244" s="37"/>
      <c r="W244" s="37"/>
      <c r="X244" s="36"/>
      <c r="Y244" s="36"/>
      <c r="Z244" s="36"/>
      <c r="AA244" s="36"/>
      <c r="AB244" s="36"/>
      <c r="AC244" s="36"/>
      <c r="AD244" s="36"/>
      <c r="AE244" s="36"/>
    </row>
    <row r="245" spans="1:31" ht="15.75" customHeight="1" x14ac:dyDescent="0.25">
      <c r="A245" s="37"/>
      <c r="B245" s="801"/>
      <c r="C245" s="37"/>
      <c r="D245" s="37"/>
      <c r="E245" s="37"/>
      <c r="F245" s="37"/>
      <c r="G245" s="37"/>
      <c r="H245" s="37"/>
      <c r="I245" s="37"/>
      <c r="J245" s="37"/>
      <c r="K245" s="37"/>
      <c r="L245" s="37"/>
      <c r="M245" s="37"/>
      <c r="N245" s="37"/>
      <c r="O245" s="37"/>
      <c r="P245" s="37"/>
      <c r="Q245" s="37"/>
      <c r="R245" s="37"/>
      <c r="S245" s="37"/>
      <c r="T245" s="37"/>
      <c r="U245" s="37"/>
      <c r="V245" s="37"/>
      <c r="W245" s="37"/>
      <c r="X245" s="36"/>
      <c r="Y245" s="36"/>
      <c r="Z245" s="36"/>
      <c r="AA245" s="36"/>
      <c r="AB245" s="36"/>
      <c r="AC245" s="36"/>
      <c r="AD245" s="36"/>
      <c r="AE245" s="36"/>
    </row>
    <row r="246" spans="1:31" ht="15.75" customHeight="1" x14ac:dyDescent="0.25">
      <c r="A246" s="37"/>
      <c r="B246" s="801"/>
      <c r="C246" s="37"/>
      <c r="D246" s="37"/>
      <c r="E246" s="37"/>
      <c r="F246" s="37"/>
      <c r="G246" s="37"/>
      <c r="H246" s="37"/>
      <c r="I246" s="37"/>
      <c r="J246" s="37"/>
      <c r="K246" s="37"/>
      <c r="L246" s="37"/>
      <c r="M246" s="37"/>
      <c r="N246" s="37"/>
      <c r="O246" s="37"/>
      <c r="P246" s="37"/>
      <c r="Q246" s="37"/>
      <c r="R246" s="37"/>
      <c r="S246" s="37"/>
      <c r="T246" s="37"/>
      <c r="U246" s="37"/>
      <c r="V246" s="37"/>
      <c r="W246" s="37"/>
      <c r="X246" s="36"/>
      <c r="Y246" s="36"/>
      <c r="Z246" s="36"/>
      <c r="AA246" s="36"/>
      <c r="AB246" s="36"/>
      <c r="AC246" s="36"/>
      <c r="AD246" s="36"/>
      <c r="AE246" s="36"/>
    </row>
    <row r="247" spans="1:31" ht="15.75" customHeight="1" x14ac:dyDescent="0.25">
      <c r="A247" s="37"/>
      <c r="B247" s="801"/>
      <c r="C247" s="37"/>
      <c r="D247" s="37"/>
      <c r="E247" s="37"/>
      <c r="F247" s="37"/>
      <c r="G247" s="37"/>
      <c r="H247" s="37"/>
      <c r="I247" s="37"/>
      <c r="J247" s="37"/>
      <c r="K247" s="37"/>
      <c r="L247" s="37"/>
      <c r="M247" s="37"/>
      <c r="N247" s="37"/>
      <c r="O247" s="37"/>
      <c r="P247" s="37"/>
      <c r="Q247" s="37"/>
      <c r="R247" s="37"/>
      <c r="S247" s="37"/>
      <c r="T247" s="37"/>
      <c r="U247" s="37"/>
      <c r="V247" s="37"/>
      <c r="W247" s="37"/>
      <c r="X247" s="36"/>
      <c r="Y247" s="36"/>
      <c r="Z247" s="36"/>
      <c r="AA247" s="36"/>
      <c r="AB247" s="36"/>
      <c r="AC247" s="36"/>
      <c r="AD247" s="36"/>
      <c r="AE247" s="36"/>
    </row>
    <row r="248" spans="1:31" ht="15.75" customHeight="1" x14ac:dyDescent="0.25">
      <c r="A248" s="37"/>
      <c r="B248" s="801"/>
      <c r="C248" s="37"/>
      <c r="D248" s="37"/>
      <c r="E248" s="37"/>
      <c r="F248" s="37"/>
      <c r="G248" s="37"/>
      <c r="H248" s="37"/>
      <c r="I248" s="37"/>
      <c r="J248" s="37"/>
      <c r="K248" s="37"/>
      <c r="L248" s="37"/>
      <c r="M248" s="37"/>
      <c r="N248" s="37"/>
      <c r="O248" s="37"/>
      <c r="P248" s="37"/>
      <c r="Q248" s="37"/>
      <c r="R248" s="37"/>
      <c r="S248" s="37"/>
      <c r="T248" s="37"/>
      <c r="U248" s="37"/>
      <c r="V248" s="37"/>
      <c r="W248" s="37"/>
      <c r="X248" s="36"/>
      <c r="Y248" s="36"/>
      <c r="Z248" s="36"/>
      <c r="AA248" s="36"/>
      <c r="AB248" s="36"/>
      <c r="AC248" s="36"/>
      <c r="AD248" s="36"/>
      <c r="AE248" s="36"/>
    </row>
    <row r="249" spans="1:31" ht="15.75" customHeight="1" x14ac:dyDescent="0.25">
      <c r="A249" s="37"/>
      <c r="B249" s="801"/>
      <c r="C249" s="37"/>
      <c r="D249" s="37"/>
      <c r="E249" s="37"/>
      <c r="F249" s="37"/>
      <c r="G249" s="37"/>
      <c r="H249" s="37"/>
      <c r="I249" s="37"/>
      <c r="J249" s="37"/>
      <c r="K249" s="37"/>
      <c r="L249" s="37"/>
      <c r="M249" s="37"/>
      <c r="N249" s="37"/>
      <c r="O249" s="37"/>
      <c r="P249" s="37"/>
      <c r="Q249" s="37"/>
      <c r="R249" s="37"/>
      <c r="S249" s="37"/>
      <c r="T249" s="37"/>
      <c r="U249" s="37"/>
      <c r="V249" s="37"/>
      <c r="W249" s="37"/>
      <c r="X249" s="36"/>
      <c r="Y249" s="36"/>
      <c r="Z249" s="36"/>
      <c r="AA249" s="36"/>
      <c r="AB249" s="36"/>
      <c r="AC249" s="36"/>
      <c r="AD249" s="36"/>
      <c r="AE249" s="36"/>
    </row>
    <row r="250" spans="1:31" ht="15.75" customHeight="1" x14ac:dyDescent="0.25">
      <c r="A250" s="37"/>
      <c r="B250" s="801"/>
      <c r="C250" s="37"/>
      <c r="D250" s="37"/>
      <c r="E250" s="37"/>
      <c r="F250" s="37"/>
      <c r="G250" s="37"/>
      <c r="H250" s="37"/>
      <c r="I250" s="37"/>
      <c r="J250" s="37"/>
      <c r="K250" s="37"/>
      <c r="L250" s="37"/>
      <c r="M250" s="37"/>
      <c r="N250" s="37"/>
      <c r="O250" s="37"/>
      <c r="P250" s="37"/>
      <c r="Q250" s="37"/>
      <c r="R250" s="37"/>
      <c r="S250" s="37"/>
      <c r="T250" s="37"/>
      <c r="U250" s="37"/>
      <c r="V250" s="37"/>
      <c r="W250" s="37"/>
      <c r="X250" s="36"/>
      <c r="Y250" s="36"/>
      <c r="Z250" s="36"/>
      <c r="AA250" s="36"/>
      <c r="AB250" s="36"/>
      <c r="AC250" s="36"/>
      <c r="AD250" s="36"/>
      <c r="AE250" s="36"/>
    </row>
    <row r="251" spans="1:31" ht="15.75" customHeight="1" x14ac:dyDescent="0.25">
      <c r="A251" s="37"/>
      <c r="B251" s="801"/>
      <c r="C251" s="37"/>
      <c r="D251" s="37"/>
      <c r="E251" s="37"/>
      <c r="F251" s="37"/>
      <c r="G251" s="37"/>
      <c r="H251" s="37"/>
      <c r="I251" s="37"/>
      <c r="J251" s="37"/>
      <c r="K251" s="37"/>
      <c r="L251" s="37"/>
      <c r="M251" s="37"/>
      <c r="N251" s="37"/>
      <c r="O251" s="37"/>
      <c r="P251" s="37"/>
      <c r="Q251" s="37"/>
      <c r="R251" s="37"/>
      <c r="S251" s="37"/>
      <c r="T251" s="37"/>
      <c r="U251" s="37"/>
      <c r="V251" s="37"/>
      <c r="W251" s="37"/>
      <c r="X251" s="36"/>
      <c r="Y251" s="36"/>
      <c r="Z251" s="36"/>
      <c r="AA251" s="36"/>
      <c r="AB251" s="36"/>
      <c r="AC251" s="36"/>
      <c r="AD251" s="36"/>
      <c r="AE251" s="36"/>
    </row>
    <row r="252" spans="1:31" ht="15.75" customHeight="1" x14ac:dyDescent="0.25">
      <c r="A252" s="37"/>
      <c r="B252" s="801"/>
      <c r="C252" s="37"/>
      <c r="D252" s="37"/>
      <c r="E252" s="37"/>
      <c r="F252" s="37"/>
      <c r="G252" s="37"/>
      <c r="H252" s="37"/>
      <c r="I252" s="37"/>
      <c r="J252" s="37"/>
      <c r="K252" s="37"/>
      <c r="L252" s="37"/>
      <c r="M252" s="37"/>
      <c r="N252" s="37"/>
      <c r="O252" s="37"/>
      <c r="P252" s="37"/>
      <c r="Q252" s="37"/>
      <c r="R252" s="37"/>
      <c r="S252" s="37"/>
      <c r="T252" s="37"/>
      <c r="U252" s="37"/>
      <c r="V252" s="37"/>
      <c r="W252" s="37"/>
      <c r="X252" s="36"/>
      <c r="Y252" s="36"/>
      <c r="Z252" s="36"/>
      <c r="AA252" s="36"/>
      <c r="AB252" s="36"/>
      <c r="AC252" s="36"/>
      <c r="AD252" s="36"/>
      <c r="AE252" s="36"/>
    </row>
    <row r="253" spans="1:31" ht="15.75" customHeight="1" x14ac:dyDescent="0.25">
      <c r="A253" s="37"/>
      <c r="B253" s="801"/>
      <c r="C253" s="37"/>
      <c r="D253" s="37"/>
      <c r="E253" s="37"/>
      <c r="F253" s="37"/>
      <c r="G253" s="37"/>
      <c r="H253" s="37"/>
      <c r="I253" s="37"/>
      <c r="J253" s="37"/>
      <c r="K253" s="37"/>
      <c r="L253" s="37"/>
      <c r="M253" s="37"/>
      <c r="N253" s="37"/>
      <c r="O253" s="37"/>
      <c r="P253" s="37"/>
      <c r="Q253" s="37"/>
      <c r="R253" s="37"/>
      <c r="S253" s="37"/>
      <c r="T253" s="37"/>
      <c r="U253" s="37"/>
      <c r="V253" s="37"/>
      <c r="W253" s="37"/>
      <c r="X253" s="36"/>
      <c r="Y253" s="36"/>
      <c r="Z253" s="36"/>
      <c r="AA253" s="36"/>
      <c r="AB253" s="36"/>
      <c r="AC253" s="36"/>
      <c r="AD253" s="36"/>
      <c r="AE253" s="36"/>
    </row>
    <row r="254" spans="1:31" ht="15.75" customHeight="1" x14ac:dyDescent="0.25">
      <c r="A254" s="37"/>
      <c r="B254" s="801"/>
      <c r="C254" s="37"/>
      <c r="D254" s="37"/>
      <c r="E254" s="37"/>
      <c r="F254" s="37"/>
      <c r="G254" s="37"/>
      <c r="H254" s="37"/>
      <c r="I254" s="37"/>
      <c r="J254" s="37"/>
      <c r="K254" s="37"/>
      <c r="L254" s="37"/>
      <c r="M254" s="37"/>
      <c r="N254" s="37"/>
      <c r="O254" s="37"/>
      <c r="P254" s="37"/>
      <c r="Q254" s="37"/>
      <c r="R254" s="37"/>
      <c r="S254" s="37"/>
      <c r="T254" s="37"/>
      <c r="U254" s="37"/>
      <c r="V254" s="37"/>
      <c r="W254" s="37"/>
      <c r="X254" s="36"/>
      <c r="Y254" s="36"/>
      <c r="Z254" s="36"/>
      <c r="AA254" s="36"/>
      <c r="AB254" s="36"/>
      <c r="AC254" s="36"/>
      <c r="AD254" s="36"/>
      <c r="AE254" s="36"/>
    </row>
    <row r="255" spans="1:31" ht="15.75" customHeight="1" x14ac:dyDescent="0.25">
      <c r="A255" s="37"/>
      <c r="B255" s="801"/>
      <c r="C255" s="37"/>
      <c r="D255" s="37"/>
      <c r="E255" s="37"/>
      <c r="F255" s="37"/>
      <c r="G255" s="37"/>
      <c r="H255" s="37"/>
      <c r="I255" s="37"/>
      <c r="J255" s="37"/>
      <c r="K255" s="37"/>
      <c r="L255" s="37"/>
      <c r="M255" s="37"/>
      <c r="N255" s="37"/>
      <c r="O255" s="37"/>
      <c r="P255" s="37"/>
      <c r="Q255" s="37"/>
      <c r="R255" s="37"/>
      <c r="S255" s="37"/>
      <c r="T255" s="37"/>
      <c r="U255" s="37"/>
      <c r="V255" s="37"/>
      <c r="W255" s="37"/>
      <c r="X255" s="36"/>
      <c r="Y255" s="36"/>
      <c r="Z255" s="36"/>
      <c r="AA255" s="36"/>
      <c r="AB255" s="36"/>
      <c r="AC255" s="36"/>
      <c r="AD255" s="36"/>
      <c r="AE255" s="36"/>
    </row>
    <row r="256" spans="1:31" ht="15.75" customHeight="1" x14ac:dyDescent="0.25">
      <c r="A256" s="37"/>
      <c r="B256" s="801"/>
      <c r="C256" s="37"/>
      <c r="D256" s="37"/>
      <c r="E256" s="37"/>
      <c r="F256" s="37"/>
      <c r="G256" s="37"/>
      <c r="H256" s="37"/>
      <c r="I256" s="37"/>
      <c r="J256" s="37"/>
      <c r="K256" s="37"/>
      <c r="L256" s="37"/>
      <c r="M256" s="37"/>
      <c r="N256" s="37"/>
      <c r="O256" s="37"/>
      <c r="P256" s="37"/>
      <c r="Q256" s="37"/>
      <c r="R256" s="37"/>
      <c r="S256" s="37"/>
      <c r="T256" s="37"/>
      <c r="U256" s="37"/>
      <c r="V256" s="37"/>
      <c r="W256" s="37"/>
      <c r="X256" s="36"/>
      <c r="Y256" s="36"/>
      <c r="Z256" s="36"/>
      <c r="AA256" s="36"/>
      <c r="AB256" s="36"/>
      <c r="AC256" s="36"/>
      <c r="AD256" s="36"/>
      <c r="AE256" s="36"/>
    </row>
    <row r="257" spans="1:31" ht="15.75" customHeight="1" x14ac:dyDescent="0.25">
      <c r="A257" s="37"/>
      <c r="B257" s="801"/>
      <c r="C257" s="37"/>
      <c r="D257" s="37"/>
      <c r="E257" s="37"/>
      <c r="F257" s="37"/>
      <c r="G257" s="37"/>
      <c r="H257" s="37"/>
      <c r="I257" s="37"/>
      <c r="J257" s="37"/>
      <c r="K257" s="37"/>
      <c r="L257" s="37"/>
      <c r="M257" s="37"/>
      <c r="N257" s="37"/>
      <c r="O257" s="37"/>
      <c r="P257" s="37"/>
      <c r="Q257" s="37"/>
      <c r="R257" s="37"/>
      <c r="S257" s="37"/>
      <c r="T257" s="37"/>
      <c r="U257" s="37"/>
      <c r="V257" s="37"/>
      <c r="W257" s="37"/>
      <c r="X257" s="36"/>
      <c r="Y257" s="36"/>
      <c r="Z257" s="36"/>
      <c r="AA257" s="36"/>
      <c r="AB257" s="36"/>
      <c r="AC257" s="36"/>
      <c r="AD257" s="36"/>
      <c r="AE257" s="36"/>
    </row>
    <row r="258" spans="1:31" ht="15.75" customHeight="1" x14ac:dyDescent="0.25">
      <c r="A258" s="37"/>
      <c r="B258" s="801"/>
      <c r="C258" s="37"/>
      <c r="D258" s="37"/>
      <c r="E258" s="37"/>
      <c r="F258" s="37"/>
      <c r="G258" s="37"/>
      <c r="H258" s="37"/>
      <c r="I258" s="37"/>
      <c r="J258" s="37"/>
      <c r="K258" s="37"/>
      <c r="L258" s="37"/>
      <c r="M258" s="37"/>
      <c r="N258" s="37"/>
      <c r="O258" s="37"/>
      <c r="P258" s="37"/>
      <c r="Q258" s="37"/>
      <c r="R258" s="37"/>
      <c r="S258" s="37"/>
      <c r="T258" s="37"/>
      <c r="U258" s="37"/>
      <c r="V258" s="37"/>
      <c r="W258" s="37"/>
      <c r="X258" s="36"/>
      <c r="Y258" s="36"/>
      <c r="Z258" s="36"/>
      <c r="AA258" s="36"/>
      <c r="AB258" s="36"/>
      <c r="AC258" s="36"/>
      <c r="AD258" s="36"/>
      <c r="AE258" s="36"/>
    </row>
    <row r="259" spans="1:31" ht="15.75" customHeight="1" x14ac:dyDescent="0.25">
      <c r="A259" s="37"/>
      <c r="B259" s="801"/>
      <c r="C259" s="37"/>
      <c r="D259" s="37"/>
      <c r="E259" s="37"/>
      <c r="F259" s="37"/>
      <c r="G259" s="37"/>
      <c r="H259" s="37"/>
      <c r="I259" s="37"/>
      <c r="J259" s="37"/>
      <c r="K259" s="37"/>
      <c r="L259" s="37"/>
      <c r="M259" s="37"/>
      <c r="N259" s="37"/>
      <c r="O259" s="37"/>
      <c r="P259" s="37"/>
      <c r="Q259" s="37"/>
      <c r="R259" s="37"/>
      <c r="S259" s="37"/>
      <c r="T259" s="37"/>
      <c r="U259" s="37"/>
      <c r="V259" s="37"/>
      <c r="W259" s="37"/>
      <c r="X259" s="36"/>
      <c r="Y259" s="36"/>
      <c r="Z259" s="36"/>
      <c r="AA259" s="36"/>
      <c r="AB259" s="36"/>
      <c r="AC259" s="36"/>
      <c r="AD259" s="36"/>
      <c r="AE259" s="36"/>
    </row>
    <row r="260" spans="1:31" ht="15.75" customHeight="1" x14ac:dyDescent="0.25">
      <c r="A260" s="37"/>
      <c r="B260" s="801"/>
      <c r="C260" s="37"/>
      <c r="D260" s="37"/>
      <c r="E260" s="37"/>
      <c r="F260" s="37"/>
      <c r="G260" s="37"/>
      <c r="H260" s="37"/>
      <c r="I260" s="37"/>
      <c r="J260" s="37"/>
      <c r="K260" s="37"/>
      <c r="L260" s="37"/>
      <c r="M260" s="37"/>
      <c r="N260" s="37"/>
      <c r="O260" s="37"/>
      <c r="P260" s="37"/>
      <c r="Q260" s="37"/>
      <c r="R260" s="37"/>
      <c r="S260" s="37"/>
      <c r="T260" s="37"/>
      <c r="U260" s="37"/>
      <c r="V260" s="37"/>
      <c r="W260" s="37"/>
      <c r="X260" s="36"/>
      <c r="Y260" s="36"/>
      <c r="Z260" s="36"/>
      <c r="AA260" s="36"/>
      <c r="AB260" s="36"/>
      <c r="AC260" s="36"/>
      <c r="AD260" s="36"/>
      <c r="AE260" s="36"/>
    </row>
    <row r="261" spans="1:31" ht="15.75" customHeight="1" x14ac:dyDescent="0.25">
      <c r="A261" s="37"/>
      <c r="B261" s="801"/>
      <c r="C261" s="37"/>
      <c r="D261" s="37"/>
      <c r="E261" s="37"/>
      <c r="F261" s="37"/>
      <c r="G261" s="37"/>
      <c r="H261" s="37"/>
      <c r="I261" s="37"/>
      <c r="J261" s="37"/>
      <c r="K261" s="37"/>
      <c r="L261" s="37"/>
      <c r="M261" s="37"/>
      <c r="N261" s="37"/>
      <c r="O261" s="37"/>
      <c r="P261" s="37"/>
      <c r="Q261" s="37"/>
      <c r="R261" s="37"/>
      <c r="S261" s="37"/>
      <c r="T261" s="37"/>
      <c r="U261" s="37"/>
      <c r="V261" s="37"/>
      <c r="W261" s="37"/>
      <c r="X261" s="36"/>
      <c r="Y261" s="36"/>
      <c r="Z261" s="36"/>
      <c r="AA261" s="36"/>
      <c r="AB261" s="36"/>
      <c r="AC261" s="36"/>
      <c r="AD261" s="36"/>
      <c r="AE261" s="36"/>
    </row>
    <row r="262" spans="1:31" ht="15.75" customHeight="1" x14ac:dyDescent="0.25">
      <c r="A262" s="37"/>
      <c r="B262" s="801"/>
      <c r="C262" s="37"/>
      <c r="D262" s="37"/>
      <c r="E262" s="37"/>
      <c r="F262" s="37"/>
      <c r="G262" s="37"/>
      <c r="H262" s="37"/>
      <c r="I262" s="37"/>
      <c r="J262" s="37"/>
      <c r="K262" s="37"/>
      <c r="L262" s="37"/>
      <c r="M262" s="37"/>
      <c r="N262" s="37"/>
      <c r="O262" s="37"/>
      <c r="P262" s="37"/>
      <c r="Q262" s="37"/>
      <c r="R262" s="37"/>
      <c r="S262" s="37"/>
      <c r="T262" s="37"/>
      <c r="U262" s="37"/>
      <c r="V262" s="37"/>
      <c r="W262" s="37"/>
      <c r="X262" s="36"/>
      <c r="Y262" s="36"/>
      <c r="Z262" s="36"/>
      <c r="AA262" s="36"/>
      <c r="AB262" s="36"/>
      <c r="AC262" s="36"/>
      <c r="AD262" s="36"/>
      <c r="AE262" s="36"/>
    </row>
    <row r="263" spans="1:31" ht="15.75" customHeight="1" x14ac:dyDescent="0.25">
      <c r="A263" s="37"/>
      <c r="B263" s="801"/>
      <c r="C263" s="37"/>
      <c r="D263" s="37"/>
      <c r="E263" s="37"/>
      <c r="F263" s="37"/>
      <c r="G263" s="37"/>
      <c r="H263" s="37"/>
      <c r="I263" s="37"/>
      <c r="J263" s="37"/>
      <c r="K263" s="37"/>
      <c r="L263" s="37"/>
      <c r="M263" s="37"/>
      <c r="N263" s="37"/>
      <c r="O263" s="37"/>
      <c r="P263" s="37"/>
      <c r="Q263" s="37"/>
      <c r="R263" s="37"/>
      <c r="S263" s="37"/>
      <c r="T263" s="37"/>
      <c r="U263" s="37"/>
      <c r="V263" s="37"/>
      <c r="W263" s="37"/>
      <c r="X263" s="36"/>
      <c r="Y263" s="36"/>
      <c r="Z263" s="36"/>
      <c r="AA263" s="36"/>
      <c r="AB263" s="36"/>
      <c r="AC263" s="36"/>
      <c r="AD263" s="36"/>
      <c r="AE263" s="36"/>
    </row>
    <row r="264" spans="1:31" ht="15.75" customHeight="1" x14ac:dyDescent="0.25">
      <c r="A264" s="37"/>
      <c r="B264" s="801"/>
      <c r="C264" s="37"/>
      <c r="D264" s="37"/>
      <c r="E264" s="37"/>
      <c r="F264" s="37"/>
      <c r="G264" s="37"/>
      <c r="H264" s="37"/>
      <c r="I264" s="37"/>
      <c r="J264" s="37"/>
      <c r="K264" s="37"/>
      <c r="L264" s="37"/>
      <c r="M264" s="37"/>
      <c r="N264" s="37"/>
      <c r="O264" s="37"/>
      <c r="P264" s="37"/>
      <c r="Q264" s="37"/>
      <c r="R264" s="37"/>
      <c r="S264" s="37"/>
      <c r="T264" s="37"/>
      <c r="U264" s="37"/>
      <c r="V264" s="37"/>
      <c r="W264" s="37"/>
      <c r="X264" s="36"/>
      <c r="Y264" s="36"/>
      <c r="Z264" s="36"/>
      <c r="AA264" s="36"/>
      <c r="AB264" s="36"/>
      <c r="AC264" s="36"/>
      <c r="AD264" s="36"/>
      <c r="AE264" s="36"/>
    </row>
    <row r="265" spans="1:31" ht="15.75" customHeight="1" x14ac:dyDescent="0.25">
      <c r="A265" s="37"/>
      <c r="B265" s="801"/>
      <c r="C265" s="37"/>
      <c r="D265" s="37"/>
      <c r="E265" s="37"/>
      <c r="F265" s="37"/>
      <c r="G265" s="37"/>
      <c r="H265" s="37"/>
      <c r="I265" s="37"/>
      <c r="J265" s="37"/>
      <c r="K265" s="37"/>
      <c r="L265" s="37"/>
      <c r="M265" s="37"/>
      <c r="N265" s="37"/>
      <c r="O265" s="37"/>
      <c r="P265" s="37"/>
      <c r="Q265" s="37"/>
      <c r="R265" s="37"/>
      <c r="S265" s="37"/>
      <c r="T265" s="37"/>
      <c r="U265" s="37"/>
      <c r="V265" s="37"/>
      <c r="W265" s="37"/>
      <c r="X265" s="36"/>
      <c r="Y265" s="36"/>
      <c r="Z265" s="36"/>
      <c r="AA265" s="36"/>
      <c r="AB265" s="36"/>
      <c r="AC265" s="36"/>
      <c r="AD265" s="36"/>
      <c r="AE265" s="36"/>
    </row>
    <row r="266" spans="1:31" ht="15.75" customHeight="1" x14ac:dyDescent="0.25">
      <c r="A266" s="37"/>
      <c r="B266" s="801"/>
      <c r="C266" s="37"/>
      <c r="D266" s="37"/>
      <c r="E266" s="37"/>
      <c r="F266" s="37"/>
      <c r="G266" s="37"/>
      <c r="H266" s="37"/>
      <c r="I266" s="37"/>
      <c r="J266" s="37"/>
      <c r="K266" s="37"/>
      <c r="L266" s="37"/>
      <c r="M266" s="37"/>
      <c r="N266" s="37"/>
      <c r="O266" s="37"/>
      <c r="P266" s="37"/>
      <c r="Q266" s="37"/>
      <c r="R266" s="37"/>
      <c r="S266" s="37"/>
      <c r="T266" s="37"/>
      <c r="U266" s="37"/>
      <c r="V266" s="37"/>
      <c r="W266" s="37"/>
      <c r="X266" s="36"/>
      <c r="Y266" s="36"/>
      <c r="Z266" s="36"/>
      <c r="AA266" s="36"/>
      <c r="AB266" s="36"/>
      <c r="AC266" s="36"/>
      <c r="AD266" s="36"/>
      <c r="AE266" s="36"/>
    </row>
    <row r="267" spans="1:31" ht="15.75" customHeight="1" x14ac:dyDescent="0.25">
      <c r="A267" s="37"/>
      <c r="B267" s="801"/>
      <c r="C267" s="37"/>
      <c r="D267" s="37"/>
      <c r="E267" s="37"/>
      <c r="F267" s="37"/>
      <c r="G267" s="37"/>
      <c r="H267" s="37"/>
      <c r="I267" s="37"/>
      <c r="J267" s="37"/>
      <c r="K267" s="37"/>
      <c r="L267" s="37"/>
      <c r="M267" s="37"/>
      <c r="N267" s="37"/>
      <c r="O267" s="37"/>
      <c r="P267" s="37"/>
      <c r="Q267" s="37"/>
      <c r="R267" s="37"/>
      <c r="S267" s="37"/>
      <c r="T267" s="37"/>
      <c r="U267" s="37"/>
      <c r="V267" s="37"/>
      <c r="W267" s="37"/>
      <c r="X267" s="36"/>
      <c r="Y267" s="36"/>
      <c r="Z267" s="36"/>
      <c r="AA267" s="36"/>
      <c r="AB267" s="36"/>
      <c r="AC267" s="36"/>
      <c r="AD267" s="36"/>
      <c r="AE267" s="36"/>
    </row>
    <row r="268" spans="1:31" ht="15.75" customHeight="1" x14ac:dyDescent="0.25">
      <c r="A268" s="37"/>
      <c r="B268" s="801"/>
      <c r="C268" s="37"/>
      <c r="D268" s="37"/>
      <c r="E268" s="37"/>
      <c r="F268" s="37"/>
      <c r="G268" s="37"/>
      <c r="H268" s="37"/>
      <c r="I268" s="37"/>
      <c r="J268" s="37"/>
      <c r="K268" s="37"/>
      <c r="L268" s="37"/>
      <c r="M268" s="37"/>
      <c r="N268" s="37"/>
      <c r="O268" s="37"/>
      <c r="P268" s="37"/>
      <c r="Q268" s="37"/>
      <c r="R268" s="37"/>
      <c r="S268" s="37"/>
      <c r="T268" s="37"/>
      <c r="U268" s="37"/>
      <c r="V268" s="37"/>
      <c r="W268" s="37"/>
      <c r="X268" s="36"/>
      <c r="Y268" s="36"/>
      <c r="Z268" s="36"/>
      <c r="AA268" s="36"/>
      <c r="AB268" s="36"/>
      <c r="AC268" s="36"/>
      <c r="AD268" s="36"/>
      <c r="AE268" s="36"/>
    </row>
    <row r="269" spans="1:31" ht="15.75" customHeight="1" x14ac:dyDescent="0.25">
      <c r="A269" s="37"/>
      <c r="B269" s="801"/>
      <c r="C269" s="37"/>
      <c r="D269" s="37"/>
      <c r="E269" s="37"/>
      <c r="F269" s="37"/>
      <c r="G269" s="37"/>
      <c r="H269" s="37"/>
      <c r="I269" s="37"/>
      <c r="J269" s="37"/>
      <c r="K269" s="37"/>
      <c r="L269" s="37"/>
      <c r="M269" s="37"/>
      <c r="N269" s="37"/>
      <c r="O269" s="37"/>
      <c r="P269" s="37"/>
      <c r="Q269" s="37"/>
      <c r="R269" s="37"/>
      <c r="S269" s="37"/>
      <c r="T269" s="37"/>
      <c r="U269" s="37"/>
      <c r="V269" s="37"/>
      <c r="W269" s="37"/>
      <c r="X269" s="36"/>
      <c r="Y269" s="36"/>
      <c r="Z269" s="36"/>
      <c r="AA269" s="36"/>
      <c r="AB269" s="36"/>
      <c r="AC269" s="36"/>
      <c r="AD269" s="36"/>
      <c r="AE269" s="36"/>
    </row>
    <row r="270" spans="1:31" ht="15.75" customHeight="1" x14ac:dyDescent="0.25">
      <c r="A270" s="37"/>
      <c r="B270" s="801"/>
      <c r="C270" s="37"/>
      <c r="D270" s="37"/>
      <c r="E270" s="37"/>
      <c r="F270" s="37"/>
      <c r="G270" s="37"/>
      <c r="H270" s="37"/>
      <c r="I270" s="37"/>
      <c r="J270" s="37"/>
      <c r="K270" s="37"/>
      <c r="L270" s="37"/>
      <c r="M270" s="37"/>
      <c r="N270" s="37"/>
      <c r="O270" s="37"/>
      <c r="P270" s="37"/>
      <c r="Q270" s="37"/>
      <c r="R270" s="37"/>
      <c r="S270" s="37"/>
      <c r="T270" s="37"/>
      <c r="U270" s="37"/>
      <c r="V270" s="37"/>
      <c r="W270" s="37"/>
      <c r="X270" s="36"/>
      <c r="Y270" s="36"/>
      <c r="Z270" s="36"/>
      <c r="AA270" s="36"/>
      <c r="AB270" s="36"/>
      <c r="AC270" s="36"/>
      <c r="AD270" s="36"/>
      <c r="AE270" s="36"/>
    </row>
    <row r="271" spans="1:31" ht="15.75" customHeight="1" x14ac:dyDescent="0.25">
      <c r="A271" s="37"/>
      <c r="B271" s="801"/>
      <c r="C271" s="37"/>
      <c r="D271" s="37"/>
      <c r="E271" s="37"/>
      <c r="F271" s="37"/>
      <c r="G271" s="37"/>
      <c r="H271" s="37"/>
      <c r="I271" s="37"/>
      <c r="J271" s="37"/>
      <c r="K271" s="37"/>
      <c r="L271" s="37"/>
      <c r="M271" s="37"/>
      <c r="N271" s="37"/>
      <c r="O271" s="37"/>
      <c r="P271" s="37"/>
      <c r="Q271" s="37"/>
      <c r="R271" s="37"/>
      <c r="S271" s="37"/>
      <c r="T271" s="37"/>
      <c r="U271" s="37"/>
      <c r="V271" s="37"/>
      <c r="W271" s="37"/>
      <c r="X271" s="36"/>
      <c r="Y271" s="36"/>
      <c r="Z271" s="36"/>
      <c r="AA271" s="36"/>
      <c r="AB271" s="36"/>
      <c r="AC271" s="36"/>
      <c r="AD271" s="36"/>
      <c r="AE271" s="36"/>
    </row>
    <row r="272" spans="1:31" ht="15.75" customHeight="1" x14ac:dyDescent="0.25">
      <c r="A272" s="37"/>
      <c r="B272" s="801"/>
      <c r="C272" s="37"/>
      <c r="D272" s="37"/>
      <c r="E272" s="37"/>
      <c r="F272" s="37"/>
      <c r="G272" s="37"/>
      <c r="H272" s="37"/>
      <c r="I272" s="37"/>
      <c r="J272" s="37"/>
      <c r="K272" s="37"/>
      <c r="L272" s="37"/>
      <c r="M272" s="37"/>
      <c r="N272" s="37"/>
      <c r="O272" s="37"/>
      <c r="P272" s="37"/>
      <c r="Q272" s="37"/>
      <c r="R272" s="37"/>
      <c r="S272" s="37"/>
      <c r="T272" s="37"/>
      <c r="U272" s="37"/>
      <c r="V272" s="37"/>
      <c r="W272" s="37"/>
      <c r="X272" s="36"/>
      <c r="Y272" s="36"/>
      <c r="Z272" s="36"/>
      <c r="AA272" s="36"/>
      <c r="AB272" s="36"/>
      <c r="AC272" s="36"/>
      <c r="AD272" s="36"/>
      <c r="AE272" s="36"/>
    </row>
    <row r="273" spans="1:31" ht="15.75" customHeight="1" x14ac:dyDescent="0.25">
      <c r="A273" s="37"/>
      <c r="B273" s="801"/>
      <c r="C273" s="37"/>
      <c r="D273" s="37"/>
      <c r="E273" s="37"/>
      <c r="F273" s="37"/>
      <c r="G273" s="37"/>
      <c r="H273" s="37"/>
      <c r="I273" s="37"/>
      <c r="J273" s="37"/>
      <c r="K273" s="37"/>
      <c r="L273" s="37"/>
      <c r="M273" s="37"/>
      <c r="N273" s="37"/>
      <c r="O273" s="37"/>
      <c r="P273" s="37"/>
      <c r="Q273" s="37"/>
      <c r="R273" s="37"/>
      <c r="S273" s="37"/>
      <c r="T273" s="37"/>
      <c r="U273" s="37"/>
      <c r="V273" s="37"/>
      <c r="W273" s="37"/>
      <c r="X273" s="36"/>
      <c r="Y273" s="36"/>
      <c r="Z273" s="36"/>
      <c r="AA273" s="36"/>
      <c r="AB273" s="36"/>
      <c r="AC273" s="36"/>
      <c r="AD273" s="36"/>
      <c r="AE273" s="36"/>
    </row>
    <row r="274" spans="1:31" ht="15.75" customHeight="1" x14ac:dyDescent="0.25">
      <c r="A274" s="37"/>
      <c r="B274" s="801"/>
      <c r="C274" s="37"/>
      <c r="D274" s="37"/>
      <c r="E274" s="37"/>
      <c r="F274" s="37"/>
      <c r="G274" s="37"/>
      <c r="H274" s="37"/>
      <c r="I274" s="37"/>
      <c r="J274" s="37"/>
      <c r="K274" s="37"/>
      <c r="L274" s="37"/>
      <c r="M274" s="37"/>
      <c r="N274" s="37"/>
      <c r="O274" s="37"/>
      <c r="P274" s="37"/>
      <c r="Q274" s="37"/>
      <c r="R274" s="37"/>
      <c r="S274" s="37"/>
      <c r="T274" s="37"/>
      <c r="U274" s="37"/>
      <c r="V274" s="37"/>
      <c r="W274" s="37"/>
      <c r="X274" s="36"/>
      <c r="Y274" s="36"/>
      <c r="Z274" s="36"/>
      <c r="AA274" s="36"/>
      <c r="AB274" s="36"/>
      <c r="AC274" s="36"/>
      <c r="AD274" s="36"/>
      <c r="AE274" s="36"/>
    </row>
    <row r="275" spans="1:31" ht="15.75" customHeight="1" x14ac:dyDescent="0.25">
      <c r="A275" s="37"/>
      <c r="B275" s="801"/>
      <c r="C275" s="37"/>
      <c r="D275" s="37"/>
      <c r="E275" s="37"/>
      <c r="F275" s="37"/>
      <c r="G275" s="37"/>
      <c r="H275" s="37"/>
      <c r="I275" s="37"/>
      <c r="J275" s="37"/>
      <c r="K275" s="37"/>
      <c r="L275" s="37"/>
      <c r="M275" s="37"/>
      <c r="N275" s="37"/>
      <c r="O275" s="37"/>
      <c r="P275" s="37"/>
      <c r="Q275" s="37"/>
      <c r="R275" s="37"/>
      <c r="S275" s="37"/>
      <c r="T275" s="37"/>
      <c r="U275" s="37"/>
      <c r="V275" s="37"/>
      <c r="W275" s="37"/>
      <c r="X275" s="36"/>
      <c r="Y275" s="36"/>
      <c r="Z275" s="36"/>
      <c r="AA275" s="36"/>
      <c r="AB275" s="36"/>
      <c r="AC275" s="36"/>
      <c r="AD275" s="36"/>
      <c r="AE275" s="36"/>
    </row>
    <row r="276" spans="1:31" ht="15.75" customHeight="1" x14ac:dyDescent="0.25">
      <c r="A276" s="37"/>
      <c r="B276" s="801"/>
      <c r="C276" s="37"/>
      <c r="D276" s="37"/>
      <c r="E276" s="37"/>
      <c r="F276" s="37"/>
      <c r="G276" s="37"/>
      <c r="H276" s="37"/>
      <c r="I276" s="37"/>
      <c r="J276" s="37"/>
      <c r="K276" s="37"/>
      <c r="L276" s="37"/>
      <c r="M276" s="37"/>
      <c r="N276" s="37"/>
      <c r="O276" s="37"/>
      <c r="P276" s="37"/>
      <c r="Q276" s="37"/>
      <c r="R276" s="37"/>
      <c r="S276" s="37"/>
      <c r="T276" s="37"/>
      <c r="U276" s="37"/>
      <c r="V276" s="37"/>
      <c r="W276" s="37"/>
      <c r="X276" s="36"/>
      <c r="Y276" s="36"/>
      <c r="Z276" s="36"/>
      <c r="AA276" s="36"/>
      <c r="AB276" s="36"/>
      <c r="AC276" s="36"/>
      <c r="AD276" s="36"/>
      <c r="AE276" s="36"/>
    </row>
    <row r="277" spans="1:31" ht="15.75" customHeight="1" x14ac:dyDescent="0.25">
      <c r="A277" s="37"/>
      <c r="B277" s="801"/>
      <c r="C277" s="37"/>
      <c r="D277" s="37"/>
      <c r="E277" s="37"/>
      <c r="F277" s="37"/>
      <c r="G277" s="37"/>
      <c r="H277" s="37"/>
      <c r="I277" s="37"/>
      <c r="J277" s="37"/>
      <c r="K277" s="37"/>
      <c r="L277" s="37"/>
      <c r="M277" s="37"/>
      <c r="N277" s="37"/>
      <c r="O277" s="37"/>
      <c r="P277" s="37"/>
      <c r="Q277" s="37"/>
      <c r="R277" s="37"/>
      <c r="S277" s="37"/>
      <c r="T277" s="37"/>
      <c r="U277" s="37"/>
      <c r="V277" s="37"/>
      <c r="W277" s="37"/>
      <c r="X277" s="36"/>
      <c r="Y277" s="36"/>
      <c r="Z277" s="36"/>
      <c r="AA277" s="36"/>
      <c r="AB277" s="36"/>
      <c r="AC277" s="36"/>
      <c r="AD277" s="36"/>
      <c r="AE277" s="36"/>
    </row>
    <row r="278" spans="1:31" ht="15.75" customHeight="1" x14ac:dyDescent="0.25">
      <c r="A278" s="37"/>
      <c r="B278" s="801"/>
      <c r="C278" s="37"/>
      <c r="D278" s="37"/>
      <c r="E278" s="37"/>
      <c r="F278" s="37"/>
      <c r="G278" s="37"/>
      <c r="H278" s="37"/>
      <c r="I278" s="37"/>
      <c r="J278" s="37"/>
      <c r="K278" s="37"/>
      <c r="L278" s="37"/>
      <c r="M278" s="37"/>
      <c r="N278" s="37"/>
      <c r="O278" s="37"/>
      <c r="P278" s="37"/>
      <c r="Q278" s="37"/>
      <c r="R278" s="37"/>
      <c r="S278" s="37"/>
      <c r="T278" s="37"/>
      <c r="U278" s="37"/>
      <c r="V278" s="37"/>
      <c r="W278" s="37"/>
      <c r="X278" s="36"/>
      <c r="Y278" s="36"/>
      <c r="Z278" s="36"/>
      <c r="AA278" s="36"/>
      <c r="AB278" s="36"/>
      <c r="AC278" s="36"/>
      <c r="AD278" s="36"/>
      <c r="AE278" s="36"/>
    </row>
    <row r="279" spans="1:31" ht="15.75" customHeight="1" x14ac:dyDescent="0.25">
      <c r="A279" s="37"/>
      <c r="B279" s="801"/>
      <c r="C279" s="37"/>
      <c r="D279" s="37"/>
      <c r="E279" s="37"/>
      <c r="F279" s="37"/>
      <c r="G279" s="37"/>
      <c r="H279" s="37"/>
      <c r="I279" s="37"/>
      <c r="J279" s="37"/>
      <c r="K279" s="37"/>
      <c r="L279" s="37"/>
      <c r="M279" s="37"/>
      <c r="N279" s="37"/>
      <c r="O279" s="37"/>
      <c r="P279" s="37"/>
      <c r="Q279" s="37"/>
      <c r="R279" s="37"/>
      <c r="S279" s="37"/>
      <c r="T279" s="37"/>
      <c r="U279" s="37"/>
      <c r="V279" s="37"/>
      <c r="W279" s="37"/>
      <c r="X279" s="36"/>
      <c r="Y279" s="36"/>
      <c r="Z279" s="36"/>
      <c r="AA279" s="36"/>
      <c r="AB279" s="36"/>
      <c r="AC279" s="36"/>
      <c r="AD279" s="36"/>
      <c r="AE279" s="36"/>
    </row>
    <row r="280" spans="1:31" ht="15.75" customHeight="1" x14ac:dyDescent="0.25">
      <c r="A280" s="37"/>
      <c r="B280" s="801"/>
      <c r="C280" s="37"/>
      <c r="D280" s="37"/>
      <c r="E280" s="37"/>
      <c r="F280" s="37"/>
      <c r="G280" s="37"/>
      <c r="H280" s="37"/>
      <c r="I280" s="37"/>
      <c r="J280" s="37"/>
      <c r="K280" s="37"/>
      <c r="L280" s="37"/>
      <c r="M280" s="37"/>
      <c r="N280" s="37"/>
      <c r="O280" s="37"/>
      <c r="P280" s="37"/>
      <c r="Q280" s="37"/>
      <c r="R280" s="37"/>
      <c r="S280" s="37"/>
      <c r="T280" s="37"/>
      <c r="U280" s="37"/>
      <c r="V280" s="37"/>
      <c r="W280" s="37"/>
      <c r="X280" s="36"/>
      <c r="Y280" s="36"/>
      <c r="Z280" s="36"/>
      <c r="AA280" s="36"/>
      <c r="AB280" s="36"/>
      <c r="AC280" s="36"/>
      <c r="AD280" s="36"/>
      <c r="AE280" s="36"/>
    </row>
    <row r="281" spans="1:31" ht="15.75" customHeight="1" x14ac:dyDescent="0.25">
      <c r="A281" s="37"/>
      <c r="B281" s="801"/>
      <c r="C281" s="37"/>
      <c r="D281" s="37"/>
      <c r="E281" s="37"/>
      <c r="F281" s="37"/>
      <c r="G281" s="37"/>
      <c r="H281" s="37"/>
      <c r="I281" s="37"/>
      <c r="J281" s="37"/>
      <c r="K281" s="37"/>
      <c r="L281" s="37"/>
      <c r="M281" s="37"/>
      <c r="N281" s="37"/>
      <c r="O281" s="37"/>
      <c r="P281" s="37"/>
      <c r="Q281" s="37"/>
      <c r="R281" s="37"/>
      <c r="S281" s="37"/>
      <c r="T281" s="37"/>
      <c r="U281" s="37"/>
      <c r="V281" s="37"/>
      <c r="W281" s="37"/>
      <c r="X281" s="36"/>
      <c r="Y281" s="36"/>
      <c r="Z281" s="36"/>
      <c r="AA281" s="36"/>
      <c r="AB281" s="36"/>
      <c r="AC281" s="36"/>
      <c r="AD281" s="36"/>
      <c r="AE281" s="36"/>
    </row>
    <row r="282" spans="1:31" ht="15.75" customHeight="1" x14ac:dyDescent="0.25">
      <c r="A282" s="37"/>
      <c r="B282" s="801"/>
      <c r="C282" s="37"/>
      <c r="D282" s="37"/>
      <c r="E282" s="37"/>
      <c r="F282" s="37"/>
      <c r="G282" s="37"/>
      <c r="H282" s="37"/>
      <c r="I282" s="37"/>
      <c r="J282" s="37"/>
      <c r="K282" s="37"/>
      <c r="L282" s="37"/>
      <c r="M282" s="37"/>
      <c r="N282" s="37"/>
      <c r="O282" s="37"/>
      <c r="P282" s="37"/>
      <c r="Q282" s="37"/>
      <c r="R282" s="37"/>
      <c r="S282" s="37"/>
      <c r="T282" s="37"/>
      <c r="U282" s="37"/>
      <c r="V282" s="37"/>
      <c r="W282" s="37"/>
      <c r="X282" s="36"/>
      <c r="Y282" s="36"/>
      <c r="Z282" s="36"/>
      <c r="AA282" s="36"/>
      <c r="AB282" s="36"/>
      <c r="AC282" s="36"/>
      <c r="AD282" s="36"/>
      <c r="AE282" s="36"/>
    </row>
    <row r="283" spans="1:31" ht="15.75" customHeight="1" x14ac:dyDescent="0.25">
      <c r="A283" s="37"/>
      <c r="B283" s="801"/>
      <c r="C283" s="37"/>
      <c r="D283" s="37"/>
      <c r="E283" s="37"/>
      <c r="F283" s="37"/>
      <c r="G283" s="37"/>
      <c r="H283" s="37"/>
      <c r="I283" s="37"/>
      <c r="J283" s="37"/>
      <c r="K283" s="37"/>
      <c r="L283" s="37"/>
      <c r="M283" s="37"/>
      <c r="N283" s="37"/>
      <c r="O283" s="37"/>
      <c r="P283" s="37"/>
      <c r="Q283" s="37"/>
      <c r="R283" s="37"/>
      <c r="S283" s="37"/>
      <c r="T283" s="37"/>
      <c r="U283" s="37"/>
      <c r="V283" s="37"/>
      <c r="W283" s="37"/>
      <c r="X283" s="36"/>
      <c r="Y283" s="36"/>
      <c r="Z283" s="36"/>
      <c r="AA283" s="36"/>
      <c r="AB283" s="36"/>
      <c r="AC283" s="36"/>
      <c r="AD283" s="36"/>
      <c r="AE283" s="36"/>
    </row>
    <row r="284" spans="1:31" ht="15.75" customHeight="1" x14ac:dyDescent="0.25">
      <c r="A284" s="37"/>
      <c r="B284" s="801"/>
      <c r="C284" s="37"/>
      <c r="D284" s="37"/>
      <c r="E284" s="37"/>
      <c r="F284" s="37"/>
      <c r="G284" s="37"/>
      <c r="H284" s="37"/>
      <c r="I284" s="37"/>
      <c r="J284" s="37"/>
      <c r="K284" s="37"/>
      <c r="L284" s="37"/>
      <c r="M284" s="37"/>
      <c r="N284" s="37"/>
      <c r="O284" s="37"/>
      <c r="P284" s="37"/>
      <c r="Q284" s="37"/>
      <c r="R284" s="37"/>
      <c r="S284" s="37"/>
      <c r="T284" s="37"/>
      <c r="U284" s="37"/>
      <c r="V284" s="37"/>
      <c r="W284" s="37"/>
      <c r="X284" s="36"/>
      <c r="Y284" s="36"/>
      <c r="Z284" s="36"/>
      <c r="AA284" s="36"/>
      <c r="AB284" s="36"/>
      <c r="AC284" s="36"/>
      <c r="AD284" s="36"/>
      <c r="AE284" s="36"/>
    </row>
    <row r="285" spans="1:31" ht="15.75" customHeight="1" x14ac:dyDescent="0.25">
      <c r="A285" s="37"/>
      <c r="B285" s="801"/>
      <c r="C285" s="37"/>
      <c r="D285" s="37"/>
      <c r="E285" s="37"/>
      <c r="F285" s="37"/>
      <c r="G285" s="37"/>
      <c r="H285" s="37"/>
      <c r="I285" s="37"/>
      <c r="J285" s="37"/>
      <c r="K285" s="37"/>
      <c r="L285" s="37"/>
      <c r="M285" s="37"/>
      <c r="N285" s="37"/>
      <c r="O285" s="37"/>
      <c r="P285" s="37"/>
      <c r="Q285" s="37"/>
      <c r="R285" s="37"/>
      <c r="S285" s="37"/>
      <c r="T285" s="37"/>
      <c r="U285" s="37"/>
      <c r="V285" s="37"/>
      <c r="W285" s="37"/>
      <c r="X285" s="36"/>
      <c r="Y285" s="36"/>
      <c r="Z285" s="36"/>
      <c r="AA285" s="36"/>
      <c r="AB285" s="36"/>
      <c r="AC285" s="36"/>
      <c r="AD285" s="36"/>
      <c r="AE285" s="36"/>
    </row>
    <row r="286" spans="1:31" ht="15.75" customHeight="1" x14ac:dyDescent="0.25">
      <c r="A286" s="37"/>
      <c r="B286" s="801"/>
      <c r="C286" s="37"/>
      <c r="D286" s="37"/>
      <c r="E286" s="37"/>
      <c r="F286" s="37"/>
      <c r="G286" s="37"/>
      <c r="H286" s="37"/>
      <c r="I286" s="37"/>
      <c r="J286" s="37"/>
      <c r="K286" s="37"/>
      <c r="L286" s="37"/>
      <c r="M286" s="37"/>
      <c r="N286" s="37"/>
      <c r="O286" s="37"/>
      <c r="P286" s="37"/>
      <c r="Q286" s="37"/>
      <c r="R286" s="37"/>
      <c r="S286" s="37"/>
      <c r="T286" s="37"/>
      <c r="U286" s="37"/>
      <c r="V286" s="37"/>
      <c r="W286" s="37"/>
      <c r="X286" s="36"/>
      <c r="Y286" s="36"/>
      <c r="Z286" s="36"/>
      <c r="AA286" s="36"/>
      <c r="AB286" s="36"/>
      <c r="AC286" s="36"/>
      <c r="AD286" s="36"/>
      <c r="AE286" s="36"/>
    </row>
    <row r="287" spans="1:31" ht="15.75" customHeight="1" x14ac:dyDescent="0.25">
      <c r="A287" s="37"/>
      <c r="B287" s="801"/>
      <c r="C287" s="37"/>
      <c r="D287" s="37"/>
      <c r="E287" s="37"/>
      <c r="F287" s="37"/>
      <c r="G287" s="37"/>
      <c r="H287" s="37"/>
      <c r="I287" s="37"/>
      <c r="J287" s="37"/>
      <c r="K287" s="37"/>
      <c r="L287" s="37"/>
      <c r="M287" s="37"/>
      <c r="N287" s="37"/>
      <c r="O287" s="37"/>
      <c r="P287" s="37"/>
      <c r="Q287" s="37"/>
      <c r="R287" s="37"/>
      <c r="S287" s="37"/>
      <c r="T287" s="37"/>
      <c r="U287" s="37"/>
      <c r="V287" s="37"/>
      <c r="W287" s="37"/>
      <c r="X287" s="36"/>
      <c r="Y287" s="36"/>
      <c r="Z287" s="36"/>
      <c r="AA287" s="36"/>
      <c r="AB287" s="36"/>
      <c r="AC287" s="36"/>
      <c r="AD287" s="36"/>
      <c r="AE287" s="36"/>
    </row>
    <row r="288" spans="1:31" ht="15.75" customHeight="1" x14ac:dyDescent="0.25">
      <c r="A288" s="37"/>
      <c r="B288" s="801"/>
      <c r="C288" s="37"/>
      <c r="D288" s="37"/>
      <c r="E288" s="37"/>
      <c r="F288" s="37"/>
      <c r="G288" s="37"/>
      <c r="H288" s="37"/>
      <c r="I288" s="37"/>
      <c r="J288" s="37"/>
      <c r="K288" s="37"/>
      <c r="L288" s="37"/>
      <c r="M288" s="37"/>
      <c r="N288" s="37"/>
      <c r="O288" s="37"/>
      <c r="P288" s="37"/>
      <c r="Q288" s="37"/>
      <c r="R288" s="37"/>
      <c r="S288" s="37"/>
      <c r="T288" s="37"/>
      <c r="U288" s="37"/>
      <c r="V288" s="37"/>
      <c r="W288" s="37"/>
      <c r="X288" s="36"/>
      <c r="Y288" s="36"/>
      <c r="Z288" s="36"/>
      <c r="AA288" s="36"/>
      <c r="AB288" s="36"/>
      <c r="AC288" s="36"/>
      <c r="AD288" s="36"/>
      <c r="AE288" s="36"/>
    </row>
    <row r="289" spans="1:31" ht="15.75" customHeight="1" x14ac:dyDescent="0.25">
      <c r="A289" s="37"/>
      <c r="B289" s="801"/>
      <c r="C289" s="37"/>
      <c r="D289" s="37"/>
      <c r="E289" s="37"/>
      <c r="F289" s="37"/>
      <c r="G289" s="37"/>
      <c r="H289" s="37"/>
      <c r="I289" s="37"/>
      <c r="J289" s="37"/>
      <c r="K289" s="37"/>
      <c r="L289" s="37"/>
      <c r="M289" s="37"/>
      <c r="N289" s="37"/>
      <c r="O289" s="37"/>
      <c r="P289" s="37"/>
      <c r="Q289" s="37"/>
      <c r="R289" s="37"/>
      <c r="S289" s="37"/>
      <c r="T289" s="37"/>
      <c r="U289" s="37"/>
      <c r="V289" s="37"/>
      <c r="W289" s="37"/>
      <c r="X289" s="36"/>
      <c r="Y289" s="36"/>
      <c r="Z289" s="36"/>
      <c r="AA289" s="36"/>
      <c r="AB289" s="36"/>
      <c r="AC289" s="36"/>
      <c r="AD289" s="36"/>
      <c r="AE289" s="36"/>
    </row>
    <row r="290" spans="1:31" ht="15.75" customHeight="1" x14ac:dyDescent="0.25">
      <c r="A290" s="37"/>
      <c r="B290" s="801"/>
      <c r="C290" s="37"/>
      <c r="D290" s="37"/>
      <c r="E290" s="37"/>
      <c r="F290" s="37"/>
      <c r="G290" s="37"/>
      <c r="H290" s="37"/>
      <c r="I290" s="37"/>
      <c r="J290" s="37"/>
      <c r="K290" s="37"/>
      <c r="L290" s="37"/>
      <c r="M290" s="37"/>
      <c r="N290" s="37"/>
      <c r="O290" s="37"/>
      <c r="P290" s="37"/>
      <c r="Q290" s="37"/>
      <c r="R290" s="37"/>
      <c r="S290" s="37"/>
      <c r="T290" s="37"/>
      <c r="U290" s="37"/>
      <c r="V290" s="37"/>
      <c r="W290" s="37"/>
      <c r="X290" s="36"/>
      <c r="Y290" s="36"/>
      <c r="Z290" s="36"/>
      <c r="AA290" s="36"/>
      <c r="AB290" s="36"/>
      <c r="AC290" s="36"/>
      <c r="AD290" s="36"/>
      <c r="AE290" s="36"/>
    </row>
    <row r="291" spans="1:31" ht="15.75" customHeight="1" x14ac:dyDescent="0.25">
      <c r="A291" s="37"/>
      <c r="B291" s="801"/>
      <c r="C291" s="37"/>
      <c r="D291" s="37"/>
      <c r="E291" s="37"/>
      <c r="F291" s="37"/>
      <c r="G291" s="37"/>
      <c r="H291" s="37"/>
      <c r="I291" s="37"/>
      <c r="J291" s="37"/>
      <c r="K291" s="37"/>
      <c r="L291" s="37"/>
      <c r="M291" s="37"/>
      <c r="N291" s="37"/>
      <c r="O291" s="37"/>
      <c r="P291" s="37"/>
      <c r="Q291" s="37"/>
      <c r="R291" s="37"/>
      <c r="S291" s="37"/>
      <c r="T291" s="37"/>
      <c r="U291" s="37"/>
      <c r="V291" s="37"/>
      <c r="W291" s="37"/>
      <c r="X291" s="36"/>
      <c r="Y291" s="36"/>
      <c r="Z291" s="36"/>
      <c r="AA291" s="36"/>
      <c r="AB291" s="36"/>
      <c r="AC291" s="36"/>
      <c r="AD291" s="36"/>
      <c r="AE291" s="36"/>
    </row>
    <row r="292" spans="1:31" ht="15.75" customHeight="1" x14ac:dyDescent="0.25">
      <c r="A292" s="37"/>
      <c r="B292" s="801"/>
      <c r="C292" s="37"/>
      <c r="D292" s="37"/>
      <c r="E292" s="37"/>
      <c r="F292" s="37"/>
      <c r="G292" s="37"/>
      <c r="H292" s="37"/>
      <c r="I292" s="37"/>
      <c r="J292" s="37"/>
      <c r="K292" s="37"/>
      <c r="L292" s="37"/>
      <c r="M292" s="37"/>
      <c r="N292" s="37"/>
      <c r="O292" s="37"/>
      <c r="P292" s="37"/>
      <c r="Q292" s="37"/>
      <c r="R292" s="37"/>
      <c r="S292" s="37"/>
      <c r="T292" s="37"/>
      <c r="U292" s="37"/>
      <c r="V292" s="37"/>
      <c r="W292" s="37"/>
      <c r="X292" s="36"/>
      <c r="Y292" s="36"/>
      <c r="Z292" s="36"/>
      <c r="AA292" s="36"/>
      <c r="AB292" s="36"/>
      <c r="AC292" s="36"/>
      <c r="AD292" s="36"/>
      <c r="AE292" s="36"/>
    </row>
    <row r="293" spans="1:31" ht="15.75" customHeight="1" x14ac:dyDescent="0.25">
      <c r="A293" s="37"/>
      <c r="B293" s="801"/>
      <c r="C293" s="37"/>
      <c r="D293" s="37"/>
      <c r="E293" s="37"/>
      <c r="F293" s="37"/>
      <c r="G293" s="37"/>
      <c r="H293" s="37"/>
      <c r="I293" s="37"/>
      <c r="J293" s="37"/>
      <c r="K293" s="37"/>
      <c r="L293" s="37"/>
      <c r="M293" s="37"/>
      <c r="N293" s="37"/>
      <c r="O293" s="37"/>
      <c r="P293" s="37"/>
      <c r="Q293" s="37"/>
      <c r="R293" s="37"/>
      <c r="S293" s="37"/>
      <c r="T293" s="37"/>
      <c r="U293" s="37"/>
      <c r="V293" s="37"/>
      <c r="W293" s="37"/>
      <c r="X293" s="36"/>
      <c r="Y293" s="36"/>
      <c r="Z293" s="36"/>
      <c r="AA293" s="36"/>
      <c r="AB293" s="36"/>
      <c r="AC293" s="36"/>
      <c r="AD293" s="36"/>
      <c r="AE293" s="36"/>
    </row>
    <row r="294" spans="1:31" ht="15.75" customHeight="1" x14ac:dyDescent="0.25">
      <c r="A294" s="37"/>
      <c r="B294" s="801"/>
      <c r="C294" s="37"/>
      <c r="D294" s="37"/>
      <c r="E294" s="37"/>
      <c r="F294" s="37"/>
      <c r="G294" s="37"/>
      <c r="H294" s="37"/>
      <c r="I294" s="37"/>
      <c r="J294" s="37"/>
      <c r="K294" s="37"/>
      <c r="L294" s="37"/>
      <c r="M294" s="37"/>
      <c r="N294" s="37"/>
      <c r="O294" s="37"/>
      <c r="P294" s="37"/>
      <c r="Q294" s="37"/>
      <c r="R294" s="37"/>
      <c r="S294" s="37"/>
      <c r="T294" s="37"/>
      <c r="U294" s="37"/>
      <c r="V294" s="37"/>
      <c r="W294" s="37"/>
      <c r="X294" s="36"/>
      <c r="Y294" s="36"/>
      <c r="Z294" s="36"/>
      <c r="AA294" s="36"/>
      <c r="AB294" s="36"/>
      <c r="AC294" s="36"/>
      <c r="AD294" s="36"/>
      <c r="AE294" s="36"/>
    </row>
    <row r="295" spans="1:31" ht="15.75" customHeight="1" x14ac:dyDescent="0.25">
      <c r="A295" s="37"/>
      <c r="B295" s="801"/>
      <c r="C295" s="37"/>
      <c r="D295" s="37"/>
      <c r="E295" s="37"/>
      <c r="F295" s="37"/>
      <c r="G295" s="37"/>
      <c r="H295" s="37"/>
      <c r="I295" s="37"/>
      <c r="J295" s="37"/>
      <c r="K295" s="37"/>
      <c r="L295" s="37"/>
      <c r="M295" s="37"/>
      <c r="N295" s="37"/>
      <c r="O295" s="37"/>
      <c r="P295" s="37"/>
      <c r="Q295" s="37"/>
      <c r="R295" s="37"/>
      <c r="S295" s="37"/>
      <c r="T295" s="37"/>
      <c r="U295" s="37"/>
      <c r="V295" s="37"/>
      <c r="W295" s="37"/>
      <c r="X295" s="36"/>
      <c r="Y295" s="36"/>
      <c r="Z295" s="36"/>
      <c r="AA295" s="36"/>
      <c r="AB295" s="36"/>
      <c r="AC295" s="36"/>
      <c r="AD295" s="36"/>
      <c r="AE295" s="36"/>
    </row>
    <row r="296" spans="1:31" ht="15.75" customHeight="1" x14ac:dyDescent="0.25">
      <c r="A296" s="37"/>
      <c r="B296" s="801"/>
      <c r="C296" s="37"/>
      <c r="D296" s="37"/>
      <c r="E296" s="37"/>
      <c r="F296" s="37"/>
      <c r="G296" s="37"/>
      <c r="H296" s="37"/>
      <c r="I296" s="37"/>
      <c r="J296" s="37"/>
      <c r="K296" s="37"/>
      <c r="L296" s="37"/>
      <c r="M296" s="37"/>
      <c r="N296" s="37"/>
      <c r="O296" s="37"/>
      <c r="P296" s="37"/>
      <c r="Q296" s="37"/>
      <c r="R296" s="37"/>
      <c r="S296" s="37"/>
      <c r="T296" s="37"/>
      <c r="U296" s="37"/>
      <c r="V296" s="37"/>
      <c r="W296" s="37"/>
      <c r="X296" s="36"/>
      <c r="Y296" s="36"/>
      <c r="Z296" s="36"/>
      <c r="AA296" s="36"/>
      <c r="AB296" s="36"/>
      <c r="AC296" s="36"/>
      <c r="AD296" s="36"/>
      <c r="AE296" s="36"/>
    </row>
    <row r="297" spans="1:31" ht="15.75" customHeight="1" x14ac:dyDescent="0.25">
      <c r="A297" s="37"/>
      <c r="B297" s="801"/>
      <c r="C297" s="37"/>
      <c r="D297" s="37"/>
      <c r="E297" s="37"/>
      <c r="F297" s="37"/>
      <c r="G297" s="37"/>
      <c r="H297" s="37"/>
      <c r="I297" s="37"/>
      <c r="J297" s="37"/>
      <c r="K297" s="37"/>
      <c r="L297" s="37"/>
      <c r="M297" s="37"/>
      <c r="N297" s="37"/>
      <c r="O297" s="37"/>
      <c r="P297" s="37"/>
      <c r="Q297" s="37"/>
      <c r="R297" s="37"/>
      <c r="S297" s="37"/>
      <c r="T297" s="37"/>
      <c r="U297" s="37"/>
      <c r="V297" s="37"/>
      <c r="W297" s="37"/>
      <c r="X297" s="36"/>
      <c r="Y297" s="36"/>
      <c r="Z297" s="36"/>
      <c r="AA297" s="36"/>
      <c r="AB297" s="36"/>
      <c r="AC297" s="36"/>
      <c r="AD297" s="36"/>
      <c r="AE297" s="36"/>
    </row>
    <row r="298" spans="1:31" ht="15.75" customHeight="1" x14ac:dyDescent="0.25">
      <c r="A298" s="37"/>
      <c r="B298" s="801"/>
      <c r="C298" s="37"/>
      <c r="D298" s="37"/>
      <c r="E298" s="37"/>
      <c r="F298" s="37"/>
      <c r="G298" s="37"/>
      <c r="H298" s="37"/>
      <c r="I298" s="37"/>
      <c r="J298" s="37"/>
      <c r="K298" s="37"/>
      <c r="L298" s="37"/>
      <c r="M298" s="37"/>
      <c r="N298" s="37"/>
      <c r="O298" s="37"/>
      <c r="P298" s="37"/>
      <c r="Q298" s="37"/>
      <c r="R298" s="37"/>
      <c r="S298" s="37"/>
      <c r="T298" s="37"/>
      <c r="U298" s="37"/>
      <c r="V298" s="37"/>
      <c r="W298" s="37"/>
      <c r="X298" s="36"/>
      <c r="Y298" s="36"/>
      <c r="Z298" s="36"/>
      <c r="AA298" s="36"/>
      <c r="AB298" s="36"/>
      <c r="AC298" s="36"/>
      <c r="AD298" s="36"/>
      <c r="AE298" s="36"/>
    </row>
    <row r="299" spans="1:31" ht="15.75" customHeight="1" x14ac:dyDescent="0.25">
      <c r="A299" s="37"/>
      <c r="B299" s="801"/>
      <c r="C299" s="37"/>
      <c r="D299" s="37"/>
      <c r="E299" s="37"/>
      <c r="F299" s="37"/>
      <c r="G299" s="37"/>
      <c r="H299" s="37"/>
      <c r="I299" s="37"/>
      <c r="J299" s="37"/>
      <c r="K299" s="37"/>
      <c r="L299" s="37"/>
      <c r="M299" s="37"/>
      <c r="N299" s="37"/>
      <c r="O299" s="37"/>
      <c r="P299" s="37"/>
      <c r="Q299" s="37"/>
      <c r="R299" s="37"/>
      <c r="S299" s="37"/>
      <c r="T299" s="37"/>
      <c r="U299" s="37"/>
      <c r="V299" s="37"/>
      <c r="W299" s="37"/>
      <c r="X299" s="36"/>
      <c r="Y299" s="36"/>
      <c r="Z299" s="36"/>
      <c r="AA299" s="36"/>
      <c r="AB299" s="36"/>
      <c r="AC299" s="36"/>
      <c r="AD299" s="36"/>
      <c r="AE299" s="36"/>
    </row>
    <row r="300" spans="1:31" ht="15.75" customHeight="1" x14ac:dyDescent="0.25">
      <c r="A300" s="37"/>
      <c r="B300" s="801"/>
      <c r="C300" s="37"/>
      <c r="D300" s="37"/>
      <c r="E300" s="37"/>
      <c r="F300" s="37"/>
      <c r="G300" s="37"/>
      <c r="H300" s="37"/>
      <c r="I300" s="37"/>
      <c r="J300" s="37"/>
      <c r="K300" s="37"/>
      <c r="L300" s="37"/>
      <c r="M300" s="37"/>
      <c r="N300" s="37"/>
      <c r="O300" s="37"/>
      <c r="P300" s="37"/>
      <c r="Q300" s="37"/>
      <c r="R300" s="37"/>
      <c r="S300" s="37"/>
      <c r="T300" s="37"/>
      <c r="U300" s="37"/>
      <c r="V300" s="37"/>
      <c r="W300" s="37"/>
      <c r="X300" s="36"/>
      <c r="Y300" s="36"/>
      <c r="Z300" s="36"/>
      <c r="AA300" s="36"/>
      <c r="AB300" s="36"/>
      <c r="AC300" s="36"/>
      <c r="AD300" s="36"/>
      <c r="AE300" s="36"/>
    </row>
    <row r="301" spans="1:31" ht="15.75" customHeight="1" x14ac:dyDescent="0.25">
      <c r="A301" s="37"/>
      <c r="B301" s="801"/>
      <c r="C301" s="37"/>
      <c r="D301" s="37"/>
      <c r="E301" s="37"/>
      <c r="F301" s="37"/>
      <c r="G301" s="37"/>
      <c r="H301" s="37"/>
      <c r="I301" s="37"/>
      <c r="J301" s="37"/>
      <c r="K301" s="37"/>
      <c r="L301" s="37"/>
      <c r="M301" s="37"/>
      <c r="N301" s="37"/>
      <c r="O301" s="37"/>
      <c r="P301" s="37"/>
      <c r="Q301" s="37"/>
      <c r="R301" s="37"/>
      <c r="S301" s="37"/>
      <c r="T301" s="37"/>
      <c r="U301" s="37"/>
      <c r="V301" s="37"/>
      <c r="W301" s="37"/>
      <c r="X301" s="36"/>
      <c r="Y301" s="36"/>
      <c r="Z301" s="36"/>
      <c r="AA301" s="36"/>
      <c r="AB301" s="36"/>
      <c r="AC301" s="36"/>
      <c r="AD301" s="36"/>
      <c r="AE301" s="36"/>
    </row>
    <row r="302" spans="1:31" ht="15.75" customHeight="1" x14ac:dyDescent="0.25">
      <c r="A302" s="37"/>
      <c r="B302" s="801"/>
      <c r="C302" s="37"/>
      <c r="D302" s="37"/>
      <c r="E302" s="37"/>
      <c r="F302" s="37"/>
      <c r="G302" s="37"/>
      <c r="H302" s="37"/>
      <c r="I302" s="37"/>
      <c r="J302" s="37"/>
      <c r="K302" s="37"/>
      <c r="L302" s="37"/>
      <c r="M302" s="37"/>
      <c r="N302" s="37"/>
      <c r="O302" s="37"/>
      <c r="P302" s="37"/>
      <c r="Q302" s="37"/>
      <c r="R302" s="37"/>
      <c r="S302" s="37"/>
      <c r="T302" s="37"/>
      <c r="U302" s="37"/>
      <c r="V302" s="37"/>
      <c r="W302" s="37"/>
      <c r="X302" s="36"/>
      <c r="Y302" s="36"/>
      <c r="Z302" s="36"/>
      <c r="AA302" s="36"/>
      <c r="AB302" s="36"/>
      <c r="AC302" s="36"/>
      <c r="AD302" s="36"/>
      <c r="AE302" s="36"/>
    </row>
    <row r="303" spans="1:31" ht="15.75" customHeight="1" x14ac:dyDescent="0.25">
      <c r="A303" s="37"/>
      <c r="B303" s="801"/>
      <c r="C303" s="37"/>
      <c r="D303" s="37"/>
      <c r="E303" s="37"/>
      <c r="F303" s="37"/>
      <c r="G303" s="37"/>
      <c r="H303" s="37"/>
      <c r="I303" s="37"/>
      <c r="J303" s="37"/>
      <c r="K303" s="37"/>
      <c r="L303" s="37"/>
      <c r="M303" s="37"/>
      <c r="N303" s="37"/>
      <c r="O303" s="37"/>
      <c r="P303" s="37"/>
      <c r="Q303" s="37"/>
      <c r="R303" s="37"/>
      <c r="S303" s="37"/>
      <c r="T303" s="37"/>
      <c r="U303" s="37"/>
      <c r="V303" s="37"/>
      <c r="W303" s="37"/>
      <c r="X303" s="36"/>
      <c r="Y303" s="36"/>
      <c r="Z303" s="36"/>
      <c r="AA303" s="36"/>
      <c r="AB303" s="36"/>
      <c r="AC303" s="36"/>
      <c r="AD303" s="36"/>
      <c r="AE303" s="36"/>
    </row>
    <row r="304" spans="1:31" ht="15.75" customHeight="1" x14ac:dyDescent="0.25">
      <c r="A304" s="37"/>
      <c r="B304" s="801"/>
      <c r="C304" s="37"/>
      <c r="D304" s="37"/>
      <c r="E304" s="37"/>
      <c r="F304" s="37"/>
      <c r="G304" s="37"/>
      <c r="H304" s="37"/>
      <c r="I304" s="37"/>
      <c r="J304" s="37"/>
      <c r="K304" s="37"/>
      <c r="L304" s="37"/>
      <c r="M304" s="37"/>
      <c r="N304" s="37"/>
      <c r="O304" s="37"/>
      <c r="P304" s="37"/>
      <c r="Q304" s="37"/>
      <c r="R304" s="37"/>
      <c r="S304" s="37"/>
      <c r="T304" s="37"/>
      <c r="U304" s="37"/>
      <c r="V304" s="37"/>
      <c r="W304" s="37"/>
      <c r="X304" s="36"/>
      <c r="Y304" s="36"/>
      <c r="Z304" s="36"/>
      <c r="AA304" s="36"/>
      <c r="AB304" s="36"/>
      <c r="AC304" s="36"/>
      <c r="AD304" s="36"/>
      <c r="AE304" s="36"/>
    </row>
    <row r="305" spans="1:31" ht="15.75" customHeight="1" x14ac:dyDescent="0.25">
      <c r="A305" s="37"/>
      <c r="B305" s="801"/>
      <c r="C305" s="37"/>
      <c r="D305" s="37"/>
      <c r="E305" s="37"/>
      <c r="F305" s="37"/>
      <c r="G305" s="37"/>
      <c r="H305" s="37"/>
      <c r="I305" s="37"/>
      <c r="J305" s="37"/>
      <c r="K305" s="37"/>
      <c r="L305" s="37"/>
      <c r="M305" s="37"/>
      <c r="N305" s="37"/>
      <c r="O305" s="37"/>
      <c r="P305" s="37"/>
      <c r="Q305" s="37"/>
      <c r="R305" s="37"/>
      <c r="S305" s="37"/>
      <c r="T305" s="37"/>
      <c r="U305" s="37"/>
      <c r="V305" s="37"/>
      <c r="W305" s="37"/>
      <c r="X305" s="36"/>
      <c r="Y305" s="36"/>
      <c r="Z305" s="36"/>
      <c r="AA305" s="36"/>
      <c r="AB305" s="36"/>
      <c r="AC305" s="36"/>
      <c r="AD305" s="36"/>
      <c r="AE305" s="36"/>
    </row>
    <row r="306" spans="1:31" ht="15.75" customHeight="1" x14ac:dyDescent="0.25">
      <c r="A306" s="37"/>
      <c r="B306" s="801"/>
      <c r="C306" s="37"/>
      <c r="D306" s="37"/>
      <c r="E306" s="37"/>
      <c r="F306" s="37"/>
      <c r="G306" s="37"/>
      <c r="H306" s="37"/>
      <c r="I306" s="37"/>
      <c r="J306" s="37"/>
      <c r="K306" s="37"/>
      <c r="L306" s="37"/>
      <c r="M306" s="37"/>
      <c r="N306" s="37"/>
      <c r="O306" s="37"/>
      <c r="P306" s="37"/>
      <c r="Q306" s="37"/>
      <c r="R306" s="37"/>
      <c r="S306" s="37"/>
      <c r="T306" s="37"/>
      <c r="U306" s="37"/>
      <c r="V306" s="37"/>
      <c r="W306" s="37"/>
      <c r="X306" s="36"/>
      <c r="Y306" s="36"/>
      <c r="Z306" s="36"/>
      <c r="AA306" s="36"/>
      <c r="AB306" s="36"/>
      <c r="AC306" s="36"/>
      <c r="AD306" s="36"/>
      <c r="AE306" s="36"/>
    </row>
    <row r="307" spans="1:31" ht="15.75" customHeight="1" x14ac:dyDescent="0.25">
      <c r="A307" s="37"/>
      <c r="B307" s="801"/>
      <c r="C307" s="37"/>
      <c r="D307" s="37"/>
      <c r="E307" s="37"/>
      <c r="F307" s="37"/>
      <c r="G307" s="37"/>
      <c r="H307" s="37"/>
      <c r="I307" s="37"/>
      <c r="J307" s="37"/>
      <c r="K307" s="37"/>
      <c r="L307" s="37"/>
      <c r="M307" s="37"/>
      <c r="N307" s="37"/>
      <c r="O307" s="37"/>
      <c r="P307" s="37"/>
      <c r="Q307" s="37"/>
      <c r="R307" s="37"/>
      <c r="S307" s="37"/>
      <c r="T307" s="37"/>
      <c r="U307" s="37"/>
      <c r="V307" s="37"/>
      <c r="W307" s="37"/>
      <c r="X307" s="36"/>
      <c r="Y307" s="36"/>
      <c r="Z307" s="36"/>
      <c r="AA307" s="36"/>
      <c r="AB307" s="36"/>
      <c r="AC307" s="36"/>
      <c r="AD307" s="36"/>
      <c r="AE307" s="36"/>
    </row>
    <row r="308" spans="1:31" ht="15.75" customHeight="1" x14ac:dyDescent="0.25">
      <c r="A308" s="37"/>
      <c r="B308" s="801"/>
      <c r="C308" s="37"/>
      <c r="D308" s="37"/>
      <c r="E308" s="37"/>
      <c r="F308" s="37"/>
      <c r="G308" s="37"/>
      <c r="H308" s="37"/>
      <c r="I308" s="37"/>
      <c r="J308" s="37"/>
      <c r="K308" s="37"/>
      <c r="L308" s="37"/>
      <c r="M308" s="37"/>
      <c r="N308" s="37"/>
      <c r="O308" s="37"/>
      <c r="P308" s="37"/>
      <c r="Q308" s="37"/>
      <c r="R308" s="37"/>
      <c r="S308" s="37"/>
      <c r="T308" s="37"/>
      <c r="U308" s="37"/>
      <c r="V308" s="37"/>
      <c r="W308" s="37"/>
      <c r="X308" s="36"/>
      <c r="Y308" s="36"/>
      <c r="Z308" s="36"/>
      <c r="AA308" s="36"/>
      <c r="AB308" s="36"/>
      <c r="AC308" s="36"/>
      <c r="AD308" s="36"/>
      <c r="AE308" s="36"/>
    </row>
    <row r="309" spans="1:31" ht="15.75" customHeight="1" x14ac:dyDescent="0.25">
      <c r="A309" s="37"/>
      <c r="B309" s="801"/>
      <c r="C309" s="37"/>
      <c r="D309" s="37"/>
      <c r="E309" s="37"/>
      <c r="F309" s="37"/>
      <c r="G309" s="37"/>
      <c r="H309" s="37"/>
      <c r="I309" s="37"/>
      <c r="J309" s="37"/>
      <c r="K309" s="37"/>
      <c r="L309" s="37"/>
      <c r="M309" s="37"/>
      <c r="N309" s="37"/>
      <c r="O309" s="37"/>
      <c r="P309" s="37"/>
      <c r="Q309" s="37"/>
      <c r="R309" s="37"/>
      <c r="S309" s="37"/>
      <c r="T309" s="37"/>
      <c r="U309" s="37"/>
      <c r="V309" s="37"/>
      <c r="W309" s="37"/>
      <c r="X309" s="36"/>
      <c r="Y309" s="36"/>
      <c r="Z309" s="36"/>
      <c r="AA309" s="36"/>
      <c r="AB309" s="36"/>
      <c r="AC309" s="36"/>
      <c r="AD309" s="36"/>
      <c r="AE309" s="36"/>
    </row>
    <row r="310" spans="1:31" ht="15.75" customHeight="1" x14ac:dyDescent="0.25">
      <c r="A310" s="37"/>
      <c r="B310" s="801"/>
      <c r="C310" s="37"/>
      <c r="D310" s="37"/>
      <c r="E310" s="37"/>
      <c r="F310" s="37"/>
      <c r="G310" s="37"/>
      <c r="H310" s="37"/>
      <c r="I310" s="37"/>
      <c r="J310" s="37"/>
      <c r="K310" s="37"/>
      <c r="L310" s="37"/>
      <c r="M310" s="37"/>
      <c r="N310" s="37"/>
      <c r="O310" s="37"/>
      <c r="P310" s="37"/>
      <c r="Q310" s="37"/>
      <c r="R310" s="37"/>
      <c r="S310" s="37"/>
      <c r="T310" s="37"/>
      <c r="U310" s="37"/>
      <c r="V310" s="37"/>
      <c r="W310" s="37"/>
      <c r="X310" s="36"/>
      <c r="Y310" s="36"/>
      <c r="Z310" s="36"/>
      <c r="AA310" s="36"/>
      <c r="AB310" s="36"/>
      <c r="AC310" s="36"/>
      <c r="AD310" s="36"/>
      <c r="AE310" s="36"/>
    </row>
    <row r="311" spans="1:31" ht="15.75" customHeight="1" x14ac:dyDescent="0.25">
      <c r="A311" s="37"/>
      <c r="B311" s="801"/>
      <c r="C311" s="37"/>
      <c r="D311" s="37"/>
      <c r="E311" s="37"/>
      <c r="F311" s="37"/>
      <c r="G311" s="37"/>
      <c r="H311" s="37"/>
      <c r="I311" s="37"/>
      <c r="J311" s="37"/>
      <c r="K311" s="37"/>
      <c r="L311" s="37"/>
      <c r="M311" s="37"/>
      <c r="N311" s="37"/>
      <c r="O311" s="37"/>
      <c r="P311" s="37"/>
      <c r="Q311" s="37"/>
      <c r="R311" s="37"/>
      <c r="S311" s="37"/>
      <c r="T311" s="37"/>
      <c r="U311" s="37"/>
      <c r="V311" s="37"/>
      <c r="W311" s="37"/>
      <c r="X311" s="36"/>
      <c r="Y311" s="36"/>
      <c r="Z311" s="36"/>
      <c r="AA311" s="36"/>
      <c r="AB311" s="36"/>
      <c r="AC311" s="36"/>
      <c r="AD311" s="36"/>
      <c r="AE311" s="36"/>
    </row>
    <row r="312" spans="1:31" ht="15.75" customHeight="1" x14ac:dyDescent="0.25">
      <c r="A312" s="37"/>
      <c r="B312" s="801"/>
      <c r="C312" s="37"/>
      <c r="D312" s="37"/>
      <c r="E312" s="37"/>
      <c r="F312" s="37"/>
      <c r="G312" s="37"/>
      <c r="H312" s="37"/>
      <c r="I312" s="37"/>
      <c r="J312" s="37"/>
      <c r="K312" s="37"/>
      <c r="L312" s="37"/>
      <c r="M312" s="37"/>
      <c r="N312" s="37"/>
      <c r="O312" s="37"/>
      <c r="P312" s="37"/>
      <c r="Q312" s="37"/>
      <c r="R312" s="37"/>
      <c r="S312" s="37"/>
      <c r="T312" s="37"/>
      <c r="U312" s="37"/>
      <c r="V312" s="37"/>
      <c r="W312" s="37"/>
      <c r="X312" s="36"/>
      <c r="Y312" s="36"/>
      <c r="Z312" s="36"/>
      <c r="AA312" s="36"/>
      <c r="AB312" s="36"/>
      <c r="AC312" s="36"/>
      <c r="AD312" s="36"/>
      <c r="AE312" s="36"/>
    </row>
    <row r="313" spans="1:31" ht="15.75" customHeight="1" x14ac:dyDescent="0.25">
      <c r="A313" s="37"/>
      <c r="B313" s="801"/>
      <c r="C313" s="37"/>
      <c r="D313" s="37"/>
      <c r="E313" s="37"/>
      <c r="F313" s="37"/>
      <c r="G313" s="37"/>
      <c r="H313" s="37"/>
      <c r="I313" s="37"/>
      <c r="J313" s="37"/>
      <c r="K313" s="37"/>
      <c r="L313" s="37"/>
      <c r="M313" s="37"/>
      <c r="N313" s="37"/>
      <c r="O313" s="37"/>
      <c r="P313" s="37"/>
      <c r="Q313" s="37"/>
      <c r="R313" s="37"/>
      <c r="S313" s="37"/>
      <c r="T313" s="37"/>
      <c r="U313" s="37"/>
      <c r="V313" s="37"/>
      <c r="W313" s="37"/>
      <c r="X313" s="36"/>
      <c r="Y313" s="36"/>
      <c r="Z313" s="36"/>
      <c r="AA313" s="36"/>
      <c r="AB313" s="36"/>
      <c r="AC313" s="36"/>
      <c r="AD313" s="36"/>
      <c r="AE313" s="36"/>
    </row>
    <row r="314" spans="1:31" ht="15.75" customHeight="1" x14ac:dyDescent="0.25">
      <c r="A314" s="37"/>
      <c r="B314" s="801"/>
      <c r="C314" s="37"/>
      <c r="D314" s="37"/>
      <c r="E314" s="37"/>
      <c r="F314" s="37"/>
      <c r="G314" s="37"/>
      <c r="H314" s="37"/>
      <c r="I314" s="37"/>
      <c r="J314" s="37"/>
      <c r="K314" s="37"/>
      <c r="L314" s="37"/>
      <c r="M314" s="37"/>
      <c r="N314" s="37"/>
      <c r="O314" s="37"/>
      <c r="P314" s="37"/>
      <c r="Q314" s="37"/>
      <c r="R314" s="37"/>
      <c r="S314" s="37"/>
      <c r="T314" s="37"/>
      <c r="U314" s="37"/>
      <c r="V314" s="37"/>
      <c r="W314" s="37"/>
      <c r="X314" s="36"/>
      <c r="Y314" s="36"/>
      <c r="Z314" s="36"/>
      <c r="AA314" s="36"/>
      <c r="AB314" s="36"/>
      <c r="AC314" s="36"/>
      <c r="AD314" s="36"/>
      <c r="AE314" s="36"/>
    </row>
    <row r="315" spans="1:31" ht="15.75" customHeight="1" x14ac:dyDescent="0.25">
      <c r="A315" s="37"/>
      <c r="B315" s="801"/>
      <c r="C315" s="37"/>
      <c r="D315" s="37"/>
      <c r="E315" s="37"/>
      <c r="F315" s="37"/>
      <c r="G315" s="37"/>
      <c r="H315" s="37"/>
      <c r="I315" s="37"/>
      <c r="J315" s="37"/>
      <c r="K315" s="37"/>
      <c r="L315" s="37"/>
      <c r="M315" s="37"/>
      <c r="N315" s="37"/>
      <c r="O315" s="37"/>
      <c r="P315" s="37"/>
      <c r="Q315" s="37"/>
      <c r="R315" s="37"/>
      <c r="S315" s="37"/>
      <c r="T315" s="37"/>
      <c r="U315" s="37"/>
      <c r="V315" s="37"/>
      <c r="W315" s="37"/>
      <c r="X315" s="36"/>
      <c r="Y315" s="36"/>
      <c r="Z315" s="36"/>
      <c r="AA315" s="36"/>
      <c r="AB315" s="36"/>
      <c r="AC315" s="36"/>
      <c r="AD315" s="36"/>
      <c r="AE315" s="36"/>
    </row>
    <row r="316" spans="1:31" ht="15.75" customHeight="1" x14ac:dyDescent="0.25">
      <c r="A316" s="37"/>
      <c r="B316" s="801"/>
      <c r="C316" s="37"/>
      <c r="D316" s="37"/>
      <c r="E316" s="37"/>
      <c r="F316" s="37"/>
      <c r="G316" s="37"/>
      <c r="H316" s="37"/>
      <c r="I316" s="37"/>
      <c r="J316" s="37"/>
      <c r="K316" s="37"/>
      <c r="L316" s="37"/>
      <c r="M316" s="37"/>
      <c r="N316" s="37"/>
      <c r="O316" s="37"/>
      <c r="P316" s="37"/>
      <c r="Q316" s="37"/>
      <c r="R316" s="37"/>
      <c r="S316" s="37"/>
      <c r="T316" s="37"/>
      <c r="U316" s="37"/>
      <c r="V316" s="37"/>
      <c r="W316" s="37"/>
      <c r="X316" s="36"/>
      <c r="Y316" s="36"/>
      <c r="Z316" s="36"/>
      <c r="AA316" s="36"/>
      <c r="AB316" s="36"/>
      <c r="AC316" s="36"/>
      <c r="AD316" s="36"/>
      <c r="AE316" s="36"/>
    </row>
    <row r="317" spans="1:31" ht="15.75" customHeight="1" x14ac:dyDescent="0.25">
      <c r="A317" s="37"/>
      <c r="B317" s="801"/>
      <c r="C317" s="37"/>
      <c r="D317" s="37"/>
      <c r="E317" s="37"/>
      <c r="F317" s="37"/>
      <c r="G317" s="37"/>
      <c r="H317" s="37"/>
      <c r="I317" s="37"/>
      <c r="J317" s="37"/>
      <c r="K317" s="37"/>
      <c r="L317" s="37"/>
      <c r="M317" s="37"/>
      <c r="N317" s="37"/>
      <c r="O317" s="37"/>
      <c r="P317" s="37"/>
      <c r="Q317" s="37"/>
      <c r="R317" s="37"/>
      <c r="S317" s="37"/>
      <c r="T317" s="37"/>
      <c r="U317" s="37"/>
      <c r="V317" s="37"/>
      <c r="W317" s="37"/>
      <c r="X317" s="36"/>
      <c r="Y317" s="36"/>
      <c r="Z317" s="36"/>
      <c r="AA317" s="36"/>
      <c r="AB317" s="36"/>
      <c r="AC317" s="36"/>
      <c r="AD317" s="36"/>
      <c r="AE317" s="36"/>
    </row>
    <row r="318" spans="1:31" ht="15.75" customHeight="1" x14ac:dyDescent="0.25">
      <c r="A318" s="37"/>
      <c r="B318" s="801"/>
      <c r="C318" s="37"/>
      <c r="D318" s="37"/>
      <c r="E318" s="37"/>
      <c r="F318" s="37"/>
      <c r="G318" s="37"/>
      <c r="H318" s="37"/>
      <c r="I318" s="37"/>
      <c r="J318" s="37"/>
      <c r="K318" s="37"/>
      <c r="L318" s="37"/>
      <c r="M318" s="37"/>
      <c r="N318" s="37"/>
      <c r="O318" s="37"/>
      <c r="P318" s="37"/>
      <c r="Q318" s="37"/>
      <c r="R318" s="37"/>
      <c r="S318" s="37"/>
      <c r="T318" s="37"/>
      <c r="U318" s="37"/>
      <c r="V318" s="37"/>
      <c r="W318" s="37"/>
      <c r="X318" s="36"/>
      <c r="Y318" s="36"/>
      <c r="Z318" s="36"/>
      <c r="AA318" s="36"/>
      <c r="AB318" s="36"/>
      <c r="AC318" s="36"/>
      <c r="AD318" s="36"/>
      <c r="AE318" s="36"/>
    </row>
    <row r="319" spans="1:31" ht="15.75" customHeight="1" x14ac:dyDescent="0.25">
      <c r="A319" s="37"/>
      <c r="B319" s="801"/>
      <c r="C319" s="37"/>
      <c r="D319" s="37"/>
      <c r="E319" s="37"/>
      <c r="F319" s="37"/>
      <c r="G319" s="37"/>
      <c r="H319" s="37"/>
      <c r="I319" s="37"/>
      <c r="J319" s="37"/>
      <c r="K319" s="37"/>
      <c r="L319" s="37"/>
      <c r="M319" s="37"/>
      <c r="N319" s="37"/>
      <c r="O319" s="37"/>
      <c r="P319" s="37"/>
      <c r="Q319" s="37"/>
      <c r="R319" s="37"/>
      <c r="S319" s="37"/>
      <c r="T319" s="37"/>
      <c r="U319" s="37"/>
      <c r="V319" s="37"/>
      <c r="W319" s="37"/>
      <c r="X319" s="36"/>
      <c r="Y319" s="36"/>
      <c r="Z319" s="36"/>
      <c r="AA319" s="36"/>
      <c r="AB319" s="36"/>
      <c r="AC319" s="36"/>
      <c r="AD319" s="36"/>
      <c r="AE319" s="36"/>
    </row>
    <row r="320" spans="1:31" ht="15.75" customHeight="1" x14ac:dyDescent="0.25">
      <c r="A320" s="37"/>
      <c r="B320" s="801"/>
      <c r="C320" s="37"/>
      <c r="D320" s="37"/>
      <c r="E320" s="37"/>
      <c r="F320" s="37"/>
      <c r="G320" s="37"/>
      <c r="H320" s="37"/>
      <c r="I320" s="37"/>
      <c r="J320" s="37"/>
      <c r="K320" s="37"/>
      <c r="L320" s="37"/>
      <c r="M320" s="37"/>
      <c r="N320" s="37"/>
      <c r="O320" s="37"/>
      <c r="P320" s="37"/>
      <c r="Q320" s="37"/>
      <c r="R320" s="37"/>
      <c r="S320" s="37"/>
      <c r="T320" s="37"/>
      <c r="U320" s="37"/>
      <c r="V320" s="37"/>
      <c r="W320" s="37"/>
      <c r="X320" s="36"/>
      <c r="Y320" s="36"/>
      <c r="Z320" s="36"/>
      <c r="AA320" s="36"/>
      <c r="AB320" s="36"/>
      <c r="AC320" s="36"/>
      <c r="AD320" s="36"/>
      <c r="AE320" s="36"/>
    </row>
    <row r="321" spans="1:31" ht="15.75" customHeight="1" x14ac:dyDescent="0.25">
      <c r="A321" s="37"/>
      <c r="B321" s="801"/>
      <c r="C321" s="37"/>
      <c r="D321" s="37"/>
      <c r="E321" s="37"/>
      <c r="F321" s="37"/>
      <c r="G321" s="37"/>
      <c r="H321" s="37"/>
      <c r="I321" s="37"/>
      <c r="J321" s="37"/>
      <c r="K321" s="37"/>
      <c r="L321" s="37"/>
      <c r="M321" s="37"/>
      <c r="N321" s="37"/>
      <c r="O321" s="37"/>
      <c r="P321" s="37"/>
      <c r="Q321" s="37"/>
      <c r="R321" s="37"/>
      <c r="S321" s="37"/>
      <c r="T321" s="37"/>
      <c r="U321" s="37"/>
      <c r="V321" s="37"/>
      <c r="W321" s="37"/>
      <c r="X321" s="36"/>
      <c r="Y321" s="36"/>
      <c r="Z321" s="36"/>
      <c r="AA321" s="36"/>
      <c r="AB321" s="36"/>
      <c r="AC321" s="36"/>
      <c r="AD321" s="36"/>
      <c r="AE321" s="36"/>
    </row>
    <row r="322" spans="1:31" ht="15.75" customHeight="1" x14ac:dyDescent="0.25">
      <c r="A322" s="37"/>
      <c r="B322" s="801"/>
      <c r="C322" s="37"/>
      <c r="D322" s="37"/>
      <c r="E322" s="37"/>
      <c r="F322" s="37"/>
      <c r="G322" s="37"/>
      <c r="H322" s="37"/>
      <c r="I322" s="37"/>
      <c r="J322" s="37"/>
      <c r="K322" s="37"/>
      <c r="L322" s="37"/>
      <c r="M322" s="37"/>
      <c r="N322" s="37"/>
      <c r="O322" s="37"/>
      <c r="P322" s="37"/>
      <c r="Q322" s="37"/>
      <c r="R322" s="37"/>
      <c r="S322" s="37"/>
      <c r="T322" s="37"/>
      <c r="U322" s="37"/>
      <c r="V322" s="37"/>
      <c r="W322" s="37"/>
      <c r="X322" s="36"/>
      <c r="Y322" s="36"/>
      <c r="Z322" s="36"/>
      <c r="AA322" s="36"/>
      <c r="AB322" s="36"/>
      <c r="AC322" s="36"/>
      <c r="AD322" s="36"/>
      <c r="AE322" s="36"/>
    </row>
    <row r="323" spans="1:31" ht="15.75" customHeight="1" x14ac:dyDescent="0.25">
      <c r="A323" s="37"/>
      <c r="B323" s="801"/>
      <c r="C323" s="37"/>
      <c r="D323" s="37"/>
      <c r="E323" s="37"/>
      <c r="F323" s="37"/>
      <c r="G323" s="37"/>
      <c r="H323" s="37"/>
      <c r="I323" s="37"/>
      <c r="J323" s="37"/>
      <c r="K323" s="37"/>
      <c r="L323" s="37"/>
      <c r="M323" s="37"/>
      <c r="N323" s="37"/>
      <c r="O323" s="37"/>
      <c r="P323" s="37"/>
      <c r="Q323" s="37"/>
      <c r="R323" s="37"/>
      <c r="S323" s="37"/>
      <c r="T323" s="37"/>
      <c r="U323" s="37"/>
      <c r="V323" s="37"/>
      <c r="W323" s="37"/>
      <c r="X323" s="36"/>
      <c r="Y323" s="36"/>
      <c r="Z323" s="36"/>
      <c r="AA323" s="36"/>
      <c r="AB323" s="36"/>
      <c r="AC323" s="36"/>
      <c r="AD323" s="36"/>
      <c r="AE323" s="36"/>
    </row>
    <row r="324" spans="1:31" ht="15.75" customHeight="1" x14ac:dyDescent="0.25">
      <c r="A324" s="37"/>
      <c r="B324" s="801"/>
      <c r="C324" s="37"/>
      <c r="D324" s="37"/>
      <c r="E324" s="37"/>
      <c r="F324" s="37"/>
      <c r="G324" s="37"/>
      <c r="H324" s="37"/>
      <c r="I324" s="37"/>
      <c r="J324" s="37"/>
      <c r="K324" s="37"/>
      <c r="L324" s="37"/>
      <c r="M324" s="37"/>
      <c r="N324" s="37"/>
      <c r="O324" s="37"/>
      <c r="P324" s="37"/>
      <c r="Q324" s="37"/>
      <c r="R324" s="37"/>
      <c r="S324" s="37"/>
      <c r="T324" s="37"/>
      <c r="U324" s="37"/>
      <c r="V324" s="37"/>
      <c r="W324" s="37"/>
      <c r="X324" s="36"/>
      <c r="Y324" s="36"/>
      <c r="Z324" s="36"/>
      <c r="AA324" s="36"/>
      <c r="AB324" s="36"/>
      <c r="AC324" s="36"/>
      <c r="AD324" s="36"/>
      <c r="AE324" s="36"/>
    </row>
    <row r="325" spans="1:31" ht="15.75" customHeight="1" x14ac:dyDescent="0.25">
      <c r="A325" s="37"/>
      <c r="B325" s="801"/>
      <c r="C325" s="37"/>
      <c r="D325" s="37"/>
      <c r="E325" s="37"/>
      <c r="F325" s="37"/>
      <c r="G325" s="37"/>
      <c r="H325" s="37"/>
      <c r="I325" s="37"/>
      <c r="J325" s="37"/>
      <c r="K325" s="37"/>
      <c r="L325" s="37"/>
      <c r="M325" s="37"/>
      <c r="N325" s="37"/>
      <c r="O325" s="37"/>
      <c r="P325" s="37"/>
      <c r="Q325" s="37"/>
      <c r="R325" s="37"/>
      <c r="S325" s="37"/>
      <c r="T325" s="37"/>
      <c r="U325" s="37"/>
      <c r="V325" s="37"/>
      <c r="W325" s="37"/>
      <c r="X325" s="36"/>
      <c r="Y325" s="36"/>
      <c r="Z325" s="36"/>
      <c r="AA325" s="36"/>
      <c r="AB325" s="36"/>
      <c r="AC325" s="36"/>
      <c r="AD325" s="36"/>
      <c r="AE325" s="36"/>
    </row>
    <row r="326" spans="1:31" ht="15.75" customHeight="1" x14ac:dyDescent="0.25">
      <c r="A326" s="37"/>
      <c r="B326" s="801"/>
      <c r="C326" s="37"/>
      <c r="D326" s="37"/>
      <c r="E326" s="37"/>
      <c r="F326" s="37"/>
      <c r="G326" s="37"/>
      <c r="H326" s="37"/>
      <c r="I326" s="37"/>
      <c r="J326" s="37"/>
      <c r="K326" s="37"/>
      <c r="L326" s="37"/>
      <c r="M326" s="37"/>
      <c r="N326" s="37"/>
      <c r="O326" s="37"/>
      <c r="P326" s="37"/>
      <c r="Q326" s="37"/>
      <c r="R326" s="37"/>
      <c r="S326" s="37"/>
      <c r="T326" s="37"/>
      <c r="U326" s="37"/>
      <c r="V326" s="37"/>
      <c r="W326" s="37"/>
      <c r="X326" s="36"/>
      <c r="Y326" s="36"/>
      <c r="Z326" s="36"/>
      <c r="AA326" s="36"/>
      <c r="AB326" s="36"/>
      <c r="AC326" s="36"/>
      <c r="AD326" s="36"/>
      <c r="AE326" s="36"/>
    </row>
    <row r="327" spans="1:31" ht="15.75" customHeight="1" x14ac:dyDescent="0.25">
      <c r="A327" s="37"/>
      <c r="B327" s="801"/>
      <c r="C327" s="37"/>
      <c r="D327" s="37"/>
      <c r="E327" s="37"/>
      <c r="F327" s="37"/>
      <c r="G327" s="37"/>
      <c r="H327" s="37"/>
      <c r="I327" s="37"/>
      <c r="J327" s="37"/>
      <c r="K327" s="37"/>
      <c r="L327" s="37"/>
      <c r="M327" s="37"/>
      <c r="N327" s="37"/>
      <c r="O327" s="37"/>
      <c r="P327" s="37"/>
      <c r="Q327" s="37"/>
      <c r="R327" s="37"/>
      <c r="S327" s="37"/>
      <c r="T327" s="37"/>
      <c r="U327" s="37"/>
      <c r="V327" s="37"/>
      <c r="W327" s="37"/>
      <c r="X327" s="36"/>
      <c r="Y327" s="36"/>
      <c r="Z327" s="36"/>
      <c r="AA327" s="36"/>
      <c r="AB327" s="36"/>
      <c r="AC327" s="36"/>
      <c r="AD327" s="36"/>
      <c r="AE327" s="36"/>
    </row>
    <row r="328" spans="1:31" ht="15.75" customHeight="1" x14ac:dyDescent="0.25">
      <c r="A328" s="37"/>
      <c r="B328" s="801"/>
      <c r="C328" s="37"/>
      <c r="D328" s="37"/>
      <c r="E328" s="37"/>
      <c r="F328" s="37"/>
      <c r="G328" s="37"/>
      <c r="H328" s="37"/>
      <c r="I328" s="37"/>
      <c r="J328" s="37"/>
      <c r="K328" s="37"/>
      <c r="L328" s="37"/>
      <c r="M328" s="37"/>
      <c r="N328" s="37"/>
      <c r="O328" s="37"/>
      <c r="P328" s="37"/>
      <c r="Q328" s="37"/>
      <c r="R328" s="37"/>
      <c r="S328" s="37"/>
      <c r="T328" s="37"/>
      <c r="U328" s="37"/>
      <c r="V328" s="37"/>
      <c r="W328" s="37"/>
      <c r="X328" s="36"/>
      <c r="Y328" s="36"/>
      <c r="Z328" s="36"/>
      <c r="AA328" s="36"/>
      <c r="AB328" s="36"/>
      <c r="AC328" s="36"/>
      <c r="AD328" s="36"/>
      <c r="AE328" s="36"/>
    </row>
    <row r="329" spans="1:31" ht="15.75" customHeight="1" x14ac:dyDescent="0.25">
      <c r="A329" s="37"/>
      <c r="B329" s="801"/>
      <c r="C329" s="37"/>
      <c r="D329" s="37"/>
      <c r="E329" s="37"/>
      <c r="F329" s="37"/>
      <c r="G329" s="37"/>
      <c r="H329" s="37"/>
      <c r="I329" s="37"/>
      <c r="J329" s="37"/>
      <c r="K329" s="37"/>
      <c r="L329" s="37"/>
      <c r="M329" s="37"/>
      <c r="N329" s="37"/>
      <c r="O329" s="37"/>
      <c r="P329" s="37"/>
      <c r="Q329" s="37"/>
      <c r="R329" s="37"/>
      <c r="S329" s="37"/>
      <c r="T329" s="37"/>
      <c r="U329" s="37"/>
      <c r="V329" s="37"/>
      <c r="W329" s="37"/>
      <c r="X329" s="36"/>
      <c r="Y329" s="36"/>
      <c r="Z329" s="36"/>
      <c r="AA329" s="36"/>
      <c r="AB329" s="36"/>
      <c r="AC329" s="36"/>
      <c r="AD329" s="36"/>
      <c r="AE329" s="36"/>
    </row>
    <row r="330" spans="1:31" ht="15.75" customHeight="1" x14ac:dyDescent="0.25">
      <c r="A330" s="37"/>
      <c r="B330" s="801"/>
      <c r="C330" s="37"/>
      <c r="D330" s="37"/>
      <c r="E330" s="37"/>
      <c r="F330" s="37"/>
      <c r="G330" s="37"/>
      <c r="H330" s="37"/>
      <c r="I330" s="37"/>
      <c r="J330" s="37"/>
      <c r="K330" s="37"/>
      <c r="L330" s="37"/>
      <c r="M330" s="37"/>
      <c r="N330" s="37"/>
      <c r="O330" s="37"/>
      <c r="P330" s="37"/>
      <c r="Q330" s="37"/>
      <c r="R330" s="37"/>
      <c r="S330" s="37"/>
      <c r="T330" s="37"/>
      <c r="U330" s="37"/>
      <c r="V330" s="37"/>
      <c r="W330" s="37"/>
      <c r="X330" s="36"/>
      <c r="Y330" s="36"/>
      <c r="Z330" s="36"/>
      <c r="AA330" s="36"/>
      <c r="AB330" s="36"/>
      <c r="AC330" s="36"/>
      <c r="AD330" s="36"/>
      <c r="AE330" s="36"/>
    </row>
    <row r="331" spans="1:31" ht="15.75" customHeight="1" x14ac:dyDescent="0.25">
      <c r="A331" s="37"/>
      <c r="B331" s="801"/>
      <c r="C331" s="37"/>
      <c r="D331" s="37"/>
      <c r="E331" s="37"/>
      <c r="F331" s="37"/>
      <c r="G331" s="37"/>
      <c r="H331" s="37"/>
      <c r="I331" s="37"/>
      <c r="J331" s="37"/>
      <c r="K331" s="37"/>
      <c r="L331" s="37"/>
      <c r="M331" s="37"/>
      <c r="N331" s="37"/>
      <c r="O331" s="37"/>
      <c r="P331" s="37"/>
      <c r="Q331" s="37"/>
      <c r="R331" s="37"/>
      <c r="S331" s="37"/>
      <c r="T331" s="37"/>
      <c r="U331" s="37"/>
      <c r="V331" s="37"/>
      <c r="W331" s="37"/>
      <c r="X331" s="36"/>
      <c r="Y331" s="36"/>
      <c r="Z331" s="36"/>
      <c r="AA331" s="36"/>
      <c r="AB331" s="36"/>
      <c r="AC331" s="36"/>
      <c r="AD331" s="36"/>
      <c r="AE331" s="36"/>
    </row>
    <row r="332" spans="1:31" ht="15.75" customHeight="1" x14ac:dyDescent="0.25">
      <c r="A332" s="37"/>
      <c r="B332" s="801"/>
      <c r="C332" s="37"/>
      <c r="D332" s="37"/>
      <c r="E332" s="37"/>
      <c r="F332" s="37"/>
      <c r="G332" s="37"/>
      <c r="H332" s="37"/>
      <c r="I332" s="37"/>
      <c r="J332" s="37"/>
      <c r="K332" s="37"/>
      <c r="L332" s="37"/>
      <c r="M332" s="37"/>
      <c r="N332" s="37"/>
      <c r="O332" s="37"/>
      <c r="P332" s="37"/>
      <c r="Q332" s="37"/>
      <c r="R332" s="37"/>
      <c r="S332" s="37"/>
      <c r="T332" s="37"/>
      <c r="U332" s="37"/>
      <c r="V332" s="37"/>
      <c r="W332" s="37"/>
      <c r="X332" s="36"/>
      <c r="Y332" s="36"/>
      <c r="Z332" s="36"/>
      <c r="AA332" s="36"/>
      <c r="AB332" s="36"/>
      <c r="AC332" s="36"/>
      <c r="AD332" s="36"/>
      <c r="AE332" s="36"/>
    </row>
    <row r="333" spans="1:31" ht="15.75" customHeight="1" x14ac:dyDescent="0.25">
      <c r="A333" s="37"/>
      <c r="B333" s="801"/>
      <c r="C333" s="37"/>
      <c r="D333" s="37"/>
      <c r="E333" s="37"/>
      <c r="F333" s="37"/>
      <c r="G333" s="37"/>
      <c r="H333" s="37"/>
      <c r="I333" s="37"/>
      <c r="J333" s="37"/>
      <c r="K333" s="37"/>
      <c r="L333" s="37"/>
      <c r="M333" s="37"/>
      <c r="N333" s="37"/>
      <c r="O333" s="37"/>
      <c r="P333" s="37"/>
      <c r="Q333" s="37"/>
      <c r="R333" s="37"/>
      <c r="S333" s="37"/>
      <c r="T333" s="37"/>
      <c r="U333" s="37"/>
      <c r="V333" s="37"/>
      <c r="W333" s="37"/>
      <c r="X333" s="36"/>
      <c r="Y333" s="36"/>
      <c r="Z333" s="36"/>
      <c r="AA333" s="36"/>
      <c r="AB333" s="36"/>
      <c r="AC333" s="36"/>
      <c r="AD333" s="36"/>
      <c r="AE333" s="36"/>
    </row>
    <row r="334" spans="1:31" ht="15.75" customHeight="1" x14ac:dyDescent="0.25">
      <c r="A334" s="37"/>
      <c r="B334" s="801"/>
      <c r="C334" s="37"/>
      <c r="D334" s="37"/>
      <c r="E334" s="37"/>
      <c r="F334" s="37"/>
      <c r="G334" s="37"/>
      <c r="H334" s="37"/>
      <c r="I334" s="37"/>
      <c r="J334" s="37"/>
      <c r="K334" s="37"/>
      <c r="L334" s="37"/>
      <c r="M334" s="37"/>
      <c r="N334" s="37"/>
      <c r="O334" s="37"/>
      <c r="P334" s="37"/>
      <c r="Q334" s="37"/>
      <c r="R334" s="37"/>
      <c r="S334" s="37"/>
      <c r="T334" s="37"/>
      <c r="U334" s="37"/>
      <c r="V334" s="37"/>
      <c r="W334" s="37"/>
      <c r="X334" s="36"/>
      <c r="Y334" s="36"/>
      <c r="Z334" s="36"/>
      <c r="AA334" s="36"/>
      <c r="AB334" s="36"/>
      <c r="AC334" s="36"/>
      <c r="AD334" s="36"/>
      <c r="AE334" s="36"/>
    </row>
    <row r="335" spans="1:31" ht="15.75" customHeight="1" x14ac:dyDescent="0.25">
      <c r="A335" s="37"/>
      <c r="B335" s="801"/>
      <c r="C335" s="37"/>
      <c r="D335" s="37"/>
      <c r="E335" s="37"/>
      <c r="F335" s="37"/>
      <c r="G335" s="37"/>
      <c r="H335" s="37"/>
      <c r="I335" s="37"/>
      <c r="J335" s="37"/>
      <c r="K335" s="37"/>
      <c r="L335" s="37"/>
      <c r="M335" s="37"/>
      <c r="N335" s="37"/>
      <c r="O335" s="37"/>
      <c r="P335" s="37"/>
      <c r="Q335" s="37"/>
      <c r="R335" s="37"/>
      <c r="S335" s="37"/>
      <c r="T335" s="37"/>
      <c r="U335" s="37"/>
      <c r="V335" s="37"/>
      <c r="W335" s="37"/>
      <c r="X335" s="36"/>
      <c r="Y335" s="36"/>
      <c r="Z335" s="36"/>
      <c r="AA335" s="36"/>
      <c r="AB335" s="36"/>
      <c r="AC335" s="36"/>
      <c r="AD335" s="36"/>
      <c r="AE335" s="36"/>
    </row>
    <row r="336" spans="1:31" ht="15.75" customHeight="1" x14ac:dyDescent="0.25">
      <c r="A336" s="37"/>
      <c r="B336" s="801"/>
      <c r="C336" s="37"/>
      <c r="D336" s="37"/>
      <c r="E336" s="37"/>
      <c r="F336" s="37"/>
      <c r="G336" s="37"/>
      <c r="H336" s="37"/>
      <c r="I336" s="37"/>
      <c r="J336" s="37"/>
      <c r="K336" s="37"/>
      <c r="L336" s="37"/>
      <c r="M336" s="37"/>
      <c r="N336" s="37"/>
      <c r="O336" s="37"/>
      <c r="P336" s="37"/>
      <c r="Q336" s="37"/>
      <c r="R336" s="37"/>
      <c r="S336" s="37"/>
      <c r="T336" s="37"/>
      <c r="U336" s="37"/>
      <c r="V336" s="37"/>
      <c r="W336" s="37"/>
      <c r="X336" s="36"/>
      <c r="Y336" s="36"/>
      <c r="Z336" s="36"/>
      <c r="AA336" s="36"/>
      <c r="AB336" s="36"/>
      <c r="AC336" s="36"/>
      <c r="AD336" s="36"/>
      <c r="AE336" s="36"/>
    </row>
    <row r="337" spans="1:31" ht="15.75" customHeight="1" x14ac:dyDescent="0.25">
      <c r="A337" s="37"/>
      <c r="B337" s="801"/>
      <c r="C337" s="37"/>
      <c r="D337" s="37"/>
      <c r="E337" s="37"/>
      <c r="F337" s="37"/>
      <c r="G337" s="37"/>
      <c r="H337" s="37"/>
      <c r="I337" s="37"/>
      <c r="J337" s="37"/>
      <c r="K337" s="37"/>
      <c r="L337" s="37"/>
      <c r="M337" s="37"/>
      <c r="N337" s="37"/>
      <c r="O337" s="37"/>
      <c r="P337" s="37"/>
      <c r="Q337" s="37"/>
      <c r="R337" s="37"/>
      <c r="S337" s="37"/>
      <c r="T337" s="37"/>
      <c r="U337" s="37"/>
      <c r="V337" s="37"/>
      <c r="W337" s="37"/>
      <c r="X337" s="36"/>
      <c r="Y337" s="36"/>
      <c r="Z337" s="36"/>
      <c r="AA337" s="36"/>
      <c r="AB337" s="36"/>
      <c r="AC337" s="36"/>
      <c r="AD337" s="36"/>
      <c r="AE337" s="36"/>
    </row>
    <row r="338" spans="1:31" ht="15.75" customHeight="1" x14ac:dyDescent="0.25">
      <c r="A338" s="37"/>
      <c r="B338" s="801"/>
      <c r="C338" s="37"/>
      <c r="D338" s="37"/>
      <c r="E338" s="37"/>
      <c r="F338" s="37"/>
      <c r="G338" s="37"/>
      <c r="H338" s="37"/>
      <c r="I338" s="37"/>
      <c r="J338" s="37"/>
      <c r="K338" s="37"/>
      <c r="L338" s="37"/>
      <c r="M338" s="37"/>
      <c r="N338" s="37"/>
      <c r="O338" s="37"/>
      <c r="P338" s="37"/>
      <c r="Q338" s="37"/>
      <c r="R338" s="37"/>
      <c r="S338" s="37"/>
      <c r="T338" s="37"/>
      <c r="U338" s="37"/>
      <c r="V338" s="37"/>
      <c r="W338" s="37"/>
      <c r="X338" s="36"/>
      <c r="Y338" s="36"/>
      <c r="Z338" s="36"/>
      <c r="AA338" s="36"/>
      <c r="AB338" s="36"/>
      <c r="AC338" s="36"/>
      <c r="AD338" s="36"/>
      <c r="AE338" s="36"/>
    </row>
    <row r="339" spans="1:31" ht="15.75" customHeight="1" x14ac:dyDescent="0.25">
      <c r="A339" s="37"/>
      <c r="B339" s="801"/>
      <c r="C339" s="37"/>
      <c r="D339" s="37"/>
      <c r="E339" s="37"/>
      <c r="F339" s="37"/>
      <c r="G339" s="37"/>
      <c r="H339" s="37"/>
      <c r="I339" s="37"/>
      <c r="J339" s="37"/>
      <c r="K339" s="37"/>
      <c r="L339" s="37"/>
      <c r="M339" s="37"/>
      <c r="N339" s="37"/>
      <c r="O339" s="37"/>
      <c r="P339" s="37"/>
      <c r="Q339" s="37"/>
      <c r="R339" s="37"/>
      <c r="S339" s="37"/>
      <c r="T339" s="37"/>
      <c r="U339" s="37"/>
      <c r="V339" s="37"/>
      <c r="W339" s="37"/>
      <c r="X339" s="36"/>
      <c r="Y339" s="36"/>
      <c r="Z339" s="36"/>
      <c r="AA339" s="36"/>
      <c r="AB339" s="36"/>
      <c r="AC339" s="36"/>
      <c r="AD339" s="36"/>
      <c r="AE339" s="36"/>
    </row>
    <row r="340" spans="1:31" ht="15.75" customHeight="1" x14ac:dyDescent="0.25">
      <c r="A340" s="37"/>
      <c r="B340" s="801"/>
      <c r="C340" s="37"/>
      <c r="D340" s="37"/>
      <c r="E340" s="37"/>
      <c r="F340" s="37"/>
      <c r="G340" s="37"/>
      <c r="H340" s="37"/>
      <c r="I340" s="37"/>
      <c r="J340" s="37"/>
      <c r="K340" s="37"/>
      <c r="L340" s="37"/>
      <c r="M340" s="37"/>
      <c r="N340" s="37"/>
      <c r="O340" s="37"/>
      <c r="P340" s="37"/>
      <c r="Q340" s="37"/>
      <c r="R340" s="37"/>
      <c r="S340" s="37"/>
      <c r="T340" s="37"/>
      <c r="U340" s="37"/>
      <c r="V340" s="37"/>
      <c r="W340" s="37"/>
      <c r="X340" s="36"/>
      <c r="Y340" s="36"/>
      <c r="Z340" s="36"/>
      <c r="AA340" s="36"/>
      <c r="AB340" s="36"/>
      <c r="AC340" s="36"/>
      <c r="AD340" s="36"/>
      <c r="AE340" s="36"/>
    </row>
    <row r="341" spans="1:31" ht="15.75" customHeight="1" x14ac:dyDescent="0.25">
      <c r="A341" s="37"/>
      <c r="B341" s="801"/>
      <c r="C341" s="37"/>
      <c r="D341" s="37"/>
      <c r="E341" s="37"/>
      <c r="F341" s="37"/>
      <c r="G341" s="37"/>
      <c r="H341" s="37"/>
      <c r="I341" s="37"/>
      <c r="J341" s="37"/>
      <c r="K341" s="37"/>
      <c r="L341" s="37"/>
      <c r="M341" s="37"/>
      <c r="N341" s="37"/>
      <c r="O341" s="37"/>
      <c r="P341" s="37"/>
      <c r="Q341" s="37"/>
      <c r="R341" s="37"/>
      <c r="S341" s="37"/>
      <c r="T341" s="37"/>
      <c r="U341" s="37"/>
      <c r="V341" s="37"/>
      <c r="W341" s="37"/>
      <c r="X341" s="36"/>
      <c r="Y341" s="36"/>
      <c r="Z341" s="36"/>
      <c r="AA341" s="36"/>
      <c r="AB341" s="36"/>
      <c r="AC341" s="36"/>
      <c r="AD341" s="36"/>
      <c r="AE341" s="36"/>
    </row>
    <row r="342" spans="1:31" ht="15.75" customHeight="1" x14ac:dyDescent="0.25">
      <c r="A342" s="37"/>
      <c r="B342" s="801"/>
      <c r="C342" s="37"/>
      <c r="D342" s="37"/>
      <c r="E342" s="37"/>
      <c r="F342" s="37"/>
      <c r="G342" s="37"/>
      <c r="H342" s="37"/>
      <c r="I342" s="37"/>
      <c r="J342" s="37"/>
      <c r="K342" s="37"/>
      <c r="L342" s="37"/>
      <c r="M342" s="37"/>
      <c r="N342" s="37"/>
      <c r="O342" s="37"/>
      <c r="P342" s="37"/>
      <c r="Q342" s="37"/>
      <c r="R342" s="37"/>
      <c r="S342" s="37"/>
      <c r="T342" s="37"/>
      <c r="U342" s="37"/>
      <c r="V342" s="37"/>
      <c r="W342" s="37"/>
      <c r="X342" s="36"/>
      <c r="Y342" s="36"/>
      <c r="Z342" s="36"/>
      <c r="AA342" s="36"/>
      <c r="AB342" s="36"/>
      <c r="AC342" s="36"/>
      <c r="AD342" s="36"/>
      <c r="AE342" s="36"/>
    </row>
    <row r="343" spans="1:31" ht="15.75" customHeight="1" x14ac:dyDescent="0.25">
      <c r="A343" s="37"/>
      <c r="B343" s="801"/>
      <c r="C343" s="37"/>
      <c r="D343" s="37"/>
      <c r="E343" s="37"/>
      <c r="F343" s="37"/>
      <c r="G343" s="37"/>
      <c r="H343" s="37"/>
      <c r="I343" s="37"/>
      <c r="J343" s="37"/>
      <c r="K343" s="37"/>
      <c r="L343" s="37"/>
      <c r="M343" s="37"/>
      <c r="N343" s="37"/>
      <c r="O343" s="37"/>
      <c r="P343" s="37"/>
      <c r="Q343" s="37"/>
      <c r="R343" s="37"/>
      <c r="S343" s="37"/>
      <c r="T343" s="37"/>
      <c r="U343" s="37"/>
      <c r="V343" s="37"/>
      <c r="W343" s="37"/>
      <c r="X343" s="36"/>
      <c r="Y343" s="36"/>
      <c r="Z343" s="36"/>
      <c r="AA343" s="36"/>
      <c r="AB343" s="36"/>
      <c r="AC343" s="36"/>
      <c r="AD343" s="36"/>
      <c r="AE343" s="36"/>
    </row>
    <row r="344" spans="1:31" ht="15.75" customHeight="1" x14ac:dyDescent="0.25">
      <c r="A344" s="37"/>
      <c r="B344" s="801"/>
      <c r="C344" s="37"/>
      <c r="D344" s="37"/>
      <c r="E344" s="37"/>
      <c r="F344" s="37"/>
      <c r="G344" s="37"/>
      <c r="H344" s="37"/>
      <c r="I344" s="37"/>
      <c r="J344" s="37"/>
      <c r="K344" s="37"/>
      <c r="L344" s="37"/>
      <c r="M344" s="37"/>
      <c r="N344" s="37"/>
      <c r="O344" s="37"/>
      <c r="P344" s="37"/>
      <c r="Q344" s="37"/>
      <c r="R344" s="37"/>
      <c r="S344" s="37"/>
      <c r="T344" s="37"/>
      <c r="U344" s="37"/>
      <c r="V344" s="37"/>
      <c r="W344" s="37"/>
      <c r="X344" s="36"/>
      <c r="Y344" s="36"/>
      <c r="Z344" s="36"/>
      <c r="AA344" s="36"/>
      <c r="AB344" s="36"/>
      <c r="AC344" s="36"/>
      <c r="AD344" s="36"/>
      <c r="AE344" s="36"/>
    </row>
    <row r="345" spans="1:31" ht="15.75" customHeight="1" x14ac:dyDescent="0.25">
      <c r="A345" s="37"/>
      <c r="B345" s="801"/>
      <c r="C345" s="37"/>
      <c r="D345" s="37"/>
      <c r="E345" s="37"/>
      <c r="F345" s="37"/>
      <c r="G345" s="37"/>
      <c r="H345" s="37"/>
      <c r="I345" s="37"/>
      <c r="J345" s="37"/>
      <c r="K345" s="37"/>
      <c r="L345" s="37"/>
      <c r="M345" s="37"/>
      <c r="N345" s="37"/>
      <c r="O345" s="37"/>
      <c r="P345" s="37"/>
      <c r="Q345" s="37"/>
      <c r="R345" s="37"/>
      <c r="S345" s="37"/>
      <c r="T345" s="37"/>
      <c r="U345" s="37"/>
      <c r="V345" s="37"/>
      <c r="W345" s="37"/>
      <c r="X345" s="36"/>
      <c r="Y345" s="36"/>
      <c r="Z345" s="36"/>
      <c r="AA345" s="36"/>
      <c r="AB345" s="36"/>
      <c r="AC345" s="36"/>
      <c r="AD345" s="36"/>
      <c r="AE345" s="36"/>
    </row>
    <row r="346" spans="1:31" ht="15.75" customHeight="1" x14ac:dyDescent="0.25">
      <c r="A346" s="37"/>
      <c r="B346" s="801"/>
      <c r="C346" s="37"/>
      <c r="D346" s="37"/>
      <c r="E346" s="37"/>
      <c r="F346" s="37"/>
      <c r="G346" s="37"/>
      <c r="H346" s="37"/>
      <c r="I346" s="37"/>
      <c r="J346" s="37"/>
      <c r="K346" s="37"/>
      <c r="L346" s="37"/>
      <c r="M346" s="37"/>
      <c r="N346" s="37"/>
      <c r="O346" s="37"/>
      <c r="P346" s="37"/>
      <c r="Q346" s="37"/>
      <c r="R346" s="37"/>
      <c r="S346" s="37"/>
      <c r="T346" s="37"/>
      <c r="U346" s="37"/>
      <c r="V346" s="37"/>
      <c r="W346" s="37"/>
      <c r="X346" s="36"/>
      <c r="Y346" s="36"/>
      <c r="Z346" s="36"/>
      <c r="AA346" s="36"/>
      <c r="AB346" s="36"/>
      <c r="AC346" s="36"/>
      <c r="AD346" s="36"/>
      <c r="AE346" s="36"/>
    </row>
    <row r="347" spans="1:31" ht="15.75" customHeight="1" x14ac:dyDescent="0.25">
      <c r="A347" s="37"/>
      <c r="B347" s="801"/>
      <c r="C347" s="37"/>
      <c r="D347" s="37"/>
      <c r="E347" s="37"/>
      <c r="F347" s="37"/>
      <c r="G347" s="37"/>
      <c r="H347" s="37"/>
      <c r="I347" s="37"/>
      <c r="J347" s="37"/>
      <c r="K347" s="37"/>
      <c r="L347" s="37"/>
      <c r="M347" s="37"/>
      <c r="N347" s="37"/>
      <c r="O347" s="37"/>
      <c r="P347" s="37"/>
      <c r="Q347" s="37"/>
      <c r="R347" s="37"/>
      <c r="S347" s="37"/>
      <c r="T347" s="37"/>
      <c r="U347" s="37"/>
      <c r="V347" s="37"/>
      <c r="W347" s="37"/>
      <c r="X347" s="36"/>
      <c r="Y347" s="36"/>
      <c r="Z347" s="36"/>
      <c r="AA347" s="36"/>
      <c r="AB347" s="36"/>
      <c r="AC347" s="36"/>
      <c r="AD347" s="36"/>
      <c r="AE347" s="36"/>
    </row>
    <row r="348" spans="1:31" ht="15.75" customHeight="1" x14ac:dyDescent="0.25">
      <c r="A348" s="37"/>
      <c r="B348" s="801"/>
      <c r="C348" s="37"/>
      <c r="D348" s="37"/>
      <c r="E348" s="37"/>
      <c r="F348" s="37"/>
      <c r="G348" s="37"/>
      <c r="H348" s="37"/>
      <c r="I348" s="37"/>
      <c r="J348" s="37"/>
      <c r="K348" s="37"/>
      <c r="L348" s="37"/>
      <c r="M348" s="37"/>
      <c r="N348" s="37"/>
      <c r="O348" s="37"/>
      <c r="P348" s="37"/>
      <c r="Q348" s="37"/>
      <c r="R348" s="37"/>
      <c r="S348" s="37"/>
      <c r="T348" s="37"/>
      <c r="U348" s="37"/>
      <c r="V348" s="37"/>
      <c r="W348" s="37"/>
      <c r="X348" s="36"/>
      <c r="Y348" s="36"/>
      <c r="Z348" s="36"/>
      <c r="AA348" s="36"/>
      <c r="AB348" s="36"/>
      <c r="AC348" s="36"/>
      <c r="AD348" s="36"/>
      <c r="AE348" s="36"/>
    </row>
    <row r="349" spans="1:31" ht="15.75" customHeight="1" x14ac:dyDescent="0.25">
      <c r="A349" s="37"/>
      <c r="B349" s="801"/>
      <c r="C349" s="37"/>
      <c r="D349" s="37"/>
      <c r="E349" s="37"/>
      <c r="F349" s="37"/>
      <c r="G349" s="37"/>
      <c r="H349" s="37"/>
      <c r="I349" s="37"/>
      <c r="J349" s="37"/>
      <c r="K349" s="37"/>
      <c r="L349" s="37"/>
      <c r="M349" s="37"/>
      <c r="N349" s="37"/>
      <c r="O349" s="37"/>
      <c r="P349" s="37"/>
      <c r="Q349" s="37"/>
      <c r="R349" s="37"/>
      <c r="S349" s="37"/>
      <c r="T349" s="37"/>
      <c r="U349" s="37"/>
      <c r="V349" s="37"/>
      <c r="W349" s="37"/>
      <c r="X349" s="36"/>
      <c r="Y349" s="36"/>
      <c r="Z349" s="36"/>
      <c r="AA349" s="36"/>
      <c r="AB349" s="36"/>
      <c r="AC349" s="36"/>
      <c r="AD349" s="36"/>
      <c r="AE349" s="36"/>
    </row>
    <row r="350" spans="1:31" ht="15.75" customHeight="1" x14ac:dyDescent="0.25">
      <c r="A350" s="37"/>
      <c r="B350" s="801"/>
      <c r="C350" s="37"/>
      <c r="D350" s="37"/>
      <c r="E350" s="37"/>
      <c r="F350" s="37"/>
      <c r="G350" s="37"/>
      <c r="H350" s="37"/>
      <c r="I350" s="37"/>
      <c r="J350" s="37"/>
      <c r="K350" s="37"/>
      <c r="L350" s="37"/>
      <c r="M350" s="37"/>
      <c r="N350" s="37"/>
      <c r="O350" s="37"/>
      <c r="P350" s="37"/>
      <c r="Q350" s="37"/>
      <c r="R350" s="37"/>
      <c r="S350" s="37"/>
      <c r="T350" s="37"/>
      <c r="U350" s="37"/>
      <c r="V350" s="37"/>
      <c r="W350" s="37"/>
      <c r="X350" s="36"/>
      <c r="Y350" s="36"/>
      <c r="Z350" s="36"/>
      <c r="AA350" s="36"/>
      <c r="AB350" s="36"/>
      <c r="AC350" s="36"/>
      <c r="AD350" s="36"/>
      <c r="AE350" s="36"/>
    </row>
    <row r="351" spans="1:31" ht="15.75" customHeight="1" x14ac:dyDescent="0.25">
      <c r="A351" s="37"/>
      <c r="B351" s="801"/>
      <c r="C351" s="37"/>
      <c r="D351" s="37"/>
      <c r="E351" s="37"/>
      <c r="F351" s="37"/>
      <c r="G351" s="37"/>
      <c r="H351" s="37"/>
      <c r="I351" s="37"/>
      <c r="J351" s="37"/>
      <c r="K351" s="37"/>
      <c r="L351" s="37"/>
      <c r="M351" s="37"/>
      <c r="N351" s="37"/>
      <c r="O351" s="37"/>
      <c r="P351" s="37"/>
      <c r="Q351" s="37"/>
      <c r="R351" s="37"/>
      <c r="S351" s="37"/>
      <c r="T351" s="37"/>
      <c r="U351" s="37"/>
      <c r="V351" s="37"/>
      <c r="W351" s="37"/>
      <c r="X351" s="36"/>
      <c r="Y351" s="36"/>
      <c r="Z351" s="36"/>
      <c r="AA351" s="36"/>
      <c r="AB351" s="36"/>
      <c r="AC351" s="36"/>
      <c r="AD351" s="36"/>
      <c r="AE351" s="36"/>
    </row>
    <row r="352" spans="1:31" ht="15.75" customHeight="1" x14ac:dyDescent="0.25">
      <c r="A352" s="37"/>
      <c r="B352" s="801"/>
      <c r="C352" s="37"/>
      <c r="D352" s="37"/>
      <c r="E352" s="37"/>
      <c r="F352" s="37"/>
      <c r="G352" s="37"/>
      <c r="H352" s="37"/>
      <c r="I352" s="37"/>
      <c r="J352" s="37"/>
      <c r="K352" s="37"/>
      <c r="L352" s="37"/>
      <c r="M352" s="37"/>
      <c r="N352" s="37"/>
      <c r="O352" s="37"/>
      <c r="P352" s="37"/>
      <c r="Q352" s="37"/>
      <c r="R352" s="37"/>
      <c r="S352" s="37"/>
      <c r="T352" s="37"/>
      <c r="U352" s="37"/>
      <c r="V352" s="37"/>
      <c r="W352" s="37"/>
      <c r="X352" s="36"/>
      <c r="Y352" s="36"/>
      <c r="Z352" s="36"/>
      <c r="AA352" s="36"/>
      <c r="AB352" s="36"/>
      <c r="AC352" s="36"/>
      <c r="AD352" s="36"/>
      <c r="AE352" s="36"/>
    </row>
    <row r="353" spans="1:31" ht="15.75" customHeight="1" x14ac:dyDescent="0.25">
      <c r="A353" s="37"/>
      <c r="B353" s="801"/>
      <c r="C353" s="37"/>
      <c r="D353" s="37"/>
      <c r="E353" s="37"/>
      <c r="F353" s="37"/>
      <c r="G353" s="37"/>
      <c r="H353" s="37"/>
      <c r="I353" s="37"/>
      <c r="J353" s="37"/>
      <c r="K353" s="37"/>
      <c r="L353" s="37"/>
      <c r="M353" s="37"/>
      <c r="N353" s="37"/>
      <c r="O353" s="37"/>
      <c r="P353" s="37"/>
      <c r="Q353" s="37"/>
      <c r="R353" s="37"/>
      <c r="S353" s="37"/>
      <c r="T353" s="37"/>
      <c r="U353" s="37"/>
      <c r="V353" s="37"/>
      <c r="W353" s="37"/>
      <c r="X353" s="36"/>
      <c r="Y353" s="36"/>
      <c r="Z353" s="36"/>
      <c r="AA353" s="36"/>
      <c r="AB353" s="36"/>
      <c r="AC353" s="36"/>
      <c r="AD353" s="36"/>
      <c r="AE353" s="36"/>
    </row>
    <row r="354" spans="1:31" ht="15.75" customHeight="1" x14ac:dyDescent="0.25">
      <c r="A354" s="37"/>
      <c r="B354" s="801"/>
      <c r="C354" s="37"/>
      <c r="D354" s="37"/>
      <c r="E354" s="37"/>
      <c r="F354" s="37"/>
      <c r="G354" s="37"/>
      <c r="H354" s="37"/>
      <c r="I354" s="37"/>
      <c r="J354" s="37"/>
      <c r="K354" s="37"/>
      <c r="L354" s="37"/>
      <c r="M354" s="37"/>
      <c r="N354" s="37"/>
      <c r="O354" s="37"/>
      <c r="P354" s="37"/>
      <c r="Q354" s="37"/>
      <c r="R354" s="37"/>
      <c r="S354" s="37"/>
      <c r="T354" s="37"/>
      <c r="U354" s="37"/>
      <c r="V354" s="37"/>
      <c r="W354" s="37"/>
      <c r="X354" s="36"/>
      <c r="Y354" s="36"/>
      <c r="Z354" s="36"/>
      <c r="AA354" s="36"/>
      <c r="AB354" s="36"/>
      <c r="AC354" s="36"/>
      <c r="AD354" s="36"/>
      <c r="AE354" s="36"/>
    </row>
    <row r="355" spans="1:31" ht="15.75" customHeight="1" x14ac:dyDescent="0.25">
      <c r="A355" s="37"/>
      <c r="B355" s="801"/>
      <c r="C355" s="37"/>
      <c r="D355" s="37"/>
      <c r="E355" s="37"/>
      <c r="F355" s="37"/>
      <c r="G355" s="37"/>
      <c r="H355" s="37"/>
      <c r="I355" s="37"/>
      <c r="J355" s="37"/>
      <c r="K355" s="37"/>
      <c r="L355" s="37"/>
      <c r="M355" s="37"/>
      <c r="N355" s="37"/>
      <c r="O355" s="37"/>
      <c r="P355" s="37"/>
      <c r="Q355" s="37"/>
      <c r="R355" s="37"/>
      <c r="S355" s="37"/>
      <c r="T355" s="37"/>
      <c r="U355" s="37"/>
      <c r="V355" s="37"/>
      <c r="W355" s="37"/>
      <c r="X355" s="36"/>
      <c r="Y355" s="36"/>
      <c r="Z355" s="36"/>
      <c r="AA355" s="36"/>
      <c r="AB355" s="36"/>
      <c r="AC355" s="36"/>
      <c r="AD355" s="36"/>
      <c r="AE355" s="36"/>
    </row>
    <row r="356" spans="1:31" ht="15.75" customHeight="1" x14ac:dyDescent="0.25">
      <c r="A356" s="37"/>
      <c r="B356" s="801"/>
      <c r="C356" s="37"/>
      <c r="D356" s="37"/>
      <c r="E356" s="37"/>
      <c r="F356" s="37"/>
      <c r="G356" s="37"/>
      <c r="H356" s="37"/>
      <c r="I356" s="37"/>
      <c r="J356" s="37"/>
      <c r="K356" s="37"/>
      <c r="L356" s="37"/>
      <c r="M356" s="37"/>
      <c r="N356" s="37"/>
      <c r="O356" s="37"/>
      <c r="P356" s="37"/>
      <c r="Q356" s="37"/>
      <c r="R356" s="37"/>
      <c r="S356" s="37"/>
      <c r="T356" s="37"/>
      <c r="U356" s="37"/>
      <c r="V356" s="37"/>
      <c r="W356" s="37"/>
      <c r="X356" s="36"/>
      <c r="Y356" s="36"/>
      <c r="Z356" s="36"/>
      <c r="AA356" s="36"/>
      <c r="AB356" s="36"/>
      <c r="AC356" s="36"/>
      <c r="AD356" s="36"/>
      <c r="AE356" s="36"/>
    </row>
    <row r="357" spans="1:31" ht="15.75" customHeight="1" x14ac:dyDescent="0.25">
      <c r="A357" s="37"/>
      <c r="B357" s="801"/>
      <c r="C357" s="37"/>
      <c r="D357" s="37"/>
      <c r="E357" s="37"/>
      <c r="F357" s="37"/>
      <c r="G357" s="37"/>
      <c r="H357" s="37"/>
      <c r="I357" s="37"/>
      <c r="J357" s="37"/>
      <c r="K357" s="37"/>
      <c r="L357" s="37"/>
      <c r="M357" s="37"/>
      <c r="N357" s="37"/>
      <c r="O357" s="37"/>
      <c r="P357" s="37"/>
      <c r="Q357" s="37"/>
      <c r="R357" s="37"/>
      <c r="S357" s="37"/>
      <c r="T357" s="37"/>
      <c r="U357" s="37"/>
      <c r="V357" s="37"/>
      <c r="W357" s="37"/>
      <c r="X357" s="36"/>
      <c r="Y357" s="36"/>
      <c r="Z357" s="36"/>
      <c r="AA357" s="36"/>
      <c r="AB357" s="36"/>
      <c r="AC357" s="36"/>
      <c r="AD357" s="36"/>
      <c r="AE357" s="36"/>
    </row>
    <row r="358" spans="1:31" ht="15.75" customHeight="1" x14ac:dyDescent="0.25">
      <c r="A358" s="37"/>
      <c r="B358" s="801"/>
      <c r="C358" s="37"/>
      <c r="D358" s="37"/>
      <c r="E358" s="37"/>
      <c r="F358" s="37"/>
      <c r="G358" s="37"/>
      <c r="H358" s="37"/>
      <c r="I358" s="37"/>
      <c r="J358" s="37"/>
      <c r="K358" s="37"/>
      <c r="L358" s="37"/>
      <c r="M358" s="37"/>
      <c r="N358" s="37"/>
      <c r="O358" s="37"/>
      <c r="P358" s="37"/>
      <c r="Q358" s="37"/>
      <c r="R358" s="37"/>
      <c r="S358" s="37"/>
      <c r="T358" s="37"/>
      <c r="U358" s="37"/>
      <c r="V358" s="37"/>
      <c r="W358" s="37"/>
      <c r="X358" s="36"/>
      <c r="Y358" s="36"/>
      <c r="Z358" s="36"/>
      <c r="AA358" s="36"/>
      <c r="AB358" s="36"/>
      <c r="AC358" s="36"/>
      <c r="AD358" s="36"/>
      <c r="AE358" s="36"/>
    </row>
    <row r="359" spans="1:31" ht="15.75" customHeight="1" x14ac:dyDescent="0.25">
      <c r="A359" s="37"/>
      <c r="B359" s="801"/>
      <c r="C359" s="37"/>
      <c r="D359" s="37"/>
      <c r="E359" s="37"/>
      <c r="F359" s="37"/>
      <c r="G359" s="37"/>
      <c r="H359" s="37"/>
      <c r="I359" s="37"/>
      <c r="J359" s="37"/>
      <c r="K359" s="37"/>
      <c r="L359" s="37"/>
      <c r="M359" s="37"/>
      <c r="N359" s="37"/>
      <c r="O359" s="37"/>
      <c r="P359" s="37"/>
      <c r="Q359" s="37"/>
      <c r="R359" s="37"/>
      <c r="S359" s="37"/>
      <c r="T359" s="37"/>
      <c r="U359" s="37"/>
      <c r="V359" s="37"/>
      <c r="W359" s="37"/>
      <c r="X359" s="36"/>
      <c r="Y359" s="36"/>
      <c r="Z359" s="36"/>
      <c r="AA359" s="36"/>
      <c r="AB359" s="36"/>
      <c r="AC359" s="36"/>
      <c r="AD359" s="36"/>
      <c r="AE359" s="36"/>
    </row>
    <row r="360" spans="1:31" ht="15.75" customHeight="1" x14ac:dyDescent="0.25">
      <c r="A360" s="37"/>
      <c r="B360" s="801"/>
      <c r="C360" s="37"/>
      <c r="D360" s="37"/>
      <c r="E360" s="37"/>
      <c r="F360" s="37"/>
      <c r="G360" s="37"/>
      <c r="H360" s="37"/>
      <c r="I360" s="37"/>
      <c r="J360" s="37"/>
      <c r="K360" s="37"/>
      <c r="L360" s="37"/>
      <c r="M360" s="37"/>
      <c r="N360" s="37"/>
      <c r="O360" s="37"/>
      <c r="P360" s="37"/>
      <c r="Q360" s="37"/>
      <c r="R360" s="37"/>
      <c r="S360" s="37"/>
      <c r="T360" s="37"/>
      <c r="U360" s="37"/>
      <c r="V360" s="37"/>
      <c r="W360" s="37"/>
      <c r="X360" s="36"/>
      <c r="Y360" s="36"/>
      <c r="Z360" s="36"/>
      <c r="AA360" s="36"/>
      <c r="AB360" s="36"/>
      <c r="AC360" s="36"/>
      <c r="AD360" s="36"/>
      <c r="AE360" s="36"/>
    </row>
    <row r="361" spans="1:31" ht="15.75" customHeight="1" x14ac:dyDescent="0.25">
      <c r="A361" s="37"/>
      <c r="B361" s="801"/>
      <c r="C361" s="37"/>
      <c r="D361" s="37"/>
      <c r="E361" s="37"/>
      <c r="F361" s="37"/>
      <c r="G361" s="37"/>
      <c r="H361" s="37"/>
      <c r="I361" s="37"/>
      <c r="J361" s="37"/>
      <c r="K361" s="37"/>
      <c r="L361" s="37"/>
      <c r="M361" s="37"/>
      <c r="N361" s="37"/>
      <c r="O361" s="37"/>
      <c r="P361" s="37"/>
      <c r="Q361" s="37"/>
      <c r="R361" s="37"/>
      <c r="S361" s="37"/>
      <c r="T361" s="37"/>
      <c r="U361" s="37"/>
      <c r="V361" s="37"/>
      <c r="W361" s="37"/>
      <c r="X361" s="36"/>
      <c r="Y361" s="36"/>
      <c r="Z361" s="36"/>
      <c r="AA361" s="36"/>
      <c r="AB361" s="36"/>
      <c r="AC361" s="36"/>
      <c r="AD361" s="36"/>
      <c r="AE361" s="36"/>
    </row>
    <row r="362" spans="1:31" ht="15.75" customHeight="1" x14ac:dyDescent="0.25">
      <c r="A362" s="37"/>
      <c r="B362" s="801"/>
      <c r="C362" s="37"/>
      <c r="D362" s="37"/>
      <c r="E362" s="37"/>
      <c r="F362" s="37"/>
      <c r="G362" s="37"/>
      <c r="H362" s="37"/>
      <c r="I362" s="37"/>
      <c r="J362" s="37"/>
      <c r="K362" s="37"/>
      <c r="L362" s="37"/>
      <c r="M362" s="37"/>
      <c r="N362" s="37"/>
      <c r="O362" s="37"/>
      <c r="P362" s="37"/>
      <c r="Q362" s="37"/>
      <c r="R362" s="37"/>
      <c r="S362" s="37"/>
      <c r="T362" s="37"/>
      <c r="U362" s="37"/>
      <c r="V362" s="37"/>
      <c r="W362" s="37"/>
      <c r="X362" s="36"/>
      <c r="Y362" s="36"/>
      <c r="Z362" s="36"/>
      <c r="AA362" s="36"/>
      <c r="AB362" s="36"/>
      <c r="AC362" s="36"/>
      <c r="AD362" s="36"/>
      <c r="AE362" s="36"/>
    </row>
    <row r="363" spans="1:31" ht="15.75" customHeight="1" x14ac:dyDescent="0.25">
      <c r="A363" s="37"/>
      <c r="B363" s="801"/>
      <c r="C363" s="37"/>
      <c r="D363" s="37"/>
      <c r="E363" s="37"/>
      <c r="F363" s="37"/>
      <c r="G363" s="37"/>
      <c r="H363" s="37"/>
      <c r="I363" s="37"/>
      <c r="J363" s="37"/>
      <c r="K363" s="37"/>
      <c r="L363" s="37"/>
      <c r="M363" s="37"/>
      <c r="N363" s="37"/>
      <c r="O363" s="37"/>
      <c r="P363" s="37"/>
      <c r="Q363" s="37"/>
      <c r="R363" s="37"/>
      <c r="S363" s="37"/>
      <c r="T363" s="37"/>
      <c r="U363" s="37"/>
      <c r="V363" s="37"/>
      <c r="W363" s="37"/>
      <c r="X363" s="36"/>
      <c r="Y363" s="36"/>
      <c r="Z363" s="36"/>
      <c r="AA363" s="36"/>
      <c r="AB363" s="36"/>
      <c r="AC363" s="36"/>
      <c r="AD363" s="36"/>
      <c r="AE363" s="36"/>
    </row>
    <row r="364" spans="1:31" ht="15.75" customHeight="1" x14ac:dyDescent="0.25">
      <c r="A364" s="37"/>
      <c r="B364" s="801"/>
      <c r="C364" s="37"/>
      <c r="D364" s="37"/>
      <c r="E364" s="37"/>
      <c r="F364" s="37"/>
      <c r="G364" s="37"/>
      <c r="H364" s="37"/>
      <c r="I364" s="37"/>
      <c r="J364" s="37"/>
      <c r="K364" s="37"/>
      <c r="L364" s="37"/>
      <c r="M364" s="37"/>
      <c r="N364" s="37"/>
      <c r="O364" s="37"/>
      <c r="P364" s="37"/>
      <c r="Q364" s="37"/>
      <c r="R364" s="37"/>
      <c r="S364" s="37"/>
      <c r="T364" s="37"/>
      <c r="U364" s="37"/>
      <c r="V364" s="37"/>
      <c r="W364" s="37"/>
      <c r="X364" s="36"/>
      <c r="Y364" s="36"/>
      <c r="Z364" s="36"/>
      <c r="AA364" s="36"/>
      <c r="AB364" s="36"/>
      <c r="AC364" s="36"/>
      <c r="AD364" s="36"/>
      <c r="AE364" s="36"/>
    </row>
    <row r="365" spans="1:31" ht="15.75" customHeight="1" x14ac:dyDescent="0.25">
      <c r="A365" s="37"/>
      <c r="B365" s="801"/>
      <c r="C365" s="37"/>
      <c r="D365" s="37"/>
      <c r="E365" s="37"/>
      <c r="F365" s="37"/>
      <c r="G365" s="37"/>
      <c r="H365" s="37"/>
      <c r="I365" s="37"/>
      <c r="J365" s="37"/>
      <c r="K365" s="37"/>
      <c r="L365" s="37"/>
      <c r="M365" s="37"/>
      <c r="N365" s="37"/>
      <c r="O365" s="37"/>
      <c r="P365" s="37"/>
      <c r="Q365" s="37"/>
      <c r="R365" s="37"/>
      <c r="S365" s="37"/>
      <c r="T365" s="37"/>
      <c r="U365" s="37"/>
      <c r="V365" s="37"/>
      <c r="W365" s="37"/>
      <c r="X365" s="36"/>
      <c r="Y365" s="36"/>
      <c r="Z365" s="36"/>
      <c r="AA365" s="36"/>
      <c r="AB365" s="36"/>
      <c r="AC365" s="36"/>
      <c r="AD365" s="36"/>
      <c r="AE365" s="36"/>
    </row>
    <row r="366" spans="1:31" ht="15.75" customHeight="1" x14ac:dyDescent="0.25">
      <c r="A366" s="37"/>
      <c r="B366" s="801"/>
      <c r="C366" s="37"/>
      <c r="D366" s="37"/>
      <c r="E366" s="37"/>
      <c r="F366" s="37"/>
      <c r="G366" s="37"/>
      <c r="H366" s="37"/>
      <c r="I366" s="37"/>
      <c r="J366" s="37"/>
      <c r="K366" s="37"/>
      <c r="L366" s="37"/>
      <c r="M366" s="37"/>
      <c r="N366" s="37"/>
      <c r="O366" s="37"/>
      <c r="P366" s="37"/>
      <c r="Q366" s="37"/>
      <c r="R366" s="37"/>
      <c r="S366" s="37"/>
      <c r="T366" s="37"/>
      <c r="U366" s="37"/>
      <c r="V366" s="37"/>
      <c r="W366" s="37"/>
      <c r="X366" s="36"/>
      <c r="Y366" s="36"/>
      <c r="Z366" s="36"/>
      <c r="AA366" s="36"/>
      <c r="AB366" s="36"/>
      <c r="AC366" s="36"/>
      <c r="AD366" s="36"/>
      <c r="AE366" s="36"/>
    </row>
    <row r="367" spans="1:31" ht="15.75" customHeight="1" x14ac:dyDescent="0.25">
      <c r="A367" s="37"/>
      <c r="B367" s="801"/>
      <c r="C367" s="37"/>
      <c r="D367" s="37"/>
      <c r="E367" s="37"/>
      <c r="F367" s="37"/>
      <c r="G367" s="37"/>
      <c r="H367" s="37"/>
      <c r="I367" s="37"/>
      <c r="J367" s="37"/>
      <c r="K367" s="37"/>
      <c r="L367" s="37"/>
      <c r="M367" s="37"/>
      <c r="N367" s="37"/>
      <c r="O367" s="37"/>
      <c r="P367" s="37"/>
      <c r="Q367" s="37"/>
      <c r="R367" s="37"/>
      <c r="S367" s="37"/>
      <c r="T367" s="37"/>
      <c r="U367" s="37"/>
      <c r="V367" s="37"/>
      <c r="W367" s="37"/>
      <c r="X367" s="36"/>
      <c r="Y367" s="36"/>
      <c r="Z367" s="36"/>
      <c r="AA367" s="36"/>
      <c r="AB367" s="36"/>
      <c r="AC367" s="36"/>
      <c r="AD367" s="36"/>
      <c r="AE367" s="36"/>
    </row>
    <row r="368" spans="1:31" ht="15.75" customHeight="1" x14ac:dyDescent="0.25">
      <c r="A368" s="37"/>
      <c r="B368" s="801"/>
      <c r="C368" s="37"/>
      <c r="D368" s="37"/>
      <c r="E368" s="37"/>
      <c r="F368" s="37"/>
      <c r="G368" s="37"/>
      <c r="H368" s="37"/>
      <c r="I368" s="37"/>
      <c r="J368" s="37"/>
      <c r="K368" s="37"/>
      <c r="L368" s="37"/>
      <c r="M368" s="37"/>
      <c r="N368" s="37"/>
      <c r="O368" s="37"/>
      <c r="P368" s="37"/>
      <c r="Q368" s="37"/>
      <c r="R368" s="37"/>
      <c r="S368" s="37"/>
      <c r="T368" s="37"/>
      <c r="U368" s="37"/>
      <c r="V368" s="37"/>
      <c r="W368" s="37"/>
      <c r="X368" s="36"/>
      <c r="Y368" s="36"/>
      <c r="Z368" s="36"/>
      <c r="AA368" s="36"/>
      <c r="AB368" s="36"/>
      <c r="AC368" s="36"/>
      <c r="AD368" s="36"/>
      <c r="AE368" s="36"/>
    </row>
    <row r="369" spans="1:31" ht="15.75" customHeight="1" x14ac:dyDescent="0.25">
      <c r="A369" s="37"/>
      <c r="B369" s="801"/>
      <c r="C369" s="37"/>
      <c r="D369" s="37"/>
      <c r="E369" s="37"/>
      <c r="F369" s="37"/>
      <c r="G369" s="37"/>
      <c r="H369" s="37"/>
      <c r="I369" s="37"/>
      <c r="J369" s="37"/>
      <c r="K369" s="37"/>
      <c r="L369" s="37"/>
      <c r="M369" s="37"/>
      <c r="N369" s="37"/>
      <c r="O369" s="37"/>
      <c r="P369" s="37"/>
      <c r="Q369" s="37"/>
      <c r="R369" s="37"/>
      <c r="S369" s="37"/>
      <c r="T369" s="37"/>
      <c r="U369" s="37"/>
      <c r="V369" s="37"/>
      <c r="W369" s="37"/>
      <c r="X369" s="36"/>
      <c r="Y369" s="36"/>
      <c r="Z369" s="36"/>
      <c r="AA369" s="36"/>
      <c r="AB369" s="36"/>
      <c r="AC369" s="36"/>
      <c r="AD369" s="36"/>
      <c r="AE369" s="36"/>
    </row>
    <row r="370" spans="1:31" ht="15.75" customHeight="1" x14ac:dyDescent="0.25">
      <c r="A370" s="37"/>
      <c r="B370" s="801"/>
      <c r="C370" s="37"/>
      <c r="D370" s="37"/>
      <c r="E370" s="37"/>
      <c r="F370" s="37"/>
      <c r="G370" s="37"/>
      <c r="H370" s="37"/>
      <c r="I370" s="37"/>
      <c r="J370" s="37"/>
      <c r="K370" s="37"/>
      <c r="L370" s="37"/>
      <c r="M370" s="37"/>
      <c r="N370" s="37"/>
      <c r="O370" s="37"/>
      <c r="P370" s="37"/>
      <c r="Q370" s="37"/>
      <c r="R370" s="37"/>
      <c r="S370" s="37"/>
      <c r="T370" s="37"/>
      <c r="U370" s="37"/>
      <c r="V370" s="37"/>
      <c r="W370" s="37"/>
      <c r="X370" s="36"/>
      <c r="Y370" s="36"/>
      <c r="Z370" s="36"/>
      <c r="AA370" s="36"/>
      <c r="AB370" s="36"/>
      <c r="AC370" s="36"/>
      <c r="AD370" s="36"/>
      <c r="AE370" s="36"/>
    </row>
    <row r="371" spans="1:31" ht="15.75" customHeight="1" x14ac:dyDescent="0.25">
      <c r="A371" s="37"/>
      <c r="B371" s="801"/>
      <c r="C371" s="37"/>
      <c r="D371" s="37"/>
      <c r="E371" s="37"/>
      <c r="F371" s="37"/>
      <c r="G371" s="37"/>
      <c r="H371" s="37"/>
      <c r="I371" s="37"/>
      <c r="J371" s="37"/>
      <c r="K371" s="37"/>
      <c r="L371" s="37"/>
      <c r="M371" s="37"/>
      <c r="N371" s="37"/>
      <c r="O371" s="37"/>
      <c r="P371" s="37"/>
      <c r="Q371" s="37"/>
      <c r="R371" s="37"/>
      <c r="S371" s="37"/>
      <c r="T371" s="37"/>
      <c r="U371" s="37"/>
      <c r="V371" s="37"/>
      <c r="W371" s="37"/>
      <c r="X371" s="36"/>
      <c r="Y371" s="36"/>
      <c r="Z371" s="36"/>
      <c r="AA371" s="36"/>
      <c r="AB371" s="36"/>
      <c r="AC371" s="36"/>
      <c r="AD371" s="36"/>
      <c r="AE371" s="36"/>
    </row>
    <row r="372" spans="1:31" ht="15.75" customHeight="1" x14ac:dyDescent="0.25">
      <c r="A372" s="37"/>
      <c r="B372" s="801"/>
      <c r="C372" s="37"/>
      <c r="D372" s="37"/>
      <c r="E372" s="37"/>
      <c r="F372" s="37"/>
      <c r="G372" s="37"/>
      <c r="H372" s="37"/>
      <c r="I372" s="37"/>
      <c r="J372" s="37"/>
      <c r="K372" s="37"/>
      <c r="L372" s="37"/>
      <c r="M372" s="37"/>
      <c r="N372" s="37"/>
      <c r="O372" s="37"/>
      <c r="P372" s="37"/>
      <c r="Q372" s="37"/>
      <c r="R372" s="37"/>
      <c r="S372" s="37"/>
      <c r="T372" s="37"/>
      <c r="U372" s="37"/>
      <c r="V372" s="37"/>
      <c r="W372" s="37"/>
      <c r="X372" s="36"/>
      <c r="Y372" s="36"/>
      <c r="Z372" s="36"/>
      <c r="AA372" s="36"/>
      <c r="AB372" s="36"/>
      <c r="AC372" s="36"/>
      <c r="AD372" s="36"/>
      <c r="AE372" s="36"/>
    </row>
    <row r="373" spans="1:31" ht="15.75" customHeight="1" x14ac:dyDescent="0.25">
      <c r="A373" s="37"/>
      <c r="B373" s="801"/>
      <c r="C373" s="37"/>
      <c r="D373" s="37"/>
      <c r="E373" s="37"/>
      <c r="F373" s="37"/>
      <c r="G373" s="37"/>
      <c r="H373" s="37"/>
      <c r="I373" s="37"/>
      <c r="J373" s="37"/>
      <c r="K373" s="37"/>
      <c r="L373" s="37"/>
      <c r="M373" s="37"/>
      <c r="N373" s="37"/>
      <c r="O373" s="37"/>
      <c r="P373" s="37"/>
      <c r="Q373" s="37"/>
      <c r="R373" s="37"/>
      <c r="S373" s="37"/>
      <c r="T373" s="37"/>
      <c r="U373" s="37"/>
      <c r="V373" s="37"/>
      <c r="W373" s="37"/>
      <c r="X373" s="36"/>
      <c r="Y373" s="36"/>
      <c r="Z373" s="36"/>
      <c r="AA373" s="36"/>
      <c r="AB373" s="36"/>
      <c r="AC373" s="36"/>
      <c r="AD373" s="36"/>
      <c r="AE373" s="36"/>
    </row>
    <row r="374" spans="1:31" ht="15.75" customHeight="1" x14ac:dyDescent="0.25">
      <c r="A374" s="37"/>
      <c r="B374" s="801"/>
      <c r="C374" s="37"/>
      <c r="D374" s="37"/>
      <c r="E374" s="37"/>
      <c r="F374" s="37"/>
      <c r="G374" s="37"/>
      <c r="H374" s="37"/>
      <c r="I374" s="37"/>
      <c r="J374" s="37"/>
      <c r="K374" s="37"/>
      <c r="L374" s="37"/>
      <c r="M374" s="37"/>
      <c r="N374" s="37"/>
      <c r="O374" s="37"/>
      <c r="P374" s="37"/>
      <c r="Q374" s="37"/>
      <c r="R374" s="37"/>
      <c r="S374" s="37"/>
      <c r="T374" s="37"/>
      <c r="U374" s="37"/>
      <c r="V374" s="37"/>
      <c r="W374" s="37"/>
      <c r="X374" s="36"/>
      <c r="Y374" s="36"/>
      <c r="Z374" s="36"/>
      <c r="AA374" s="36"/>
      <c r="AB374" s="36"/>
      <c r="AC374" s="36"/>
      <c r="AD374" s="36"/>
      <c r="AE374" s="36"/>
    </row>
    <row r="375" spans="1:31" ht="15.75" customHeight="1" x14ac:dyDescent="0.25">
      <c r="A375" s="37"/>
      <c r="B375" s="801"/>
      <c r="C375" s="37"/>
      <c r="D375" s="37"/>
      <c r="E375" s="37"/>
      <c r="F375" s="37"/>
      <c r="G375" s="37"/>
      <c r="H375" s="37"/>
      <c r="I375" s="37"/>
      <c r="J375" s="37"/>
      <c r="K375" s="37"/>
      <c r="L375" s="37"/>
      <c r="M375" s="37"/>
      <c r="N375" s="37"/>
      <c r="O375" s="37"/>
      <c r="P375" s="37"/>
      <c r="Q375" s="37"/>
      <c r="R375" s="37"/>
      <c r="S375" s="37"/>
      <c r="T375" s="37"/>
      <c r="U375" s="37"/>
      <c r="V375" s="37"/>
      <c r="W375" s="37"/>
      <c r="X375" s="36"/>
      <c r="Y375" s="36"/>
      <c r="Z375" s="36"/>
      <c r="AA375" s="36"/>
      <c r="AB375" s="36"/>
      <c r="AC375" s="36"/>
      <c r="AD375" s="36"/>
      <c r="AE375" s="36"/>
    </row>
    <row r="376" spans="1:31" ht="15.75" customHeight="1" x14ac:dyDescent="0.25">
      <c r="A376" s="37"/>
      <c r="B376" s="801"/>
      <c r="C376" s="37"/>
      <c r="D376" s="37"/>
      <c r="E376" s="37"/>
      <c r="F376" s="37"/>
      <c r="G376" s="37"/>
      <c r="H376" s="37"/>
      <c r="I376" s="37"/>
      <c r="J376" s="37"/>
      <c r="K376" s="37"/>
      <c r="L376" s="37"/>
      <c r="M376" s="37"/>
      <c r="N376" s="37"/>
      <c r="O376" s="37"/>
      <c r="P376" s="37"/>
      <c r="Q376" s="37"/>
      <c r="R376" s="37"/>
      <c r="S376" s="37"/>
      <c r="T376" s="37"/>
      <c r="U376" s="37"/>
      <c r="V376" s="37"/>
      <c r="W376" s="37"/>
      <c r="X376" s="36"/>
      <c r="Y376" s="36"/>
      <c r="Z376" s="36"/>
      <c r="AA376" s="36"/>
      <c r="AB376" s="36"/>
      <c r="AC376" s="36"/>
      <c r="AD376" s="36"/>
      <c r="AE376" s="36"/>
    </row>
    <row r="377" spans="1:31" ht="15.75" customHeight="1" x14ac:dyDescent="0.25">
      <c r="A377" s="37"/>
      <c r="B377" s="801"/>
      <c r="C377" s="37"/>
      <c r="D377" s="37"/>
      <c r="E377" s="37"/>
      <c r="F377" s="37"/>
      <c r="G377" s="37"/>
      <c r="H377" s="37"/>
      <c r="I377" s="37"/>
      <c r="J377" s="37"/>
      <c r="K377" s="37"/>
      <c r="L377" s="37"/>
      <c r="M377" s="37"/>
      <c r="N377" s="37"/>
      <c r="O377" s="37"/>
      <c r="P377" s="37"/>
      <c r="Q377" s="37"/>
      <c r="R377" s="37"/>
      <c r="S377" s="37"/>
      <c r="T377" s="37"/>
      <c r="U377" s="37"/>
      <c r="V377" s="37"/>
      <c r="W377" s="37"/>
      <c r="X377" s="36"/>
      <c r="Y377" s="36"/>
      <c r="Z377" s="36"/>
      <c r="AA377" s="36"/>
      <c r="AB377" s="36"/>
      <c r="AC377" s="36"/>
      <c r="AD377" s="36"/>
      <c r="AE377" s="36"/>
    </row>
    <row r="378" spans="1:31" ht="15.75" customHeight="1" x14ac:dyDescent="0.25">
      <c r="A378" s="37"/>
      <c r="B378" s="801"/>
      <c r="C378" s="37"/>
      <c r="D378" s="37"/>
      <c r="E378" s="37"/>
      <c r="F378" s="37"/>
      <c r="G378" s="37"/>
      <c r="H378" s="37"/>
      <c r="I378" s="37"/>
      <c r="J378" s="37"/>
      <c r="K378" s="37"/>
      <c r="L378" s="37"/>
      <c r="M378" s="37"/>
      <c r="N378" s="37"/>
      <c r="O378" s="37"/>
      <c r="P378" s="37"/>
      <c r="Q378" s="37"/>
      <c r="R378" s="37"/>
      <c r="S378" s="37"/>
      <c r="T378" s="37"/>
      <c r="U378" s="37"/>
      <c r="V378" s="37"/>
      <c r="W378" s="37"/>
      <c r="X378" s="36"/>
      <c r="Y378" s="36"/>
      <c r="Z378" s="36"/>
      <c r="AA378" s="36"/>
      <c r="AB378" s="36"/>
      <c r="AC378" s="36"/>
      <c r="AD378" s="36"/>
      <c r="AE378" s="36"/>
    </row>
    <row r="379" spans="1:31" ht="15.75" customHeight="1" x14ac:dyDescent="0.25">
      <c r="A379" s="37"/>
      <c r="B379" s="801"/>
      <c r="C379" s="37"/>
      <c r="D379" s="37"/>
      <c r="E379" s="37"/>
      <c r="F379" s="37"/>
      <c r="G379" s="37"/>
      <c r="H379" s="37"/>
      <c r="I379" s="37"/>
      <c r="J379" s="37"/>
      <c r="K379" s="37"/>
      <c r="L379" s="37"/>
      <c r="M379" s="37"/>
      <c r="N379" s="37"/>
      <c r="O379" s="37"/>
      <c r="P379" s="37"/>
      <c r="Q379" s="37"/>
      <c r="R379" s="37"/>
      <c r="S379" s="37"/>
      <c r="T379" s="37"/>
      <c r="U379" s="37"/>
      <c r="V379" s="37"/>
      <c r="W379" s="37"/>
      <c r="X379" s="36"/>
      <c r="Y379" s="36"/>
      <c r="Z379" s="36"/>
      <c r="AA379" s="36"/>
      <c r="AB379" s="36"/>
      <c r="AC379" s="36"/>
      <c r="AD379" s="36"/>
      <c r="AE379" s="36"/>
    </row>
    <row r="380" spans="1:31" ht="15.75" customHeight="1" x14ac:dyDescent="0.25">
      <c r="A380" s="37"/>
      <c r="B380" s="801"/>
      <c r="C380" s="37"/>
      <c r="D380" s="37"/>
      <c r="E380" s="37"/>
      <c r="F380" s="37"/>
      <c r="G380" s="37"/>
      <c r="H380" s="37"/>
      <c r="I380" s="37"/>
      <c r="J380" s="37"/>
      <c r="K380" s="37"/>
      <c r="L380" s="37"/>
      <c r="M380" s="37"/>
      <c r="N380" s="37"/>
      <c r="O380" s="37"/>
      <c r="P380" s="37"/>
      <c r="Q380" s="37"/>
      <c r="R380" s="37"/>
      <c r="S380" s="37"/>
      <c r="T380" s="37"/>
      <c r="U380" s="37"/>
      <c r="V380" s="37"/>
      <c r="W380" s="37"/>
      <c r="X380" s="36"/>
      <c r="Y380" s="36"/>
      <c r="Z380" s="36"/>
      <c r="AA380" s="36"/>
      <c r="AB380" s="36"/>
      <c r="AC380" s="36"/>
      <c r="AD380" s="36"/>
      <c r="AE380" s="36"/>
    </row>
    <row r="381" spans="1:31" ht="15.75" customHeight="1" x14ac:dyDescent="0.25">
      <c r="A381" s="37"/>
      <c r="B381" s="801"/>
      <c r="C381" s="37"/>
      <c r="D381" s="37"/>
      <c r="E381" s="37"/>
      <c r="F381" s="37"/>
      <c r="G381" s="37"/>
      <c r="H381" s="37"/>
      <c r="I381" s="37"/>
      <c r="J381" s="37"/>
      <c r="K381" s="37"/>
      <c r="L381" s="37"/>
      <c r="M381" s="37"/>
      <c r="N381" s="37"/>
      <c r="O381" s="37"/>
      <c r="P381" s="37"/>
      <c r="Q381" s="37"/>
      <c r="R381" s="37"/>
      <c r="S381" s="37"/>
      <c r="T381" s="37"/>
      <c r="U381" s="37"/>
      <c r="V381" s="37"/>
      <c r="W381" s="37"/>
      <c r="X381" s="36"/>
      <c r="Y381" s="36"/>
      <c r="Z381" s="36"/>
      <c r="AA381" s="36"/>
      <c r="AB381" s="36"/>
      <c r="AC381" s="36"/>
      <c r="AD381" s="36"/>
      <c r="AE381" s="36"/>
    </row>
    <row r="382" spans="1:31" ht="15.75" customHeight="1" x14ac:dyDescent="0.25">
      <c r="A382" s="37"/>
      <c r="B382" s="801"/>
      <c r="C382" s="37"/>
      <c r="D382" s="37"/>
      <c r="E382" s="37"/>
      <c r="F382" s="37"/>
      <c r="G382" s="37"/>
      <c r="H382" s="37"/>
      <c r="I382" s="37"/>
      <c r="J382" s="37"/>
      <c r="K382" s="37"/>
      <c r="L382" s="37"/>
      <c r="M382" s="37"/>
      <c r="N382" s="37"/>
      <c r="O382" s="37"/>
      <c r="P382" s="37"/>
      <c r="Q382" s="37"/>
      <c r="R382" s="37"/>
      <c r="S382" s="37"/>
      <c r="T382" s="37"/>
      <c r="U382" s="37"/>
      <c r="V382" s="37"/>
      <c r="W382" s="37"/>
      <c r="X382" s="36"/>
      <c r="Y382" s="36"/>
      <c r="Z382" s="36"/>
      <c r="AA382" s="36"/>
      <c r="AB382" s="36"/>
      <c r="AC382" s="36"/>
      <c r="AD382" s="36"/>
      <c r="AE382" s="36"/>
    </row>
    <row r="383" spans="1:31" ht="15.75" customHeight="1" x14ac:dyDescent="0.25">
      <c r="A383" s="37"/>
      <c r="B383" s="801"/>
      <c r="C383" s="37"/>
      <c r="D383" s="37"/>
      <c r="E383" s="37"/>
      <c r="F383" s="37"/>
      <c r="G383" s="37"/>
      <c r="H383" s="37"/>
      <c r="I383" s="37"/>
      <c r="J383" s="37"/>
      <c r="K383" s="37"/>
      <c r="L383" s="37"/>
      <c r="M383" s="37"/>
      <c r="N383" s="37"/>
      <c r="O383" s="37"/>
      <c r="P383" s="37"/>
      <c r="Q383" s="37"/>
      <c r="R383" s="37"/>
      <c r="S383" s="37"/>
      <c r="T383" s="37"/>
      <c r="U383" s="37"/>
      <c r="V383" s="37"/>
      <c r="W383" s="37"/>
      <c r="X383" s="36"/>
      <c r="Y383" s="36"/>
      <c r="Z383" s="36"/>
      <c r="AA383" s="36"/>
      <c r="AB383" s="36"/>
      <c r="AC383" s="36"/>
      <c r="AD383" s="36"/>
      <c r="AE383" s="36"/>
    </row>
    <row r="384" spans="1:31" ht="15.75" customHeight="1" x14ac:dyDescent="0.25">
      <c r="A384" s="37"/>
      <c r="B384" s="801"/>
      <c r="C384" s="37"/>
      <c r="D384" s="37"/>
      <c r="E384" s="37"/>
      <c r="F384" s="37"/>
      <c r="G384" s="37"/>
      <c r="H384" s="37"/>
      <c r="I384" s="37"/>
      <c r="J384" s="37"/>
      <c r="K384" s="37"/>
      <c r="L384" s="37"/>
      <c r="M384" s="37"/>
      <c r="N384" s="37"/>
      <c r="O384" s="37"/>
      <c r="P384" s="37"/>
      <c r="Q384" s="37"/>
      <c r="R384" s="37"/>
      <c r="S384" s="37"/>
      <c r="T384" s="37"/>
      <c r="U384" s="37"/>
      <c r="V384" s="37"/>
      <c r="W384" s="37"/>
      <c r="X384" s="36"/>
      <c r="Y384" s="36"/>
      <c r="Z384" s="36"/>
      <c r="AA384" s="36"/>
      <c r="AB384" s="36"/>
      <c r="AC384" s="36"/>
      <c r="AD384" s="36"/>
      <c r="AE384" s="36"/>
    </row>
    <row r="385" spans="1:31" ht="15.75" customHeight="1" x14ac:dyDescent="0.25">
      <c r="A385" s="37"/>
      <c r="B385" s="801"/>
      <c r="C385" s="37"/>
      <c r="D385" s="37"/>
      <c r="E385" s="37"/>
      <c r="F385" s="37"/>
      <c r="G385" s="37"/>
      <c r="H385" s="37"/>
      <c r="I385" s="37"/>
      <c r="J385" s="37"/>
      <c r="K385" s="37"/>
      <c r="L385" s="37"/>
      <c r="M385" s="37"/>
      <c r="N385" s="37"/>
      <c r="O385" s="37"/>
      <c r="P385" s="37"/>
      <c r="Q385" s="37"/>
      <c r="R385" s="37"/>
      <c r="S385" s="37"/>
      <c r="T385" s="37"/>
      <c r="U385" s="37"/>
      <c r="V385" s="37"/>
      <c r="W385" s="37"/>
      <c r="X385" s="36"/>
      <c r="Y385" s="36"/>
      <c r="Z385" s="36"/>
      <c r="AA385" s="36"/>
      <c r="AB385" s="36"/>
      <c r="AC385" s="36"/>
      <c r="AD385" s="36"/>
      <c r="AE385" s="36"/>
    </row>
    <row r="386" spans="1:31" ht="15.75" customHeight="1" x14ac:dyDescent="0.25">
      <c r="A386" s="37"/>
      <c r="B386" s="801"/>
      <c r="C386" s="37"/>
      <c r="D386" s="37"/>
      <c r="E386" s="37"/>
      <c r="F386" s="37"/>
      <c r="G386" s="37"/>
      <c r="H386" s="37"/>
      <c r="I386" s="37"/>
      <c r="J386" s="37"/>
      <c r="K386" s="37"/>
      <c r="L386" s="37"/>
      <c r="M386" s="37"/>
      <c r="N386" s="37"/>
      <c r="O386" s="37"/>
      <c r="P386" s="37"/>
      <c r="Q386" s="37"/>
      <c r="R386" s="37"/>
      <c r="S386" s="37"/>
      <c r="T386" s="37"/>
      <c r="U386" s="37"/>
      <c r="V386" s="37"/>
      <c r="W386" s="37"/>
      <c r="X386" s="36"/>
      <c r="Y386" s="36"/>
      <c r="Z386" s="36"/>
      <c r="AA386" s="36"/>
      <c r="AB386" s="36"/>
      <c r="AC386" s="36"/>
      <c r="AD386" s="36"/>
      <c r="AE386" s="36"/>
    </row>
    <row r="387" spans="1:31" ht="15.75" customHeight="1" x14ac:dyDescent="0.25">
      <c r="A387" s="37"/>
      <c r="B387" s="801"/>
      <c r="C387" s="37"/>
      <c r="D387" s="37"/>
      <c r="E387" s="37"/>
      <c r="F387" s="37"/>
      <c r="G387" s="37"/>
      <c r="H387" s="37"/>
      <c r="I387" s="37"/>
      <c r="J387" s="37"/>
      <c r="K387" s="37"/>
      <c r="L387" s="37"/>
      <c r="M387" s="37"/>
      <c r="N387" s="37"/>
      <c r="O387" s="37"/>
      <c r="P387" s="37"/>
      <c r="Q387" s="37"/>
      <c r="R387" s="37"/>
      <c r="S387" s="37"/>
      <c r="T387" s="37"/>
      <c r="U387" s="37"/>
      <c r="V387" s="37"/>
      <c r="W387" s="37"/>
      <c r="X387" s="36"/>
      <c r="Y387" s="36"/>
      <c r="Z387" s="36"/>
      <c r="AA387" s="36"/>
      <c r="AB387" s="36"/>
      <c r="AC387" s="36"/>
      <c r="AD387" s="36"/>
      <c r="AE387" s="36"/>
    </row>
    <row r="388" spans="1:31" ht="15.75" customHeight="1" x14ac:dyDescent="0.25">
      <c r="A388" s="37"/>
      <c r="B388" s="801"/>
      <c r="C388" s="37"/>
      <c r="D388" s="37"/>
      <c r="E388" s="37"/>
      <c r="F388" s="37"/>
      <c r="G388" s="37"/>
      <c r="H388" s="37"/>
      <c r="I388" s="37"/>
      <c r="J388" s="37"/>
      <c r="K388" s="37"/>
      <c r="L388" s="37"/>
      <c r="M388" s="37"/>
      <c r="N388" s="37"/>
      <c r="O388" s="37"/>
      <c r="P388" s="37"/>
      <c r="Q388" s="37"/>
      <c r="R388" s="37"/>
      <c r="S388" s="37"/>
      <c r="T388" s="37"/>
      <c r="U388" s="37"/>
      <c r="V388" s="37"/>
      <c r="W388" s="37"/>
      <c r="X388" s="36"/>
      <c r="Y388" s="36"/>
      <c r="Z388" s="36"/>
      <c r="AA388" s="36"/>
      <c r="AB388" s="36"/>
      <c r="AC388" s="36"/>
      <c r="AD388" s="36"/>
      <c r="AE388" s="36"/>
    </row>
    <row r="389" spans="1:31" ht="15.75" customHeight="1" x14ac:dyDescent="0.25">
      <c r="A389" s="37"/>
      <c r="B389" s="801"/>
      <c r="C389" s="37"/>
      <c r="D389" s="37"/>
      <c r="E389" s="37"/>
      <c r="F389" s="37"/>
      <c r="G389" s="37"/>
      <c r="H389" s="37"/>
      <c r="I389" s="37"/>
      <c r="J389" s="37"/>
      <c r="K389" s="37"/>
      <c r="L389" s="37"/>
      <c r="M389" s="37"/>
      <c r="N389" s="37"/>
      <c r="O389" s="37"/>
      <c r="P389" s="37"/>
      <c r="Q389" s="37"/>
      <c r="R389" s="37"/>
      <c r="S389" s="37"/>
      <c r="T389" s="37"/>
      <c r="U389" s="37"/>
      <c r="V389" s="37"/>
      <c r="W389" s="37"/>
      <c r="X389" s="36"/>
      <c r="Y389" s="36"/>
      <c r="Z389" s="36"/>
      <c r="AA389" s="36"/>
      <c r="AB389" s="36"/>
      <c r="AC389" s="36"/>
      <c r="AD389" s="36"/>
      <c r="AE389" s="36"/>
    </row>
    <row r="390" spans="1:31" ht="15.75" customHeight="1" x14ac:dyDescent="0.25">
      <c r="A390" s="37"/>
      <c r="B390" s="801"/>
      <c r="C390" s="37"/>
      <c r="D390" s="37"/>
      <c r="E390" s="37"/>
      <c r="F390" s="37"/>
      <c r="G390" s="37"/>
      <c r="H390" s="37"/>
      <c r="I390" s="37"/>
      <c r="J390" s="37"/>
      <c r="K390" s="37"/>
      <c r="L390" s="37"/>
      <c r="M390" s="37"/>
      <c r="N390" s="37"/>
      <c r="O390" s="37"/>
      <c r="P390" s="37"/>
      <c r="Q390" s="37"/>
      <c r="R390" s="37"/>
      <c r="S390" s="37"/>
      <c r="T390" s="37"/>
      <c r="U390" s="37"/>
      <c r="V390" s="37"/>
      <c r="W390" s="37"/>
      <c r="X390" s="36"/>
      <c r="Y390" s="36"/>
      <c r="Z390" s="36"/>
      <c r="AA390" s="36"/>
      <c r="AB390" s="36"/>
      <c r="AC390" s="36"/>
      <c r="AD390" s="36"/>
      <c r="AE390" s="36"/>
    </row>
    <row r="391" spans="1:31" ht="15.75" customHeight="1" x14ac:dyDescent="0.25">
      <c r="A391" s="37"/>
      <c r="B391" s="801"/>
      <c r="C391" s="37"/>
      <c r="D391" s="37"/>
      <c r="E391" s="37"/>
      <c r="F391" s="37"/>
      <c r="G391" s="37"/>
      <c r="H391" s="37"/>
      <c r="I391" s="37"/>
      <c r="J391" s="37"/>
      <c r="K391" s="37"/>
      <c r="L391" s="37"/>
      <c r="M391" s="37"/>
      <c r="N391" s="37"/>
      <c r="O391" s="37"/>
      <c r="P391" s="37"/>
      <c r="Q391" s="37"/>
      <c r="R391" s="37"/>
      <c r="S391" s="37"/>
      <c r="T391" s="37"/>
      <c r="U391" s="37"/>
      <c r="V391" s="37"/>
      <c r="W391" s="37"/>
      <c r="X391" s="36"/>
      <c r="Y391" s="36"/>
      <c r="Z391" s="36"/>
      <c r="AA391" s="36"/>
      <c r="AB391" s="36"/>
      <c r="AC391" s="36"/>
      <c r="AD391" s="36"/>
      <c r="AE391" s="36"/>
    </row>
    <row r="392" spans="1:31" ht="15.75" customHeight="1" x14ac:dyDescent="0.25">
      <c r="A392" s="37"/>
      <c r="B392" s="801"/>
      <c r="C392" s="37"/>
      <c r="D392" s="37"/>
      <c r="E392" s="37"/>
      <c r="F392" s="37"/>
      <c r="G392" s="37"/>
      <c r="H392" s="37"/>
      <c r="I392" s="37"/>
      <c r="J392" s="37"/>
      <c r="K392" s="37"/>
      <c r="L392" s="37"/>
      <c r="M392" s="37"/>
      <c r="N392" s="37"/>
      <c r="O392" s="37"/>
      <c r="P392" s="37"/>
      <c r="Q392" s="37"/>
      <c r="R392" s="37"/>
      <c r="S392" s="37"/>
      <c r="T392" s="37"/>
      <c r="U392" s="37"/>
      <c r="V392" s="37"/>
      <c r="W392" s="37"/>
      <c r="X392" s="36"/>
      <c r="Y392" s="36"/>
      <c r="Z392" s="36"/>
      <c r="AA392" s="36"/>
      <c r="AB392" s="36"/>
      <c r="AC392" s="36"/>
      <c r="AD392" s="36"/>
      <c r="AE392" s="36"/>
    </row>
    <row r="393" spans="1:31" ht="15.75" customHeight="1" x14ac:dyDescent="0.25">
      <c r="A393" s="37"/>
      <c r="B393" s="801"/>
      <c r="C393" s="37"/>
      <c r="D393" s="37"/>
      <c r="E393" s="37"/>
      <c r="F393" s="37"/>
      <c r="G393" s="37"/>
      <c r="H393" s="37"/>
      <c r="I393" s="37"/>
      <c r="J393" s="37"/>
      <c r="K393" s="37"/>
      <c r="L393" s="37"/>
      <c r="M393" s="37"/>
      <c r="N393" s="37"/>
      <c r="O393" s="37"/>
      <c r="P393" s="37"/>
      <c r="Q393" s="37"/>
      <c r="R393" s="37"/>
      <c r="S393" s="37"/>
      <c r="T393" s="37"/>
      <c r="U393" s="37"/>
      <c r="V393" s="37"/>
      <c r="W393" s="37"/>
      <c r="X393" s="36"/>
      <c r="Y393" s="36"/>
      <c r="Z393" s="36"/>
      <c r="AA393" s="36"/>
      <c r="AB393" s="36"/>
      <c r="AC393" s="36"/>
      <c r="AD393" s="36"/>
      <c r="AE393" s="36"/>
    </row>
    <row r="394" spans="1:31" ht="15.75" customHeight="1" x14ac:dyDescent="0.25">
      <c r="A394" s="37"/>
      <c r="B394" s="801"/>
      <c r="C394" s="37"/>
      <c r="D394" s="37"/>
      <c r="E394" s="37"/>
      <c r="F394" s="37"/>
      <c r="G394" s="37"/>
      <c r="H394" s="37"/>
      <c r="I394" s="37"/>
      <c r="J394" s="37"/>
      <c r="K394" s="37"/>
      <c r="L394" s="37"/>
      <c r="M394" s="37"/>
      <c r="N394" s="37"/>
      <c r="O394" s="37"/>
      <c r="P394" s="37"/>
      <c r="Q394" s="37"/>
      <c r="R394" s="37"/>
      <c r="S394" s="37"/>
      <c r="T394" s="37"/>
      <c r="U394" s="37"/>
      <c r="V394" s="37"/>
      <c r="W394" s="37"/>
      <c r="X394" s="36"/>
      <c r="Y394" s="36"/>
      <c r="Z394" s="36"/>
      <c r="AA394" s="36"/>
      <c r="AB394" s="36"/>
      <c r="AC394" s="36"/>
      <c r="AD394" s="36"/>
      <c r="AE394" s="36"/>
    </row>
    <row r="395" spans="1:31" ht="15.75" customHeight="1" x14ac:dyDescent="0.25">
      <c r="A395" s="37"/>
      <c r="B395" s="801"/>
      <c r="C395" s="37"/>
      <c r="D395" s="37"/>
      <c r="E395" s="37"/>
      <c r="F395" s="37"/>
      <c r="G395" s="37"/>
      <c r="H395" s="37"/>
      <c r="I395" s="37"/>
      <c r="J395" s="37"/>
      <c r="K395" s="37"/>
      <c r="L395" s="37"/>
      <c r="M395" s="37"/>
      <c r="N395" s="37"/>
      <c r="O395" s="37"/>
      <c r="P395" s="37"/>
      <c r="Q395" s="37"/>
      <c r="R395" s="37"/>
      <c r="S395" s="37"/>
      <c r="T395" s="37"/>
      <c r="U395" s="37"/>
      <c r="V395" s="37"/>
      <c r="W395" s="37"/>
      <c r="X395" s="36"/>
      <c r="Y395" s="36"/>
      <c r="Z395" s="36"/>
      <c r="AA395" s="36"/>
      <c r="AB395" s="36"/>
      <c r="AC395" s="36"/>
      <c r="AD395" s="36"/>
      <c r="AE395" s="36"/>
    </row>
    <row r="396" spans="1:31" ht="15.75" customHeight="1" x14ac:dyDescent="0.25">
      <c r="A396" s="37"/>
      <c r="B396" s="801"/>
      <c r="C396" s="37"/>
      <c r="D396" s="37"/>
      <c r="E396" s="37"/>
      <c r="F396" s="37"/>
      <c r="G396" s="37"/>
      <c r="H396" s="37"/>
      <c r="I396" s="37"/>
      <c r="J396" s="37"/>
      <c r="K396" s="37"/>
      <c r="L396" s="37"/>
      <c r="M396" s="37"/>
      <c r="N396" s="37"/>
      <c r="O396" s="37"/>
      <c r="P396" s="37"/>
      <c r="Q396" s="37"/>
      <c r="R396" s="37"/>
      <c r="S396" s="37"/>
      <c r="T396" s="37"/>
      <c r="U396" s="37"/>
      <c r="V396" s="37"/>
      <c r="W396" s="37"/>
      <c r="X396" s="36"/>
      <c r="Y396" s="36"/>
      <c r="Z396" s="36"/>
      <c r="AA396" s="36"/>
      <c r="AB396" s="36"/>
      <c r="AC396" s="36"/>
      <c r="AD396" s="36"/>
      <c r="AE396" s="36"/>
    </row>
    <row r="397" spans="1:31" ht="15.75" customHeight="1" x14ac:dyDescent="0.25">
      <c r="A397" s="37"/>
      <c r="B397" s="801"/>
      <c r="C397" s="37"/>
      <c r="D397" s="37"/>
      <c r="E397" s="37"/>
      <c r="F397" s="37"/>
      <c r="G397" s="37"/>
      <c r="H397" s="37"/>
      <c r="I397" s="37"/>
      <c r="J397" s="37"/>
      <c r="K397" s="37"/>
      <c r="L397" s="37"/>
      <c r="M397" s="37"/>
      <c r="N397" s="37"/>
      <c r="O397" s="37"/>
      <c r="P397" s="37"/>
      <c r="Q397" s="37"/>
      <c r="R397" s="37"/>
      <c r="S397" s="37"/>
      <c r="T397" s="37"/>
      <c r="U397" s="37"/>
      <c r="V397" s="37"/>
      <c r="W397" s="37"/>
      <c r="X397" s="36"/>
      <c r="Y397" s="36"/>
      <c r="Z397" s="36"/>
      <c r="AA397" s="36"/>
      <c r="AB397" s="36"/>
      <c r="AC397" s="36"/>
      <c r="AD397" s="36"/>
      <c r="AE397" s="36"/>
    </row>
    <row r="398" spans="1:31" ht="15.75" customHeight="1" x14ac:dyDescent="0.25">
      <c r="A398" s="37"/>
      <c r="B398" s="801"/>
      <c r="C398" s="37"/>
      <c r="D398" s="37"/>
      <c r="E398" s="37"/>
      <c r="F398" s="37"/>
      <c r="G398" s="37"/>
      <c r="H398" s="37"/>
      <c r="I398" s="37"/>
      <c r="J398" s="37"/>
      <c r="K398" s="37"/>
      <c r="L398" s="37"/>
      <c r="M398" s="37"/>
      <c r="N398" s="37"/>
      <c r="O398" s="37"/>
      <c r="P398" s="37"/>
      <c r="Q398" s="37"/>
      <c r="R398" s="37"/>
      <c r="S398" s="37"/>
      <c r="T398" s="37"/>
      <c r="U398" s="37"/>
      <c r="V398" s="37"/>
      <c r="W398" s="37"/>
      <c r="X398" s="36"/>
      <c r="Y398" s="36"/>
      <c r="Z398" s="36"/>
      <c r="AA398" s="36"/>
      <c r="AB398" s="36"/>
      <c r="AC398" s="36"/>
      <c r="AD398" s="36"/>
      <c r="AE398" s="36"/>
    </row>
    <row r="399" spans="1:31" ht="15.75" customHeight="1" x14ac:dyDescent="0.25">
      <c r="A399" s="37"/>
      <c r="B399" s="801"/>
      <c r="C399" s="37"/>
      <c r="D399" s="37"/>
      <c r="E399" s="37"/>
      <c r="F399" s="37"/>
      <c r="G399" s="37"/>
      <c r="H399" s="37"/>
      <c r="I399" s="37"/>
      <c r="J399" s="37"/>
      <c r="K399" s="37"/>
      <c r="L399" s="37"/>
      <c r="M399" s="37"/>
      <c r="N399" s="37"/>
      <c r="O399" s="37"/>
      <c r="P399" s="37"/>
      <c r="Q399" s="37"/>
      <c r="R399" s="37"/>
      <c r="S399" s="37"/>
      <c r="T399" s="37"/>
      <c r="U399" s="37"/>
      <c r="V399" s="37"/>
      <c r="W399" s="37"/>
      <c r="X399" s="36"/>
      <c r="Y399" s="36"/>
      <c r="Z399" s="36"/>
      <c r="AA399" s="36"/>
      <c r="AB399" s="36"/>
      <c r="AC399" s="36"/>
      <c r="AD399" s="36"/>
      <c r="AE399" s="36"/>
    </row>
    <row r="400" spans="1:31" ht="15.75" customHeight="1" x14ac:dyDescent="0.25">
      <c r="A400" s="37"/>
      <c r="B400" s="801"/>
      <c r="C400" s="37"/>
      <c r="D400" s="37"/>
      <c r="E400" s="37"/>
      <c r="F400" s="37"/>
      <c r="G400" s="37"/>
      <c r="H400" s="37"/>
      <c r="I400" s="37"/>
      <c r="J400" s="37"/>
      <c r="K400" s="37"/>
      <c r="L400" s="37"/>
      <c r="M400" s="37"/>
      <c r="N400" s="37"/>
      <c r="O400" s="37"/>
      <c r="P400" s="37"/>
      <c r="Q400" s="37"/>
      <c r="R400" s="37"/>
      <c r="S400" s="37"/>
      <c r="T400" s="37"/>
      <c r="U400" s="37"/>
      <c r="V400" s="37"/>
      <c r="W400" s="37"/>
      <c r="X400" s="36"/>
      <c r="Y400" s="36"/>
      <c r="Z400" s="36"/>
      <c r="AA400" s="36"/>
      <c r="AB400" s="36"/>
      <c r="AC400" s="36"/>
      <c r="AD400" s="36"/>
      <c r="AE400" s="36"/>
    </row>
    <row r="401" spans="1:31" ht="15.75" customHeight="1" x14ac:dyDescent="0.25">
      <c r="A401" s="37"/>
      <c r="B401" s="801"/>
      <c r="C401" s="37"/>
      <c r="D401" s="37"/>
      <c r="E401" s="37"/>
      <c r="F401" s="37"/>
      <c r="G401" s="37"/>
      <c r="H401" s="37"/>
      <c r="I401" s="37"/>
      <c r="J401" s="37"/>
      <c r="K401" s="37"/>
      <c r="L401" s="37"/>
      <c r="M401" s="37"/>
      <c r="N401" s="37"/>
      <c r="O401" s="37"/>
      <c r="P401" s="37"/>
      <c r="Q401" s="37"/>
      <c r="R401" s="37"/>
      <c r="S401" s="37"/>
      <c r="T401" s="37"/>
      <c r="U401" s="37"/>
      <c r="V401" s="37"/>
      <c r="W401" s="37"/>
      <c r="X401" s="36"/>
      <c r="Y401" s="36"/>
      <c r="Z401" s="36"/>
      <c r="AA401" s="36"/>
      <c r="AB401" s="36"/>
      <c r="AC401" s="36"/>
      <c r="AD401" s="36"/>
      <c r="AE401" s="36"/>
    </row>
    <row r="402" spans="1:31" ht="15.75" customHeight="1" x14ac:dyDescent="0.25">
      <c r="A402" s="37"/>
      <c r="B402" s="801"/>
      <c r="C402" s="37"/>
      <c r="D402" s="37"/>
      <c r="E402" s="37"/>
      <c r="F402" s="37"/>
      <c r="G402" s="37"/>
      <c r="H402" s="37"/>
      <c r="I402" s="37"/>
      <c r="J402" s="37"/>
      <c r="K402" s="37"/>
      <c r="L402" s="37"/>
      <c r="M402" s="37"/>
      <c r="N402" s="37"/>
      <c r="O402" s="37"/>
      <c r="P402" s="37"/>
      <c r="Q402" s="37"/>
      <c r="R402" s="37"/>
      <c r="S402" s="37"/>
      <c r="T402" s="37"/>
      <c r="U402" s="37"/>
      <c r="V402" s="37"/>
      <c r="W402" s="37"/>
      <c r="X402" s="36"/>
      <c r="Y402" s="36"/>
      <c r="Z402" s="36"/>
      <c r="AA402" s="36"/>
      <c r="AB402" s="36"/>
      <c r="AC402" s="36"/>
      <c r="AD402" s="36"/>
      <c r="AE402" s="36"/>
    </row>
    <row r="403" spans="1:31" ht="15.75" customHeight="1" x14ac:dyDescent="0.25">
      <c r="A403" s="37"/>
      <c r="B403" s="801"/>
      <c r="C403" s="37"/>
      <c r="D403" s="37"/>
      <c r="E403" s="37"/>
      <c r="F403" s="37"/>
      <c r="G403" s="37"/>
      <c r="H403" s="37"/>
      <c r="I403" s="37"/>
      <c r="J403" s="37"/>
      <c r="K403" s="37"/>
      <c r="L403" s="37"/>
      <c r="M403" s="37"/>
      <c r="N403" s="37"/>
      <c r="O403" s="37"/>
      <c r="P403" s="37"/>
      <c r="Q403" s="37"/>
      <c r="R403" s="37"/>
      <c r="S403" s="37"/>
      <c r="T403" s="37"/>
      <c r="U403" s="37"/>
      <c r="V403" s="37"/>
      <c r="W403" s="37"/>
      <c r="X403" s="36"/>
      <c r="Y403" s="36"/>
      <c r="Z403" s="36"/>
      <c r="AA403" s="36"/>
      <c r="AB403" s="36"/>
      <c r="AC403" s="36"/>
      <c r="AD403" s="36"/>
      <c r="AE403" s="36"/>
    </row>
    <row r="404" spans="1:31" ht="15.75" customHeight="1" x14ac:dyDescent="0.25">
      <c r="A404" s="37"/>
      <c r="B404" s="801"/>
      <c r="C404" s="37"/>
      <c r="D404" s="37"/>
      <c r="E404" s="37"/>
      <c r="F404" s="37"/>
      <c r="G404" s="37"/>
      <c r="H404" s="37"/>
      <c r="I404" s="37"/>
      <c r="J404" s="37"/>
      <c r="K404" s="37"/>
      <c r="L404" s="37"/>
      <c r="M404" s="37"/>
      <c r="N404" s="37"/>
      <c r="O404" s="37"/>
      <c r="P404" s="37"/>
      <c r="Q404" s="37"/>
      <c r="R404" s="37"/>
      <c r="S404" s="37"/>
      <c r="T404" s="37"/>
      <c r="U404" s="37"/>
      <c r="V404" s="37"/>
      <c r="W404" s="37"/>
      <c r="X404" s="36"/>
      <c r="Y404" s="36"/>
      <c r="Z404" s="36"/>
      <c r="AA404" s="36"/>
      <c r="AB404" s="36"/>
      <c r="AC404" s="36"/>
      <c r="AD404" s="36"/>
      <c r="AE404" s="36"/>
    </row>
    <row r="405" spans="1:31" ht="15.75" customHeight="1" x14ac:dyDescent="0.25">
      <c r="A405" s="37"/>
      <c r="B405" s="801"/>
      <c r="C405" s="37"/>
      <c r="D405" s="37"/>
      <c r="E405" s="37"/>
      <c r="F405" s="37"/>
      <c r="G405" s="37"/>
      <c r="H405" s="37"/>
      <c r="I405" s="37"/>
      <c r="J405" s="37"/>
      <c r="K405" s="37"/>
      <c r="L405" s="37"/>
      <c r="M405" s="37"/>
      <c r="N405" s="37"/>
      <c r="O405" s="37"/>
      <c r="P405" s="37"/>
      <c r="Q405" s="37"/>
      <c r="R405" s="37"/>
      <c r="S405" s="37"/>
      <c r="T405" s="37"/>
      <c r="U405" s="37"/>
      <c r="V405" s="37"/>
      <c r="W405" s="37"/>
      <c r="X405" s="36"/>
      <c r="Y405" s="36"/>
      <c r="Z405" s="36"/>
      <c r="AA405" s="36"/>
      <c r="AB405" s="36"/>
      <c r="AC405" s="36"/>
      <c r="AD405" s="36"/>
      <c r="AE405" s="36"/>
    </row>
    <row r="406" spans="1:31" ht="15.75" customHeight="1" x14ac:dyDescent="0.25">
      <c r="A406" s="37"/>
      <c r="B406" s="801"/>
      <c r="C406" s="37"/>
      <c r="D406" s="37"/>
      <c r="E406" s="37"/>
      <c r="F406" s="37"/>
      <c r="G406" s="37"/>
      <c r="H406" s="37"/>
      <c r="I406" s="37"/>
      <c r="J406" s="37"/>
      <c r="K406" s="37"/>
      <c r="L406" s="37"/>
      <c r="M406" s="37"/>
      <c r="N406" s="37"/>
      <c r="O406" s="37"/>
      <c r="P406" s="37"/>
      <c r="Q406" s="37"/>
      <c r="R406" s="37"/>
      <c r="S406" s="37"/>
      <c r="T406" s="37"/>
      <c r="U406" s="37"/>
      <c r="V406" s="37"/>
      <c r="W406" s="37"/>
      <c r="X406" s="36"/>
      <c r="Y406" s="36"/>
      <c r="Z406" s="36"/>
      <c r="AA406" s="36"/>
      <c r="AB406" s="36"/>
      <c r="AC406" s="36"/>
      <c r="AD406" s="36"/>
      <c r="AE406" s="36"/>
    </row>
    <row r="407" spans="1:31" ht="15.75" customHeight="1" x14ac:dyDescent="0.25">
      <c r="A407" s="37"/>
      <c r="B407" s="801"/>
      <c r="C407" s="37"/>
      <c r="D407" s="37"/>
      <c r="E407" s="37"/>
      <c r="F407" s="37"/>
      <c r="G407" s="37"/>
      <c r="H407" s="37"/>
      <c r="I407" s="37"/>
      <c r="J407" s="37"/>
      <c r="K407" s="37"/>
      <c r="L407" s="37"/>
      <c r="M407" s="37"/>
      <c r="N407" s="37"/>
      <c r="O407" s="37"/>
      <c r="P407" s="37"/>
      <c r="Q407" s="37"/>
      <c r="R407" s="37"/>
      <c r="S407" s="37"/>
      <c r="T407" s="37"/>
      <c r="U407" s="37"/>
      <c r="V407" s="37"/>
      <c r="W407" s="37"/>
      <c r="X407" s="36"/>
      <c r="Y407" s="36"/>
      <c r="Z407" s="36"/>
      <c r="AA407" s="36"/>
      <c r="AB407" s="36"/>
      <c r="AC407" s="36"/>
      <c r="AD407" s="36"/>
      <c r="AE407" s="36"/>
    </row>
    <row r="408" spans="1:31" ht="15.75" customHeight="1" x14ac:dyDescent="0.25">
      <c r="A408" s="37"/>
      <c r="B408" s="801"/>
      <c r="C408" s="37"/>
      <c r="D408" s="37"/>
      <c r="E408" s="37"/>
      <c r="F408" s="37"/>
      <c r="G408" s="37"/>
      <c r="H408" s="37"/>
      <c r="I408" s="37"/>
      <c r="J408" s="37"/>
      <c r="K408" s="37"/>
      <c r="L408" s="37"/>
      <c r="M408" s="37"/>
      <c r="N408" s="37"/>
      <c r="O408" s="37"/>
      <c r="P408" s="37"/>
      <c r="Q408" s="37"/>
      <c r="R408" s="37"/>
      <c r="S408" s="37"/>
      <c r="T408" s="37"/>
      <c r="U408" s="37"/>
      <c r="V408" s="37"/>
      <c r="W408" s="37"/>
      <c r="X408" s="36"/>
      <c r="Y408" s="36"/>
      <c r="Z408" s="36"/>
      <c r="AA408" s="36"/>
      <c r="AB408" s="36"/>
      <c r="AC408" s="36"/>
      <c r="AD408" s="36"/>
      <c r="AE408" s="36"/>
    </row>
    <row r="409" spans="1:31" ht="15.75" customHeight="1" x14ac:dyDescent="0.25">
      <c r="A409" s="37"/>
      <c r="B409" s="801"/>
      <c r="C409" s="37"/>
      <c r="D409" s="37"/>
      <c r="E409" s="37"/>
      <c r="F409" s="37"/>
      <c r="G409" s="37"/>
      <c r="H409" s="37"/>
      <c r="I409" s="37"/>
      <c r="J409" s="37"/>
      <c r="K409" s="37"/>
      <c r="L409" s="37"/>
      <c r="M409" s="37"/>
      <c r="N409" s="37"/>
      <c r="O409" s="37"/>
      <c r="P409" s="37"/>
      <c r="Q409" s="37"/>
      <c r="R409" s="37"/>
      <c r="S409" s="37"/>
      <c r="T409" s="37"/>
      <c r="U409" s="37"/>
      <c r="V409" s="37"/>
      <c r="W409" s="37"/>
      <c r="X409" s="36"/>
      <c r="Y409" s="36"/>
      <c r="Z409" s="36"/>
      <c r="AA409" s="36"/>
      <c r="AB409" s="36"/>
      <c r="AC409" s="36"/>
      <c r="AD409" s="36"/>
      <c r="AE409" s="36"/>
    </row>
    <row r="410" spans="1:31" ht="15.75" customHeight="1" x14ac:dyDescent="0.25">
      <c r="A410" s="37"/>
      <c r="B410" s="801"/>
      <c r="C410" s="37"/>
      <c r="D410" s="37"/>
      <c r="E410" s="37"/>
      <c r="F410" s="37"/>
      <c r="G410" s="37"/>
      <c r="H410" s="37"/>
      <c r="I410" s="37"/>
      <c r="J410" s="37"/>
      <c r="K410" s="37"/>
      <c r="L410" s="37"/>
      <c r="M410" s="37"/>
      <c r="N410" s="37"/>
      <c r="O410" s="37"/>
      <c r="P410" s="37"/>
      <c r="Q410" s="37"/>
      <c r="R410" s="37"/>
      <c r="S410" s="37"/>
      <c r="T410" s="37"/>
      <c r="U410" s="37"/>
      <c r="V410" s="37"/>
      <c r="W410" s="37"/>
      <c r="X410" s="36"/>
      <c r="Y410" s="36"/>
      <c r="Z410" s="36"/>
      <c r="AA410" s="36"/>
      <c r="AB410" s="36"/>
      <c r="AC410" s="36"/>
      <c r="AD410" s="36"/>
      <c r="AE410" s="36"/>
    </row>
    <row r="411" spans="1:31" ht="15.75" customHeight="1" x14ac:dyDescent="0.25">
      <c r="A411" s="37"/>
      <c r="B411" s="801"/>
      <c r="C411" s="37"/>
      <c r="D411" s="37"/>
      <c r="E411" s="37"/>
      <c r="F411" s="37"/>
      <c r="G411" s="37"/>
      <c r="H411" s="37"/>
      <c r="I411" s="37"/>
      <c r="J411" s="37"/>
      <c r="K411" s="37"/>
      <c r="L411" s="37"/>
      <c r="M411" s="37"/>
      <c r="N411" s="37"/>
      <c r="O411" s="37"/>
      <c r="P411" s="37"/>
      <c r="Q411" s="37"/>
      <c r="R411" s="37"/>
      <c r="S411" s="37"/>
      <c r="T411" s="37"/>
      <c r="U411" s="37"/>
      <c r="V411" s="37"/>
      <c r="W411" s="37"/>
      <c r="X411" s="36"/>
      <c r="Y411" s="36"/>
      <c r="Z411" s="36"/>
      <c r="AA411" s="36"/>
      <c r="AB411" s="36"/>
      <c r="AC411" s="36"/>
      <c r="AD411" s="36"/>
      <c r="AE411" s="36"/>
    </row>
    <row r="412" spans="1:31" ht="15.75" customHeight="1" x14ac:dyDescent="0.25">
      <c r="A412" s="37"/>
      <c r="B412" s="801"/>
      <c r="C412" s="37"/>
      <c r="D412" s="37"/>
      <c r="E412" s="37"/>
      <c r="F412" s="37"/>
      <c r="G412" s="37"/>
      <c r="H412" s="37"/>
      <c r="I412" s="37"/>
      <c r="J412" s="37"/>
      <c r="K412" s="37"/>
      <c r="L412" s="37"/>
      <c r="M412" s="37"/>
      <c r="N412" s="37"/>
      <c r="O412" s="37"/>
      <c r="P412" s="37"/>
      <c r="Q412" s="37"/>
      <c r="R412" s="37"/>
      <c r="S412" s="37"/>
      <c r="T412" s="37"/>
      <c r="U412" s="37"/>
      <c r="V412" s="37"/>
      <c r="W412" s="37"/>
      <c r="X412" s="36"/>
      <c r="Y412" s="36"/>
      <c r="Z412" s="36"/>
      <c r="AA412" s="36"/>
      <c r="AB412" s="36"/>
      <c r="AC412" s="36"/>
      <c r="AD412" s="36"/>
      <c r="AE412" s="36"/>
    </row>
    <row r="413" spans="1:31" ht="15.75" customHeight="1" x14ac:dyDescent="0.25">
      <c r="A413" s="37"/>
      <c r="B413" s="801"/>
      <c r="C413" s="37"/>
      <c r="D413" s="37"/>
      <c r="E413" s="37"/>
      <c r="F413" s="37"/>
      <c r="G413" s="37"/>
      <c r="H413" s="37"/>
      <c r="I413" s="37"/>
      <c r="J413" s="37"/>
      <c r="K413" s="37"/>
      <c r="L413" s="37"/>
      <c r="M413" s="37"/>
      <c r="N413" s="37"/>
      <c r="O413" s="37"/>
      <c r="P413" s="37"/>
      <c r="Q413" s="37"/>
      <c r="R413" s="37"/>
      <c r="S413" s="37"/>
      <c r="T413" s="37"/>
      <c r="U413" s="37"/>
      <c r="V413" s="37"/>
      <c r="W413" s="37"/>
      <c r="X413" s="36"/>
      <c r="Y413" s="36"/>
      <c r="Z413" s="36"/>
      <c r="AA413" s="36"/>
      <c r="AB413" s="36"/>
      <c r="AC413" s="36"/>
      <c r="AD413" s="36"/>
      <c r="AE413" s="36"/>
    </row>
    <row r="414" spans="1:31" ht="15.75" customHeight="1" x14ac:dyDescent="0.25">
      <c r="A414" s="37"/>
      <c r="B414" s="801"/>
      <c r="C414" s="37"/>
      <c r="D414" s="37"/>
      <c r="E414" s="37"/>
      <c r="F414" s="37"/>
      <c r="G414" s="37"/>
      <c r="H414" s="37"/>
      <c r="I414" s="37"/>
      <c r="J414" s="37"/>
      <c r="K414" s="37"/>
      <c r="L414" s="37"/>
      <c r="M414" s="37"/>
      <c r="N414" s="37"/>
      <c r="O414" s="37"/>
      <c r="P414" s="37"/>
      <c r="Q414" s="37"/>
      <c r="R414" s="37"/>
      <c r="S414" s="37"/>
      <c r="T414" s="37"/>
      <c r="U414" s="37"/>
      <c r="V414" s="37"/>
      <c r="W414" s="37"/>
      <c r="X414" s="36"/>
      <c r="Y414" s="36"/>
      <c r="Z414" s="36"/>
      <c r="AA414" s="36"/>
      <c r="AB414" s="36"/>
      <c r="AC414" s="36"/>
      <c r="AD414" s="36"/>
      <c r="AE414" s="36"/>
    </row>
    <row r="415" spans="1:31" ht="15.75" customHeight="1" x14ac:dyDescent="0.25">
      <c r="A415" s="37"/>
      <c r="B415" s="801"/>
      <c r="C415" s="37"/>
      <c r="D415" s="37"/>
      <c r="E415" s="37"/>
      <c r="F415" s="37"/>
      <c r="G415" s="37"/>
      <c r="H415" s="37"/>
      <c r="I415" s="37"/>
      <c r="J415" s="37"/>
      <c r="K415" s="37"/>
      <c r="L415" s="37"/>
      <c r="M415" s="37"/>
      <c r="N415" s="37"/>
      <c r="O415" s="37"/>
      <c r="P415" s="37"/>
      <c r="Q415" s="37"/>
      <c r="R415" s="37"/>
      <c r="S415" s="37"/>
      <c r="T415" s="37"/>
      <c r="U415" s="37"/>
      <c r="V415" s="37"/>
      <c r="W415" s="37"/>
      <c r="X415" s="36"/>
      <c r="Y415" s="36"/>
      <c r="Z415" s="36"/>
      <c r="AA415" s="36"/>
      <c r="AB415" s="36"/>
      <c r="AC415" s="36"/>
      <c r="AD415" s="36"/>
      <c r="AE415" s="36"/>
    </row>
    <row r="416" spans="1:31" ht="15.75" customHeight="1" x14ac:dyDescent="0.25">
      <c r="A416" s="37"/>
      <c r="B416" s="801"/>
      <c r="C416" s="37"/>
      <c r="D416" s="37"/>
      <c r="E416" s="37"/>
      <c r="F416" s="37"/>
      <c r="G416" s="37"/>
      <c r="H416" s="37"/>
      <c r="I416" s="37"/>
      <c r="J416" s="37"/>
      <c r="K416" s="37"/>
      <c r="L416" s="37"/>
      <c r="M416" s="37"/>
      <c r="N416" s="37"/>
      <c r="O416" s="37"/>
      <c r="P416" s="37"/>
      <c r="Q416" s="37"/>
      <c r="R416" s="37"/>
      <c r="S416" s="37"/>
      <c r="T416" s="37"/>
      <c r="U416" s="37"/>
      <c r="V416" s="37"/>
      <c r="W416" s="37"/>
      <c r="X416" s="36"/>
      <c r="Y416" s="36"/>
      <c r="Z416" s="36"/>
      <c r="AA416" s="36"/>
      <c r="AB416" s="36"/>
      <c r="AC416" s="36"/>
      <c r="AD416" s="36"/>
      <c r="AE416" s="36"/>
    </row>
    <row r="417" spans="1:31" ht="15.75" customHeight="1" x14ac:dyDescent="0.25">
      <c r="A417" s="37"/>
      <c r="B417" s="801"/>
      <c r="C417" s="37"/>
      <c r="D417" s="37"/>
      <c r="E417" s="37"/>
      <c r="F417" s="37"/>
      <c r="G417" s="37"/>
      <c r="H417" s="37"/>
      <c r="I417" s="37"/>
      <c r="J417" s="37"/>
      <c r="K417" s="37"/>
      <c r="L417" s="37"/>
      <c r="M417" s="37"/>
      <c r="N417" s="37"/>
      <c r="O417" s="37"/>
      <c r="P417" s="37"/>
      <c r="Q417" s="37"/>
      <c r="R417" s="37"/>
      <c r="S417" s="37"/>
      <c r="T417" s="37"/>
      <c r="U417" s="37"/>
      <c r="V417" s="37"/>
      <c r="W417" s="37"/>
      <c r="X417" s="36"/>
      <c r="Y417" s="36"/>
      <c r="Z417" s="36"/>
      <c r="AA417" s="36"/>
      <c r="AB417" s="36"/>
      <c r="AC417" s="36"/>
      <c r="AD417" s="36"/>
      <c r="AE417" s="36"/>
    </row>
    <row r="418" spans="1:31" ht="15.75" customHeight="1" x14ac:dyDescent="0.25">
      <c r="A418" s="37"/>
      <c r="B418" s="801"/>
      <c r="C418" s="37"/>
      <c r="D418" s="37"/>
      <c r="E418" s="37"/>
      <c r="F418" s="37"/>
      <c r="G418" s="37"/>
      <c r="H418" s="37"/>
      <c r="I418" s="37"/>
      <c r="J418" s="37"/>
      <c r="K418" s="37"/>
      <c r="L418" s="37"/>
      <c r="M418" s="37"/>
      <c r="N418" s="37"/>
      <c r="O418" s="37"/>
      <c r="P418" s="37"/>
      <c r="Q418" s="37"/>
      <c r="R418" s="37"/>
      <c r="S418" s="37"/>
      <c r="T418" s="37"/>
      <c r="U418" s="37"/>
      <c r="V418" s="37"/>
      <c r="W418" s="37"/>
      <c r="X418" s="36"/>
      <c r="Y418" s="36"/>
      <c r="Z418" s="36"/>
      <c r="AA418" s="36"/>
      <c r="AB418" s="36"/>
      <c r="AC418" s="36"/>
      <c r="AD418" s="36"/>
      <c r="AE418" s="36"/>
    </row>
    <row r="419" spans="1:31" ht="15.75" customHeight="1" x14ac:dyDescent="0.25">
      <c r="A419" s="37"/>
      <c r="B419" s="801"/>
      <c r="C419" s="37"/>
      <c r="D419" s="37"/>
      <c r="E419" s="37"/>
      <c r="F419" s="37"/>
      <c r="G419" s="37"/>
      <c r="H419" s="37"/>
      <c r="I419" s="37"/>
      <c r="J419" s="37"/>
      <c r="K419" s="37"/>
      <c r="L419" s="37"/>
      <c r="M419" s="37"/>
      <c r="N419" s="37"/>
      <c r="O419" s="37"/>
      <c r="P419" s="37"/>
      <c r="Q419" s="37"/>
      <c r="R419" s="37"/>
      <c r="S419" s="37"/>
      <c r="T419" s="37"/>
      <c r="U419" s="37"/>
      <c r="V419" s="37"/>
      <c r="W419" s="37"/>
      <c r="X419" s="36"/>
      <c r="Y419" s="36"/>
      <c r="Z419" s="36"/>
      <c r="AA419" s="36"/>
      <c r="AB419" s="36"/>
      <c r="AC419" s="36"/>
      <c r="AD419" s="36"/>
      <c r="AE419" s="36"/>
    </row>
    <row r="420" spans="1:31" ht="15.75" customHeight="1" x14ac:dyDescent="0.25">
      <c r="A420" s="37"/>
      <c r="B420" s="801"/>
      <c r="C420" s="37"/>
      <c r="D420" s="37"/>
      <c r="E420" s="37"/>
      <c r="F420" s="37"/>
      <c r="G420" s="37"/>
      <c r="H420" s="37"/>
      <c r="I420" s="37"/>
      <c r="J420" s="37"/>
      <c r="K420" s="37"/>
      <c r="L420" s="37"/>
      <c r="M420" s="37"/>
      <c r="N420" s="37"/>
      <c r="O420" s="37"/>
      <c r="P420" s="37"/>
      <c r="Q420" s="37"/>
      <c r="R420" s="37"/>
      <c r="S420" s="37"/>
      <c r="T420" s="37"/>
      <c r="U420" s="37"/>
      <c r="V420" s="37"/>
      <c r="W420" s="37"/>
      <c r="X420" s="36"/>
      <c r="Y420" s="36"/>
      <c r="Z420" s="36"/>
      <c r="AA420" s="36"/>
      <c r="AB420" s="36"/>
      <c r="AC420" s="36"/>
      <c r="AD420" s="36"/>
      <c r="AE420" s="36"/>
    </row>
    <row r="421" spans="1:31" ht="15.75" customHeight="1" x14ac:dyDescent="0.25">
      <c r="A421" s="37"/>
      <c r="B421" s="801"/>
      <c r="C421" s="37"/>
      <c r="D421" s="37"/>
      <c r="E421" s="37"/>
      <c r="F421" s="37"/>
      <c r="G421" s="37"/>
      <c r="H421" s="37"/>
      <c r="I421" s="37"/>
      <c r="J421" s="37"/>
      <c r="K421" s="37"/>
      <c r="L421" s="37"/>
      <c r="M421" s="37"/>
      <c r="N421" s="37"/>
      <c r="O421" s="37"/>
      <c r="P421" s="37"/>
      <c r="Q421" s="37"/>
      <c r="R421" s="37"/>
      <c r="S421" s="37"/>
      <c r="T421" s="37"/>
      <c r="U421" s="37"/>
      <c r="V421" s="37"/>
      <c r="W421" s="37"/>
      <c r="X421" s="36"/>
      <c r="Y421" s="36"/>
      <c r="Z421" s="36"/>
      <c r="AA421" s="36"/>
      <c r="AB421" s="36"/>
      <c r="AC421" s="36"/>
      <c r="AD421" s="36"/>
      <c r="AE421" s="36"/>
    </row>
    <row r="422" spans="1:31" ht="15.75" customHeight="1" x14ac:dyDescent="0.25">
      <c r="A422" s="37"/>
      <c r="B422" s="801"/>
      <c r="C422" s="37"/>
      <c r="D422" s="37"/>
      <c r="E422" s="37"/>
      <c r="F422" s="37"/>
      <c r="G422" s="37"/>
      <c r="H422" s="37"/>
      <c r="I422" s="37"/>
      <c r="J422" s="37"/>
      <c r="K422" s="37"/>
      <c r="L422" s="37"/>
      <c r="M422" s="37"/>
      <c r="N422" s="37"/>
      <c r="O422" s="37"/>
      <c r="P422" s="37"/>
      <c r="Q422" s="37"/>
      <c r="R422" s="37"/>
      <c r="S422" s="37"/>
      <c r="T422" s="37"/>
      <c r="U422" s="37"/>
      <c r="V422" s="37"/>
      <c r="W422" s="37"/>
      <c r="X422" s="36"/>
      <c r="Y422" s="36"/>
      <c r="Z422" s="36"/>
      <c r="AA422" s="36"/>
      <c r="AB422" s="36"/>
      <c r="AC422" s="36"/>
      <c r="AD422" s="36"/>
      <c r="AE422" s="36"/>
    </row>
    <row r="423" spans="1:31" ht="15.75" customHeight="1" x14ac:dyDescent="0.25">
      <c r="A423" s="37"/>
      <c r="B423" s="801"/>
      <c r="C423" s="37"/>
      <c r="D423" s="37"/>
      <c r="E423" s="37"/>
      <c r="F423" s="37"/>
      <c r="G423" s="37"/>
      <c r="H423" s="37"/>
      <c r="I423" s="37"/>
      <c r="J423" s="37"/>
      <c r="K423" s="37"/>
      <c r="L423" s="37"/>
      <c r="M423" s="37"/>
      <c r="N423" s="37"/>
      <c r="O423" s="37"/>
      <c r="P423" s="37"/>
      <c r="Q423" s="37"/>
      <c r="R423" s="37"/>
      <c r="S423" s="37"/>
      <c r="T423" s="37"/>
      <c r="U423" s="37"/>
      <c r="V423" s="37"/>
      <c r="W423" s="37"/>
      <c r="X423" s="36"/>
      <c r="Y423" s="36"/>
      <c r="Z423" s="36"/>
      <c r="AA423" s="36"/>
      <c r="AB423" s="36"/>
      <c r="AC423" s="36"/>
      <c r="AD423" s="36"/>
      <c r="AE423" s="36"/>
    </row>
    <row r="424" spans="1:31" ht="15.75" customHeight="1" x14ac:dyDescent="0.25">
      <c r="A424" s="37"/>
      <c r="B424" s="801"/>
      <c r="C424" s="37"/>
      <c r="D424" s="37"/>
      <c r="E424" s="37"/>
      <c r="F424" s="37"/>
      <c r="G424" s="37"/>
      <c r="H424" s="37"/>
      <c r="I424" s="37"/>
      <c r="J424" s="37"/>
      <c r="K424" s="37"/>
      <c r="L424" s="37"/>
      <c r="M424" s="37"/>
      <c r="N424" s="37"/>
      <c r="O424" s="37"/>
      <c r="P424" s="37"/>
      <c r="Q424" s="37"/>
      <c r="R424" s="37"/>
      <c r="S424" s="37"/>
      <c r="T424" s="37"/>
      <c r="U424" s="37"/>
      <c r="V424" s="37"/>
      <c r="W424" s="37"/>
      <c r="X424" s="36"/>
      <c r="Y424" s="36"/>
      <c r="Z424" s="36"/>
      <c r="AA424" s="36"/>
      <c r="AB424" s="36"/>
      <c r="AC424" s="36"/>
      <c r="AD424" s="36"/>
      <c r="AE424" s="36"/>
    </row>
    <row r="425" spans="1:31" ht="15.75" customHeight="1" x14ac:dyDescent="0.25">
      <c r="A425" s="37"/>
      <c r="B425" s="801"/>
      <c r="C425" s="37"/>
      <c r="D425" s="37"/>
      <c r="E425" s="37"/>
      <c r="F425" s="37"/>
      <c r="G425" s="37"/>
      <c r="H425" s="37"/>
      <c r="I425" s="37"/>
      <c r="J425" s="37"/>
      <c r="K425" s="37"/>
      <c r="L425" s="37"/>
      <c r="M425" s="37"/>
      <c r="N425" s="37"/>
      <c r="O425" s="37"/>
      <c r="P425" s="37"/>
      <c r="Q425" s="37"/>
      <c r="R425" s="37"/>
      <c r="S425" s="37"/>
      <c r="T425" s="37"/>
      <c r="U425" s="37"/>
      <c r="V425" s="37"/>
      <c r="W425" s="37"/>
      <c r="X425" s="36"/>
      <c r="Y425" s="36"/>
      <c r="Z425" s="36"/>
      <c r="AA425" s="36"/>
      <c r="AB425" s="36"/>
      <c r="AC425" s="36"/>
      <c r="AD425" s="36"/>
      <c r="AE425" s="36"/>
    </row>
    <row r="426" spans="1:31" ht="15.75" customHeight="1" x14ac:dyDescent="0.25">
      <c r="A426" s="37"/>
      <c r="B426" s="801"/>
      <c r="C426" s="37"/>
      <c r="D426" s="37"/>
      <c r="E426" s="37"/>
      <c r="F426" s="37"/>
      <c r="G426" s="37"/>
      <c r="H426" s="37"/>
      <c r="I426" s="37"/>
      <c r="J426" s="37"/>
      <c r="K426" s="37"/>
      <c r="L426" s="37"/>
      <c r="M426" s="37"/>
      <c r="N426" s="37"/>
      <c r="O426" s="37"/>
      <c r="P426" s="37"/>
      <c r="Q426" s="37"/>
      <c r="R426" s="37"/>
      <c r="S426" s="37"/>
      <c r="T426" s="37"/>
      <c r="U426" s="37"/>
      <c r="V426" s="37"/>
      <c r="W426" s="37"/>
      <c r="X426" s="36"/>
      <c r="Y426" s="36"/>
      <c r="Z426" s="36"/>
      <c r="AA426" s="36"/>
      <c r="AB426" s="36"/>
      <c r="AC426" s="36"/>
      <c r="AD426" s="36"/>
      <c r="AE426" s="36"/>
    </row>
    <row r="427" spans="1:31" ht="15.75" customHeight="1" x14ac:dyDescent="0.25">
      <c r="A427" s="37"/>
      <c r="B427" s="801"/>
      <c r="C427" s="37"/>
      <c r="D427" s="37"/>
      <c r="E427" s="37"/>
      <c r="F427" s="37"/>
      <c r="G427" s="37"/>
      <c r="H427" s="37"/>
      <c r="I427" s="37"/>
      <c r="J427" s="37"/>
      <c r="K427" s="37"/>
      <c r="L427" s="37"/>
      <c r="M427" s="37"/>
      <c r="N427" s="37"/>
      <c r="O427" s="37"/>
      <c r="P427" s="37"/>
      <c r="Q427" s="37"/>
      <c r="R427" s="37"/>
      <c r="S427" s="37"/>
      <c r="T427" s="37"/>
      <c r="U427" s="37"/>
      <c r="V427" s="37"/>
      <c r="W427" s="37"/>
      <c r="X427" s="36"/>
      <c r="Y427" s="36"/>
      <c r="Z427" s="36"/>
      <c r="AA427" s="36"/>
      <c r="AB427" s="36"/>
      <c r="AC427" s="36"/>
      <c r="AD427" s="36"/>
      <c r="AE427" s="36"/>
    </row>
    <row r="428" spans="1:31" ht="15.75" customHeight="1" x14ac:dyDescent="0.25">
      <c r="A428" s="37"/>
      <c r="B428" s="801"/>
      <c r="C428" s="37"/>
      <c r="D428" s="37"/>
      <c r="E428" s="37"/>
      <c r="F428" s="37"/>
      <c r="G428" s="37"/>
      <c r="H428" s="37"/>
      <c r="I428" s="37"/>
      <c r="J428" s="37"/>
      <c r="K428" s="37"/>
      <c r="L428" s="37"/>
      <c r="M428" s="37"/>
      <c r="N428" s="37"/>
      <c r="O428" s="37"/>
      <c r="P428" s="37"/>
      <c r="Q428" s="37"/>
      <c r="R428" s="37"/>
      <c r="S428" s="37"/>
      <c r="T428" s="37"/>
      <c r="U428" s="37"/>
      <c r="V428" s="37"/>
      <c r="W428" s="37"/>
      <c r="X428" s="36"/>
      <c r="Y428" s="36"/>
      <c r="Z428" s="36"/>
      <c r="AA428" s="36"/>
      <c r="AB428" s="36"/>
      <c r="AC428" s="36"/>
      <c r="AD428" s="36"/>
      <c r="AE428" s="36"/>
    </row>
    <row r="429" spans="1:31" ht="15.75" customHeight="1" x14ac:dyDescent="0.25">
      <c r="A429" s="37"/>
      <c r="B429" s="801"/>
      <c r="C429" s="37"/>
      <c r="D429" s="37"/>
      <c r="E429" s="37"/>
      <c r="F429" s="37"/>
      <c r="G429" s="37"/>
      <c r="H429" s="37"/>
      <c r="I429" s="37"/>
      <c r="J429" s="37"/>
      <c r="K429" s="37"/>
      <c r="L429" s="37"/>
      <c r="M429" s="37"/>
      <c r="N429" s="37"/>
      <c r="O429" s="37"/>
      <c r="P429" s="37"/>
      <c r="Q429" s="37"/>
      <c r="R429" s="37"/>
      <c r="S429" s="37"/>
      <c r="T429" s="37"/>
      <c r="U429" s="37"/>
      <c r="V429" s="37"/>
      <c r="W429" s="37"/>
      <c r="X429" s="36"/>
      <c r="Y429" s="36"/>
      <c r="Z429" s="36"/>
      <c r="AA429" s="36"/>
      <c r="AB429" s="36"/>
      <c r="AC429" s="36"/>
      <c r="AD429" s="36"/>
      <c r="AE429" s="36"/>
    </row>
    <row r="430" spans="1:31" ht="15.75" customHeight="1" x14ac:dyDescent="0.25">
      <c r="A430" s="37"/>
      <c r="B430" s="801"/>
      <c r="C430" s="37"/>
      <c r="D430" s="37"/>
      <c r="E430" s="37"/>
      <c r="F430" s="37"/>
      <c r="G430" s="37"/>
      <c r="H430" s="37"/>
      <c r="I430" s="37"/>
      <c r="J430" s="37"/>
      <c r="K430" s="37"/>
      <c r="L430" s="37"/>
      <c r="M430" s="37"/>
      <c r="N430" s="37"/>
      <c r="O430" s="37"/>
      <c r="P430" s="37"/>
      <c r="Q430" s="37"/>
      <c r="R430" s="37"/>
      <c r="S430" s="37"/>
      <c r="T430" s="37"/>
      <c r="U430" s="37"/>
      <c r="V430" s="37"/>
      <c r="W430" s="37"/>
      <c r="X430" s="36"/>
      <c r="Y430" s="36"/>
      <c r="Z430" s="36"/>
      <c r="AA430" s="36"/>
      <c r="AB430" s="36"/>
      <c r="AC430" s="36"/>
      <c r="AD430" s="36"/>
      <c r="AE430" s="36"/>
    </row>
    <row r="431" spans="1:31" ht="15.75" customHeight="1" x14ac:dyDescent="0.25">
      <c r="A431" s="37"/>
      <c r="B431" s="801"/>
      <c r="C431" s="37"/>
      <c r="D431" s="37"/>
      <c r="E431" s="37"/>
      <c r="F431" s="37"/>
      <c r="G431" s="37"/>
      <c r="H431" s="37"/>
      <c r="I431" s="37"/>
      <c r="J431" s="37"/>
      <c r="K431" s="37"/>
      <c r="L431" s="37"/>
      <c r="M431" s="37"/>
      <c r="N431" s="37"/>
      <c r="O431" s="37"/>
      <c r="P431" s="37"/>
      <c r="Q431" s="37"/>
      <c r="R431" s="37"/>
      <c r="S431" s="37"/>
      <c r="T431" s="37"/>
      <c r="U431" s="37"/>
      <c r="V431" s="37"/>
      <c r="W431" s="37"/>
      <c r="X431" s="36"/>
      <c r="Y431" s="36"/>
      <c r="Z431" s="36"/>
      <c r="AA431" s="36"/>
      <c r="AB431" s="36"/>
      <c r="AC431" s="36"/>
      <c r="AD431" s="36"/>
      <c r="AE431" s="36"/>
    </row>
    <row r="432" spans="1:31" ht="15.75" customHeight="1" x14ac:dyDescent="0.25">
      <c r="A432" s="37"/>
      <c r="B432" s="801"/>
      <c r="C432" s="37"/>
      <c r="D432" s="37"/>
      <c r="E432" s="37"/>
      <c r="F432" s="37"/>
      <c r="G432" s="37"/>
      <c r="H432" s="37"/>
      <c r="I432" s="37"/>
      <c r="J432" s="37"/>
      <c r="K432" s="37"/>
      <c r="L432" s="37"/>
      <c r="M432" s="37"/>
      <c r="N432" s="37"/>
      <c r="O432" s="37"/>
      <c r="P432" s="37"/>
      <c r="Q432" s="37"/>
      <c r="R432" s="37"/>
      <c r="S432" s="37"/>
      <c r="T432" s="37"/>
      <c r="U432" s="37"/>
      <c r="V432" s="37"/>
      <c r="W432" s="37"/>
      <c r="X432" s="36"/>
      <c r="Y432" s="36"/>
      <c r="Z432" s="36"/>
      <c r="AA432" s="36"/>
      <c r="AB432" s="36"/>
      <c r="AC432" s="36"/>
      <c r="AD432" s="36"/>
      <c r="AE432" s="36"/>
    </row>
    <row r="433" spans="1:31" ht="15.75" customHeight="1" x14ac:dyDescent="0.25">
      <c r="A433" s="37"/>
      <c r="B433" s="801"/>
      <c r="C433" s="37"/>
      <c r="D433" s="37"/>
      <c r="E433" s="37"/>
      <c r="F433" s="37"/>
      <c r="G433" s="37"/>
      <c r="H433" s="37"/>
      <c r="I433" s="37"/>
      <c r="J433" s="37"/>
      <c r="K433" s="37"/>
      <c r="L433" s="37"/>
      <c r="M433" s="37"/>
      <c r="N433" s="37"/>
      <c r="O433" s="37"/>
      <c r="P433" s="37"/>
      <c r="Q433" s="37"/>
      <c r="R433" s="37"/>
      <c r="S433" s="37"/>
      <c r="T433" s="37"/>
      <c r="U433" s="37"/>
      <c r="V433" s="37"/>
      <c r="W433" s="37"/>
      <c r="X433" s="36"/>
      <c r="Y433" s="36"/>
      <c r="Z433" s="36"/>
      <c r="AA433" s="36"/>
      <c r="AB433" s="36"/>
      <c r="AC433" s="36"/>
      <c r="AD433" s="36"/>
      <c r="AE433" s="36"/>
    </row>
    <row r="434" spans="1:31" ht="15.75" customHeight="1" x14ac:dyDescent="0.25">
      <c r="A434" s="37"/>
      <c r="B434" s="801"/>
      <c r="C434" s="37"/>
      <c r="D434" s="37"/>
      <c r="E434" s="37"/>
      <c r="F434" s="37"/>
      <c r="G434" s="37"/>
      <c r="H434" s="37"/>
      <c r="I434" s="37"/>
      <c r="J434" s="37"/>
      <c r="K434" s="37"/>
      <c r="L434" s="37"/>
      <c r="M434" s="37"/>
      <c r="N434" s="37"/>
      <c r="O434" s="37"/>
      <c r="P434" s="37"/>
      <c r="Q434" s="37"/>
      <c r="R434" s="37"/>
      <c r="S434" s="37"/>
      <c r="T434" s="37"/>
      <c r="U434" s="37"/>
      <c r="V434" s="37"/>
      <c r="W434" s="37"/>
      <c r="X434" s="36"/>
      <c r="Y434" s="36"/>
      <c r="Z434" s="36"/>
      <c r="AA434" s="36"/>
      <c r="AB434" s="36"/>
      <c r="AC434" s="36"/>
      <c r="AD434" s="36"/>
      <c r="AE434" s="36"/>
    </row>
    <row r="435" spans="1:31" ht="15.75" customHeight="1" x14ac:dyDescent="0.25">
      <c r="A435" s="37"/>
      <c r="B435" s="801"/>
      <c r="C435" s="37"/>
      <c r="D435" s="37"/>
      <c r="E435" s="37"/>
      <c r="F435" s="37"/>
      <c r="G435" s="37"/>
      <c r="H435" s="37"/>
      <c r="I435" s="37"/>
      <c r="J435" s="37"/>
      <c r="K435" s="37"/>
      <c r="L435" s="37"/>
      <c r="M435" s="37"/>
      <c r="N435" s="37"/>
      <c r="O435" s="37"/>
      <c r="P435" s="37"/>
      <c r="Q435" s="37"/>
      <c r="R435" s="37"/>
      <c r="S435" s="37"/>
      <c r="T435" s="37"/>
      <c r="U435" s="37"/>
      <c r="V435" s="37"/>
      <c r="W435" s="37"/>
      <c r="X435" s="36"/>
      <c r="Y435" s="36"/>
      <c r="Z435" s="36"/>
      <c r="AA435" s="36"/>
      <c r="AB435" s="36"/>
      <c r="AC435" s="36"/>
      <c r="AD435" s="36"/>
      <c r="AE435" s="36"/>
    </row>
    <row r="436" spans="1:31" ht="15.75" customHeight="1" x14ac:dyDescent="0.25">
      <c r="A436" s="37"/>
      <c r="B436" s="801"/>
      <c r="C436" s="37"/>
      <c r="D436" s="37"/>
      <c r="E436" s="37"/>
      <c r="F436" s="37"/>
      <c r="G436" s="37"/>
      <c r="H436" s="37"/>
      <c r="I436" s="37"/>
      <c r="J436" s="37"/>
      <c r="K436" s="37"/>
      <c r="L436" s="37"/>
      <c r="M436" s="37"/>
      <c r="N436" s="37"/>
      <c r="O436" s="37"/>
      <c r="P436" s="37"/>
      <c r="Q436" s="37"/>
      <c r="R436" s="37"/>
      <c r="S436" s="37"/>
      <c r="T436" s="37"/>
      <c r="U436" s="37"/>
      <c r="V436" s="37"/>
      <c r="W436" s="37"/>
      <c r="X436" s="36"/>
      <c r="Y436" s="36"/>
      <c r="Z436" s="36"/>
      <c r="AA436" s="36"/>
      <c r="AB436" s="36"/>
      <c r="AC436" s="36"/>
      <c r="AD436" s="36"/>
      <c r="AE436" s="36"/>
    </row>
    <row r="437" spans="1:31" ht="15.75" customHeight="1" x14ac:dyDescent="0.25">
      <c r="A437" s="37"/>
      <c r="B437" s="801"/>
      <c r="C437" s="37"/>
      <c r="D437" s="37"/>
      <c r="E437" s="37"/>
      <c r="F437" s="37"/>
      <c r="G437" s="37"/>
      <c r="H437" s="37"/>
      <c r="I437" s="37"/>
      <c r="J437" s="37"/>
      <c r="K437" s="37"/>
      <c r="L437" s="37"/>
      <c r="M437" s="37"/>
      <c r="N437" s="37"/>
      <c r="O437" s="37"/>
      <c r="P437" s="37"/>
      <c r="Q437" s="37"/>
      <c r="R437" s="37"/>
      <c r="S437" s="37"/>
      <c r="T437" s="37"/>
      <c r="U437" s="37"/>
      <c r="V437" s="37"/>
      <c r="W437" s="37"/>
      <c r="X437" s="36"/>
      <c r="Y437" s="36"/>
      <c r="Z437" s="36"/>
      <c r="AA437" s="36"/>
      <c r="AB437" s="36"/>
      <c r="AC437" s="36"/>
      <c r="AD437" s="36"/>
      <c r="AE437" s="36"/>
    </row>
    <row r="438" spans="1:31" ht="15.75" customHeight="1" x14ac:dyDescent="0.25">
      <c r="A438" s="37"/>
      <c r="B438" s="801"/>
      <c r="C438" s="37"/>
      <c r="D438" s="37"/>
      <c r="E438" s="37"/>
      <c r="F438" s="37"/>
      <c r="G438" s="37"/>
      <c r="H438" s="37"/>
      <c r="I438" s="37"/>
      <c r="J438" s="37"/>
      <c r="K438" s="37"/>
      <c r="L438" s="37"/>
      <c r="M438" s="37"/>
      <c r="N438" s="37"/>
      <c r="O438" s="37"/>
      <c r="P438" s="37"/>
      <c r="Q438" s="37"/>
      <c r="R438" s="37"/>
      <c r="S438" s="37"/>
      <c r="T438" s="37"/>
      <c r="U438" s="37"/>
      <c r="V438" s="37"/>
      <c r="W438" s="37"/>
      <c r="X438" s="36"/>
      <c r="Y438" s="36"/>
      <c r="Z438" s="36"/>
      <c r="AA438" s="36"/>
      <c r="AB438" s="36"/>
      <c r="AC438" s="36"/>
      <c r="AD438" s="36"/>
      <c r="AE438" s="36"/>
    </row>
    <row r="439" spans="1:31" ht="15.75" customHeight="1" x14ac:dyDescent="0.25">
      <c r="A439" s="37"/>
      <c r="B439" s="801"/>
      <c r="C439" s="37"/>
      <c r="D439" s="37"/>
      <c r="E439" s="37"/>
      <c r="F439" s="37"/>
      <c r="G439" s="37"/>
      <c r="H439" s="37"/>
      <c r="I439" s="37"/>
      <c r="J439" s="37"/>
      <c r="K439" s="37"/>
      <c r="L439" s="37"/>
      <c r="M439" s="37"/>
      <c r="N439" s="37"/>
      <c r="O439" s="37"/>
      <c r="P439" s="37"/>
      <c r="Q439" s="37"/>
      <c r="R439" s="37"/>
      <c r="S439" s="37"/>
      <c r="T439" s="37"/>
      <c r="U439" s="37"/>
      <c r="V439" s="37"/>
      <c r="W439" s="37"/>
      <c r="X439" s="36"/>
      <c r="Y439" s="36"/>
      <c r="Z439" s="36"/>
      <c r="AA439" s="36"/>
      <c r="AB439" s="36"/>
      <c r="AC439" s="36"/>
      <c r="AD439" s="36"/>
      <c r="AE439" s="36"/>
    </row>
    <row r="440" spans="1:31" ht="15.75" customHeight="1" x14ac:dyDescent="0.25">
      <c r="A440" s="37"/>
      <c r="B440" s="801"/>
      <c r="C440" s="37"/>
      <c r="D440" s="37"/>
      <c r="E440" s="37"/>
      <c r="F440" s="37"/>
      <c r="G440" s="37"/>
      <c r="H440" s="37"/>
      <c r="I440" s="37"/>
      <c r="J440" s="37"/>
      <c r="K440" s="37"/>
      <c r="L440" s="37"/>
      <c r="M440" s="37"/>
      <c r="N440" s="37"/>
      <c r="O440" s="37"/>
      <c r="P440" s="37"/>
      <c r="Q440" s="37"/>
      <c r="R440" s="37"/>
      <c r="S440" s="37"/>
      <c r="T440" s="37"/>
      <c r="U440" s="37"/>
      <c r="V440" s="37"/>
      <c r="W440" s="37"/>
      <c r="X440" s="36"/>
      <c r="Y440" s="36"/>
      <c r="Z440" s="36"/>
      <c r="AA440" s="36"/>
      <c r="AB440" s="36"/>
      <c r="AC440" s="36"/>
      <c r="AD440" s="36"/>
      <c r="AE440" s="36"/>
    </row>
    <row r="441" spans="1:31" ht="15.75" customHeight="1" x14ac:dyDescent="0.25">
      <c r="A441" s="37"/>
      <c r="B441" s="801"/>
      <c r="C441" s="37"/>
      <c r="D441" s="37"/>
      <c r="E441" s="37"/>
      <c r="F441" s="37"/>
      <c r="G441" s="37"/>
      <c r="H441" s="37"/>
      <c r="I441" s="37"/>
      <c r="J441" s="37"/>
      <c r="K441" s="37"/>
      <c r="L441" s="37"/>
      <c r="M441" s="37"/>
      <c r="N441" s="37"/>
      <c r="O441" s="37"/>
      <c r="P441" s="37"/>
      <c r="Q441" s="37"/>
      <c r="R441" s="37"/>
      <c r="S441" s="37"/>
      <c r="T441" s="37"/>
      <c r="U441" s="37"/>
      <c r="V441" s="37"/>
      <c r="W441" s="37"/>
      <c r="X441" s="36"/>
      <c r="Y441" s="36"/>
      <c r="Z441" s="36"/>
      <c r="AA441" s="36"/>
      <c r="AB441" s="36"/>
      <c r="AC441" s="36"/>
      <c r="AD441" s="36"/>
      <c r="AE441" s="36"/>
    </row>
    <row r="442" spans="1:31" ht="15.75" customHeight="1" x14ac:dyDescent="0.25">
      <c r="A442" s="37"/>
      <c r="B442" s="801"/>
      <c r="C442" s="37"/>
      <c r="D442" s="37"/>
      <c r="E442" s="37"/>
      <c r="F442" s="37"/>
      <c r="G442" s="37"/>
      <c r="H442" s="37"/>
      <c r="I442" s="37"/>
      <c r="J442" s="37"/>
      <c r="K442" s="37"/>
      <c r="L442" s="37"/>
      <c r="M442" s="37"/>
      <c r="N442" s="37"/>
      <c r="O442" s="37"/>
      <c r="P442" s="37"/>
      <c r="Q442" s="37"/>
      <c r="R442" s="37"/>
      <c r="S442" s="37"/>
      <c r="T442" s="37"/>
      <c r="U442" s="37"/>
      <c r="V442" s="37"/>
      <c r="W442" s="37"/>
      <c r="X442" s="36"/>
      <c r="Y442" s="36"/>
      <c r="Z442" s="36"/>
      <c r="AA442" s="36"/>
      <c r="AB442" s="36"/>
      <c r="AC442" s="36"/>
      <c r="AD442" s="36"/>
      <c r="AE442" s="36"/>
    </row>
    <row r="443" spans="1:31" ht="15.75" customHeight="1" x14ac:dyDescent="0.25">
      <c r="A443" s="37"/>
      <c r="B443" s="801"/>
      <c r="C443" s="37"/>
      <c r="D443" s="37"/>
      <c r="E443" s="37"/>
      <c r="F443" s="37"/>
      <c r="G443" s="37"/>
      <c r="H443" s="37"/>
      <c r="I443" s="37"/>
      <c r="J443" s="37"/>
      <c r="K443" s="37"/>
      <c r="L443" s="37"/>
      <c r="M443" s="37"/>
      <c r="N443" s="37"/>
      <c r="O443" s="37"/>
      <c r="P443" s="37"/>
      <c r="Q443" s="37"/>
      <c r="R443" s="37"/>
      <c r="S443" s="37"/>
      <c r="T443" s="37"/>
      <c r="U443" s="37"/>
      <c r="V443" s="37"/>
      <c r="W443" s="37"/>
      <c r="X443" s="36"/>
      <c r="Y443" s="36"/>
      <c r="Z443" s="36"/>
      <c r="AA443" s="36"/>
      <c r="AB443" s="36"/>
      <c r="AC443" s="36"/>
      <c r="AD443" s="36"/>
      <c r="AE443" s="36"/>
    </row>
    <row r="444" spans="1:31" ht="15.75" customHeight="1" x14ac:dyDescent="0.25">
      <c r="A444" s="37"/>
      <c r="B444" s="801"/>
      <c r="C444" s="37"/>
      <c r="D444" s="37"/>
      <c r="E444" s="37"/>
      <c r="F444" s="37"/>
      <c r="G444" s="37"/>
      <c r="H444" s="37"/>
      <c r="I444" s="37"/>
      <c r="J444" s="37"/>
      <c r="K444" s="37"/>
      <c r="L444" s="37"/>
      <c r="M444" s="37"/>
      <c r="N444" s="37"/>
      <c r="O444" s="37"/>
      <c r="P444" s="37"/>
      <c r="Q444" s="37"/>
      <c r="R444" s="37"/>
      <c r="S444" s="37"/>
      <c r="T444" s="37"/>
      <c r="U444" s="37"/>
      <c r="V444" s="37"/>
      <c r="W444" s="37"/>
      <c r="X444" s="36"/>
      <c r="Y444" s="36"/>
      <c r="Z444" s="36"/>
      <c r="AA444" s="36"/>
      <c r="AB444" s="36"/>
      <c r="AC444" s="36"/>
      <c r="AD444" s="36"/>
      <c r="AE444" s="36"/>
    </row>
    <row r="445" spans="1:31" ht="15.75" customHeight="1" x14ac:dyDescent="0.25">
      <c r="A445" s="37"/>
      <c r="B445" s="801"/>
      <c r="C445" s="37"/>
      <c r="D445" s="37"/>
      <c r="E445" s="37"/>
      <c r="F445" s="37"/>
      <c r="G445" s="37"/>
      <c r="H445" s="37"/>
      <c r="I445" s="37"/>
      <c r="J445" s="37"/>
      <c r="K445" s="37"/>
      <c r="L445" s="37"/>
      <c r="M445" s="37"/>
      <c r="N445" s="37"/>
      <c r="O445" s="37"/>
      <c r="P445" s="37"/>
      <c r="Q445" s="37"/>
      <c r="R445" s="37"/>
      <c r="S445" s="37"/>
      <c r="T445" s="37"/>
      <c r="U445" s="37"/>
      <c r="V445" s="37"/>
      <c r="W445" s="37"/>
      <c r="X445" s="36"/>
      <c r="Y445" s="36"/>
      <c r="Z445" s="36"/>
      <c r="AA445" s="36"/>
      <c r="AB445" s="36"/>
      <c r="AC445" s="36"/>
      <c r="AD445" s="36"/>
      <c r="AE445" s="36"/>
    </row>
    <row r="446" spans="1:31" ht="15.75" customHeight="1" x14ac:dyDescent="0.25">
      <c r="A446" s="37"/>
      <c r="B446" s="801"/>
      <c r="C446" s="37"/>
      <c r="D446" s="37"/>
      <c r="E446" s="37"/>
      <c r="F446" s="37"/>
      <c r="G446" s="37"/>
      <c r="H446" s="37"/>
      <c r="I446" s="37"/>
      <c r="J446" s="37"/>
      <c r="K446" s="37"/>
      <c r="L446" s="37"/>
      <c r="M446" s="37"/>
      <c r="N446" s="37"/>
      <c r="O446" s="37"/>
      <c r="P446" s="37"/>
      <c r="Q446" s="37"/>
      <c r="R446" s="37"/>
      <c r="S446" s="37"/>
      <c r="T446" s="37"/>
      <c r="U446" s="37"/>
      <c r="V446" s="37"/>
      <c r="W446" s="37"/>
      <c r="X446" s="36"/>
      <c r="Y446" s="36"/>
      <c r="Z446" s="36"/>
      <c r="AA446" s="36"/>
      <c r="AB446" s="36"/>
      <c r="AC446" s="36"/>
      <c r="AD446" s="36"/>
      <c r="AE446" s="36"/>
    </row>
    <row r="447" spans="1:31" ht="15.75" customHeight="1" x14ac:dyDescent="0.25">
      <c r="A447" s="37"/>
      <c r="B447" s="801"/>
      <c r="C447" s="37"/>
      <c r="D447" s="37"/>
      <c r="E447" s="37"/>
      <c r="F447" s="37"/>
      <c r="G447" s="37"/>
      <c r="H447" s="37"/>
      <c r="I447" s="37"/>
      <c r="J447" s="37"/>
      <c r="K447" s="37"/>
      <c r="L447" s="37"/>
      <c r="M447" s="37"/>
      <c r="N447" s="37"/>
      <c r="O447" s="37"/>
      <c r="P447" s="37"/>
      <c r="Q447" s="37"/>
      <c r="R447" s="37"/>
      <c r="S447" s="37"/>
      <c r="T447" s="37"/>
      <c r="U447" s="37"/>
      <c r="V447" s="37"/>
      <c r="W447" s="37"/>
      <c r="X447" s="36"/>
      <c r="Y447" s="36"/>
      <c r="Z447" s="36"/>
      <c r="AA447" s="36"/>
      <c r="AB447" s="36"/>
      <c r="AC447" s="36"/>
      <c r="AD447" s="36"/>
      <c r="AE447" s="36"/>
    </row>
    <row r="448" spans="1:31" ht="15.75" customHeight="1" x14ac:dyDescent="0.25">
      <c r="A448" s="37"/>
      <c r="B448" s="801"/>
      <c r="C448" s="37"/>
      <c r="D448" s="37"/>
      <c r="E448" s="37"/>
      <c r="F448" s="37"/>
      <c r="G448" s="37"/>
      <c r="H448" s="37"/>
      <c r="I448" s="37"/>
      <c r="J448" s="37"/>
      <c r="K448" s="37"/>
      <c r="L448" s="37"/>
      <c r="M448" s="37"/>
      <c r="N448" s="37"/>
      <c r="O448" s="37"/>
      <c r="P448" s="37"/>
      <c r="Q448" s="37"/>
      <c r="R448" s="37"/>
      <c r="S448" s="37"/>
      <c r="T448" s="37"/>
      <c r="U448" s="37"/>
      <c r="V448" s="37"/>
      <c r="W448" s="37"/>
      <c r="X448" s="36"/>
      <c r="Y448" s="36"/>
      <c r="Z448" s="36"/>
      <c r="AA448" s="36"/>
      <c r="AB448" s="36"/>
      <c r="AC448" s="36"/>
      <c r="AD448" s="36"/>
      <c r="AE448" s="36"/>
    </row>
    <row r="449" spans="1:31" ht="15.75" customHeight="1" x14ac:dyDescent="0.25">
      <c r="A449" s="37"/>
      <c r="B449" s="801"/>
      <c r="C449" s="37"/>
      <c r="D449" s="37"/>
      <c r="E449" s="37"/>
      <c r="F449" s="37"/>
      <c r="G449" s="37"/>
      <c r="H449" s="37"/>
      <c r="I449" s="37"/>
      <c r="J449" s="37"/>
      <c r="K449" s="37"/>
      <c r="L449" s="37"/>
      <c r="M449" s="37"/>
      <c r="N449" s="37"/>
      <c r="O449" s="37"/>
      <c r="P449" s="37"/>
      <c r="Q449" s="37"/>
      <c r="R449" s="37"/>
      <c r="S449" s="37"/>
      <c r="T449" s="37"/>
      <c r="U449" s="37"/>
      <c r="V449" s="37"/>
      <c r="W449" s="37"/>
      <c r="X449" s="36"/>
      <c r="Y449" s="36"/>
      <c r="Z449" s="36"/>
      <c r="AA449" s="36"/>
      <c r="AB449" s="36"/>
      <c r="AC449" s="36"/>
      <c r="AD449" s="36"/>
      <c r="AE449" s="36"/>
    </row>
    <row r="450" spans="1:31" ht="15.75" customHeight="1" x14ac:dyDescent="0.25">
      <c r="A450" s="37"/>
      <c r="B450" s="801"/>
      <c r="C450" s="37"/>
      <c r="D450" s="37"/>
      <c r="E450" s="37"/>
      <c r="F450" s="37"/>
      <c r="G450" s="37"/>
      <c r="H450" s="37"/>
      <c r="I450" s="37"/>
      <c r="J450" s="37"/>
      <c r="K450" s="37"/>
      <c r="L450" s="37"/>
      <c r="M450" s="37"/>
      <c r="N450" s="37"/>
      <c r="O450" s="37"/>
      <c r="P450" s="37"/>
      <c r="Q450" s="37"/>
      <c r="R450" s="37"/>
      <c r="S450" s="37"/>
      <c r="T450" s="37"/>
      <c r="U450" s="37"/>
      <c r="V450" s="37"/>
      <c r="W450" s="37"/>
      <c r="X450" s="36"/>
      <c r="Y450" s="36"/>
      <c r="Z450" s="36"/>
      <c r="AA450" s="36"/>
      <c r="AB450" s="36"/>
      <c r="AC450" s="36"/>
      <c r="AD450" s="36"/>
      <c r="AE450" s="36"/>
    </row>
    <row r="451" spans="1:31" ht="15.75" customHeight="1" x14ac:dyDescent="0.25">
      <c r="A451" s="37"/>
      <c r="B451" s="801"/>
      <c r="C451" s="37"/>
      <c r="D451" s="37"/>
      <c r="E451" s="37"/>
      <c r="F451" s="37"/>
      <c r="G451" s="37"/>
      <c r="H451" s="37"/>
      <c r="I451" s="37"/>
      <c r="J451" s="37"/>
      <c r="K451" s="37"/>
      <c r="L451" s="37"/>
      <c r="M451" s="37"/>
      <c r="N451" s="37"/>
      <c r="O451" s="37"/>
      <c r="P451" s="37"/>
      <c r="Q451" s="37"/>
      <c r="R451" s="37"/>
      <c r="S451" s="37"/>
      <c r="T451" s="37"/>
      <c r="U451" s="37"/>
      <c r="V451" s="37"/>
      <c r="W451" s="37"/>
      <c r="X451" s="36"/>
      <c r="Y451" s="36"/>
      <c r="Z451" s="36"/>
      <c r="AA451" s="36"/>
      <c r="AB451" s="36"/>
      <c r="AC451" s="36"/>
      <c r="AD451" s="36"/>
      <c r="AE451" s="36"/>
    </row>
    <row r="452" spans="1:31" ht="15.75" customHeight="1" x14ac:dyDescent="0.25">
      <c r="A452" s="37"/>
      <c r="B452" s="801"/>
      <c r="C452" s="37"/>
      <c r="D452" s="37"/>
      <c r="E452" s="37"/>
      <c r="F452" s="37"/>
      <c r="G452" s="37"/>
      <c r="H452" s="37"/>
      <c r="I452" s="37"/>
      <c r="J452" s="37"/>
      <c r="K452" s="37"/>
      <c r="L452" s="37"/>
      <c r="M452" s="37"/>
      <c r="N452" s="37"/>
      <c r="O452" s="37"/>
      <c r="P452" s="37"/>
      <c r="Q452" s="37"/>
      <c r="R452" s="37"/>
      <c r="S452" s="37"/>
      <c r="T452" s="37"/>
      <c r="U452" s="37"/>
      <c r="V452" s="37"/>
      <c r="W452" s="37"/>
      <c r="X452" s="36"/>
      <c r="Y452" s="36"/>
      <c r="Z452" s="36"/>
      <c r="AA452" s="36"/>
      <c r="AB452" s="36"/>
      <c r="AC452" s="36"/>
      <c r="AD452" s="36"/>
      <c r="AE452" s="36"/>
    </row>
    <row r="453" spans="1:31" ht="15.75" customHeight="1" x14ac:dyDescent="0.25">
      <c r="A453" s="37"/>
      <c r="B453" s="801"/>
      <c r="C453" s="37"/>
      <c r="D453" s="37"/>
      <c r="E453" s="37"/>
      <c r="F453" s="37"/>
      <c r="G453" s="37"/>
      <c r="H453" s="37"/>
      <c r="I453" s="37"/>
      <c r="J453" s="37"/>
      <c r="K453" s="37"/>
      <c r="L453" s="37"/>
      <c r="M453" s="37"/>
      <c r="N453" s="37"/>
      <c r="O453" s="37"/>
      <c r="P453" s="37"/>
      <c r="Q453" s="37"/>
      <c r="R453" s="37"/>
      <c r="S453" s="37"/>
      <c r="T453" s="37"/>
      <c r="U453" s="37"/>
      <c r="V453" s="37"/>
      <c r="W453" s="37"/>
      <c r="X453" s="36"/>
      <c r="Y453" s="36"/>
      <c r="Z453" s="36"/>
      <c r="AA453" s="36"/>
      <c r="AB453" s="36"/>
      <c r="AC453" s="36"/>
      <c r="AD453" s="36"/>
      <c r="AE453" s="36"/>
    </row>
    <row r="454" spans="1:31" ht="15.75" customHeight="1" x14ac:dyDescent="0.25">
      <c r="A454" s="37"/>
      <c r="B454" s="801"/>
      <c r="C454" s="37"/>
      <c r="D454" s="37"/>
      <c r="E454" s="37"/>
      <c r="F454" s="37"/>
      <c r="G454" s="37"/>
      <c r="H454" s="37"/>
      <c r="I454" s="37"/>
      <c r="J454" s="37"/>
      <c r="K454" s="37"/>
      <c r="L454" s="37"/>
      <c r="M454" s="37"/>
      <c r="N454" s="37"/>
      <c r="O454" s="37"/>
      <c r="P454" s="37"/>
      <c r="Q454" s="37"/>
      <c r="R454" s="37"/>
      <c r="S454" s="37"/>
      <c r="T454" s="37"/>
      <c r="U454" s="37"/>
      <c r="V454" s="37"/>
      <c r="W454" s="37"/>
      <c r="X454" s="36"/>
      <c r="Y454" s="36"/>
      <c r="Z454" s="36"/>
      <c r="AA454" s="36"/>
      <c r="AB454" s="36"/>
      <c r="AC454" s="36"/>
      <c r="AD454" s="36"/>
      <c r="AE454" s="36"/>
    </row>
    <row r="455" spans="1:31" ht="15.75" customHeight="1" x14ac:dyDescent="0.25">
      <c r="A455" s="37"/>
      <c r="B455" s="801"/>
      <c r="C455" s="37"/>
      <c r="D455" s="37"/>
      <c r="E455" s="37"/>
      <c r="F455" s="37"/>
      <c r="G455" s="37"/>
      <c r="H455" s="37"/>
      <c r="I455" s="37"/>
      <c r="J455" s="37"/>
      <c r="K455" s="37"/>
      <c r="L455" s="37"/>
      <c r="M455" s="37"/>
      <c r="N455" s="37"/>
      <c r="O455" s="37"/>
      <c r="P455" s="37"/>
      <c r="Q455" s="37"/>
      <c r="R455" s="37"/>
      <c r="S455" s="37"/>
      <c r="T455" s="37"/>
      <c r="U455" s="37"/>
      <c r="V455" s="37"/>
      <c r="W455" s="37"/>
      <c r="X455" s="36"/>
      <c r="Y455" s="36"/>
      <c r="Z455" s="36"/>
      <c r="AA455" s="36"/>
      <c r="AB455" s="36"/>
      <c r="AC455" s="36"/>
      <c r="AD455" s="36"/>
      <c r="AE455" s="36"/>
    </row>
    <row r="456" spans="1:31" ht="15.75" customHeight="1" x14ac:dyDescent="0.25">
      <c r="A456" s="37"/>
      <c r="B456" s="801"/>
      <c r="C456" s="37"/>
      <c r="D456" s="37"/>
      <c r="E456" s="37"/>
      <c r="F456" s="37"/>
      <c r="G456" s="37"/>
      <c r="H456" s="37"/>
      <c r="I456" s="37"/>
      <c r="J456" s="37"/>
      <c r="K456" s="37"/>
      <c r="L456" s="37"/>
      <c r="M456" s="37"/>
      <c r="N456" s="37"/>
      <c r="O456" s="37"/>
      <c r="P456" s="37"/>
      <c r="Q456" s="37"/>
      <c r="R456" s="37"/>
      <c r="S456" s="37"/>
      <c r="T456" s="37"/>
      <c r="U456" s="37"/>
      <c r="V456" s="37"/>
      <c r="W456" s="37"/>
      <c r="X456" s="36"/>
      <c r="Y456" s="36"/>
      <c r="Z456" s="36"/>
      <c r="AA456" s="36"/>
      <c r="AB456" s="36"/>
      <c r="AC456" s="36"/>
      <c r="AD456" s="36"/>
      <c r="AE456" s="36"/>
    </row>
    <row r="457" spans="1:31" ht="15.75" customHeight="1" x14ac:dyDescent="0.25">
      <c r="A457" s="37"/>
      <c r="B457" s="801"/>
      <c r="C457" s="37"/>
      <c r="D457" s="37"/>
      <c r="E457" s="37"/>
      <c r="F457" s="37"/>
      <c r="G457" s="37"/>
      <c r="H457" s="37"/>
      <c r="I457" s="37"/>
      <c r="J457" s="37"/>
      <c r="K457" s="37"/>
      <c r="L457" s="37"/>
      <c r="M457" s="37"/>
      <c r="N457" s="37"/>
      <c r="O457" s="37"/>
      <c r="P457" s="37"/>
      <c r="Q457" s="37"/>
      <c r="R457" s="37"/>
      <c r="S457" s="37"/>
      <c r="T457" s="37"/>
      <c r="U457" s="37"/>
      <c r="V457" s="37"/>
      <c r="W457" s="37"/>
      <c r="X457" s="36"/>
      <c r="Y457" s="36"/>
      <c r="Z457" s="36"/>
      <c r="AA457" s="36"/>
      <c r="AB457" s="36"/>
      <c r="AC457" s="36"/>
      <c r="AD457" s="36"/>
      <c r="AE457" s="36"/>
    </row>
    <row r="458" spans="1:31" ht="15.75" customHeight="1" x14ac:dyDescent="0.25">
      <c r="A458" s="37"/>
      <c r="B458" s="801"/>
      <c r="C458" s="37"/>
      <c r="D458" s="37"/>
      <c r="E458" s="37"/>
      <c r="F458" s="37"/>
      <c r="G458" s="37"/>
      <c r="H458" s="37"/>
      <c r="I458" s="37"/>
      <c r="J458" s="37"/>
      <c r="K458" s="37"/>
      <c r="L458" s="37"/>
      <c r="M458" s="37"/>
      <c r="N458" s="37"/>
      <c r="O458" s="37"/>
      <c r="P458" s="37"/>
      <c r="Q458" s="37"/>
      <c r="R458" s="37"/>
      <c r="S458" s="37"/>
      <c r="T458" s="37"/>
      <c r="U458" s="37"/>
      <c r="V458" s="37"/>
      <c r="W458" s="37"/>
      <c r="X458" s="36"/>
      <c r="Y458" s="36"/>
      <c r="Z458" s="36"/>
      <c r="AA458" s="36"/>
      <c r="AB458" s="36"/>
      <c r="AC458" s="36"/>
      <c r="AD458" s="36"/>
      <c r="AE458" s="36"/>
    </row>
    <row r="459" spans="1:31" ht="15.75" customHeight="1" x14ac:dyDescent="0.25">
      <c r="A459" s="37"/>
      <c r="B459" s="801"/>
      <c r="C459" s="37"/>
      <c r="D459" s="37"/>
      <c r="E459" s="37"/>
      <c r="F459" s="37"/>
      <c r="G459" s="37"/>
      <c r="H459" s="37"/>
      <c r="I459" s="37"/>
      <c r="J459" s="37"/>
      <c r="K459" s="37"/>
      <c r="L459" s="37"/>
      <c r="M459" s="37"/>
      <c r="N459" s="37"/>
      <c r="O459" s="37"/>
      <c r="P459" s="37"/>
      <c r="Q459" s="37"/>
      <c r="R459" s="37"/>
      <c r="S459" s="37"/>
      <c r="T459" s="37"/>
      <c r="U459" s="37"/>
      <c r="V459" s="37"/>
      <c r="W459" s="37"/>
      <c r="X459" s="36"/>
      <c r="Y459" s="36"/>
      <c r="Z459" s="36"/>
      <c r="AA459" s="36"/>
      <c r="AB459" s="36"/>
      <c r="AC459" s="36"/>
      <c r="AD459" s="36"/>
      <c r="AE459" s="36"/>
    </row>
    <row r="460" spans="1:31" ht="15.75" customHeight="1" x14ac:dyDescent="0.25">
      <c r="A460" s="37"/>
      <c r="B460" s="801"/>
      <c r="C460" s="37"/>
      <c r="D460" s="37"/>
      <c r="E460" s="37"/>
      <c r="F460" s="37"/>
      <c r="G460" s="37"/>
      <c r="H460" s="37"/>
      <c r="I460" s="37"/>
      <c r="J460" s="37"/>
      <c r="K460" s="37"/>
      <c r="L460" s="37"/>
      <c r="M460" s="37"/>
      <c r="N460" s="37"/>
      <c r="O460" s="37"/>
      <c r="P460" s="37"/>
      <c r="Q460" s="37"/>
      <c r="R460" s="37"/>
      <c r="S460" s="37"/>
      <c r="T460" s="37"/>
      <c r="U460" s="37"/>
      <c r="V460" s="37"/>
      <c r="W460" s="37"/>
      <c r="X460" s="36"/>
      <c r="Y460" s="36"/>
      <c r="Z460" s="36"/>
      <c r="AA460" s="36"/>
      <c r="AB460" s="36"/>
      <c r="AC460" s="36"/>
      <c r="AD460" s="36"/>
      <c r="AE460" s="36"/>
    </row>
    <row r="461" spans="1:31" ht="15.75" customHeight="1" x14ac:dyDescent="0.25">
      <c r="A461" s="37"/>
      <c r="B461" s="801"/>
      <c r="C461" s="37"/>
      <c r="D461" s="37"/>
      <c r="E461" s="37"/>
      <c r="F461" s="37"/>
      <c r="G461" s="37"/>
      <c r="H461" s="37"/>
      <c r="I461" s="37"/>
      <c r="J461" s="37"/>
      <c r="K461" s="37"/>
      <c r="L461" s="37"/>
      <c r="M461" s="37"/>
      <c r="N461" s="37"/>
      <c r="O461" s="37"/>
      <c r="P461" s="37"/>
      <c r="Q461" s="37"/>
      <c r="R461" s="37"/>
      <c r="S461" s="37"/>
      <c r="T461" s="37"/>
      <c r="U461" s="37"/>
      <c r="V461" s="37"/>
      <c r="W461" s="37"/>
      <c r="X461" s="36"/>
      <c r="Y461" s="36"/>
      <c r="Z461" s="36"/>
      <c r="AA461" s="36"/>
      <c r="AB461" s="36"/>
      <c r="AC461" s="36"/>
      <c r="AD461" s="36"/>
      <c r="AE461" s="36"/>
    </row>
    <row r="462" spans="1:31" ht="15.75" customHeight="1" x14ac:dyDescent="0.25">
      <c r="A462" s="37"/>
      <c r="B462" s="801"/>
      <c r="C462" s="37"/>
      <c r="D462" s="37"/>
      <c r="E462" s="37"/>
      <c r="F462" s="37"/>
      <c r="G462" s="37"/>
      <c r="H462" s="37"/>
      <c r="I462" s="37"/>
      <c r="J462" s="37"/>
      <c r="K462" s="37"/>
      <c r="L462" s="37"/>
      <c r="M462" s="37"/>
      <c r="N462" s="37"/>
      <c r="O462" s="37"/>
      <c r="P462" s="37"/>
      <c r="Q462" s="37"/>
      <c r="R462" s="37"/>
      <c r="S462" s="37"/>
      <c r="T462" s="37"/>
      <c r="U462" s="37"/>
      <c r="V462" s="37"/>
      <c r="W462" s="37"/>
      <c r="X462" s="36"/>
      <c r="Y462" s="36"/>
      <c r="Z462" s="36"/>
      <c r="AA462" s="36"/>
      <c r="AB462" s="36"/>
      <c r="AC462" s="36"/>
      <c r="AD462" s="36"/>
      <c r="AE462" s="36"/>
    </row>
    <row r="463" spans="1:31" ht="15.75" customHeight="1" x14ac:dyDescent="0.25">
      <c r="A463" s="37"/>
      <c r="B463" s="801"/>
      <c r="C463" s="37"/>
      <c r="D463" s="37"/>
      <c r="E463" s="37"/>
      <c r="F463" s="37"/>
      <c r="G463" s="37"/>
      <c r="H463" s="37"/>
      <c r="I463" s="37"/>
      <c r="J463" s="37"/>
      <c r="K463" s="37"/>
      <c r="L463" s="37"/>
      <c r="M463" s="37"/>
      <c r="N463" s="37"/>
      <c r="O463" s="37"/>
      <c r="P463" s="37"/>
      <c r="Q463" s="37"/>
      <c r="R463" s="37"/>
      <c r="S463" s="37"/>
      <c r="T463" s="37"/>
      <c r="U463" s="37"/>
      <c r="V463" s="37"/>
      <c r="W463" s="37"/>
      <c r="X463" s="36"/>
      <c r="Y463" s="36"/>
      <c r="Z463" s="36"/>
      <c r="AA463" s="36"/>
      <c r="AB463" s="36"/>
      <c r="AC463" s="36"/>
      <c r="AD463" s="36"/>
      <c r="AE463" s="36"/>
    </row>
    <row r="464" spans="1:31" ht="15.75" customHeight="1" x14ac:dyDescent="0.25">
      <c r="A464" s="37"/>
      <c r="B464" s="801"/>
      <c r="C464" s="37"/>
      <c r="D464" s="37"/>
      <c r="E464" s="37"/>
      <c r="F464" s="37"/>
      <c r="G464" s="37"/>
      <c r="H464" s="37"/>
      <c r="I464" s="37"/>
      <c r="J464" s="37"/>
      <c r="K464" s="37"/>
      <c r="L464" s="37"/>
      <c r="M464" s="37"/>
      <c r="N464" s="37"/>
      <c r="O464" s="37"/>
      <c r="P464" s="37"/>
      <c r="Q464" s="37"/>
      <c r="R464" s="37"/>
      <c r="S464" s="37"/>
      <c r="T464" s="37"/>
      <c r="U464" s="37"/>
      <c r="V464" s="37"/>
      <c r="W464" s="37"/>
      <c r="X464" s="36"/>
      <c r="Y464" s="36"/>
      <c r="Z464" s="36"/>
      <c r="AA464" s="36"/>
      <c r="AB464" s="36"/>
      <c r="AC464" s="36"/>
      <c r="AD464" s="36"/>
      <c r="AE464" s="36"/>
    </row>
    <row r="465" spans="1:31" ht="15.75" customHeight="1" x14ac:dyDescent="0.25">
      <c r="A465" s="37"/>
      <c r="B465" s="801"/>
      <c r="C465" s="37"/>
      <c r="D465" s="37"/>
      <c r="E465" s="37"/>
      <c r="F465" s="37"/>
      <c r="G465" s="37"/>
      <c r="H465" s="37"/>
      <c r="I465" s="37"/>
      <c r="J465" s="37"/>
      <c r="K465" s="37"/>
      <c r="L465" s="37"/>
      <c r="M465" s="37"/>
      <c r="N465" s="37"/>
      <c r="O465" s="37"/>
      <c r="P465" s="37"/>
      <c r="Q465" s="37"/>
      <c r="R465" s="37"/>
      <c r="S465" s="37"/>
      <c r="T465" s="37"/>
      <c r="U465" s="37"/>
      <c r="V465" s="37"/>
      <c r="W465" s="37"/>
      <c r="X465" s="36"/>
      <c r="Y465" s="36"/>
      <c r="Z465" s="36"/>
      <c r="AA465" s="36"/>
      <c r="AB465" s="36"/>
      <c r="AC465" s="36"/>
      <c r="AD465" s="36"/>
      <c r="AE465" s="36"/>
    </row>
    <row r="466" spans="1:31" ht="15.75" customHeight="1" x14ac:dyDescent="0.25">
      <c r="A466" s="37"/>
      <c r="B466" s="801"/>
      <c r="C466" s="37"/>
      <c r="D466" s="37"/>
      <c r="E466" s="37"/>
      <c r="F466" s="37"/>
      <c r="G466" s="37"/>
      <c r="H466" s="37"/>
      <c r="I466" s="37"/>
      <c r="J466" s="37"/>
      <c r="K466" s="37"/>
      <c r="L466" s="37"/>
      <c r="M466" s="37"/>
      <c r="N466" s="37"/>
      <c r="O466" s="37"/>
      <c r="P466" s="37"/>
      <c r="Q466" s="37"/>
      <c r="R466" s="37"/>
      <c r="S466" s="37"/>
      <c r="T466" s="37"/>
      <c r="U466" s="37"/>
      <c r="V466" s="37"/>
      <c r="W466" s="37"/>
      <c r="X466" s="36"/>
      <c r="Y466" s="36"/>
      <c r="Z466" s="36"/>
      <c r="AA466" s="36"/>
      <c r="AB466" s="36"/>
      <c r="AC466" s="36"/>
      <c r="AD466" s="36"/>
      <c r="AE466" s="36"/>
    </row>
    <row r="467" spans="1:31" ht="15.75" customHeight="1" x14ac:dyDescent="0.25">
      <c r="A467" s="37"/>
      <c r="B467" s="801"/>
      <c r="C467" s="37"/>
      <c r="D467" s="37"/>
      <c r="E467" s="37"/>
      <c r="F467" s="37"/>
      <c r="G467" s="37"/>
      <c r="H467" s="37"/>
      <c r="I467" s="37"/>
      <c r="J467" s="37"/>
      <c r="K467" s="37"/>
      <c r="L467" s="37"/>
      <c r="M467" s="37"/>
      <c r="N467" s="37"/>
      <c r="O467" s="37"/>
      <c r="P467" s="37"/>
      <c r="Q467" s="37"/>
      <c r="R467" s="37"/>
      <c r="S467" s="37"/>
      <c r="T467" s="37"/>
      <c r="U467" s="37"/>
      <c r="V467" s="37"/>
      <c r="W467" s="37"/>
      <c r="X467" s="36"/>
      <c r="Y467" s="36"/>
      <c r="Z467" s="36"/>
      <c r="AA467" s="36"/>
      <c r="AB467" s="36"/>
      <c r="AC467" s="36"/>
      <c r="AD467" s="36"/>
      <c r="AE467" s="36"/>
    </row>
    <row r="468" spans="1:31" ht="15.75" customHeight="1" x14ac:dyDescent="0.25">
      <c r="A468" s="37"/>
      <c r="B468" s="801"/>
      <c r="C468" s="37"/>
      <c r="D468" s="37"/>
      <c r="E468" s="37"/>
      <c r="F468" s="37"/>
      <c r="G468" s="37"/>
      <c r="H468" s="37"/>
      <c r="I468" s="37"/>
      <c r="J468" s="37"/>
      <c r="K468" s="37"/>
      <c r="L468" s="37"/>
      <c r="M468" s="37"/>
      <c r="N468" s="37"/>
      <c r="O468" s="37"/>
      <c r="P468" s="37"/>
      <c r="Q468" s="37"/>
      <c r="R468" s="37"/>
      <c r="S468" s="37"/>
      <c r="T468" s="37"/>
      <c r="U468" s="37"/>
      <c r="V468" s="37"/>
      <c r="W468" s="37"/>
      <c r="X468" s="36"/>
      <c r="Y468" s="36"/>
      <c r="Z468" s="36"/>
      <c r="AA468" s="36"/>
      <c r="AB468" s="36"/>
      <c r="AC468" s="36"/>
      <c r="AD468" s="36"/>
      <c r="AE468" s="36"/>
    </row>
    <row r="469" spans="1:31" ht="15.75" customHeight="1" x14ac:dyDescent="0.25">
      <c r="A469" s="37"/>
      <c r="B469" s="801"/>
      <c r="C469" s="37"/>
      <c r="D469" s="37"/>
      <c r="E469" s="37"/>
      <c r="F469" s="37"/>
      <c r="G469" s="37"/>
      <c r="H469" s="37"/>
      <c r="I469" s="37"/>
      <c r="J469" s="37"/>
      <c r="K469" s="37"/>
      <c r="L469" s="37"/>
      <c r="M469" s="37"/>
      <c r="N469" s="37"/>
      <c r="O469" s="37"/>
      <c r="P469" s="37"/>
      <c r="Q469" s="37"/>
      <c r="R469" s="37"/>
      <c r="S469" s="37"/>
      <c r="T469" s="37"/>
      <c r="U469" s="37"/>
      <c r="V469" s="37"/>
      <c r="W469" s="37"/>
      <c r="X469" s="36"/>
      <c r="Y469" s="36"/>
      <c r="Z469" s="36"/>
      <c r="AA469" s="36"/>
      <c r="AB469" s="36"/>
      <c r="AC469" s="36"/>
      <c r="AD469" s="36"/>
      <c r="AE469" s="36"/>
    </row>
    <row r="470" spans="1:31" ht="15.75" customHeight="1" x14ac:dyDescent="0.25">
      <c r="A470" s="37"/>
      <c r="B470" s="801"/>
      <c r="C470" s="37"/>
      <c r="D470" s="37"/>
      <c r="E470" s="37"/>
      <c r="F470" s="37"/>
      <c r="G470" s="37"/>
      <c r="H470" s="37"/>
      <c r="I470" s="37"/>
      <c r="J470" s="37"/>
      <c r="K470" s="37"/>
      <c r="L470" s="37"/>
      <c r="M470" s="37"/>
      <c r="N470" s="37"/>
      <c r="O470" s="37"/>
      <c r="P470" s="37"/>
      <c r="Q470" s="37"/>
      <c r="R470" s="37"/>
      <c r="S470" s="37"/>
      <c r="T470" s="37"/>
      <c r="U470" s="37"/>
      <c r="V470" s="37"/>
      <c r="W470" s="37"/>
      <c r="X470" s="36"/>
      <c r="Y470" s="36"/>
      <c r="Z470" s="36"/>
      <c r="AA470" s="36"/>
      <c r="AB470" s="36"/>
      <c r="AC470" s="36"/>
      <c r="AD470" s="36"/>
      <c r="AE470" s="36"/>
    </row>
    <row r="471" spans="1:31" ht="15.75" customHeight="1" x14ac:dyDescent="0.25">
      <c r="A471" s="37"/>
      <c r="B471" s="801"/>
      <c r="C471" s="37"/>
      <c r="D471" s="37"/>
      <c r="E471" s="37"/>
      <c r="F471" s="37"/>
      <c r="G471" s="37"/>
      <c r="H471" s="37"/>
      <c r="I471" s="37"/>
      <c r="J471" s="37"/>
      <c r="K471" s="37"/>
      <c r="L471" s="37"/>
      <c r="M471" s="37"/>
      <c r="N471" s="37"/>
      <c r="O471" s="37"/>
      <c r="P471" s="37"/>
      <c r="Q471" s="37"/>
      <c r="R471" s="37"/>
      <c r="S471" s="37"/>
      <c r="T471" s="37"/>
      <c r="U471" s="37"/>
      <c r="V471" s="37"/>
      <c r="W471" s="37"/>
      <c r="X471" s="36"/>
      <c r="Y471" s="36"/>
      <c r="Z471" s="36"/>
      <c r="AA471" s="36"/>
      <c r="AB471" s="36"/>
      <c r="AC471" s="36"/>
      <c r="AD471" s="36"/>
      <c r="AE471" s="36"/>
    </row>
    <row r="472" spans="1:31" ht="15.75" customHeight="1" x14ac:dyDescent="0.25">
      <c r="A472" s="37"/>
      <c r="B472" s="801"/>
      <c r="C472" s="37"/>
      <c r="D472" s="37"/>
      <c r="E472" s="37"/>
      <c r="F472" s="37"/>
      <c r="G472" s="37"/>
      <c r="H472" s="37"/>
      <c r="I472" s="37"/>
      <c r="J472" s="37"/>
      <c r="K472" s="37"/>
      <c r="L472" s="37"/>
      <c r="M472" s="37"/>
      <c r="N472" s="37"/>
      <c r="O472" s="37"/>
      <c r="P472" s="37"/>
      <c r="Q472" s="37"/>
      <c r="R472" s="37"/>
      <c r="S472" s="37"/>
      <c r="T472" s="37"/>
      <c r="U472" s="37"/>
      <c r="V472" s="37"/>
      <c r="W472" s="37"/>
      <c r="X472" s="36"/>
      <c r="Y472" s="36"/>
      <c r="Z472" s="36"/>
      <c r="AA472" s="36"/>
      <c r="AB472" s="36"/>
      <c r="AC472" s="36"/>
      <c r="AD472" s="36"/>
      <c r="AE472" s="36"/>
    </row>
    <row r="473" spans="1:31" ht="15.75" customHeight="1" x14ac:dyDescent="0.25">
      <c r="A473" s="37"/>
      <c r="B473" s="801"/>
      <c r="C473" s="37"/>
      <c r="D473" s="37"/>
      <c r="E473" s="37"/>
      <c r="F473" s="37"/>
      <c r="G473" s="37"/>
      <c r="H473" s="37"/>
      <c r="I473" s="37"/>
      <c r="J473" s="37"/>
      <c r="K473" s="37"/>
      <c r="L473" s="37"/>
      <c r="M473" s="37"/>
      <c r="N473" s="37"/>
      <c r="O473" s="37"/>
      <c r="P473" s="37"/>
      <c r="Q473" s="37"/>
      <c r="R473" s="37"/>
      <c r="S473" s="37"/>
      <c r="T473" s="37"/>
      <c r="U473" s="37"/>
      <c r="V473" s="37"/>
      <c r="W473" s="37"/>
      <c r="X473" s="36"/>
      <c r="Y473" s="36"/>
      <c r="Z473" s="36"/>
      <c r="AA473" s="36"/>
      <c r="AB473" s="36"/>
      <c r="AC473" s="36"/>
      <c r="AD473" s="36"/>
      <c r="AE473" s="36"/>
    </row>
    <row r="474" spans="1:31" ht="15.75" customHeight="1" x14ac:dyDescent="0.25">
      <c r="A474" s="37"/>
      <c r="B474" s="801"/>
      <c r="C474" s="37"/>
      <c r="D474" s="37"/>
      <c r="E474" s="37"/>
      <c r="F474" s="37"/>
      <c r="G474" s="37"/>
      <c r="H474" s="37"/>
      <c r="I474" s="37"/>
      <c r="J474" s="37"/>
      <c r="K474" s="37"/>
      <c r="L474" s="37"/>
      <c r="M474" s="37"/>
      <c r="N474" s="37"/>
      <c r="O474" s="37"/>
      <c r="P474" s="37"/>
      <c r="Q474" s="37"/>
      <c r="R474" s="37"/>
      <c r="S474" s="37"/>
      <c r="T474" s="37"/>
      <c r="U474" s="37"/>
      <c r="V474" s="37"/>
      <c r="W474" s="37"/>
      <c r="X474" s="36"/>
      <c r="Y474" s="36"/>
      <c r="Z474" s="36"/>
      <c r="AA474" s="36"/>
      <c r="AB474" s="36"/>
      <c r="AC474" s="36"/>
      <c r="AD474" s="36"/>
      <c r="AE474" s="36"/>
    </row>
    <row r="475" spans="1:31" ht="15.75" customHeight="1" x14ac:dyDescent="0.25">
      <c r="A475" s="37"/>
      <c r="B475" s="801"/>
      <c r="C475" s="37"/>
      <c r="D475" s="37"/>
      <c r="E475" s="37"/>
      <c r="F475" s="37"/>
      <c r="G475" s="37"/>
      <c r="H475" s="37"/>
      <c r="I475" s="37"/>
      <c r="J475" s="37"/>
      <c r="K475" s="37"/>
      <c r="L475" s="37"/>
      <c r="M475" s="37"/>
      <c r="N475" s="37"/>
      <c r="O475" s="37"/>
      <c r="P475" s="37"/>
      <c r="Q475" s="37"/>
      <c r="R475" s="37"/>
      <c r="S475" s="37"/>
      <c r="T475" s="37"/>
      <c r="U475" s="37"/>
      <c r="V475" s="37"/>
      <c r="W475" s="37"/>
      <c r="X475" s="36"/>
      <c r="Y475" s="36"/>
      <c r="Z475" s="36"/>
      <c r="AA475" s="36"/>
      <c r="AB475" s="36"/>
      <c r="AC475" s="36"/>
      <c r="AD475" s="36"/>
      <c r="AE475" s="36"/>
    </row>
    <row r="476" spans="1:31" ht="15.75" customHeight="1" x14ac:dyDescent="0.25">
      <c r="A476" s="37"/>
      <c r="B476" s="801"/>
      <c r="C476" s="37"/>
      <c r="D476" s="37"/>
      <c r="E476" s="37"/>
      <c r="F476" s="37"/>
      <c r="G476" s="37"/>
      <c r="H476" s="37"/>
      <c r="I476" s="37"/>
      <c r="J476" s="37"/>
      <c r="K476" s="37"/>
      <c r="L476" s="37"/>
      <c r="M476" s="37"/>
      <c r="N476" s="37"/>
      <c r="O476" s="37"/>
      <c r="P476" s="37"/>
      <c r="Q476" s="37"/>
      <c r="R476" s="37"/>
      <c r="S476" s="37"/>
      <c r="T476" s="37"/>
      <c r="U476" s="37"/>
      <c r="V476" s="37"/>
      <c r="W476" s="37"/>
      <c r="X476" s="36"/>
      <c r="Y476" s="36"/>
      <c r="Z476" s="36"/>
      <c r="AA476" s="36"/>
      <c r="AB476" s="36"/>
      <c r="AC476" s="36"/>
      <c r="AD476" s="36"/>
      <c r="AE476" s="36"/>
    </row>
    <row r="477" spans="1:31" ht="15.75" customHeight="1" x14ac:dyDescent="0.25">
      <c r="A477" s="37"/>
      <c r="B477" s="801"/>
      <c r="C477" s="37"/>
      <c r="D477" s="37"/>
      <c r="E477" s="37"/>
      <c r="F477" s="37"/>
      <c r="G477" s="37"/>
      <c r="H477" s="37"/>
      <c r="I477" s="37"/>
      <c r="J477" s="37"/>
      <c r="K477" s="37"/>
      <c r="L477" s="37"/>
      <c r="M477" s="37"/>
      <c r="N477" s="37"/>
      <c r="O477" s="37"/>
      <c r="P477" s="37"/>
      <c r="Q477" s="37"/>
      <c r="R477" s="37"/>
      <c r="S477" s="37"/>
      <c r="T477" s="37"/>
      <c r="U477" s="37"/>
      <c r="V477" s="37"/>
      <c r="W477" s="37"/>
      <c r="X477" s="36"/>
      <c r="Y477" s="36"/>
      <c r="Z477" s="36"/>
      <c r="AA477" s="36"/>
      <c r="AB477" s="36"/>
      <c r="AC477" s="36"/>
      <c r="AD477" s="36"/>
      <c r="AE477" s="36"/>
    </row>
    <row r="478" spans="1:31" ht="15.75" customHeight="1" x14ac:dyDescent="0.25">
      <c r="A478" s="37"/>
      <c r="B478" s="801"/>
      <c r="C478" s="37"/>
      <c r="D478" s="37"/>
      <c r="E478" s="37"/>
      <c r="F478" s="37"/>
      <c r="G478" s="37"/>
      <c r="H478" s="37"/>
      <c r="I478" s="37"/>
      <c r="J478" s="37"/>
      <c r="K478" s="37"/>
      <c r="L478" s="37"/>
      <c r="M478" s="37"/>
      <c r="N478" s="37"/>
      <c r="O478" s="37"/>
      <c r="P478" s="37"/>
      <c r="Q478" s="37"/>
      <c r="R478" s="37"/>
      <c r="S478" s="37"/>
      <c r="T478" s="37"/>
      <c r="U478" s="37"/>
      <c r="V478" s="37"/>
      <c r="W478" s="37"/>
      <c r="X478" s="36"/>
      <c r="Y478" s="36"/>
      <c r="Z478" s="36"/>
      <c r="AA478" s="36"/>
      <c r="AB478" s="36"/>
      <c r="AC478" s="36"/>
      <c r="AD478" s="36"/>
      <c r="AE478" s="36"/>
    </row>
    <row r="479" spans="1:31" ht="15.75" customHeight="1" x14ac:dyDescent="0.25">
      <c r="A479" s="37"/>
      <c r="B479" s="801"/>
      <c r="C479" s="37"/>
      <c r="D479" s="37"/>
      <c r="E479" s="37"/>
      <c r="F479" s="37"/>
      <c r="G479" s="37"/>
      <c r="H479" s="37"/>
      <c r="I479" s="37"/>
      <c r="J479" s="37"/>
      <c r="K479" s="37"/>
      <c r="L479" s="37"/>
      <c r="M479" s="37"/>
      <c r="N479" s="37"/>
      <c r="O479" s="37"/>
      <c r="P479" s="37"/>
      <c r="Q479" s="37"/>
      <c r="R479" s="37"/>
      <c r="S479" s="37"/>
      <c r="T479" s="37"/>
      <c r="U479" s="37"/>
      <c r="V479" s="37"/>
      <c r="W479" s="37"/>
      <c r="X479" s="36"/>
      <c r="Y479" s="36"/>
      <c r="Z479" s="36"/>
      <c r="AA479" s="36"/>
      <c r="AB479" s="36"/>
      <c r="AC479" s="36"/>
      <c r="AD479" s="36"/>
      <c r="AE479" s="36"/>
    </row>
    <row r="480" spans="1:31" ht="15.75" customHeight="1" x14ac:dyDescent="0.25">
      <c r="A480" s="37"/>
      <c r="B480" s="801"/>
      <c r="C480" s="37"/>
      <c r="D480" s="37"/>
      <c r="E480" s="37"/>
      <c r="F480" s="37"/>
      <c r="G480" s="37"/>
      <c r="H480" s="37"/>
      <c r="I480" s="37"/>
      <c r="J480" s="37"/>
      <c r="K480" s="37"/>
      <c r="L480" s="37"/>
      <c r="M480" s="37"/>
      <c r="N480" s="37"/>
      <c r="O480" s="37"/>
      <c r="P480" s="37"/>
      <c r="Q480" s="37"/>
      <c r="R480" s="37"/>
      <c r="S480" s="37"/>
      <c r="T480" s="37"/>
      <c r="U480" s="37"/>
      <c r="V480" s="37"/>
      <c r="W480" s="37"/>
      <c r="X480" s="36"/>
      <c r="Y480" s="36"/>
      <c r="Z480" s="36"/>
      <c r="AA480" s="36"/>
      <c r="AB480" s="36"/>
      <c r="AC480" s="36"/>
      <c r="AD480" s="36"/>
      <c r="AE480" s="36"/>
    </row>
    <row r="481" spans="1:31" ht="15.75" customHeight="1" x14ac:dyDescent="0.25">
      <c r="A481" s="37"/>
      <c r="B481" s="801"/>
      <c r="C481" s="37"/>
      <c r="D481" s="37"/>
      <c r="E481" s="37"/>
      <c r="F481" s="37"/>
      <c r="G481" s="37"/>
      <c r="H481" s="37"/>
      <c r="I481" s="37"/>
      <c r="J481" s="37"/>
      <c r="K481" s="37"/>
      <c r="L481" s="37"/>
      <c r="M481" s="37"/>
      <c r="N481" s="37"/>
      <c r="O481" s="37"/>
      <c r="P481" s="37"/>
      <c r="Q481" s="37"/>
      <c r="R481" s="37"/>
      <c r="S481" s="37"/>
      <c r="T481" s="37"/>
      <c r="U481" s="37"/>
      <c r="V481" s="37"/>
      <c r="W481" s="37"/>
      <c r="X481" s="36"/>
      <c r="Y481" s="36"/>
      <c r="Z481" s="36"/>
      <c r="AA481" s="36"/>
      <c r="AB481" s="36"/>
      <c r="AC481" s="36"/>
      <c r="AD481" s="36"/>
      <c r="AE481" s="36"/>
    </row>
    <row r="482" spans="1:31" ht="15.75" customHeight="1" x14ac:dyDescent="0.25">
      <c r="A482" s="37"/>
      <c r="B482" s="801"/>
      <c r="C482" s="37"/>
      <c r="D482" s="37"/>
      <c r="E482" s="37"/>
      <c r="F482" s="37"/>
      <c r="G482" s="37"/>
      <c r="H482" s="37"/>
      <c r="I482" s="37"/>
      <c r="J482" s="37"/>
      <c r="K482" s="37"/>
      <c r="L482" s="37"/>
      <c r="M482" s="37"/>
      <c r="N482" s="37"/>
      <c r="O482" s="37"/>
      <c r="P482" s="37"/>
      <c r="Q482" s="37"/>
      <c r="R482" s="37"/>
      <c r="S482" s="37"/>
      <c r="T482" s="37"/>
      <c r="U482" s="37"/>
      <c r="V482" s="37"/>
      <c r="W482" s="37"/>
      <c r="X482" s="36"/>
      <c r="Y482" s="36"/>
      <c r="Z482" s="36"/>
      <c r="AA482" s="36"/>
      <c r="AB482" s="36"/>
      <c r="AC482" s="36"/>
      <c r="AD482" s="36"/>
      <c r="AE482" s="36"/>
    </row>
    <row r="483" spans="1:31" ht="15.75" customHeight="1" x14ac:dyDescent="0.25">
      <c r="A483" s="37"/>
      <c r="B483" s="801"/>
      <c r="C483" s="37"/>
      <c r="D483" s="37"/>
      <c r="E483" s="37"/>
      <c r="F483" s="37"/>
      <c r="G483" s="37"/>
      <c r="H483" s="37"/>
      <c r="I483" s="37"/>
      <c r="J483" s="37"/>
      <c r="K483" s="37"/>
      <c r="L483" s="37"/>
      <c r="M483" s="37"/>
      <c r="N483" s="37"/>
      <c r="O483" s="37"/>
      <c r="P483" s="37"/>
      <c r="Q483" s="37"/>
      <c r="R483" s="37"/>
      <c r="S483" s="37"/>
      <c r="T483" s="37"/>
      <c r="U483" s="37"/>
      <c r="V483" s="37"/>
      <c r="W483" s="37"/>
      <c r="X483" s="36"/>
      <c r="Y483" s="36"/>
      <c r="Z483" s="36"/>
      <c r="AA483" s="36"/>
      <c r="AB483" s="36"/>
      <c r="AC483" s="36"/>
      <c r="AD483" s="36"/>
      <c r="AE483" s="36"/>
    </row>
    <row r="484" spans="1:31" ht="15.75" customHeight="1" x14ac:dyDescent="0.25">
      <c r="A484" s="37"/>
      <c r="B484" s="801"/>
      <c r="C484" s="37"/>
      <c r="D484" s="37"/>
      <c r="E484" s="37"/>
      <c r="F484" s="37"/>
      <c r="G484" s="37"/>
      <c r="H484" s="37"/>
      <c r="I484" s="37"/>
      <c r="J484" s="37"/>
      <c r="K484" s="37"/>
      <c r="L484" s="37"/>
      <c r="M484" s="37"/>
      <c r="N484" s="37"/>
      <c r="O484" s="37"/>
      <c r="P484" s="37"/>
      <c r="Q484" s="37"/>
      <c r="R484" s="37"/>
      <c r="S484" s="37"/>
      <c r="T484" s="37"/>
      <c r="U484" s="37"/>
      <c r="V484" s="37"/>
      <c r="W484" s="37"/>
      <c r="X484" s="36"/>
      <c r="Y484" s="36"/>
      <c r="Z484" s="36"/>
      <c r="AA484" s="36"/>
      <c r="AB484" s="36"/>
      <c r="AC484" s="36"/>
      <c r="AD484" s="36"/>
      <c r="AE484" s="36"/>
    </row>
    <row r="485" spans="1:31" ht="15.75" customHeight="1" x14ac:dyDescent="0.25">
      <c r="A485" s="37"/>
      <c r="B485" s="801"/>
      <c r="C485" s="37"/>
      <c r="D485" s="37"/>
      <c r="E485" s="37"/>
      <c r="F485" s="37"/>
      <c r="G485" s="37"/>
      <c r="H485" s="37"/>
      <c r="I485" s="37"/>
      <c r="J485" s="37"/>
      <c r="K485" s="37"/>
      <c r="L485" s="37"/>
      <c r="M485" s="37"/>
      <c r="N485" s="37"/>
      <c r="O485" s="37"/>
      <c r="P485" s="37"/>
      <c r="Q485" s="37"/>
      <c r="R485" s="37"/>
      <c r="S485" s="37"/>
      <c r="T485" s="37"/>
      <c r="U485" s="37"/>
      <c r="V485" s="37"/>
      <c r="W485" s="37"/>
      <c r="X485" s="36"/>
      <c r="Y485" s="36"/>
      <c r="Z485" s="36"/>
      <c r="AA485" s="36"/>
      <c r="AB485" s="36"/>
      <c r="AC485" s="36"/>
      <c r="AD485" s="36"/>
      <c r="AE485" s="36"/>
    </row>
    <row r="486" spans="1:31" ht="15.75" customHeight="1" x14ac:dyDescent="0.25">
      <c r="A486" s="37"/>
      <c r="B486" s="801"/>
      <c r="C486" s="37"/>
      <c r="D486" s="37"/>
      <c r="E486" s="37"/>
      <c r="F486" s="37"/>
      <c r="G486" s="37"/>
      <c r="H486" s="37"/>
      <c r="I486" s="37"/>
      <c r="J486" s="37"/>
      <c r="K486" s="37"/>
      <c r="L486" s="37"/>
      <c r="M486" s="37"/>
      <c r="N486" s="37"/>
      <c r="O486" s="37"/>
      <c r="P486" s="37"/>
      <c r="Q486" s="37"/>
      <c r="R486" s="37"/>
      <c r="S486" s="37"/>
      <c r="T486" s="37"/>
      <c r="U486" s="37"/>
      <c r="V486" s="37"/>
      <c r="W486" s="37"/>
      <c r="X486" s="36"/>
      <c r="Y486" s="36"/>
      <c r="Z486" s="36"/>
      <c r="AA486" s="36"/>
      <c r="AB486" s="36"/>
      <c r="AC486" s="36"/>
      <c r="AD486" s="36"/>
      <c r="AE486" s="36"/>
    </row>
    <row r="487" spans="1:31" ht="15.75" customHeight="1" x14ac:dyDescent="0.25">
      <c r="A487" s="37"/>
      <c r="B487" s="801"/>
      <c r="C487" s="37"/>
      <c r="D487" s="37"/>
      <c r="E487" s="37"/>
      <c r="F487" s="37"/>
      <c r="G487" s="37"/>
      <c r="H487" s="37"/>
      <c r="I487" s="37"/>
      <c r="J487" s="37"/>
      <c r="K487" s="37"/>
      <c r="L487" s="37"/>
      <c r="M487" s="37"/>
      <c r="N487" s="37"/>
      <c r="O487" s="37"/>
      <c r="P487" s="37"/>
      <c r="Q487" s="37"/>
      <c r="R487" s="37"/>
      <c r="S487" s="37"/>
      <c r="T487" s="37"/>
      <c r="U487" s="37"/>
      <c r="V487" s="37"/>
      <c r="W487" s="37"/>
      <c r="X487" s="36"/>
      <c r="Y487" s="36"/>
      <c r="Z487" s="36"/>
      <c r="AA487" s="36"/>
      <c r="AB487" s="36"/>
      <c r="AC487" s="36"/>
      <c r="AD487" s="36"/>
      <c r="AE487" s="36"/>
    </row>
    <row r="488" spans="1:31" ht="15.75" customHeight="1" x14ac:dyDescent="0.25">
      <c r="A488" s="37"/>
      <c r="B488" s="801"/>
      <c r="C488" s="37"/>
      <c r="D488" s="37"/>
      <c r="E488" s="37"/>
      <c r="F488" s="37"/>
      <c r="G488" s="37"/>
      <c r="H488" s="37"/>
      <c r="I488" s="37"/>
      <c r="J488" s="37"/>
      <c r="K488" s="37"/>
      <c r="L488" s="37"/>
      <c r="M488" s="37"/>
      <c r="N488" s="37"/>
      <c r="O488" s="37"/>
      <c r="P488" s="37"/>
      <c r="Q488" s="37"/>
      <c r="R488" s="37"/>
      <c r="S488" s="37"/>
      <c r="T488" s="37"/>
      <c r="U488" s="37"/>
      <c r="V488" s="37"/>
      <c r="W488" s="37"/>
      <c r="X488" s="36"/>
      <c r="Y488" s="36"/>
      <c r="Z488" s="36"/>
      <c r="AA488" s="36"/>
      <c r="AB488" s="36"/>
      <c r="AC488" s="36"/>
      <c r="AD488" s="36"/>
      <c r="AE488" s="36"/>
    </row>
    <row r="489" spans="1:31" ht="15.75" customHeight="1" x14ac:dyDescent="0.25">
      <c r="A489" s="37"/>
      <c r="B489" s="801"/>
      <c r="C489" s="37"/>
      <c r="D489" s="37"/>
      <c r="E489" s="37"/>
      <c r="F489" s="37"/>
      <c r="G489" s="37"/>
      <c r="H489" s="37"/>
      <c r="I489" s="37"/>
      <c r="J489" s="37"/>
      <c r="K489" s="37"/>
      <c r="L489" s="37"/>
      <c r="M489" s="37"/>
      <c r="N489" s="37"/>
      <c r="O489" s="37"/>
      <c r="P489" s="37"/>
      <c r="Q489" s="37"/>
      <c r="R489" s="37"/>
      <c r="S489" s="37"/>
      <c r="T489" s="37"/>
      <c r="U489" s="37"/>
      <c r="V489" s="37"/>
      <c r="W489" s="37"/>
      <c r="X489" s="36"/>
      <c r="Y489" s="36"/>
      <c r="Z489" s="36"/>
      <c r="AA489" s="36"/>
      <c r="AB489" s="36"/>
      <c r="AC489" s="36"/>
      <c r="AD489" s="36"/>
      <c r="AE489" s="36"/>
    </row>
    <row r="490" spans="1:31" ht="15.75" customHeight="1" x14ac:dyDescent="0.25">
      <c r="A490" s="37"/>
      <c r="B490" s="801"/>
      <c r="C490" s="37"/>
      <c r="D490" s="37"/>
      <c r="E490" s="37"/>
      <c r="F490" s="37"/>
      <c r="G490" s="37"/>
      <c r="H490" s="37"/>
      <c r="I490" s="37"/>
      <c r="J490" s="37"/>
      <c r="K490" s="37"/>
      <c r="L490" s="37"/>
      <c r="M490" s="37"/>
      <c r="N490" s="37"/>
      <c r="O490" s="37"/>
      <c r="P490" s="37"/>
      <c r="Q490" s="37"/>
      <c r="R490" s="37"/>
      <c r="S490" s="37"/>
      <c r="T490" s="37"/>
      <c r="U490" s="37"/>
      <c r="V490" s="37"/>
      <c r="W490" s="37"/>
      <c r="X490" s="36"/>
      <c r="Y490" s="36"/>
      <c r="Z490" s="36"/>
      <c r="AA490" s="36"/>
      <c r="AB490" s="36"/>
      <c r="AC490" s="36"/>
      <c r="AD490" s="36"/>
      <c r="AE490" s="36"/>
    </row>
    <row r="491" spans="1:31" ht="15.75" customHeight="1" x14ac:dyDescent="0.25">
      <c r="A491" s="37"/>
      <c r="B491" s="801"/>
      <c r="C491" s="37"/>
      <c r="D491" s="37"/>
      <c r="E491" s="37"/>
      <c r="F491" s="37"/>
      <c r="G491" s="37"/>
      <c r="H491" s="37"/>
      <c r="I491" s="37"/>
      <c r="J491" s="37"/>
      <c r="K491" s="37"/>
      <c r="L491" s="37"/>
      <c r="M491" s="37"/>
      <c r="N491" s="37"/>
      <c r="O491" s="37"/>
      <c r="P491" s="37"/>
      <c r="Q491" s="37"/>
      <c r="R491" s="37"/>
      <c r="S491" s="37"/>
      <c r="T491" s="37"/>
      <c r="U491" s="37"/>
      <c r="V491" s="37"/>
      <c r="W491" s="37"/>
      <c r="X491" s="36"/>
      <c r="Y491" s="36"/>
      <c r="Z491" s="36"/>
      <c r="AA491" s="36"/>
      <c r="AB491" s="36"/>
      <c r="AC491" s="36"/>
      <c r="AD491" s="36"/>
      <c r="AE491" s="36"/>
    </row>
    <row r="492" spans="1:31" ht="15.75" customHeight="1" x14ac:dyDescent="0.25">
      <c r="A492" s="37"/>
      <c r="B492" s="801"/>
      <c r="C492" s="37"/>
      <c r="D492" s="37"/>
      <c r="E492" s="37"/>
      <c r="F492" s="37"/>
      <c r="G492" s="37"/>
      <c r="H492" s="37"/>
      <c r="I492" s="37"/>
      <c r="J492" s="37"/>
      <c r="K492" s="37"/>
      <c r="L492" s="37"/>
      <c r="M492" s="37"/>
      <c r="N492" s="37"/>
      <c r="O492" s="37"/>
      <c r="P492" s="37"/>
      <c r="Q492" s="37"/>
      <c r="R492" s="37"/>
      <c r="S492" s="37"/>
      <c r="T492" s="37"/>
      <c r="U492" s="37"/>
      <c r="V492" s="37"/>
      <c r="W492" s="37"/>
      <c r="X492" s="36"/>
      <c r="Y492" s="36"/>
      <c r="Z492" s="36"/>
      <c r="AA492" s="36"/>
      <c r="AB492" s="36"/>
      <c r="AC492" s="36"/>
      <c r="AD492" s="36"/>
      <c r="AE492" s="36"/>
    </row>
    <row r="493" spans="1:31" ht="15.75" customHeight="1" x14ac:dyDescent="0.25">
      <c r="A493" s="37"/>
      <c r="B493" s="801"/>
      <c r="C493" s="37"/>
      <c r="D493" s="37"/>
      <c r="E493" s="37"/>
      <c r="F493" s="37"/>
      <c r="G493" s="37"/>
      <c r="H493" s="37"/>
      <c r="I493" s="37"/>
      <c r="J493" s="37"/>
      <c r="K493" s="37"/>
      <c r="L493" s="37"/>
      <c r="M493" s="37"/>
      <c r="N493" s="37"/>
      <c r="O493" s="37"/>
      <c r="P493" s="37"/>
      <c r="Q493" s="37"/>
      <c r="R493" s="37"/>
      <c r="S493" s="37"/>
      <c r="T493" s="37"/>
      <c r="U493" s="37"/>
      <c r="V493" s="37"/>
      <c r="W493" s="37"/>
      <c r="X493" s="36"/>
      <c r="Y493" s="36"/>
      <c r="Z493" s="36"/>
      <c r="AA493" s="36"/>
      <c r="AB493" s="36"/>
      <c r="AC493" s="36"/>
      <c r="AD493" s="36"/>
      <c r="AE493" s="36"/>
    </row>
    <row r="494" spans="1:31" ht="15.75" customHeight="1" x14ac:dyDescent="0.25">
      <c r="A494" s="37"/>
      <c r="B494" s="801"/>
      <c r="C494" s="37"/>
      <c r="D494" s="37"/>
      <c r="E494" s="37"/>
      <c r="F494" s="37"/>
      <c r="G494" s="37"/>
      <c r="H494" s="37"/>
      <c r="I494" s="37"/>
      <c r="J494" s="37"/>
      <c r="K494" s="37"/>
      <c r="L494" s="37"/>
      <c r="M494" s="37"/>
      <c r="N494" s="37"/>
      <c r="O494" s="37"/>
      <c r="P494" s="37"/>
      <c r="Q494" s="37"/>
      <c r="R494" s="37"/>
      <c r="S494" s="37"/>
      <c r="T494" s="37"/>
      <c r="U494" s="37"/>
      <c r="V494" s="37"/>
      <c r="W494" s="37"/>
      <c r="X494" s="36"/>
      <c r="Y494" s="36"/>
      <c r="Z494" s="36"/>
      <c r="AA494" s="36"/>
      <c r="AB494" s="36"/>
      <c r="AC494" s="36"/>
      <c r="AD494" s="36"/>
      <c r="AE494" s="36"/>
    </row>
    <row r="495" spans="1:31" ht="15.75" customHeight="1" x14ac:dyDescent="0.25">
      <c r="A495" s="37"/>
      <c r="B495" s="801"/>
      <c r="C495" s="37"/>
      <c r="D495" s="37"/>
      <c r="E495" s="37"/>
      <c r="F495" s="37"/>
      <c r="G495" s="37"/>
      <c r="H495" s="37"/>
      <c r="I495" s="37"/>
      <c r="J495" s="37"/>
      <c r="K495" s="37"/>
      <c r="L495" s="37"/>
      <c r="M495" s="37"/>
      <c r="N495" s="37"/>
      <c r="O495" s="37"/>
      <c r="P495" s="37"/>
      <c r="Q495" s="37"/>
      <c r="R495" s="37"/>
      <c r="S495" s="37"/>
      <c r="T495" s="37"/>
      <c r="U495" s="37"/>
      <c r="V495" s="37"/>
      <c r="W495" s="37"/>
      <c r="X495" s="36"/>
      <c r="Y495" s="36"/>
      <c r="Z495" s="36"/>
      <c r="AA495" s="36"/>
      <c r="AB495" s="36"/>
      <c r="AC495" s="36"/>
      <c r="AD495" s="36"/>
      <c r="AE495" s="36"/>
    </row>
    <row r="496" spans="1:31" ht="15.75" customHeight="1" x14ac:dyDescent="0.25">
      <c r="A496" s="37"/>
      <c r="B496" s="801"/>
      <c r="C496" s="37"/>
      <c r="D496" s="37"/>
      <c r="E496" s="37"/>
      <c r="F496" s="37"/>
      <c r="G496" s="37"/>
      <c r="H496" s="37"/>
      <c r="I496" s="37"/>
      <c r="J496" s="37"/>
      <c r="K496" s="37"/>
      <c r="L496" s="37"/>
      <c r="M496" s="37"/>
      <c r="N496" s="37"/>
      <c r="O496" s="37"/>
      <c r="P496" s="37"/>
      <c r="Q496" s="37"/>
      <c r="R496" s="37"/>
      <c r="S496" s="37"/>
      <c r="T496" s="37"/>
      <c r="U496" s="37"/>
      <c r="V496" s="37"/>
      <c r="W496" s="37"/>
      <c r="X496" s="36"/>
      <c r="Y496" s="36"/>
      <c r="Z496" s="36"/>
      <c r="AA496" s="36"/>
      <c r="AB496" s="36"/>
      <c r="AC496" s="36"/>
      <c r="AD496" s="36"/>
      <c r="AE496" s="36"/>
    </row>
    <row r="497" spans="1:31" ht="15.75" customHeight="1" x14ac:dyDescent="0.25">
      <c r="A497" s="37"/>
      <c r="B497" s="801"/>
      <c r="C497" s="37"/>
      <c r="D497" s="37"/>
      <c r="E497" s="37"/>
      <c r="F497" s="37"/>
      <c r="G497" s="37"/>
      <c r="H497" s="37"/>
      <c r="I497" s="37"/>
      <c r="J497" s="37"/>
      <c r="K497" s="37"/>
      <c r="L497" s="37"/>
      <c r="M497" s="37"/>
      <c r="N497" s="37"/>
      <c r="O497" s="37"/>
      <c r="P497" s="37"/>
      <c r="Q497" s="37"/>
      <c r="R497" s="37"/>
      <c r="S497" s="37"/>
      <c r="T497" s="37"/>
      <c r="U497" s="37"/>
      <c r="V497" s="37"/>
      <c r="W497" s="37"/>
      <c r="X497" s="36"/>
      <c r="Y497" s="36"/>
      <c r="Z497" s="36"/>
      <c r="AA497" s="36"/>
      <c r="AB497" s="36"/>
      <c r="AC497" s="36"/>
      <c r="AD497" s="36"/>
      <c r="AE497" s="36"/>
    </row>
    <row r="498" spans="1:31" ht="15.75" customHeight="1" x14ac:dyDescent="0.25">
      <c r="A498" s="37"/>
      <c r="B498" s="801"/>
      <c r="C498" s="37"/>
      <c r="D498" s="37"/>
      <c r="E498" s="37"/>
      <c r="F498" s="37"/>
      <c r="G498" s="37"/>
      <c r="H498" s="37"/>
      <c r="I498" s="37"/>
      <c r="J498" s="37"/>
      <c r="K498" s="37"/>
      <c r="L498" s="37"/>
      <c r="M498" s="37"/>
      <c r="N498" s="37"/>
      <c r="O498" s="37"/>
      <c r="P498" s="37"/>
      <c r="Q498" s="37"/>
      <c r="R498" s="37"/>
      <c r="S498" s="37"/>
      <c r="T498" s="37"/>
      <c r="U498" s="37"/>
      <c r="V498" s="37"/>
      <c r="W498" s="37"/>
      <c r="X498" s="36"/>
      <c r="Y498" s="36"/>
      <c r="Z498" s="36"/>
      <c r="AA498" s="36"/>
      <c r="AB498" s="36"/>
      <c r="AC498" s="36"/>
      <c r="AD498" s="36"/>
      <c r="AE498" s="36"/>
    </row>
    <row r="499" spans="1:31" ht="15.75" customHeight="1" x14ac:dyDescent="0.25">
      <c r="A499" s="37"/>
      <c r="B499" s="801"/>
      <c r="C499" s="37"/>
      <c r="D499" s="37"/>
      <c r="E499" s="37"/>
      <c r="F499" s="37"/>
      <c r="G499" s="37"/>
      <c r="H499" s="37"/>
      <c r="I499" s="37"/>
      <c r="J499" s="37"/>
      <c r="K499" s="37"/>
      <c r="L499" s="37"/>
      <c r="M499" s="37"/>
      <c r="N499" s="37"/>
      <c r="O499" s="37"/>
      <c r="P499" s="37"/>
      <c r="Q499" s="37"/>
      <c r="R499" s="37"/>
      <c r="S499" s="37"/>
      <c r="T499" s="37"/>
      <c r="U499" s="37"/>
      <c r="V499" s="37"/>
      <c r="W499" s="37"/>
      <c r="X499" s="36"/>
      <c r="Y499" s="36"/>
      <c r="Z499" s="36"/>
      <c r="AA499" s="36"/>
      <c r="AB499" s="36"/>
      <c r="AC499" s="36"/>
      <c r="AD499" s="36"/>
      <c r="AE499" s="36"/>
    </row>
    <row r="500" spans="1:31" ht="15.75" customHeight="1" x14ac:dyDescent="0.25">
      <c r="A500" s="37"/>
      <c r="B500" s="801"/>
      <c r="C500" s="37"/>
      <c r="D500" s="37"/>
      <c r="E500" s="37"/>
      <c r="F500" s="37"/>
      <c r="G500" s="37"/>
      <c r="H500" s="37"/>
      <c r="I500" s="37"/>
      <c r="J500" s="37"/>
      <c r="K500" s="37"/>
      <c r="L500" s="37"/>
      <c r="M500" s="37"/>
      <c r="N500" s="37"/>
      <c r="O500" s="37"/>
      <c r="P500" s="37"/>
      <c r="Q500" s="37"/>
      <c r="R500" s="37"/>
      <c r="S500" s="37"/>
      <c r="T500" s="37"/>
      <c r="U500" s="37"/>
      <c r="V500" s="37"/>
      <c r="W500" s="37"/>
      <c r="X500" s="36"/>
      <c r="Y500" s="36"/>
      <c r="Z500" s="36"/>
      <c r="AA500" s="36"/>
      <c r="AB500" s="36"/>
      <c r="AC500" s="36"/>
      <c r="AD500" s="36"/>
      <c r="AE500" s="36"/>
    </row>
    <row r="501" spans="1:31" ht="15.75" customHeight="1" x14ac:dyDescent="0.25">
      <c r="A501" s="37"/>
      <c r="B501" s="801"/>
      <c r="C501" s="37"/>
      <c r="D501" s="37"/>
      <c r="E501" s="37"/>
      <c r="F501" s="37"/>
      <c r="G501" s="37"/>
      <c r="H501" s="37"/>
      <c r="I501" s="37"/>
      <c r="J501" s="37"/>
      <c r="K501" s="37"/>
      <c r="L501" s="37"/>
      <c r="M501" s="37"/>
      <c r="N501" s="37"/>
      <c r="O501" s="37"/>
      <c r="P501" s="37"/>
      <c r="Q501" s="37"/>
      <c r="R501" s="37"/>
      <c r="S501" s="37"/>
      <c r="T501" s="37"/>
      <c r="U501" s="37"/>
      <c r="V501" s="37"/>
      <c r="W501" s="37"/>
      <c r="X501" s="36"/>
      <c r="Y501" s="36"/>
      <c r="Z501" s="36"/>
      <c r="AA501" s="36"/>
      <c r="AB501" s="36"/>
      <c r="AC501" s="36"/>
      <c r="AD501" s="36"/>
      <c r="AE501" s="36"/>
    </row>
    <row r="502" spans="1:31" ht="15.75" customHeight="1" x14ac:dyDescent="0.25">
      <c r="A502" s="37"/>
      <c r="B502" s="801"/>
      <c r="C502" s="37"/>
      <c r="D502" s="37"/>
      <c r="E502" s="37"/>
      <c r="F502" s="37"/>
      <c r="G502" s="37"/>
      <c r="H502" s="37"/>
      <c r="I502" s="37"/>
      <c r="J502" s="37"/>
      <c r="K502" s="37"/>
      <c r="L502" s="37"/>
      <c r="M502" s="37"/>
      <c r="N502" s="37"/>
      <c r="O502" s="37"/>
      <c r="P502" s="37"/>
      <c r="Q502" s="37"/>
      <c r="R502" s="37"/>
      <c r="S502" s="37"/>
      <c r="T502" s="37"/>
      <c r="U502" s="37"/>
      <c r="V502" s="37"/>
      <c r="W502" s="37"/>
      <c r="X502" s="36"/>
      <c r="Y502" s="36"/>
      <c r="Z502" s="36"/>
      <c r="AA502" s="36"/>
      <c r="AB502" s="36"/>
      <c r="AC502" s="36"/>
      <c r="AD502" s="36"/>
      <c r="AE502" s="36"/>
    </row>
    <row r="503" spans="1:31" ht="15.75" customHeight="1" x14ac:dyDescent="0.25">
      <c r="A503" s="37"/>
      <c r="B503" s="801"/>
      <c r="C503" s="37"/>
      <c r="D503" s="37"/>
      <c r="E503" s="37"/>
      <c r="F503" s="37"/>
      <c r="G503" s="37"/>
      <c r="H503" s="37"/>
      <c r="I503" s="37"/>
      <c r="J503" s="37"/>
      <c r="K503" s="37"/>
      <c r="L503" s="37"/>
      <c r="M503" s="37"/>
      <c r="N503" s="37"/>
      <c r="O503" s="37"/>
      <c r="P503" s="37"/>
      <c r="Q503" s="37"/>
      <c r="R503" s="37"/>
      <c r="S503" s="37"/>
      <c r="T503" s="37"/>
      <c r="U503" s="37"/>
      <c r="V503" s="37"/>
      <c r="W503" s="37"/>
      <c r="X503" s="36"/>
      <c r="Y503" s="36"/>
      <c r="Z503" s="36"/>
      <c r="AA503" s="36"/>
      <c r="AB503" s="36"/>
      <c r="AC503" s="36"/>
      <c r="AD503" s="36"/>
      <c r="AE503" s="36"/>
    </row>
    <row r="504" spans="1:31" ht="15.75" customHeight="1" x14ac:dyDescent="0.25">
      <c r="A504" s="37"/>
      <c r="B504" s="801"/>
      <c r="C504" s="37"/>
      <c r="D504" s="37"/>
      <c r="E504" s="37"/>
      <c r="F504" s="37"/>
      <c r="G504" s="37"/>
      <c r="H504" s="37"/>
      <c r="I504" s="37"/>
      <c r="J504" s="37"/>
      <c r="K504" s="37"/>
      <c r="L504" s="37"/>
      <c r="M504" s="37"/>
      <c r="N504" s="37"/>
      <c r="O504" s="37"/>
      <c r="P504" s="37"/>
      <c r="Q504" s="37"/>
      <c r="R504" s="37"/>
      <c r="S504" s="37"/>
      <c r="T504" s="37"/>
      <c r="U504" s="37"/>
      <c r="V504" s="37"/>
      <c r="W504" s="37"/>
      <c r="X504" s="36"/>
      <c r="Y504" s="36"/>
      <c r="Z504" s="36"/>
      <c r="AA504" s="36"/>
      <c r="AB504" s="36"/>
      <c r="AC504" s="36"/>
      <c r="AD504" s="36"/>
      <c r="AE504" s="36"/>
    </row>
    <row r="505" spans="1:31" ht="15.75" customHeight="1" x14ac:dyDescent="0.25">
      <c r="A505" s="37"/>
      <c r="B505" s="801"/>
      <c r="C505" s="37"/>
      <c r="D505" s="37"/>
      <c r="E505" s="37"/>
      <c r="F505" s="37"/>
      <c r="G505" s="37"/>
      <c r="H505" s="37"/>
      <c r="I505" s="37"/>
      <c r="J505" s="37"/>
      <c r="K505" s="37"/>
      <c r="L505" s="37"/>
      <c r="M505" s="37"/>
      <c r="N505" s="37"/>
      <c r="O505" s="37"/>
      <c r="P505" s="37"/>
      <c r="Q505" s="37"/>
      <c r="R505" s="37"/>
      <c r="S505" s="37"/>
      <c r="T505" s="37"/>
      <c r="U505" s="37"/>
      <c r="V505" s="37"/>
      <c r="W505" s="37"/>
      <c r="X505" s="36"/>
      <c r="Y505" s="36"/>
      <c r="Z505" s="36"/>
      <c r="AA505" s="36"/>
      <c r="AB505" s="36"/>
      <c r="AC505" s="36"/>
      <c r="AD505" s="36"/>
      <c r="AE505" s="36"/>
    </row>
    <row r="506" spans="1:31" ht="15.75" customHeight="1" x14ac:dyDescent="0.25">
      <c r="A506" s="37"/>
      <c r="B506" s="801"/>
      <c r="C506" s="37"/>
      <c r="D506" s="37"/>
      <c r="E506" s="37"/>
      <c r="F506" s="37"/>
      <c r="G506" s="37"/>
      <c r="H506" s="37"/>
      <c r="I506" s="37"/>
      <c r="J506" s="37"/>
      <c r="K506" s="37"/>
      <c r="L506" s="37"/>
      <c r="M506" s="37"/>
      <c r="N506" s="37"/>
      <c r="O506" s="37"/>
      <c r="P506" s="37"/>
      <c r="Q506" s="37"/>
      <c r="R506" s="37"/>
      <c r="S506" s="37"/>
      <c r="T506" s="37"/>
      <c r="U506" s="37"/>
      <c r="V506" s="37"/>
      <c r="W506" s="37"/>
      <c r="X506" s="36"/>
      <c r="Y506" s="36"/>
      <c r="Z506" s="36"/>
      <c r="AA506" s="36"/>
      <c r="AB506" s="36"/>
      <c r="AC506" s="36"/>
      <c r="AD506" s="36"/>
      <c r="AE506" s="36"/>
    </row>
    <row r="507" spans="1:31" ht="15.75" customHeight="1" x14ac:dyDescent="0.25">
      <c r="A507" s="37"/>
      <c r="B507" s="801"/>
      <c r="C507" s="37"/>
      <c r="D507" s="37"/>
      <c r="E507" s="37"/>
      <c r="F507" s="37"/>
      <c r="G507" s="37"/>
      <c r="H507" s="37"/>
      <c r="I507" s="37"/>
      <c r="J507" s="37"/>
      <c r="K507" s="37"/>
      <c r="L507" s="37"/>
      <c r="M507" s="37"/>
      <c r="N507" s="37"/>
      <c r="O507" s="37"/>
      <c r="P507" s="37"/>
      <c r="Q507" s="37"/>
      <c r="R507" s="37"/>
      <c r="S507" s="37"/>
      <c r="T507" s="37"/>
      <c r="U507" s="37"/>
      <c r="V507" s="37"/>
      <c r="W507" s="37"/>
      <c r="X507" s="36"/>
      <c r="Y507" s="36"/>
      <c r="Z507" s="36"/>
      <c r="AA507" s="36"/>
      <c r="AB507" s="36"/>
      <c r="AC507" s="36"/>
      <c r="AD507" s="36"/>
      <c r="AE507" s="36"/>
    </row>
    <row r="508" spans="1:31" ht="15.75" customHeight="1" x14ac:dyDescent="0.25">
      <c r="A508" s="37"/>
      <c r="B508" s="801"/>
      <c r="C508" s="37"/>
      <c r="D508" s="37"/>
      <c r="E508" s="37"/>
      <c r="F508" s="37"/>
      <c r="G508" s="37"/>
      <c r="H508" s="37"/>
      <c r="I508" s="37"/>
      <c r="J508" s="37"/>
      <c r="K508" s="37"/>
      <c r="L508" s="37"/>
      <c r="M508" s="37"/>
      <c r="N508" s="37"/>
      <c r="O508" s="37"/>
      <c r="P508" s="37"/>
      <c r="Q508" s="37"/>
      <c r="R508" s="37"/>
      <c r="S508" s="37"/>
      <c r="T508" s="37"/>
      <c r="U508" s="37"/>
      <c r="V508" s="37"/>
      <c r="W508" s="37"/>
      <c r="X508" s="36"/>
      <c r="Y508" s="36"/>
      <c r="Z508" s="36"/>
      <c r="AA508" s="36"/>
      <c r="AB508" s="36"/>
      <c r="AC508" s="36"/>
      <c r="AD508" s="36"/>
      <c r="AE508" s="36"/>
    </row>
    <row r="509" spans="1:31" ht="15.75" customHeight="1" x14ac:dyDescent="0.25">
      <c r="A509" s="37"/>
      <c r="B509" s="801"/>
      <c r="C509" s="37"/>
      <c r="D509" s="37"/>
      <c r="E509" s="37"/>
      <c r="F509" s="37"/>
      <c r="G509" s="37"/>
      <c r="H509" s="37"/>
      <c r="I509" s="37"/>
      <c r="J509" s="37"/>
      <c r="K509" s="37"/>
      <c r="L509" s="37"/>
      <c r="M509" s="37"/>
      <c r="N509" s="37"/>
      <c r="O509" s="37"/>
      <c r="P509" s="37"/>
      <c r="Q509" s="37"/>
      <c r="R509" s="37"/>
      <c r="S509" s="37"/>
      <c r="T509" s="37"/>
      <c r="U509" s="37"/>
      <c r="V509" s="37"/>
      <c r="W509" s="37"/>
      <c r="X509" s="36"/>
      <c r="Y509" s="36"/>
      <c r="Z509" s="36"/>
      <c r="AA509" s="36"/>
      <c r="AB509" s="36"/>
      <c r="AC509" s="36"/>
      <c r="AD509" s="36"/>
      <c r="AE509" s="36"/>
    </row>
    <row r="510" spans="1:31" ht="15.75" customHeight="1" x14ac:dyDescent="0.25">
      <c r="A510" s="37"/>
      <c r="B510" s="801"/>
      <c r="C510" s="37"/>
      <c r="D510" s="37"/>
      <c r="E510" s="37"/>
      <c r="F510" s="37"/>
      <c r="G510" s="37"/>
      <c r="H510" s="37"/>
      <c r="I510" s="37"/>
      <c r="J510" s="37"/>
      <c r="K510" s="37"/>
      <c r="L510" s="37"/>
      <c r="M510" s="37"/>
      <c r="N510" s="37"/>
      <c r="O510" s="37"/>
      <c r="P510" s="37"/>
      <c r="Q510" s="37"/>
      <c r="R510" s="37"/>
      <c r="S510" s="37"/>
      <c r="T510" s="37"/>
      <c r="U510" s="37"/>
      <c r="V510" s="37"/>
      <c r="W510" s="37"/>
      <c r="X510" s="36"/>
      <c r="Y510" s="36"/>
      <c r="Z510" s="36"/>
      <c r="AA510" s="36"/>
      <c r="AB510" s="36"/>
      <c r="AC510" s="36"/>
      <c r="AD510" s="36"/>
      <c r="AE510" s="36"/>
    </row>
    <row r="511" spans="1:31" ht="15.75" customHeight="1" x14ac:dyDescent="0.25">
      <c r="A511" s="37"/>
      <c r="B511" s="801"/>
      <c r="C511" s="37"/>
      <c r="D511" s="37"/>
      <c r="E511" s="37"/>
      <c r="F511" s="37"/>
      <c r="G511" s="37"/>
      <c r="H511" s="37"/>
      <c r="I511" s="37"/>
      <c r="J511" s="37"/>
      <c r="K511" s="37"/>
      <c r="L511" s="37"/>
      <c r="M511" s="37"/>
      <c r="N511" s="37"/>
      <c r="O511" s="37"/>
      <c r="P511" s="37"/>
      <c r="Q511" s="37"/>
      <c r="R511" s="37"/>
      <c r="S511" s="37"/>
      <c r="T511" s="37"/>
      <c r="U511" s="37"/>
      <c r="V511" s="37"/>
      <c r="W511" s="37"/>
      <c r="X511" s="36"/>
      <c r="Y511" s="36"/>
      <c r="Z511" s="36"/>
      <c r="AA511" s="36"/>
      <c r="AB511" s="36"/>
      <c r="AC511" s="36"/>
      <c r="AD511" s="36"/>
      <c r="AE511" s="36"/>
    </row>
    <row r="512" spans="1:31" ht="15.75" customHeight="1" x14ac:dyDescent="0.25">
      <c r="A512" s="37"/>
      <c r="B512" s="801"/>
      <c r="C512" s="37"/>
      <c r="D512" s="37"/>
      <c r="E512" s="37"/>
      <c r="F512" s="37"/>
      <c r="G512" s="37"/>
      <c r="H512" s="37"/>
      <c r="I512" s="37"/>
      <c r="J512" s="37"/>
      <c r="K512" s="37"/>
      <c r="L512" s="37"/>
      <c r="M512" s="37"/>
      <c r="N512" s="37"/>
      <c r="O512" s="37"/>
      <c r="P512" s="37"/>
      <c r="Q512" s="37"/>
      <c r="R512" s="37"/>
      <c r="S512" s="37"/>
      <c r="T512" s="37"/>
      <c r="U512" s="37"/>
      <c r="V512" s="37"/>
      <c r="W512" s="37"/>
      <c r="X512" s="36"/>
      <c r="Y512" s="36"/>
      <c r="Z512" s="36"/>
      <c r="AA512" s="36"/>
      <c r="AB512" s="36"/>
      <c r="AC512" s="36"/>
      <c r="AD512" s="36"/>
      <c r="AE512" s="36"/>
    </row>
    <row r="513" spans="1:31" ht="15.75" customHeight="1" x14ac:dyDescent="0.25">
      <c r="A513" s="37"/>
      <c r="B513" s="801"/>
      <c r="C513" s="37"/>
      <c r="D513" s="37"/>
      <c r="E513" s="37"/>
      <c r="F513" s="37"/>
      <c r="G513" s="37"/>
      <c r="H513" s="37"/>
      <c r="I513" s="37"/>
      <c r="J513" s="37"/>
      <c r="K513" s="37"/>
      <c r="L513" s="37"/>
      <c r="M513" s="37"/>
      <c r="N513" s="37"/>
      <c r="O513" s="37"/>
      <c r="P513" s="37"/>
      <c r="Q513" s="37"/>
      <c r="R513" s="37"/>
      <c r="S513" s="37"/>
      <c r="T513" s="37"/>
      <c r="U513" s="37"/>
      <c r="V513" s="37"/>
      <c r="W513" s="37"/>
      <c r="X513" s="36"/>
      <c r="Y513" s="36"/>
      <c r="Z513" s="36"/>
      <c r="AA513" s="36"/>
      <c r="AB513" s="36"/>
      <c r="AC513" s="36"/>
      <c r="AD513" s="36"/>
      <c r="AE513" s="36"/>
    </row>
    <row r="514" spans="1:31" ht="15.75" customHeight="1" x14ac:dyDescent="0.25">
      <c r="A514" s="37"/>
      <c r="B514" s="801"/>
      <c r="C514" s="37"/>
      <c r="D514" s="37"/>
      <c r="E514" s="37"/>
      <c r="F514" s="37"/>
      <c r="G514" s="37"/>
      <c r="H514" s="37"/>
      <c r="I514" s="37"/>
      <c r="J514" s="37"/>
      <c r="K514" s="37"/>
      <c r="L514" s="37"/>
      <c r="M514" s="37"/>
      <c r="N514" s="37"/>
      <c r="O514" s="37"/>
      <c r="P514" s="37"/>
      <c r="Q514" s="37"/>
      <c r="R514" s="37"/>
      <c r="S514" s="37"/>
      <c r="T514" s="37"/>
      <c r="U514" s="37"/>
      <c r="V514" s="37"/>
      <c r="W514" s="37"/>
      <c r="X514" s="36"/>
      <c r="Y514" s="36"/>
      <c r="Z514" s="36"/>
      <c r="AA514" s="36"/>
      <c r="AB514" s="36"/>
      <c r="AC514" s="36"/>
      <c r="AD514" s="36"/>
      <c r="AE514" s="36"/>
    </row>
    <row r="515" spans="1:31" ht="15.75" customHeight="1" x14ac:dyDescent="0.25">
      <c r="A515" s="37"/>
      <c r="B515" s="801"/>
      <c r="C515" s="37"/>
      <c r="D515" s="37"/>
      <c r="E515" s="37"/>
      <c r="F515" s="37"/>
      <c r="G515" s="37"/>
      <c r="H515" s="37"/>
      <c r="I515" s="37"/>
      <c r="J515" s="37"/>
      <c r="K515" s="37"/>
      <c r="L515" s="37"/>
      <c r="M515" s="37"/>
      <c r="N515" s="37"/>
      <c r="O515" s="37"/>
      <c r="P515" s="37"/>
      <c r="Q515" s="37"/>
      <c r="R515" s="37"/>
      <c r="S515" s="37"/>
      <c r="T515" s="37"/>
      <c r="U515" s="37"/>
      <c r="V515" s="37"/>
      <c r="W515" s="37"/>
      <c r="X515" s="36"/>
      <c r="Y515" s="36"/>
      <c r="Z515" s="36"/>
      <c r="AA515" s="36"/>
      <c r="AB515" s="36"/>
      <c r="AC515" s="36"/>
      <c r="AD515" s="36"/>
      <c r="AE515" s="36"/>
    </row>
    <row r="516" spans="1:31" ht="15.75" customHeight="1" x14ac:dyDescent="0.25">
      <c r="A516" s="37"/>
      <c r="B516" s="801"/>
      <c r="C516" s="37"/>
      <c r="D516" s="37"/>
      <c r="E516" s="37"/>
      <c r="F516" s="37"/>
      <c r="G516" s="37"/>
      <c r="H516" s="37"/>
      <c r="I516" s="37"/>
      <c r="J516" s="37"/>
      <c r="K516" s="37"/>
      <c r="L516" s="37"/>
      <c r="M516" s="37"/>
      <c r="N516" s="37"/>
      <c r="O516" s="37"/>
      <c r="P516" s="37"/>
      <c r="Q516" s="37"/>
      <c r="R516" s="37"/>
      <c r="S516" s="37"/>
      <c r="T516" s="37"/>
      <c r="U516" s="37"/>
      <c r="V516" s="37"/>
      <c r="W516" s="37"/>
      <c r="X516" s="36"/>
      <c r="Y516" s="36"/>
      <c r="Z516" s="36"/>
      <c r="AA516" s="36"/>
      <c r="AB516" s="36"/>
      <c r="AC516" s="36"/>
      <c r="AD516" s="36"/>
      <c r="AE516" s="36"/>
    </row>
    <row r="517" spans="1:31" ht="15.75" customHeight="1" x14ac:dyDescent="0.25">
      <c r="A517" s="37"/>
      <c r="B517" s="801"/>
      <c r="C517" s="37"/>
      <c r="D517" s="37"/>
      <c r="E517" s="37"/>
      <c r="F517" s="37"/>
      <c r="G517" s="37"/>
      <c r="H517" s="37"/>
      <c r="I517" s="37"/>
      <c r="J517" s="37"/>
      <c r="K517" s="37"/>
      <c r="L517" s="37"/>
      <c r="M517" s="37"/>
      <c r="N517" s="37"/>
      <c r="O517" s="37"/>
      <c r="P517" s="37"/>
      <c r="Q517" s="37"/>
      <c r="R517" s="37"/>
      <c r="S517" s="37"/>
      <c r="T517" s="37"/>
      <c r="U517" s="37"/>
      <c r="V517" s="37"/>
      <c r="W517" s="37"/>
      <c r="X517" s="36"/>
      <c r="Y517" s="36"/>
      <c r="Z517" s="36"/>
      <c r="AA517" s="36"/>
      <c r="AB517" s="36"/>
      <c r="AC517" s="36"/>
      <c r="AD517" s="36"/>
      <c r="AE517" s="36"/>
    </row>
    <row r="518" spans="1:31" ht="15.75" customHeight="1" x14ac:dyDescent="0.25">
      <c r="A518" s="37"/>
      <c r="B518" s="801"/>
      <c r="C518" s="37"/>
      <c r="D518" s="37"/>
      <c r="E518" s="37"/>
      <c r="F518" s="37"/>
      <c r="G518" s="37"/>
      <c r="H518" s="37"/>
      <c r="I518" s="37"/>
      <c r="J518" s="37"/>
      <c r="K518" s="37"/>
      <c r="L518" s="37"/>
      <c r="M518" s="37"/>
      <c r="N518" s="37"/>
      <c r="O518" s="37"/>
      <c r="P518" s="37"/>
      <c r="Q518" s="37"/>
      <c r="R518" s="37"/>
      <c r="S518" s="37"/>
      <c r="T518" s="37"/>
      <c r="U518" s="37"/>
      <c r="V518" s="37"/>
      <c r="W518" s="37"/>
      <c r="X518" s="36"/>
      <c r="Y518" s="36"/>
      <c r="Z518" s="36"/>
      <c r="AA518" s="36"/>
      <c r="AB518" s="36"/>
      <c r="AC518" s="36"/>
      <c r="AD518" s="36"/>
      <c r="AE518" s="36"/>
    </row>
    <row r="519" spans="1:31" ht="15.75" customHeight="1" x14ac:dyDescent="0.25">
      <c r="A519" s="37"/>
      <c r="B519" s="801"/>
      <c r="C519" s="37"/>
      <c r="D519" s="37"/>
      <c r="E519" s="37"/>
      <c r="F519" s="37"/>
      <c r="G519" s="37"/>
      <c r="H519" s="37"/>
      <c r="I519" s="37"/>
      <c r="J519" s="37"/>
      <c r="K519" s="37"/>
      <c r="L519" s="37"/>
      <c r="M519" s="37"/>
      <c r="N519" s="37"/>
      <c r="O519" s="37"/>
      <c r="P519" s="37"/>
      <c r="Q519" s="37"/>
      <c r="R519" s="37"/>
      <c r="S519" s="37"/>
      <c r="T519" s="37"/>
      <c r="U519" s="37"/>
      <c r="V519" s="37"/>
      <c r="W519" s="37"/>
      <c r="X519" s="36"/>
      <c r="Y519" s="36"/>
      <c r="Z519" s="36"/>
      <c r="AA519" s="36"/>
      <c r="AB519" s="36"/>
      <c r="AC519" s="36"/>
      <c r="AD519" s="36"/>
      <c r="AE519" s="36"/>
    </row>
    <row r="520" spans="1:31" ht="15.75" customHeight="1" x14ac:dyDescent="0.25">
      <c r="A520" s="37"/>
      <c r="B520" s="801"/>
      <c r="C520" s="37"/>
      <c r="D520" s="37"/>
      <c r="E520" s="37"/>
      <c r="F520" s="37"/>
      <c r="G520" s="37"/>
      <c r="H520" s="37"/>
      <c r="I520" s="37"/>
      <c r="J520" s="37"/>
      <c r="K520" s="37"/>
      <c r="L520" s="37"/>
      <c r="M520" s="37"/>
      <c r="N520" s="37"/>
      <c r="O520" s="37"/>
      <c r="P520" s="37"/>
      <c r="Q520" s="37"/>
      <c r="R520" s="37"/>
      <c r="S520" s="37"/>
      <c r="T520" s="37"/>
      <c r="U520" s="37"/>
      <c r="V520" s="37"/>
      <c r="W520" s="37"/>
      <c r="X520" s="36"/>
      <c r="Y520" s="36"/>
      <c r="Z520" s="36"/>
      <c r="AA520" s="36"/>
      <c r="AB520" s="36"/>
      <c r="AC520" s="36"/>
      <c r="AD520" s="36"/>
      <c r="AE520" s="36"/>
    </row>
    <row r="521" spans="1:31" ht="15.75" customHeight="1" x14ac:dyDescent="0.25">
      <c r="A521" s="37"/>
      <c r="B521" s="801"/>
      <c r="C521" s="37"/>
      <c r="D521" s="37"/>
      <c r="E521" s="37"/>
      <c r="F521" s="37"/>
      <c r="G521" s="37"/>
      <c r="H521" s="37"/>
      <c r="I521" s="37"/>
      <c r="J521" s="37"/>
      <c r="K521" s="37"/>
      <c r="L521" s="37"/>
      <c r="M521" s="37"/>
      <c r="N521" s="37"/>
      <c r="O521" s="37"/>
      <c r="P521" s="37"/>
      <c r="Q521" s="37"/>
      <c r="R521" s="37"/>
      <c r="S521" s="37"/>
      <c r="T521" s="37"/>
      <c r="U521" s="37"/>
      <c r="V521" s="37"/>
      <c r="W521" s="37"/>
      <c r="X521" s="36"/>
      <c r="Y521" s="36"/>
      <c r="Z521" s="36"/>
      <c r="AA521" s="36"/>
      <c r="AB521" s="36"/>
      <c r="AC521" s="36"/>
      <c r="AD521" s="36"/>
      <c r="AE521" s="36"/>
    </row>
    <row r="522" spans="1:31" ht="15.75" customHeight="1" x14ac:dyDescent="0.25">
      <c r="A522" s="37"/>
      <c r="B522" s="801"/>
      <c r="C522" s="37"/>
      <c r="D522" s="37"/>
      <c r="E522" s="37"/>
      <c r="F522" s="37"/>
      <c r="G522" s="37"/>
      <c r="H522" s="37"/>
      <c r="I522" s="37"/>
      <c r="J522" s="37"/>
      <c r="K522" s="37"/>
      <c r="L522" s="37"/>
      <c r="M522" s="37"/>
      <c r="N522" s="37"/>
      <c r="O522" s="37"/>
      <c r="P522" s="37"/>
      <c r="Q522" s="37"/>
      <c r="R522" s="37"/>
      <c r="S522" s="37"/>
      <c r="T522" s="37"/>
      <c r="U522" s="37"/>
      <c r="V522" s="37"/>
      <c r="W522" s="37"/>
      <c r="X522" s="36"/>
      <c r="Y522" s="36"/>
      <c r="Z522" s="36"/>
      <c r="AA522" s="36"/>
      <c r="AB522" s="36"/>
      <c r="AC522" s="36"/>
      <c r="AD522" s="36"/>
      <c r="AE522" s="36"/>
    </row>
    <row r="523" spans="1:31" ht="15.75" customHeight="1" x14ac:dyDescent="0.25">
      <c r="A523" s="37"/>
      <c r="B523" s="801"/>
      <c r="C523" s="37"/>
      <c r="D523" s="37"/>
      <c r="E523" s="37"/>
      <c r="F523" s="37"/>
      <c r="G523" s="37"/>
      <c r="H523" s="37"/>
      <c r="I523" s="37"/>
      <c r="J523" s="37"/>
      <c r="K523" s="37"/>
      <c r="L523" s="37"/>
      <c r="M523" s="37"/>
      <c r="N523" s="37"/>
      <c r="O523" s="37"/>
      <c r="P523" s="37"/>
      <c r="Q523" s="37"/>
      <c r="R523" s="37"/>
      <c r="S523" s="37"/>
      <c r="T523" s="37"/>
      <c r="U523" s="37"/>
      <c r="V523" s="37"/>
      <c r="W523" s="37"/>
      <c r="X523" s="36"/>
      <c r="Y523" s="36"/>
      <c r="Z523" s="36"/>
      <c r="AA523" s="36"/>
      <c r="AB523" s="36"/>
      <c r="AC523" s="36"/>
      <c r="AD523" s="36"/>
      <c r="AE523" s="36"/>
    </row>
    <row r="524" spans="1:31" ht="15.75" customHeight="1" x14ac:dyDescent="0.25">
      <c r="A524" s="37"/>
      <c r="B524" s="801"/>
      <c r="C524" s="37"/>
      <c r="D524" s="37"/>
      <c r="E524" s="37"/>
      <c r="F524" s="37"/>
      <c r="G524" s="37"/>
      <c r="H524" s="37"/>
      <c r="I524" s="37"/>
      <c r="J524" s="37"/>
      <c r="K524" s="37"/>
      <c r="L524" s="37"/>
      <c r="M524" s="37"/>
      <c r="N524" s="37"/>
      <c r="O524" s="37"/>
      <c r="P524" s="37"/>
      <c r="Q524" s="37"/>
      <c r="R524" s="37"/>
      <c r="S524" s="37"/>
      <c r="T524" s="37"/>
      <c r="U524" s="37"/>
      <c r="V524" s="37"/>
      <c r="W524" s="37"/>
      <c r="X524" s="36"/>
      <c r="Y524" s="36"/>
      <c r="Z524" s="36"/>
      <c r="AA524" s="36"/>
      <c r="AB524" s="36"/>
      <c r="AC524" s="36"/>
      <c r="AD524" s="36"/>
      <c r="AE524" s="36"/>
    </row>
    <row r="525" spans="1:31" ht="15.75" customHeight="1" x14ac:dyDescent="0.25">
      <c r="A525" s="37"/>
      <c r="B525" s="801"/>
      <c r="C525" s="37"/>
      <c r="D525" s="37"/>
      <c r="E525" s="37"/>
      <c r="F525" s="37"/>
      <c r="G525" s="37"/>
      <c r="H525" s="37"/>
      <c r="I525" s="37"/>
      <c r="J525" s="37"/>
      <c r="K525" s="37"/>
      <c r="L525" s="37"/>
      <c r="M525" s="37"/>
      <c r="N525" s="37"/>
      <c r="O525" s="37"/>
      <c r="P525" s="37"/>
      <c r="Q525" s="37"/>
      <c r="R525" s="37"/>
      <c r="S525" s="37"/>
      <c r="T525" s="37"/>
      <c r="U525" s="37"/>
      <c r="V525" s="37"/>
      <c r="W525" s="37"/>
      <c r="X525" s="36"/>
      <c r="Y525" s="36"/>
      <c r="Z525" s="36"/>
      <c r="AA525" s="36"/>
      <c r="AB525" s="36"/>
      <c r="AC525" s="36"/>
      <c r="AD525" s="36"/>
      <c r="AE525" s="36"/>
    </row>
    <row r="526" spans="1:31" ht="15.75" customHeight="1" x14ac:dyDescent="0.25">
      <c r="A526" s="37"/>
      <c r="B526" s="801"/>
      <c r="C526" s="37"/>
      <c r="D526" s="37"/>
      <c r="E526" s="37"/>
      <c r="F526" s="37"/>
      <c r="G526" s="37"/>
      <c r="H526" s="37"/>
      <c r="I526" s="37"/>
      <c r="J526" s="37"/>
      <c r="K526" s="37"/>
      <c r="L526" s="37"/>
      <c r="M526" s="37"/>
      <c r="N526" s="37"/>
      <c r="O526" s="37"/>
      <c r="P526" s="37"/>
      <c r="Q526" s="37"/>
      <c r="R526" s="37"/>
      <c r="S526" s="37"/>
      <c r="T526" s="37"/>
      <c r="U526" s="37"/>
      <c r="V526" s="37"/>
      <c r="W526" s="37"/>
      <c r="X526" s="36"/>
      <c r="Y526" s="36"/>
      <c r="Z526" s="36"/>
      <c r="AA526" s="36"/>
      <c r="AB526" s="36"/>
      <c r="AC526" s="36"/>
      <c r="AD526" s="36"/>
      <c r="AE526" s="36"/>
    </row>
    <row r="527" spans="1:31" ht="15.75" customHeight="1" x14ac:dyDescent="0.25">
      <c r="A527" s="37"/>
      <c r="B527" s="801"/>
      <c r="C527" s="37"/>
      <c r="D527" s="37"/>
      <c r="E527" s="37"/>
      <c r="F527" s="37"/>
      <c r="G527" s="37"/>
      <c r="H527" s="37"/>
      <c r="I527" s="37"/>
      <c r="J527" s="37"/>
      <c r="K527" s="37"/>
      <c r="L527" s="37"/>
      <c r="M527" s="37"/>
      <c r="N527" s="37"/>
      <c r="O527" s="37"/>
      <c r="P527" s="37"/>
      <c r="Q527" s="37"/>
      <c r="R527" s="37"/>
      <c r="S527" s="37"/>
      <c r="T527" s="37"/>
      <c r="U527" s="37"/>
      <c r="V527" s="37"/>
      <c r="W527" s="37"/>
      <c r="X527" s="36"/>
      <c r="Y527" s="36"/>
      <c r="Z527" s="36"/>
      <c r="AA527" s="36"/>
      <c r="AB527" s="36"/>
      <c r="AC527" s="36"/>
      <c r="AD527" s="36"/>
      <c r="AE527" s="36"/>
    </row>
    <row r="528" spans="1:31" ht="15.75" customHeight="1" x14ac:dyDescent="0.25">
      <c r="A528" s="37"/>
      <c r="B528" s="801"/>
      <c r="C528" s="37"/>
      <c r="D528" s="37"/>
      <c r="E528" s="37"/>
      <c r="F528" s="37"/>
      <c r="G528" s="37"/>
      <c r="H528" s="37"/>
      <c r="I528" s="37"/>
      <c r="J528" s="37"/>
      <c r="K528" s="37"/>
      <c r="L528" s="37"/>
      <c r="M528" s="37"/>
      <c r="N528" s="37"/>
      <c r="O528" s="37"/>
      <c r="P528" s="37"/>
      <c r="Q528" s="37"/>
      <c r="R528" s="37"/>
      <c r="S528" s="37"/>
      <c r="T528" s="37"/>
      <c r="U528" s="37"/>
      <c r="V528" s="37"/>
      <c r="W528" s="37"/>
      <c r="X528" s="36"/>
      <c r="Y528" s="36"/>
      <c r="Z528" s="36"/>
      <c r="AA528" s="36"/>
      <c r="AB528" s="36"/>
      <c r="AC528" s="36"/>
      <c r="AD528" s="36"/>
      <c r="AE528" s="36"/>
    </row>
    <row r="529" spans="1:31" ht="15.75" customHeight="1" x14ac:dyDescent="0.25">
      <c r="A529" s="37"/>
      <c r="B529" s="801"/>
      <c r="C529" s="37"/>
      <c r="D529" s="37"/>
      <c r="E529" s="37"/>
      <c r="F529" s="37"/>
      <c r="G529" s="37"/>
      <c r="H529" s="37"/>
      <c r="I529" s="37"/>
      <c r="J529" s="37"/>
      <c r="K529" s="37"/>
      <c r="L529" s="37"/>
      <c r="M529" s="37"/>
      <c r="N529" s="37"/>
      <c r="O529" s="37"/>
      <c r="P529" s="37"/>
      <c r="Q529" s="37"/>
      <c r="R529" s="37"/>
      <c r="S529" s="37"/>
      <c r="T529" s="37"/>
      <c r="U529" s="37"/>
      <c r="V529" s="37"/>
      <c r="W529" s="37"/>
      <c r="X529" s="36"/>
      <c r="Y529" s="36"/>
      <c r="Z529" s="36"/>
      <c r="AA529" s="36"/>
      <c r="AB529" s="36"/>
      <c r="AC529" s="36"/>
      <c r="AD529" s="36"/>
      <c r="AE529" s="36"/>
    </row>
    <row r="530" spans="1:31" ht="15.75" customHeight="1" x14ac:dyDescent="0.25">
      <c r="A530" s="37"/>
      <c r="B530" s="801"/>
      <c r="C530" s="37"/>
      <c r="D530" s="37"/>
      <c r="E530" s="37"/>
      <c r="F530" s="37"/>
      <c r="G530" s="37"/>
      <c r="H530" s="37"/>
      <c r="I530" s="37"/>
      <c r="J530" s="37"/>
      <c r="K530" s="37"/>
      <c r="L530" s="37"/>
      <c r="M530" s="37"/>
      <c r="N530" s="37"/>
      <c r="O530" s="37"/>
      <c r="P530" s="37"/>
      <c r="Q530" s="37"/>
      <c r="R530" s="37"/>
      <c r="S530" s="37"/>
      <c r="T530" s="37"/>
      <c r="U530" s="37"/>
      <c r="V530" s="37"/>
      <c r="W530" s="37"/>
      <c r="X530" s="36"/>
      <c r="Y530" s="36"/>
      <c r="Z530" s="36"/>
      <c r="AA530" s="36"/>
      <c r="AB530" s="36"/>
      <c r="AC530" s="36"/>
      <c r="AD530" s="36"/>
      <c r="AE530" s="36"/>
    </row>
    <row r="531" spans="1:31" ht="15.75" customHeight="1" x14ac:dyDescent="0.25">
      <c r="A531" s="37"/>
      <c r="B531" s="801"/>
      <c r="C531" s="37"/>
      <c r="D531" s="37"/>
      <c r="E531" s="37"/>
      <c r="F531" s="37"/>
      <c r="G531" s="37"/>
      <c r="H531" s="37"/>
      <c r="I531" s="37"/>
      <c r="J531" s="37"/>
      <c r="K531" s="37"/>
      <c r="L531" s="37"/>
      <c r="M531" s="37"/>
      <c r="N531" s="37"/>
      <c r="O531" s="37"/>
      <c r="P531" s="37"/>
      <c r="Q531" s="37"/>
      <c r="R531" s="37"/>
      <c r="S531" s="37"/>
      <c r="T531" s="37"/>
      <c r="U531" s="37"/>
      <c r="V531" s="37"/>
      <c r="W531" s="37"/>
      <c r="X531" s="36"/>
      <c r="Y531" s="36"/>
      <c r="Z531" s="36"/>
      <c r="AA531" s="36"/>
      <c r="AB531" s="36"/>
      <c r="AC531" s="36"/>
      <c r="AD531" s="36"/>
      <c r="AE531" s="36"/>
    </row>
    <row r="532" spans="1:31" ht="15.75" customHeight="1" x14ac:dyDescent="0.25">
      <c r="A532" s="37"/>
      <c r="B532" s="801"/>
      <c r="C532" s="37"/>
      <c r="D532" s="37"/>
      <c r="E532" s="37"/>
      <c r="F532" s="37"/>
      <c r="G532" s="37"/>
      <c r="H532" s="37"/>
      <c r="I532" s="37"/>
      <c r="J532" s="37"/>
      <c r="K532" s="37"/>
      <c r="L532" s="37"/>
      <c r="M532" s="37"/>
      <c r="N532" s="37"/>
      <c r="O532" s="37"/>
      <c r="P532" s="37"/>
      <c r="Q532" s="37"/>
      <c r="R532" s="37"/>
      <c r="S532" s="37"/>
      <c r="T532" s="37"/>
      <c r="U532" s="37"/>
      <c r="V532" s="37"/>
      <c r="W532" s="37"/>
      <c r="X532" s="36"/>
      <c r="Y532" s="36"/>
      <c r="Z532" s="36"/>
      <c r="AA532" s="36"/>
      <c r="AB532" s="36"/>
      <c r="AC532" s="36"/>
      <c r="AD532" s="36"/>
      <c r="AE532" s="36"/>
    </row>
    <row r="533" spans="1:31" ht="15.75" customHeight="1" x14ac:dyDescent="0.25">
      <c r="A533" s="37"/>
      <c r="B533" s="801"/>
      <c r="C533" s="37"/>
      <c r="D533" s="37"/>
      <c r="E533" s="37"/>
      <c r="F533" s="37"/>
      <c r="G533" s="37"/>
      <c r="H533" s="37"/>
      <c r="I533" s="37"/>
      <c r="J533" s="37"/>
      <c r="K533" s="37"/>
      <c r="L533" s="37"/>
      <c r="M533" s="37"/>
      <c r="N533" s="37"/>
      <c r="O533" s="37"/>
      <c r="P533" s="37"/>
      <c r="Q533" s="37"/>
      <c r="R533" s="37"/>
      <c r="S533" s="37"/>
      <c r="T533" s="37"/>
      <c r="U533" s="37"/>
      <c r="V533" s="37"/>
      <c r="W533" s="37"/>
      <c r="X533" s="36"/>
      <c r="Y533" s="36"/>
      <c r="Z533" s="36"/>
      <c r="AA533" s="36"/>
      <c r="AB533" s="36"/>
      <c r="AC533" s="36"/>
      <c r="AD533" s="36"/>
      <c r="AE533" s="36"/>
    </row>
    <row r="534" spans="1:31" ht="15.75" customHeight="1" x14ac:dyDescent="0.25">
      <c r="A534" s="37"/>
      <c r="B534" s="801"/>
      <c r="C534" s="37"/>
      <c r="D534" s="37"/>
      <c r="E534" s="37"/>
      <c r="F534" s="37"/>
      <c r="G534" s="37"/>
      <c r="H534" s="37"/>
      <c r="I534" s="37"/>
      <c r="J534" s="37"/>
      <c r="K534" s="37"/>
      <c r="L534" s="37"/>
      <c r="M534" s="37"/>
      <c r="N534" s="37"/>
      <c r="O534" s="37"/>
      <c r="P534" s="37"/>
      <c r="Q534" s="37"/>
      <c r="R534" s="37"/>
      <c r="S534" s="37"/>
      <c r="T534" s="37"/>
      <c r="U534" s="37"/>
      <c r="V534" s="37"/>
      <c r="W534" s="37"/>
      <c r="X534" s="36"/>
      <c r="Y534" s="36"/>
      <c r="Z534" s="36"/>
      <c r="AA534" s="36"/>
      <c r="AB534" s="36"/>
      <c r="AC534" s="36"/>
      <c r="AD534" s="36"/>
      <c r="AE534" s="36"/>
    </row>
    <row r="535" spans="1:31" ht="15.75" customHeight="1" x14ac:dyDescent="0.25">
      <c r="A535" s="37"/>
      <c r="B535" s="801"/>
      <c r="C535" s="37"/>
      <c r="D535" s="37"/>
      <c r="E535" s="37"/>
      <c r="F535" s="37"/>
      <c r="G535" s="37"/>
      <c r="H535" s="37"/>
      <c r="I535" s="37"/>
      <c r="J535" s="37"/>
      <c r="K535" s="37"/>
      <c r="L535" s="37"/>
      <c r="M535" s="37"/>
      <c r="N535" s="37"/>
      <c r="O535" s="37"/>
      <c r="P535" s="37"/>
      <c r="Q535" s="37"/>
      <c r="R535" s="37"/>
      <c r="S535" s="37"/>
      <c r="T535" s="37"/>
      <c r="U535" s="37"/>
      <c r="V535" s="37"/>
      <c r="W535" s="37"/>
      <c r="X535" s="36"/>
      <c r="Y535" s="36"/>
      <c r="Z535" s="36"/>
      <c r="AA535" s="36"/>
      <c r="AB535" s="36"/>
      <c r="AC535" s="36"/>
      <c r="AD535" s="36"/>
      <c r="AE535" s="36"/>
    </row>
    <row r="536" spans="1:31" ht="15.75" customHeight="1" x14ac:dyDescent="0.25">
      <c r="A536" s="37"/>
      <c r="B536" s="801"/>
      <c r="C536" s="37"/>
      <c r="D536" s="37"/>
      <c r="E536" s="37"/>
      <c r="F536" s="37"/>
      <c r="G536" s="37"/>
      <c r="H536" s="37"/>
      <c r="I536" s="37"/>
      <c r="J536" s="37"/>
      <c r="K536" s="37"/>
      <c r="L536" s="37"/>
      <c r="M536" s="37"/>
      <c r="N536" s="37"/>
      <c r="O536" s="37"/>
      <c r="P536" s="37"/>
      <c r="Q536" s="37"/>
      <c r="R536" s="37"/>
      <c r="S536" s="37"/>
      <c r="T536" s="37"/>
      <c r="U536" s="37"/>
      <c r="V536" s="37"/>
      <c r="W536" s="37"/>
      <c r="X536" s="36"/>
      <c r="Y536" s="36"/>
      <c r="Z536" s="36"/>
      <c r="AA536" s="36"/>
      <c r="AB536" s="36"/>
      <c r="AC536" s="36"/>
      <c r="AD536" s="36"/>
      <c r="AE536" s="36"/>
    </row>
    <row r="537" spans="1:31" ht="15.75" customHeight="1" x14ac:dyDescent="0.25">
      <c r="A537" s="37"/>
      <c r="B537" s="801"/>
      <c r="C537" s="37"/>
      <c r="D537" s="37"/>
      <c r="E537" s="37"/>
      <c r="F537" s="37"/>
      <c r="G537" s="37"/>
      <c r="H537" s="37"/>
      <c r="I537" s="37"/>
      <c r="J537" s="37"/>
      <c r="K537" s="37"/>
      <c r="L537" s="37"/>
      <c r="M537" s="37"/>
      <c r="N537" s="37"/>
      <c r="O537" s="37"/>
      <c r="P537" s="37"/>
      <c r="Q537" s="37"/>
      <c r="R537" s="37"/>
      <c r="S537" s="37"/>
      <c r="T537" s="37"/>
      <c r="U537" s="37"/>
      <c r="V537" s="37"/>
      <c r="W537" s="37"/>
      <c r="X537" s="36"/>
      <c r="Y537" s="36"/>
      <c r="Z537" s="36"/>
      <c r="AA537" s="36"/>
      <c r="AB537" s="36"/>
      <c r="AC537" s="36"/>
      <c r="AD537" s="36"/>
      <c r="AE537" s="36"/>
    </row>
    <row r="538" spans="1:31" ht="15.75" customHeight="1" x14ac:dyDescent="0.25">
      <c r="A538" s="37"/>
      <c r="B538" s="801"/>
      <c r="C538" s="37"/>
      <c r="D538" s="37"/>
      <c r="E538" s="37"/>
      <c r="F538" s="37"/>
      <c r="G538" s="37"/>
      <c r="H538" s="37"/>
      <c r="I538" s="37"/>
      <c r="J538" s="37"/>
      <c r="K538" s="37"/>
      <c r="L538" s="37"/>
      <c r="M538" s="37"/>
      <c r="N538" s="37"/>
      <c r="O538" s="37"/>
      <c r="P538" s="37"/>
      <c r="Q538" s="37"/>
      <c r="R538" s="37"/>
      <c r="S538" s="37"/>
      <c r="T538" s="37"/>
      <c r="U538" s="37"/>
      <c r="V538" s="37"/>
      <c r="W538" s="37"/>
      <c r="X538" s="36"/>
      <c r="Y538" s="36"/>
      <c r="Z538" s="36"/>
      <c r="AA538" s="36"/>
      <c r="AB538" s="36"/>
      <c r="AC538" s="36"/>
      <c r="AD538" s="36"/>
      <c r="AE538" s="36"/>
    </row>
    <row r="539" spans="1:31" ht="15.75" customHeight="1" x14ac:dyDescent="0.25">
      <c r="A539" s="37"/>
      <c r="B539" s="801"/>
      <c r="C539" s="37"/>
      <c r="D539" s="37"/>
      <c r="E539" s="37"/>
      <c r="F539" s="37"/>
      <c r="G539" s="37"/>
      <c r="H539" s="37"/>
      <c r="I539" s="37"/>
      <c r="J539" s="37"/>
      <c r="K539" s="37"/>
      <c r="L539" s="37"/>
      <c r="M539" s="37"/>
      <c r="N539" s="37"/>
      <c r="O539" s="37"/>
      <c r="P539" s="37"/>
      <c r="Q539" s="37"/>
      <c r="R539" s="37"/>
      <c r="S539" s="37"/>
      <c r="T539" s="37"/>
      <c r="U539" s="37"/>
      <c r="V539" s="37"/>
      <c r="W539" s="37"/>
      <c r="X539" s="36"/>
      <c r="Y539" s="36"/>
      <c r="Z539" s="36"/>
      <c r="AA539" s="36"/>
      <c r="AB539" s="36"/>
      <c r="AC539" s="36"/>
      <c r="AD539" s="36"/>
      <c r="AE539" s="36"/>
    </row>
    <row r="540" spans="1:31" ht="15.75" customHeight="1" x14ac:dyDescent="0.25">
      <c r="A540" s="37"/>
      <c r="B540" s="801"/>
      <c r="C540" s="37"/>
      <c r="D540" s="37"/>
      <c r="E540" s="37"/>
      <c r="F540" s="37"/>
      <c r="G540" s="37"/>
      <c r="H540" s="37"/>
      <c r="I540" s="37"/>
      <c r="J540" s="37"/>
      <c r="K540" s="37"/>
      <c r="L540" s="37"/>
      <c r="M540" s="37"/>
      <c r="N540" s="37"/>
      <c r="O540" s="37"/>
      <c r="P540" s="37"/>
      <c r="Q540" s="37"/>
      <c r="R540" s="37"/>
      <c r="S540" s="37"/>
      <c r="T540" s="37"/>
      <c r="U540" s="37"/>
      <c r="V540" s="37"/>
      <c r="W540" s="37"/>
      <c r="X540" s="36"/>
      <c r="Y540" s="36"/>
      <c r="Z540" s="36"/>
      <c r="AA540" s="36"/>
      <c r="AB540" s="36"/>
      <c r="AC540" s="36"/>
      <c r="AD540" s="36"/>
      <c r="AE540" s="36"/>
    </row>
    <row r="541" spans="1:31" ht="15.75" customHeight="1" x14ac:dyDescent="0.25">
      <c r="A541" s="37"/>
      <c r="B541" s="801"/>
      <c r="C541" s="37"/>
      <c r="D541" s="37"/>
      <c r="E541" s="37"/>
      <c r="F541" s="37"/>
      <c r="G541" s="37"/>
      <c r="H541" s="37"/>
      <c r="I541" s="37"/>
      <c r="J541" s="37"/>
      <c r="K541" s="37"/>
      <c r="L541" s="37"/>
      <c r="M541" s="37"/>
      <c r="N541" s="37"/>
      <c r="O541" s="37"/>
      <c r="P541" s="37"/>
      <c r="Q541" s="37"/>
      <c r="R541" s="37"/>
      <c r="S541" s="37"/>
      <c r="T541" s="37"/>
      <c r="U541" s="37"/>
      <c r="V541" s="37"/>
      <c r="W541" s="37"/>
      <c r="X541" s="36"/>
      <c r="Y541" s="36"/>
      <c r="Z541" s="36"/>
      <c r="AA541" s="36"/>
      <c r="AB541" s="36"/>
      <c r="AC541" s="36"/>
      <c r="AD541" s="36"/>
      <c r="AE541" s="36"/>
    </row>
    <row r="542" spans="1:31" ht="15.75" customHeight="1" x14ac:dyDescent="0.25">
      <c r="A542" s="37"/>
      <c r="B542" s="801"/>
      <c r="C542" s="37"/>
      <c r="D542" s="37"/>
      <c r="E542" s="37"/>
      <c r="F542" s="37"/>
      <c r="G542" s="37"/>
      <c r="H542" s="37"/>
      <c r="I542" s="37"/>
      <c r="J542" s="37"/>
      <c r="K542" s="37"/>
      <c r="L542" s="37"/>
      <c r="M542" s="37"/>
      <c r="N542" s="37"/>
      <c r="O542" s="37"/>
      <c r="P542" s="37"/>
      <c r="Q542" s="37"/>
      <c r="R542" s="37"/>
      <c r="S542" s="37"/>
      <c r="T542" s="37"/>
      <c r="U542" s="37"/>
      <c r="V542" s="37"/>
      <c r="W542" s="37"/>
      <c r="X542" s="36"/>
      <c r="Y542" s="36"/>
      <c r="Z542" s="36"/>
      <c r="AA542" s="36"/>
      <c r="AB542" s="36"/>
      <c r="AC542" s="36"/>
      <c r="AD542" s="36"/>
      <c r="AE542" s="36"/>
    </row>
    <row r="543" spans="1:31" ht="15.75" customHeight="1" x14ac:dyDescent="0.25">
      <c r="A543" s="37"/>
      <c r="B543" s="801"/>
      <c r="C543" s="37"/>
      <c r="D543" s="37"/>
      <c r="E543" s="37"/>
      <c r="F543" s="37"/>
      <c r="G543" s="37"/>
      <c r="H543" s="37"/>
      <c r="I543" s="37"/>
      <c r="J543" s="37"/>
      <c r="K543" s="37"/>
      <c r="L543" s="37"/>
      <c r="M543" s="37"/>
      <c r="N543" s="37"/>
      <c r="O543" s="37"/>
      <c r="P543" s="37"/>
      <c r="Q543" s="37"/>
      <c r="R543" s="37"/>
      <c r="S543" s="37"/>
      <c r="T543" s="37"/>
      <c r="U543" s="37"/>
      <c r="V543" s="37"/>
      <c r="W543" s="37"/>
      <c r="X543" s="36"/>
      <c r="Y543" s="36"/>
      <c r="Z543" s="36"/>
      <c r="AA543" s="36"/>
      <c r="AB543" s="36"/>
      <c r="AC543" s="36"/>
      <c r="AD543" s="36"/>
      <c r="AE543" s="36"/>
    </row>
    <row r="544" spans="1:31" ht="15.75" customHeight="1" x14ac:dyDescent="0.25">
      <c r="A544" s="37"/>
      <c r="B544" s="801"/>
      <c r="C544" s="37"/>
      <c r="D544" s="37"/>
      <c r="E544" s="37"/>
      <c r="F544" s="37"/>
      <c r="G544" s="37"/>
      <c r="H544" s="37"/>
      <c r="I544" s="37"/>
      <c r="J544" s="37"/>
      <c r="K544" s="37"/>
      <c r="L544" s="37"/>
      <c r="M544" s="37"/>
      <c r="N544" s="37"/>
      <c r="O544" s="37"/>
      <c r="P544" s="37"/>
      <c r="Q544" s="37"/>
      <c r="R544" s="37"/>
      <c r="S544" s="37"/>
      <c r="T544" s="37"/>
      <c r="U544" s="37"/>
      <c r="V544" s="37"/>
      <c r="W544" s="37"/>
      <c r="X544" s="36"/>
      <c r="Y544" s="36"/>
      <c r="Z544" s="36"/>
      <c r="AA544" s="36"/>
      <c r="AB544" s="36"/>
      <c r="AC544" s="36"/>
      <c r="AD544" s="36"/>
      <c r="AE544" s="36"/>
    </row>
    <row r="545" spans="1:31" ht="15.75" customHeight="1" x14ac:dyDescent="0.25">
      <c r="A545" s="37"/>
      <c r="B545" s="801"/>
      <c r="C545" s="37"/>
      <c r="D545" s="37"/>
      <c r="E545" s="37"/>
      <c r="F545" s="37"/>
      <c r="G545" s="37"/>
      <c r="H545" s="37"/>
      <c r="I545" s="37"/>
      <c r="J545" s="37"/>
      <c r="K545" s="37"/>
      <c r="L545" s="37"/>
      <c r="M545" s="37"/>
      <c r="N545" s="37"/>
      <c r="O545" s="37"/>
      <c r="P545" s="37"/>
      <c r="Q545" s="37"/>
      <c r="R545" s="37"/>
      <c r="S545" s="37"/>
      <c r="T545" s="37"/>
      <c r="U545" s="37"/>
      <c r="V545" s="37"/>
      <c r="W545" s="37"/>
      <c r="X545" s="36"/>
      <c r="Y545" s="36"/>
      <c r="Z545" s="36"/>
      <c r="AA545" s="36"/>
      <c r="AB545" s="36"/>
      <c r="AC545" s="36"/>
      <c r="AD545" s="36"/>
      <c r="AE545" s="36"/>
    </row>
    <row r="546" spans="1:31" ht="15.75" customHeight="1" x14ac:dyDescent="0.25">
      <c r="A546" s="37"/>
      <c r="B546" s="801"/>
      <c r="C546" s="37"/>
      <c r="D546" s="37"/>
      <c r="E546" s="37"/>
      <c r="F546" s="37"/>
      <c r="G546" s="37"/>
      <c r="H546" s="37"/>
      <c r="I546" s="37"/>
      <c r="J546" s="37"/>
      <c r="K546" s="37"/>
      <c r="L546" s="37"/>
      <c r="M546" s="37"/>
      <c r="N546" s="37"/>
      <c r="O546" s="37"/>
      <c r="P546" s="37"/>
      <c r="Q546" s="37"/>
      <c r="R546" s="37"/>
      <c r="S546" s="37"/>
      <c r="T546" s="37"/>
      <c r="U546" s="37"/>
      <c r="V546" s="37"/>
      <c r="W546" s="37"/>
      <c r="X546" s="36"/>
      <c r="Y546" s="36"/>
      <c r="Z546" s="36"/>
      <c r="AA546" s="36"/>
      <c r="AB546" s="36"/>
      <c r="AC546" s="36"/>
      <c r="AD546" s="36"/>
      <c r="AE546" s="36"/>
    </row>
    <row r="547" spans="1:31" ht="15.75" customHeight="1" x14ac:dyDescent="0.25">
      <c r="A547" s="37"/>
      <c r="B547" s="801"/>
      <c r="C547" s="37"/>
      <c r="D547" s="37"/>
      <c r="E547" s="37"/>
      <c r="F547" s="37"/>
      <c r="G547" s="37"/>
      <c r="H547" s="37"/>
      <c r="I547" s="37"/>
      <c r="J547" s="37"/>
      <c r="K547" s="37"/>
      <c r="L547" s="37"/>
      <c r="M547" s="37"/>
      <c r="N547" s="37"/>
      <c r="O547" s="37"/>
      <c r="P547" s="37"/>
      <c r="Q547" s="37"/>
      <c r="R547" s="37"/>
      <c r="S547" s="37"/>
      <c r="T547" s="37"/>
      <c r="U547" s="37"/>
      <c r="V547" s="37"/>
      <c r="W547" s="37"/>
      <c r="X547" s="36"/>
      <c r="Y547" s="36"/>
      <c r="Z547" s="36"/>
      <c r="AA547" s="36"/>
      <c r="AB547" s="36"/>
      <c r="AC547" s="36"/>
      <c r="AD547" s="36"/>
      <c r="AE547" s="36"/>
    </row>
    <row r="548" spans="1:31" ht="15.75" customHeight="1" x14ac:dyDescent="0.25">
      <c r="A548" s="37"/>
      <c r="B548" s="801"/>
      <c r="C548" s="37"/>
      <c r="D548" s="37"/>
      <c r="E548" s="37"/>
      <c r="F548" s="37"/>
      <c r="G548" s="37"/>
      <c r="H548" s="37"/>
      <c r="I548" s="37"/>
      <c r="J548" s="37"/>
      <c r="K548" s="37"/>
      <c r="L548" s="37"/>
      <c r="M548" s="37"/>
      <c r="N548" s="37"/>
      <c r="O548" s="37"/>
      <c r="P548" s="37"/>
      <c r="Q548" s="37"/>
      <c r="R548" s="37"/>
      <c r="S548" s="37"/>
      <c r="T548" s="37"/>
      <c r="U548" s="37"/>
      <c r="V548" s="37"/>
      <c r="W548" s="37"/>
      <c r="X548" s="36"/>
      <c r="Y548" s="36"/>
      <c r="Z548" s="36"/>
      <c r="AA548" s="36"/>
      <c r="AB548" s="36"/>
      <c r="AC548" s="36"/>
      <c r="AD548" s="36"/>
      <c r="AE548" s="36"/>
    </row>
    <row r="549" spans="1:31" ht="15.75" customHeight="1" x14ac:dyDescent="0.25">
      <c r="A549" s="37"/>
      <c r="B549" s="801"/>
      <c r="C549" s="37"/>
      <c r="D549" s="37"/>
      <c r="E549" s="37"/>
      <c r="F549" s="37"/>
      <c r="G549" s="37"/>
      <c r="H549" s="37"/>
      <c r="I549" s="37"/>
      <c r="J549" s="37"/>
      <c r="K549" s="37"/>
      <c r="L549" s="37"/>
      <c r="M549" s="37"/>
      <c r="N549" s="37"/>
      <c r="O549" s="37"/>
      <c r="P549" s="37"/>
      <c r="Q549" s="37"/>
      <c r="R549" s="37"/>
      <c r="S549" s="37"/>
      <c r="T549" s="37"/>
      <c r="U549" s="37"/>
      <c r="V549" s="37"/>
      <c r="W549" s="37"/>
      <c r="X549" s="36"/>
      <c r="Y549" s="36"/>
      <c r="Z549" s="36"/>
      <c r="AA549" s="36"/>
      <c r="AB549" s="36"/>
      <c r="AC549" s="36"/>
      <c r="AD549" s="36"/>
      <c r="AE549" s="36"/>
    </row>
    <row r="550" spans="1:31" ht="15.75" customHeight="1" x14ac:dyDescent="0.25">
      <c r="A550" s="37"/>
      <c r="B550" s="801"/>
      <c r="C550" s="37"/>
      <c r="D550" s="37"/>
      <c r="E550" s="37"/>
      <c r="F550" s="37"/>
      <c r="G550" s="37"/>
      <c r="H550" s="37"/>
      <c r="I550" s="37"/>
      <c r="J550" s="37"/>
      <c r="K550" s="37"/>
      <c r="L550" s="37"/>
      <c r="M550" s="37"/>
      <c r="N550" s="37"/>
      <c r="O550" s="37"/>
      <c r="P550" s="37"/>
      <c r="Q550" s="37"/>
      <c r="R550" s="37"/>
      <c r="S550" s="37"/>
      <c r="T550" s="37"/>
      <c r="U550" s="37"/>
      <c r="V550" s="37"/>
      <c r="W550" s="37"/>
      <c r="X550" s="36"/>
      <c r="Y550" s="36"/>
      <c r="Z550" s="36"/>
      <c r="AA550" s="36"/>
      <c r="AB550" s="36"/>
      <c r="AC550" s="36"/>
      <c r="AD550" s="36"/>
      <c r="AE550" s="36"/>
    </row>
    <row r="551" spans="1:31" ht="15.75" customHeight="1" x14ac:dyDescent="0.25">
      <c r="A551" s="37"/>
      <c r="B551" s="801"/>
      <c r="C551" s="37"/>
      <c r="D551" s="37"/>
      <c r="E551" s="37"/>
      <c r="F551" s="37"/>
      <c r="G551" s="37"/>
      <c r="H551" s="37"/>
      <c r="I551" s="37"/>
      <c r="J551" s="37"/>
      <c r="K551" s="37"/>
      <c r="L551" s="37"/>
      <c r="M551" s="37"/>
      <c r="N551" s="37"/>
      <c r="O551" s="37"/>
      <c r="P551" s="37"/>
      <c r="Q551" s="37"/>
      <c r="R551" s="37"/>
      <c r="S551" s="37"/>
      <c r="T551" s="37"/>
      <c r="U551" s="37"/>
      <c r="V551" s="37"/>
      <c r="W551" s="37"/>
      <c r="X551" s="36"/>
      <c r="Y551" s="36"/>
      <c r="Z551" s="36"/>
      <c r="AA551" s="36"/>
      <c r="AB551" s="36"/>
      <c r="AC551" s="36"/>
      <c r="AD551" s="36"/>
      <c r="AE551" s="36"/>
    </row>
    <row r="552" spans="1:31" ht="15.75" customHeight="1" x14ac:dyDescent="0.25">
      <c r="A552" s="37"/>
      <c r="B552" s="801"/>
      <c r="C552" s="37"/>
      <c r="D552" s="37"/>
      <c r="E552" s="37"/>
      <c r="F552" s="37"/>
      <c r="G552" s="37"/>
      <c r="H552" s="37"/>
      <c r="I552" s="37"/>
      <c r="J552" s="37"/>
      <c r="K552" s="37"/>
      <c r="L552" s="37"/>
      <c r="M552" s="37"/>
      <c r="N552" s="37"/>
      <c r="O552" s="37"/>
      <c r="P552" s="37"/>
      <c r="Q552" s="37"/>
      <c r="R552" s="37"/>
      <c r="S552" s="37"/>
      <c r="T552" s="37"/>
      <c r="U552" s="37"/>
      <c r="V552" s="37"/>
      <c r="W552" s="37"/>
      <c r="X552" s="36"/>
      <c r="Y552" s="36"/>
      <c r="Z552" s="36"/>
      <c r="AA552" s="36"/>
      <c r="AB552" s="36"/>
      <c r="AC552" s="36"/>
      <c r="AD552" s="36"/>
      <c r="AE552" s="36"/>
    </row>
    <row r="553" spans="1:31" ht="15.75" customHeight="1" x14ac:dyDescent="0.25">
      <c r="A553" s="37"/>
      <c r="B553" s="801"/>
      <c r="C553" s="37"/>
      <c r="D553" s="37"/>
      <c r="E553" s="37"/>
      <c r="F553" s="37"/>
      <c r="G553" s="37"/>
      <c r="H553" s="37"/>
      <c r="I553" s="37"/>
      <c r="J553" s="37"/>
      <c r="K553" s="37"/>
      <c r="L553" s="37"/>
      <c r="M553" s="37"/>
      <c r="N553" s="37"/>
      <c r="O553" s="37"/>
      <c r="P553" s="37"/>
      <c r="Q553" s="37"/>
      <c r="R553" s="37"/>
      <c r="S553" s="37"/>
      <c r="T553" s="37"/>
      <c r="U553" s="37"/>
      <c r="V553" s="37"/>
      <c r="W553" s="37"/>
      <c r="X553" s="36"/>
      <c r="Y553" s="36"/>
      <c r="Z553" s="36"/>
      <c r="AA553" s="36"/>
      <c r="AB553" s="36"/>
      <c r="AC553" s="36"/>
      <c r="AD553" s="36"/>
      <c r="AE553" s="36"/>
    </row>
    <row r="554" spans="1:31" ht="15.75" customHeight="1" x14ac:dyDescent="0.25">
      <c r="A554" s="37"/>
      <c r="B554" s="801"/>
      <c r="C554" s="37"/>
      <c r="D554" s="37"/>
      <c r="E554" s="37"/>
      <c r="F554" s="37"/>
      <c r="G554" s="37"/>
      <c r="H554" s="37"/>
      <c r="I554" s="37"/>
      <c r="J554" s="37"/>
      <c r="K554" s="37"/>
      <c r="L554" s="37"/>
      <c r="M554" s="37"/>
      <c r="N554" s="37"/>
      <c r="O554" s="37"/>
      <c r="P554" s="37"/>
      <c r="Q554" s="37"/>
      <c r="R554" s="37"/>
      <c r="S554" s="37"/>
      <c r="T554" s="37"/>
      <c r="U554" s="37"/>
      <c r="V554" s="37"/>
      <c r="W554" s="37"/>
      <c r="X554" s="36"/>
      <c r="Y554" s="36"/>
      <c r="Z554" s="36"/>
      <c r="AA554" s="36"/>
      <c r="AB554" s="36"/>
      <c r="AC554" s="36"/>
      <c r="AD554" s="36"/>
      <c r="AE554" s="36"/>
    </row>
    <row r="555" spans="1:31" ht="15.75" customHeight="1" x14ac:dyDescent="0.25">
      <c r="A555" s="37"/>
      <c r="B555" s="801"/>
      <c r="C555" s="37"/>
      <c r="D555" s="37"/>
      <c r="E555" s="37"/>
      <c r="F555" s="37"/>
      <c r="G555" s="37"/>
      <c r="H555" s="37"/>
      <c r="I555" s="37"/>
      <c r="J555" s="37"/>
      <c r="K555" s="37"/>
      <c r="L555" s="37"/>
      <c r="M555" s="37"/>
      <c r="N555" s="37"/>
      <c r="O555" s="37"/>
      <c r="P555" s="37"/>
      <c r="Q555" s="37"/>
      <c r="R555" s="37"/>
      <c r="S555" s="37"/>
      <c r="T555" s="37"/>
      <c r="U555" s="37"/>
      <c r="V555" s="37"/>
      <c r="W555" s="37"/>
      <c r="X555" s="36"/>
      <c r="Y555" s="36"/>
      <c r="Z555" s="36"/>
      <c r="AA555" s="36"/>
      <c r="AB555" s="36"/>
      <c r="AC555" s="36"/>
      <c r="AD555" s="36"/>
      <c r="AE555" s="36"/>
    </row>
    <row r="556" spans="1:31" ht="15.75" customHeight="1" x14ac:dyDescent="0.25">
      <c r="A556" s="37"/>
      <c r="B556" s="801"/>
      <c r="C556" s="37"/>
      <c r="D556" s="37"/>
      <c r="E556" s="37"/>
      <c r="F556" s="37"/>
      <c r="G556" s="37"/>
      <c r="H556" s="37"/>
      <c r="I556" s="37"/>
      <c r="J556" s="37"/>
      <c r="K556" s="37"/>
      <c r="L556" s="37"/>
      <c r="M556" s="37"/>
      <c r="N556" s="37"/>
      <c r="O556" s="37"/>
      <c r="P556" s="37"/>
      <c r="Q556" s="37"/>
      <c r="R556" s="37"/>
      <c r="S556" s="37"/>
      <c r="T556" s="37"/>
      <c r="U556" s="37"/>
      <c r="V556" s="37"/>
      <c r="W556" s="37"/>
      <c r="X556" s="36"/>
      <c r="Y556" s="36"/>
      <c r="Z556" s="36"/>
      <c r="AA556" s="36"/>
      <c r="AB556" s="36"/>
      <c r="AC556" s="36"/>
      <c r="AD556" s="36"/>
      <c r="AE556" s="36"/>
    </row>
    <row r="557" spans="1:31" ht="15.75" customHeight="1" x14ac:dyDescent="0.25">
      <c r="A557" s="37"/>
      <c r="B557" s="801"/>
      <c r="C557" s="37"/>
      <c r="D557" s="37"/>
      <c r="E557" s="37"/>
      <c r="F557" s="37"/>
      <c r="G557" s="37"/>
      <c r="H557" s="37"/>
      <c r="I557" s="37"/>
      <c r="J557" s="37"/>
      <c r="K557" s="37"/>
      <c r="L557" s="37"/>
      <c r="M557" s="37"/>
      <c r="N557" s="37"/>
      <c r="O557" s="37"/>
      <c r="P557" s="37"/>
      <c r="Q557" s="37"/>
      <c r="R557" s="37"/>
      <c r="S557" s="37"/>
      <c r="T557" s="37"/>
      <c r="U557" s="37"/>
      <c r="V557" s="37"/>
      <c r="W557" s="37"/>
      <c r="X557" s="36"/>
      <c r="Y557" s="36"/>
      <c r="Z557" s="36"/>
      <c r="AA557" s="36"/>
      <c r="AB557" s="36"/>
      <c r="AC557" s="36"/>
      <c r="AD557" s="36"/>
      <c r="AE557" s="36"/>
    </row>
    <row r="558" spans="1:31" ht="15.75" customHeight="1" x14ac:dyDescent="0.25">
      <c r="A558" s="37"/>
      <c r="B558" s="801"/>
      <c r="C558" s="37"/>
      <c r="D558" s="37"/>
      <c r="E558" s="37"/>
      <c r="F558" s="37"/>
      <c r="G558" s="37"/>
      <c r="H558" s="37"/>
      <c r="I558" s="37"/>
      <c r="J558" s="37"/>
      <c r="K558" s="37"/>
      <c r="L558" s="37"/>
      <c r="M558" s="37"/>
      <c r="N558" s="37"/>
      <c r="O558" s="37"/>
      <c r="P558" s="37"/>
      <c r="Q558" s="37"/>
      <c r="R558" s="37"/>
      <c r="S558" s="37"/>
      <c r="T558" s="37"/>
      <c r="U558" s="37"/>
      <c r="V558" s="37"/>
      <c r="W558" s="37"/>
      <c r="X558" s="36"/>
      <c r="Y558" s="36"/>
      <c r="Z558" s="36"/>
      <c r="AA558" s="36"/>
      <c r="AB558" s="36"/>
      <c r="AC558" s="36"/>
      <c r="AD558" s="36"/>
      <c r="AE558" s="36"/>
    </row>
    <row r="559" spans="1:31" ht="15.75" customHeight="1" x14ac:dyDescent="0.25">
      <c r="A559" s="37"/>
      <c r="B559" s="801"/>
      <c r="C559" s="37"/>
      <c r="D559" s="37"/>
      <c r="E559" s="37"/>
      <c r="F559" s="37"/>
      <c r="G559" s="37"/>
      <c r="H559" s="37"/>
      <c r="I559" s="37"/>
      <c r="J559" s="37"/>
      <c r="K559" s="37"/>
      <c r="L559" s="37"/>
      <c r="M559" s="37"/>
      <c r="N559" s="37"/>
      <c r="O559" s="37"/>
      <c r="P559" s="37"/>
      <c r="Q559" s="37"/>
      <c r="R559" s="37"/>
      <c r="S559" s="37"/>
      <c r="T559" s="37"/>
      <c r="U559" s="37"/>
      <c r="V559" s="37"/>
      <c r="W559" s="37"/>
      <c r="X559" s="36"/>
      <c r="Y559" s="36"/>
      <c r="Z559" s="36"/>
      <c r="AA559" s="36"/>
      <c r="AB559" s="36"/>
      <c r="AC559" s="36"/>
      <c r="AD559" s="36"/>
      <c r="AE559" s="36"/>
    </row>
    <row r="560" spans="1:31" ht="15.75" customHeight="1" x14ac:dyDescent="0.25">
      <c r="A560" s="37"/>
      <c r="B560" s="801"/>
      <c r="C560" s="37"/>
      <c r="D560" s="37"/>
      <c r="E560" s="37"/>
      <c r="F560" s="37"/>
      <c r="G560" s="37"/>
      <c r="H560" s="37"/>
      <c r="I560" s="37"/>
      <c r="J560" s="37"/>
      <c r="K560" s="37"/>
      <c r="L560" s="37"/>
      <c r="M560" s="37"/>
      <c r="N560" s="37"/>
      <c r="O560" s="37"/>
      <c r="P560" s="37"/>
      <c r="Q560" s="37"/>
      <c r="R560" s="37"/>
      <c r="S560" s="37"/>
      <c r="T560" s="37"/>
      <c r="U560" s="37"/>
      <c r="V560" s="37"/>
      <c r="W560" s="37"/>
      <c r="X560" s="36"/>
      <c r="Y560" s="36"/>
      <c r="Z560" s="36"/>
      <c r="AA560" s="36"/>
      <c r="AB560" s="36"/>
      <c r="AC560" s="36"/>
      <c r="AD560" s="36"/>
      <c r="AE560" s="36"/>
    </row>
    <row r="561" spans="1:31" ht="15.75" customHeight="1" x14ac:dyDescent="0.25">
      <c r="A561" s="37"/>
      <c r="B561" s="801"/>
      <c r="C561" s="37"/>
      <c r="D561" s="37"/>
      <c r="E561" s="37"/>
      <c r="F561" s="37"/>
      <c r="G561" s="37"/>
      <c r="H561" s="37"/>
      <c r="I561" s="37"/>
      <c r="J561" s="37"/>
      <c r="K561" s="37"/>
      <c r="L561" s="37"/>
      <c r="M561" s="37"/>
      <c r="N561" s="37"/>
      <c r="O561" s="37"/>
      <c r="P561" s="37"/>
      <c r="Q561" s="37"/>
      <c r="R561" s="37"/>
      <c r="S561" s="37"/>
      <c r="T561" s="37"/>
      <c r="U561" s="37"/>
      <c r="V561" s="37"/>
      <c r="W561" s="37"/>
      <c r="X561" s="36"/>
      <c r="Y561" s="36"/>
      <c r="Z561" s="36"/>
      <c r="AA561" s="36"/>
      <c r="AB561" s="36"/>
      <c r="AC561" s="36"/>
      <c r="AD561" s="36"/>
      <c r="AE561" s="36"/>
    </row>
    <row r="562" spans="1:31" ht="15.75" customHeight="1" x14ac:dyDescent="0.25">
      <c r="A562" s="37"/>
      <c r="B562" s="801"/>
      <c r="C562" s="37"/>
      <c r="D562" s="37"/>
      <c r="E562" s="37"/>
      <c r="F562" s="37"/>
      <c r="G562" s="37"/>
      <c r="H562" s="37"/>
      <c r="I562" s="37"/>
      <c r="J562" s="37"/>
      <c r="K562" s="37"/>
      <c r="L562" s="37"/>
      <c r="M562" s="37"/>
      <c r="N562" s="37"/>
      <c r="O562" s="37"/>
      <c r="P562" s="37"/>
      <c r="Q562" s="37"/>
      <c r="R562" s="37"/>
      <c r="S562" s="37"/>
      <c r="T562" s="37"/>
      <c r="U562" s="37"/>
      <c r="V562" s="37"/>
      <c r="W562" s="37"/>
      <c r="X562" s="36"/>
      <c r="Y562" s="36"/>
      <c r="Z562" s="36"/>
      <c r="AA562" s="36"/>
      <c r="AB562" s="36"/>
      <c r="AC562" s="36"/>
      <c r="AD562" s="36"/>
      <c r="AE562" s="36"/>
    </row>
    <row r="563" spans="1:31" ht="15.75" customHeight="1" x14ac:dyDescent="0.25">
      <c r="A563" s="37"/>
      <c r="B563" s="801"/>
      <c r="C563" s="37"/>
      <c r="D563" s="37"/>
      <c r="E563" s="37"/>
      <c r="F563" s="37"/>
      <c r="G563" s="37"/>
      <c r="H563" s="37"/>
      <c r="I563" s="37"/>
      <c r="J563" s="37"/>
      <c r="K563" s="37"/>
      <c r="L563" s="37"/>
      <c r="M563" s="37"/>
      <c r="N563" s="37"/>
      <c r="O563" s="37"/>
      <c r="P563" s="37"/>
      <c r="Q563" s="37"/>
      <c r="R563" s="37"/>
      <c r="S563" s="37"/>
      <c r="T563" s="37"/>
      <c r="U563" s="37"/>
      <c r="V563" s="37"/>
      <c r="W563" s="37"/>
      <c r="X563" s="36"/>
      <c r="Y563" s="36"/>
      <c r="Z563" s="36"/>
      <c r="AA563" s="36"/>
      <c r="AB563" s="36"/>
      <c r="AC563" s="36"/>
      <c r="AD563" s="36"/>
      <c r="AE563" s="36"/>
    </row>
    <row r="564" spans="1:31" ht="15.75" customHeight="1" x14ac:dyDescent="0.25">
      <c r="A564" s="37"/>
      <c r="B564" s="801"/>
      <c r="C564" s="37"/>
      <c r="D564" s="37"/>
      <c r="E564" s="37"/>
      <c r="F564" s="37"/>
      <c r="G564" s="37"/>
      <c r="H564" s="37"/>
      <c r="I564" s="37"/>
      <c r="J564" s="37"/>
      <c r="K564" s="37"/>
      <c r="L564" s="37"/>
      <c r="M564" s="37"/>
      <c r="N564" s="37"/>
      <c r="O564" s="37"/>
      <c r="P564" s="37"/>
      <c r="Q564" s="37"/>
      <c r="R564" s="37"/>
      <c r="S564" s="37"/>
      <c r="T564" s="37"/>
      <c r="U564" s="37"/>
      <c r="V564" s="37"/>
      <c r="W564" s="37"/>
      <c r="X564" s="36"/>
      <c r="Y564" s="36"/>
      <c r="Z564" s="36"/>
      <c r="AA564" s="36"/>
      <c r="AB564" s="36"/>
      <c r="AC564" s="36"/>
      <c r="AD564" s="36"/>
      <c r="AE564" s="36"/>
    </row>
    <row r="565" spans="1:31" ht="15.75" customHeight="1" x14ac:dyDescent="0.25">
      <c r="A565" s="37"/>
      <c r="B565" s="801"/>
      <c r="C565" s="37"/>
      <c r="D565" s="37"/>
      <c r="E565" s="37"/>
      <c r="F565" s="37"/>
      <c r="G565" s="37"/>
      <c r="H565" s="37"/>
      <c r="I565" s="37"/>
      <c r="J565" s="37"/>
      <c r="K565" s="37"/>
      <c r="L565" s="37"/>
      <c r="M565" s="37"/>
      <c r="N565" s="37"/>
      <c r="O565" s="37"/>
      <c r="P565" s="37"/>
      <c r="Q565" s="37"/>
      <c r="R565" s="37"/>
      <c r="S565" s="37"/>
      <c r="T565" s="37"/>
      <c r="U565" s="37"/>
      <c r="V565" s="37"/>
      <c r="W565" s="37"/>
      <c r="X565" s="36"/>
      <c r="Y565" s="36"/>
      <c r="Z565" s="36"/>
      <c r="AA565" s="36"/>
      <c r="AB565" s="36"/>
      <c r="AC565" s="36"/>
      <c r="AD565" s="36"/>
      <c r="AE565" s="36"/>
    </row>
    <row r="566" spans="1:31" ht="15.75" customHeight="1" x14ac:dyDescent="0.25">
      <c r="A566" s="37"/>
      <c r="B566" s="801"/>
      <c r="C566" s="37"/>
      <c r="D566" s="37"/>
      <c r="E566" s="37"/>
      <c r="F566" s="37"/>
      <c r="G566" s="37"/>
      <c r="H566" s="37"/>
      <c r="I566" s="37"/>
      <c r="J566" s="37"/>
      <c r="K566" s="37"/>
      <c r="L566" s="37"/>
      <c r="M566" s="37"/>
      <c r="N566" s="37"/>
      <c r="O566" s="37"/>
      <c r="P566" s="37"/>
      <c r="Q566" s="37"/>
      <c r="R566" s="37"/>
      <c r="S566" s="37"/>
      <c r="T566" s="37"/>
      <c r="U566" s="37"/>
      <c r="V566" s="37"/>
      <c r="W566" s="37"/>
      <c r="X566" s="36"/>
      <c r="Y566" s="36"/>
      <c r="Z566" s="36"/>
      <c r="AA566" s="36"/>
      <c r="AB566" s="36"/>
      <c r="AC566" s="36"/>
      <c r="AD566" s="36"/>
      <c r="AE566" s="36"/>
    </row>
    <row r="567" spans="1:31" ht="15.75" customHeight="1" x14ac:dyDescent="0.25">
      <c r="A567" s="37"/>
      <c r="B567" s="801"/>
      <c r="C567" s="37"/>
      <c r="D567" s="37"/>
      <c r="E567" s="37"/>
      <c r="F567" s="37"/>
      <c r="G567" s="37"/>
      <c r="H567" s="37"/>
      <c r="I567" s="37"/>
      <c r="J567" s="37"/>
      <c r="K567" s="37"/>
      <c r="L567" s="37"/>
      <c r="M567" s="37"/>
      <c r="N567" s="37"/>
      <c r="O567" s="37"/>
      <c r="P567" s="37"/>
      <c r="Q567" s="37"/>
      <c r="R567" s="37"/>
      <c r="S567" s="37"/>
      <c r="T567" s="37"/>
      <c r="U567" s="37"/>
      <c r="V567" s="37"/>
      <c r="W567" s="37"/>
      <c r="X567" s="36"/>
      <c r="Y567" s="36"/>
      <c r="Z567" s="36"/>
      <c r="AA567" s="36"/>
      <c r="AB567" s="36"/>
      <c r="AC567" s="36"/>
      <c r="AD567" s="36"/>
      <c r="AE567" s="36"/>
    </row>
    <row r="568" spans="1:31" ht="15.75" customHeight="1" x14ac:dyDescent="0.25">
      <c r="A568" s="37"/>
      <c r="B568" s="801"/>
      <c r="C568" s="37"/>
      <c r="D568" s="37"/>
      <c r="E568" s="37"/>
      <c r="F568" s="37"/>
      <c r="G568" s="37"/>
      <c r="H568" s="37"/>
      <c r="I568" s="37"/>
      <c r="J568" s="37"/>
      <c r="K568" s="37"/>
      <c r="L568" s="37"/>
      <c r="M568" s="37"/>
      <c r="N568" s="37"/>
      <c r="O568" s="37"/>
      <c r="P568" s="37"/>
      <c r="Q568" s="37"/>
      <c r="R568" s="37"/>
      <c r="S568" s="37"/>
      <c r="T568" s="37"/>
      <c r="U568" s="37"/>
      <c r="V568" s="37"/>
      <c r="W568" s="37"/>
      <c r="X568" s="36"/>
      <c r="Y568" s="36"/>
      <c r="Z568" s="36"/>
      <c r="AA568" s="36"/>
      <c r="AB568" s="36"/>
      <c r="AC568" s="36"/>
      <c r="AD568" s="36"/>
      <c r="AE568" s="36"/>
    </row>
    <row r="569" spans="1:31" ht="15.75" customHeight="1" x14ac:dyDescent="0.25">
      <c r="A569" s="37"/>
      <c r="B569" s="801"/>
      <c r="C569" s="37"/>
      <c r="D569" s="37"/>
      <c r="E569" s="37"/>
      <c r="F569" s="37"/>
      <c r="G569" s="37"/>
      <c r="H569" s="37"/>
      <c r="I569" s="37"/>
      <c r="J569" s="37"/>
      <c r="K569" s="37"/>
      <c r="L569" s="37"/>
      <c r="M569" s="37"/>
      <c r="N569" s="37"/>
      <c r="O569" s="37"/>
      <c r="P569" s="37"/>
      <c r="Q569" s="37"/>
      <c r="R569" s="37"/>
      <c r="S569" s="37"/>
      <c r="T569" s="37"/>
      <c r="U569" s="37"/>
      <c r="V569" s="37"/>
      <c r="W569" s="37"/>
      <c r="X569" s="36"/>
      <c r="Y569" s="36"/>
      <c r="Z569" s="36"/>
      <c r="AA569" s="36"/>
      <c r="AB569" s="36"/>
      <c r="AC569" s="36"/>
      <c r="AD569" s="36"/>
      <c r="AE569" s="36"/>
    </row>
    <row r="570" spans="1:31" ht="15.75" customHeight="1" x14ac:dyDescent="0.25">
      <c r="A570" s="37"/>
      <c r="B570" s="801"/>
      <c r="C570" s="37"/>
      <c r="D570" s="37"/>
      <c r="E570" s="37"/>
      <c r="F570" s="37"/>
      <c r="G570" s="37"/>
      <c r="H570" s="37"/>
      <c r="I570" s="37"/>
      <c r="J570" s="37"/>
      <c r="K570" s="37"/>
      <c r="L570" s="37"/>
      <c r="M570" s="37"/>
      <c r="N570" s="37"/>
      <c r="O570" s="37"/>
      <c r="P570" s="37"/>
      <c r="Q570" s="37"/>
      <c r="R570" s="37"/>
      <c r="S570" s="37"/>
      <c r="T570" s="37"/>
      <c r="U570" s="37"/>
      <c r="V570" s="37"/>
      <c r="W570" s="37"/>
      <c r="X570" s="36"/>
      <c r="Y570" s="36"/>
      <c r="Z570" s="36"/>
      <c r="AA570" s="36"/>
      <c r="AB570" s="36"/>
      <c r="AC570" s="36"/>
      <c r="AD570" s="36"/>
      <c r="AE570" s="36"/>
    </row>
    <row r="571" spans="1:31" ht="15.75" customHeight="1" x14ac:dyDescent="0.25">
      <c r="A571" s="37"/>
      <c r="B571" s="801"/>
      <c r="C571" s="37"/>
      <c r="D571" s="37"/>
      <c r="E571" s="37"/>
      <c r="F571" s="37"/>
      <c r="G571" s="37"/>
      <c r="H571" s="37"/>
      <c r="I571" s="37"/>
      <c r="J571" s="37"/>
      <c r="K571" s="37"/>
      <c r="L571" s="37"/>
      <c r="M571" s="37"/>
      <c r="N571" s="37"/>
      <c r="O571" s="37"/>
      <c r="P571" s="37"/>
      <c r="Q571" s="37"/>
      <c r="R571" s="37"/>
      <c r="S571" s="37"/>
      <c r="T571" s="37"/>
      <c r="U571" s="37"/>
      <c r="V571" s="37"/>
      <c r="W571" s="37"/>
      <c r="X571" s="36"/>
      <c r="Y571" s="36"/>
      <c r="Z571" s="36"/>
      <c r="AA571" s="36"/>
      <c r="AB571" s="36"/>
      <c r="AC571" s="36"/>
      <c r="AD571" s="36"/>
      <c r="AE571" s="36"/>
    </row>
    <row r="572" spans="1:31" ht="15.75" customHeight="1" x14ac:dyDescent="0.25">
      <c r="A572" s="37"/>
      <c r="B572" s="801"/>
      <c r="C572" s="37"/>
      <c r="D572" s="37"/>
      <c r="E572" s="37"/>
      <c r="F572" s="37"/>
      <c r="G572" s="37"/>
      <c r="H572" s="37"/>
      <c r="I572" s="37"/>
      <c r="J572" s="37"/>
      <c r="K572" s="37"/>
      <c r="L572" s="37"/>
      <c r="M572" s="37"/>
      <c r="N572" s="37"/>
      <c r="O572" s="37"/>
      <c r="P572" s="37"/>
      <c r="Q572" s="37"/>
      <c r="R572" s="37"/>
      <c r="S572" s="37"/>
      <c r="T572" s="37"/>
      <c r="U572" s="37"/>
      <c r="V572" s="37"/>
      <c r="W572" s="37"/>
      <c r="X572" s="36"/>
      <c r="Y572" s="36"/>
      <c r="Z572" s="36"/>
      <c r="AA572" s="36"/>
      <c r="AB572" s="36"/>
      <c r="AC572" s="36"/>
      <c r="AD572" s="36"/>
      <c r="AE572" s="36"/>
    </row>
    <row r="573" spans="1:31" ht="15.75" customHeight="1" x14ac:dyDescent="0.25">
      <c r="A573" s="37"/>
      <c r="B573" s="801"/>
      <c r="C573" s="37"/>
      <c r="D573" s="37"/>
      <c r="E573" s="37"/>
      <c r="F573" s="37"/>
      <c r="G573" s="37"/>
      <c r="H573" s="37"/>
      <c r="I573" s="37"/>
      <c r="J573" s="37"/>
      <c r="K573" s="37"/>
      <c r="L573" s="37"/>
      <c r="M573" s="37"/>
      <c r="N573" s="37"/>
      <c r="O573" s="37"/>
      <c r="P573" s="37"/>
      <c r="Q573" s="37"/>
      <c r="R573" s="37"/>
      <c r="S573" s="37"/>
      <c r="T573" s="37"/>
      <c r="U573" s="37"/>
      <c r="V573" s="37"/>
      <c r="W573" s="37"/>
      <c r="X573" s="36"/>
      <c r="Y573" s="36"/>
      <c r="Z573" s="36"/>
      <c r="AA573" s="36"/>
      <c r="AB573" s="36"/>
      <c r="AC573" s="36"/>
      <c r="AD573" s="36"/>
      <c r="AE573" s="36"/>
    </row>
    <row r="574" spans="1:31" ht="15.75" customHeight="1" x14ac:dyDescent="0.25">
      <c r="A574" s="37"/>
      <c r="B574" s="801"/>
      <c r="C574" s="37"/>
      <c r="D574" s="37"/>
      <c r="E574" s="37"/>
      <c r="F574" s="37"/>
      <c r="G574" s="37"/>
      <c r="H574" s="37"/>
      <c r="I574" s="37"/>
      <c r="J574" s="37"/>
      <c r="K574" s="37"/>
      <c r="L574" s="37"/>
      <c r="M574" s="37"/>
      <c r="N574" s="37"/>
      <c r="O574" s="37"/>
      <c r="P574" s="37"/>
      <c r="Q574" s="37"/>
      <c r="R574" s="37"/>
      <c r="S574" s="37"/>
      <c r="T574" s="37"/>
      <c r="U574" s="37"/>
      <c r="V574" s="37"/>
      <c r="W574" s="37"/>
      <c r="X574" s="36"/>
      <c r="Y574" s="36"/>
      <c r="Z574" s="36"/>
      <c r="AA574" s="36"/>
      <c r="AB574" s="36"/>
      <c r="AC574" s="36"/>
      <c r="AD574" s="36"/>
      <c r="AE574" s="36"/>
    </row>
    <row r="575" spans="1:31" ht="15.75" customHeight="1" x14ac:dyDescent="0.25">
      <c r="A575" s="37"/>
      <c r="B575" s="801"/>
      <c r="C575" s="37"/>
      <c r="D575" s="37"/>
      <c r="E575" s="37"/>
      <c r="F575" s="37"/>
      <c r="G575" s="37"/>
      <c r="H575" s="37"/>
      <c r="I575" s="37"/>
      <c r="J575" s="37"/>
      <c r="K575" s="37"/>
      <c r="L575" s="37"/>
      <c r="M575" s="37"/>
      <c r="N575" s="37"/>
      <c r="O575" s="37"/>
      <c r="P575" s="37"/>
      <c r="Q575" s="37"/>
      <c r="R575" s="37"/>
      <c r="S575" s="37"/>
      <c r="T575" s="37"/>
      <c r="U575" s="37"/>
      <c r="V575" s="37"/>
      <c r="W575" s="37"/>
      <c r="X575" s="36"/>
      <c r="Y575" s="36"/>
      <c r="Z575" s="36"/>
      <c r="AA575" s="36"/>
      <c r="AB575" s="36"/>
      <c r="AC575" s="36"/>
      <c r="AD575" s="36"/>
      <c r="AE575" s="36"/>
    </row>
    <row r="576" spans="1:31" ht="15.75" customHeight="1" x14ac:dyDescent="0.25">
      <c r="A576" s="37"/>
      <c r="B576" s="801"/>
      <c r="C576" s="37"/>
      <c r="D576" s="37"/>
      <c r="E576" s="37"/>
      <c r="F576" s="37"/>
      <c r="G576" s="37"/>
      <c r="H576" s="37"/>
      <c r="I576" s="37"/>
      <c r="J576" s="37"/>
      <c r="K576" s="37"/>
      <c r="L576" s="37"/>
      <c r="M576" s="37"/>
      <c r="N576" s="37"/>
      <c r="O576" s="37"/>
      <c r="P576" s="37"/>
      <c r="Q576" s="37"/>
      <c r="R576" s="37"/>
      <c r="S576" s="37"/>
      <c r="T576" s="37"/>
      <c r="U576" s="37"/>
      <c r="V576" s="37"/>
      <c r="W576" s="37"/>
      <c r="X576" s="36"/>
      <c r="Y576" s="36"/>
      <c r="Z576" s="36"/>
      <c r="AA576" s="36"/>
      <c r="AB576" s="36"/>
      <c r="AC576" s="36"/>
      <c r="AD576" s="36"/>
      <c r="AE576" s="36"/>
    </row>
    <row r="577" spans="1:31" ht="15.75" customHeight="1" x14ac:dyDescent="0.25">
      <c r="A577" s="37"/>
      <c r="B577" s="801"/>
      <c r="C577" s="37"/>
      <c r="D577" s="37"/>
      <c r="E577" s="37"/>
      <c r="F577" s="37"/>
      <c r="G577" s="37"/>
      <c r="H577" s="37"/>
      <c r="I577" s="37"/>
      <c r="J577" s="37"/>
      <c r="K577" s="37"/>
      <c r="L577" s="37"/>
      <c r="M577" s="37"/>
      <c r="N577" s="37"/>
      <c r="O577" s="37"/>
      <c r="P577" s="37"/>
      <c r="Q577" s="37"/>
      <c r="R577" s="37"/>
      <c r="S577" s="37"/>
      <c r="T577" s="37"/>
      <c r="U577" s="37"/>
      <c r="V577" s="37"/>
      <c r="W577" s="37"/>
      <c r="X577" s="36"/>
      <c r="Y577" s="36"/>
      <c r="Z577" s="36"/>
      <c r="AA577" s="36"/>
      <c r="AB577" s="36"/>
      <c r="AC577" s="36"/>
      <c r="AD577" s="36"/>
      <c r="AE577" s="36"/>
    </row>
    <row r="578" spans="1:31" ht="15.75" customHeight="1" x14ac:dyDescent="0.25">
      <c r="A578" s="37"/>
      <c r="B578" s="801"/>
      <c r="C578" s="37"/>
      <c r="D578" s="37"/>
      <c r="E578" s="37"/>
      <c r="F578" s="37"/>
      <c r="G578" s="37"/>
      <c r="H578" s="37"/>
      <c r="I578" s="37"/>
      <c r="J578" s="37"/>
      <c r="K578" s="37"/>
      <c r="L578" s="37"/>
      <c r="M578" s="37"/>
      <c r="N578" s="37"/>
      <c r="O578" s="37"/>
      <c r="P578" s="37"/>
      <c r="Q578" s="37"/>
      <c r="R578" s="37"/>
      <c r="S578" s="37"/>
      <c r="T578" s="37"/>
      <c r="U578" s="37"/>
      <c r="V578" s="37"/>
      <c r="W578" s="37"/>
      <c r="X578" s="36"/>
      <c r="Y578" s="36"/>
      <c r="Z578" s="36"/>
      <c r="AA578" s="36"/>
      <c r="AB578" s="36"/>
      <c r="AC578" s="36"/>
      <c r="AD578" s="36"/>
      <c r="AE578" s="36"/>
    </row>
    <row r="579" spans="1:31" ht="15.75" customHeight="1" x14ac:dyDescent="0.25">
      <c r="A579" s="37"/>
      <c r="B579" s="801"/>
      <c r="C579" s="37"/>
      <c r="D579" s="37"/>
      <c r="E579" s="37"/>
      <c r="F579" s="37"/>
      <c r="G579" s="37"/>
      <c r="H579" s="37"/>
      <c r="I579" s="37"/>
      <c r="J579" s="37"/>
      <c r="K579" s="37"/>
      <c r="L579" s="37"/>
      <c r="M579" s="37"/>
      <c r="N579" s="37"/>
      <c r="O579" s="37"/>
      <c r="P579" s="37"/>
      <c r="Q579" s="37"/>
      <c r="R579" s="37"/>
      <c r="S579" s="37"/>
      <c r="T579" s="37"/>
      <c r="U579" s="37"/>
      <c r="V579" s="37"/>
      <c r="W579" s="37"/>
      <c r="X579" s="36"/>
      <c r="Y579" s="36"/>
      <c r="Z579" s="36"/>
      <c r="AA579" s="36"/>
      <c r="AB579" s="36"/>
      <c r="AC579" s="36"/>
      <c r="AD579" s="36"/>
      <c r="AE579" s="36"/>
    </row>
    <row r="580" spans="1:31" ht="15.75" customHeight="1" x14ac:dyDescent="0.25">
      <c r="A580" s="37"/>
      <c r="B580" s="801"/>
      <c r="C580" s="37"/>
      <c r="D580" s="37"/>
      <c r="E580" s="37"/>
      <c r="F580" s="37"/>
      <c r="G580" s="37"/>
      <c r="H580" s="37"/>
      <c r="I580" s="37"/>
      <c r="J580" s="37"/>
      <c r="K580" s="37"/>
      <c r="L580" s="37"/>
      <c r="M580" s="37"/>
      <c r="N580" s="37"/>
      <c r="O580" s="37"/>
      <c r="P580" s="37"/>
      <c r="Q580" s="37"/>
      <c r="R580" s="37"/>
      <c r="S580" s="37"/>
      <c r="T580" s="37"/>
      <c r="U580" s="37"/>
      <c r="V580" s="37"/>
      <c r="W580" s="37"/>
      <c r="X580" s="36"/>
      <c r="Y580" s="36"/>
      <c r="Z580" s="36"/>
      <c r="AA580" s="36"/>
      <c r="AB580" s="36"/>
      <c r="AC580" s="36"/>
      <c r="AD580" s="36"/>
      <c r="AE580" s="36"/>
    </row>
    <row r="581" spans="1:31" ht="15.75" customHeight="1" x14ac:dyDescent="0.25">
      <c r="A581" s="37"/>
      <c r="B581" s="801"/>
      <c r="C581" s="37"/>
      <c r="D581" s="37"/>
      <c r="E581" s="37"/>
      <c r="F581" s="37"/>
      <c r="G581" s="37"/>
      <c r="H581" s="37"/>
      <c r="I581" s="37"/>
      <c r="J581" s="37"/>
      <c r="K581" s="37"/>
      <c r="L581" s="37"/>
      <c r="M581" s="37"/>
      <c r="N581" s="37"/>
      <c r="O581" s="37"/>
      <c r="P581" s="37"/>
      <c r="Q581" s="37"/>
      <c r="R581" s="37"/>
      <c r="S581" s="37"/>
      <c r="T581" s="37"/>
      <c r="U581" s="37"/>
      <c r="V581" s="37"/>
      <c r="W581" s="37"/>
      <c r="X581" s="36"/>
      <c r="Y581" s="36"/>
      <c r="Z581" s="36"/>
      <c r="AA581" s="36"/>
      <c r="AB581" s="36"/>
      <c r="AC581" s="36"/>
      <c r="AD581" s="36"/>
      <c r="AE581" s="36"/>
    </row>
    <row r="582" spans="1:31" ht="15.75" customHeight="1" x14ac:dyDescent="0.25">
      <c r="A582" s="37"/>
      <c r="B582" s="801"/>
      <c r="C582" s="37"/>
      <c r="D582" s="37"/>
      <c r="E582" s="37"/>
      <c r="F582" s="37"/>
      <c r="G582" s="37"/>
      <c r="H582" s="37"/>
      <c r="I582" s="37"/>
      <c r="J582" s="37"/>
      <c r="K582" s="37"/>
      <c r="L582" s="37"/>
      <c r="M582" s="37"/>
      <c r="N582" s="37"/>
      <c r="O582" s="37"/>
      <c r="P582" s="37"/>
      <c r="Q582" s="37"/>
      <c r="R582" s="37"/>
      <c r="S582" s="37"/>
      <c r="T582" s="37"/>
      <c r="U582" s="37"/>
      <c r="V582" s="37"/>
      <c r="W582" s="37"/>
      <c r="X582" s="36"/>
      <c r="Y582" s="36"/>
      <c r="Z582" s="36"/>
      <c r="AA582" s="36"/>
      <c r="AB582" s="36"/>
      <c r="AC582" s="36"/>
      <c r="AD582" s="36"/>
      <c r="AE582" s="36"/>
    </row>
    <row r="583" spans="1:31" ht="15.75" customHeight="1" x14ac:dyDescent="0.25">
      <c r="A583" s="37"/>
      <c r="B583" s="801"/>
      <c r="C583" s="37"/>
      <c r="D583" s="37"/>
      <c r="E583" s="37"/>
      <c r="F583" s="37"/>
      <c r="G583" s="37"/>
      <c r="H583" s="37"/>
      <c r="I583" s="37"/>
      <c r="J583" s="37"/>
      <c r="K583" s="37"/>
      <c r="L583" s="37"/>
      <c r="M583" s="37"/>
      <c r="N583" s="37"/>
      <c r="O583" s="37"/>
      <c r="P583" s="37"/>
      <c r="Q583" s="37"/>
      <c r="R583" s="37"/>
      <c r="S583" s="37"/>
      <c r="T583" s="37"/>
      <c r="U583" s="37"/>
      <c r="V583" s="37"/>
      <c r="W583" s="37"/>
      <c r="X583" s="36"/>
      <c r="Y583" s="36"/>
      <c r="Z583" s="36"/>
      <c r="AA583" s="36"/>
      <c r="AB583" s="36"/>
      <c r="AC583" s="36"/>
      <c r="AD583" s="36"/>
      <c r="AE583" s="36"/>
    </row>
    <row r="584" spans="1:31" ht="15.75" customHeight="1" x14ac:dyDescent="0.25">
      <c r="A584" s="37"/>
      <c r="B584" s="801"/>
      <c r="C584" s="37"/>
      <c r="D584" s="37"/>
      <c r="E584" s="37"/>
      <c r="F584" s="37"/>
      <c r="G584" s="37"/>
      <c r="H584" s="37"/>
      <c r="I584" s="37"/>
      <c r="J584" s="37"/>
      <c r="K584" s="37"/>
      <c r="L584" s="37"/>
      <c r="M584" s="37"/>
      <c r="N584" s="37"/>
      <c r="O584" s="37"/>
      <c r="P584" s="37"/>
      <c r="Q584" s="37"/>
      <c r="R584" s="37"/>
      <c r="S584" s="37"/>
      <c r="T584" s="37"/>
      <c r="U584" s="37"/>
      <c r="V584" s="37"/>
      <c r="W584" s="37"/>
      <c r="X584" s="36"/>
      <c r="Y584" s="36"/>
      <c r="Z584" s="36"/>
      <c r="AA584" s="36"/>
      <c r="AB584" s="36"/>
      <c r="AC584" s="36"/>
      <c r="AD584" s="36"/>
      <c r="AE584" s="36"/>
    </row>
    <row r="585" spans="1:31" ht="15.75" customHeight="1" x14ac:dyDescent="0.25">
      <c r="A585" s="37"/>
      <c r="B585" s="801"/>
      <c r="C585" s="37"/>
      <c r="D585" s="37"/>
      <c r="E585" s="37"/>
      <c r="F585" s="37"/>
      <c r="G585" s="37"/>
      <c r="H585" s="37"/>
      <c r="I585" s="37"/>
      <c r="J585" s="37"/>
      <c r="K585" s="37"/>
      <c r="L585" s="37"/>
      <c r="M585" s="37"/>
      <c r="N585" s="37"/>
      <c r="O585" s="37"/>
      <c r="P585" s="37"/>
      <c r="Q585" s="37"/>
      <c r="R585" s="37"/>
      <c r="S585" s="37"/>
      <c r="T585" s="37"/>
      <c r="U585" s="37"/>
      <c r="V585" s="37"/>
      <c r="W585" s="37"/>
      <c r="X585" s="36"/>
      <c r="Y585" s="36"/>
      <c r="Z585" s="36"/>
      <c r="AA585" s="36"/>
      <c r="AB585" s="36"/>
      <c r="AC585" s="36"/>
      <c r="AD585" s="36"/>
      <c r="AE585" s="36"/>
    </row>
    <row r="586" spans="1:31" ht="15.75" customHeight="1" x14ac:dyDescent="0.25">
      <c r="A586" s="37"/>
      <c r="B586" s="801"/>
      <c r="C586" s="37"/>
      <c r="D586" s="37"/>
      <c r="E586" s="37"/>
      <c r="F586" s="37"/>
      <c r="G586" s="37"/>
      <c r="H586" s="37"/>
      <c r="I586" s="37"/>
      <c r="J586" s="37"/>
      <c r="K586" s="37"/>
      <c r="L586" s="37"/>
      <c r="M586" s="37"/>
      <c r="N586" s="37"/>
      <c r="O586" s="37"/>
      <c r="P586" s="37"/>
      <c r="Q586" s="37"/>
      <c r="R586" s="37"/>
      <c r="S586" s="37"/>
      <c r="T586" s="37"/>
      <c r="U586" s="37"/>
      <c r="V586" s="37"/>
      <c r="W586" s="37"/>
      <c r="X586" s="36"/>
      <c r="Y586" s="36"/>
      <c r="Z586" s="36"/>
      <c r="AA586" s="36"/>
      <c r="AB586" s="36"/>
      <c r="AC586" s="36"/>
      <c r="AD586" s="36"/>
      <c r="AE586" s="36"/>
    </row>
    <row r="587" spans="1:31" ht="15.75" customHeight="1" x14ac:dyDescent="0.25">
      <c r="A587" s="37"/>
      <c r="B587" s="801"/>
      <c r="C587" s="37"/>
      <c r="D587" s="37"/>
      <c r="E587" s="37"/>
      <c r="F587" s="37"/>
      <c r="G587" s="37"/>
      <c r="H587" s="37"/>
      <c r="I587" s="37"/>
      <c r="J587" s="37"/>
      <c r="K587" s="37"/>
      <c r="L587" s="37"/>
      <c r="M587" s="37"/>
      <c r="N587" s="37"/>
      <c r="O587" s="37"/>
      <c r="P587" s="37"/>
      <c r="Q587" s="37"/>
      <c r="R587" s="37"/>
      <c r="S587" s="37"/>
      <c r="T587" s="37"/>
      <c r="U587" s="37"/>
      <c r="V587" s="37"/>
      <c r="W587" s="37"/>
      <c r="X587" s="36"/>
      <c r="Y587" s="36"/>
      <c r="Z587" s="36"/>
      <c r="AA587" s="36"/>
      <c r="AB587" s="36"/>
      <c r="AC587" s="36"/>
      <c r="AD587" s="36"/>
      <c r="AE587" s="36"/>
    </row>
    <row r="588" spans="1:31" ht="15.75" customHeight="1" x14ac:dyDescent="0.25">
      <c r="A588" s="37"/>
      <c r="B588" s="801"/>
      <c r="C588" s="37"/>
      <c r="D588" s="37"/>
      <c r="E588" s="37"/>
      <c r="F588" s="37"/>
      <c r="G588" s="37"/>
      <c r="H588" s="37"/>
      <c r="I588" s="37"/>
      <c r="J588" s="37"/>
      <c r="K588" s="37"/>
      <c r="L588" s="37"/>
      <c r="M588" s="37"/>
      <c r="N588" s="37"/>
      <c r="O588" s="37"/>
      <c r="P588" s="37"/>
      <c r="Q588" s="37"/>
      <c r="R588" s="37"/>
      <c r="S588" s="37"/>
      <c r="T588" s="37"/>
      <c r="U588" s="37"/>
      <c r="V588" s="37"/>
      <c r="W588" s="37"/>
      <c r="X588" s="36"/>
      <c r="Y588" s="36"/>
      <c r="Z588" s="36"/>
      <c r="AA588" s="36"/>
      <c r="AB588" s="36"/>
      <c r="AC588" s="36"/>
      <c r="AD588" s="36"/>
      <c r="AE588" s="36"/>
    </row>
    <row r="589" spans="1:31" ht="15.75" customHeight="1" x14ac:dyDescent="0.25">
      <c r="A589" s="37"/>
      <c r="B589" s="801"/>
      <c r="C589" s="37"/>
      <c r="D589" s="37"/>
      <c r="E589" s="37"/>
      <c r="F589" s="37"/>
      <c r="G589" s="37"/>
      <c r="H589" s="37"/>
      <c r="I589" s="37"/>
      <c r="J589" s="37"/>
      <c r="K589" s="37"/>
      <c r="L589" s="37"/>
      <c r="M589" s="37"/>
      <c r="N589" s="37"/>
      <c r="O589" s="37"/>
      <c r="P589" s="37"/>
      <c r="Q589" s="37"/>
      <c r="R589" s="37"/>
      <c r="S589" s="37"/>
      <c r="T589" s="37"/>
      <c r="U589" s="37"/>
      <c r="V589" s="37"/>
      <c r="W589" s="37"/>
      <c r="X589" s="36"/>
      <c r="Y589" s="36"/>
      <c r="Z589" s="36"/>
      <c r="AA589" s="36"/>
      <c r="AB589" s="36"/>
      <c r="AC589" s="36"/>
      <c r="AD589" s="36"/>
      <c r="AE589" s="36"/>
    </row>
    <row r="590" spans="1:31" ht="15.75" customHeight="1" x14ac:dyDescent="0.25">
      <c r="A590" s="37"/>
      <c r="B590" s="801"/>
      <c r="C590" s="37"/>
      <c r="D590" s="37"/>
      <c r="E590" s="37"/>
      <c r="F590" s="37"/>
      <c r="G590" s="37"/>
      <c r="H590" s="37"/>
      <c r="I590" s="37"/>
      <c r="J590" s="37"/>
      <c r="K590" s="37"/>
      <c r="L590" s="37"/>
      <c r="M590" s="37"/>
      <c r="N590" s="37"/>
      <c r="O590" s="37"/>
      <c r="P590" s="37"/>
      <c r="Q590" s="37"/>
      <c r="R590" s="37"/>
      <c r="S590" s="37"/>
      <c r="T590" s="37"/>
      <c r="U590" s="37"/>
      <c r="V590" s="37"/>
      <c r="W590" s="37"/>
      <c r="X590" s="36"/>
      <c r="Y590" s="36"/>
      <c r="Z590" s="36"/>
      <c r="AA590" s="36"/>
      <c r="AB590" s="36"/>
      <c r="AC590" s="36"/>
      <c r="AD590" s="36"/>
      <c r="AE590" s="36"/>
    </row>
    <row r="591" spans="1:31" ht="15.75" customHeight="1" x14ac:dyDescent="0.25">
      <c r="A591" s="37"/>
      <c r="B591" s="801"/>
      <c r="C591" s="37"/>
      <c r="D591" s="37"/>
      <c r="E591" s="37"/>
      <c r="F591" s="37"/>
      <c r="G591" s="37"/>
      <c r="H591" s="37"/>
      <c r="I591" s="37"/>
      <c r="J591" s="37"/>
      <c r="K591" s="37"/>
      <c r="L591" s="37"/>
      <c r="M591" s="37"/>
      <c r="N591" s="37"/>
      <c r="O591" s="37"/>
      <c r="P591" s="37"/>
      <c r="Q591" s="37"/>
      <c r="R591" s="37"/>
      <c r="S591" s="37"/>
      <c r="T591" s="37"/>
      <c r="U591" s="37"/>
      <c r="V591" s="37"/>
      <c r="W591" s="37"/>
      <c r="X591" s="36"/>
      <c r="Y591" s="36"/>
      <c r="Z591" s="36"/>
      <c r="AA591" s="36"/>
      <c r="AB591" s="36"/>
      <c r="AC591" s="36"/>
      <c r="AD591" s="36"/>
      <c r="AE591" s="36"/>
    </row>
    <row r="592" spans="1:31" ht="15.75" customHeight="1" x14ac:dyDescent="0.25">
      <c r="A592" s="37"/>
      <c r="B592" s="801"/>
      <c r="C592" s="37"/>
      <c r="D592" s="37"/>
      <c r="E592" s="37"/>
      <c r="F592" s="37"/>
      <c r="G592" s="37"/>
      <c r="H592" s="37"/>
      <c r="I592" s="37"/>
      <c r="J592" s="37"/>
      <c r="K592" s="37"/>
      <c r="L592" s="37"/>
      <c r="M592" s="37"/>
      <c r="N592" s="37"/>
      <c r="O592" s="37"/>
      <c r="P592" s="37"/>
      <c r="Q592" s="37"/>
      <c r="R592" s="37"/>
      <c r="S592" s="37"/>
      <c r="T592" s="37"/>
      <c r="U592" s="37"/>
      <c r="V592" s="37"/>
      <c r="W592" s="37"/>
      <c r="X592" s="36"/>
      <c r="Y592" s="36"/>
      <c r="Z592" s="36"/>
      <c r="AA592" s="36"/>
      <c r="AB592" s="36"/>
      <c r="AC592" s="36"/>
      <c r="AD592" s="36"/>
      <c r="AE592" s="36"/>
    </row>
    <row r="593" spans="1:31" ht="15.75" customHeight="1" x14ac:dyDescent="0.25">
      <c r="A593" s="37"/>
      <c r="B593" s="801"/>
      <c r="C593" s="37"/>
      <c r="D593" s="37"/>
      <c r="E593" s="37"/>
      <c r="F593" s="37"/>
      <c r="G593" s="37"/>
      <c r="H593" s="37"/>
      <c r="I593" s="37"/>
      <c r="J593" s="37"/>
      <c r="K593" s="37"/>
      <c r="L593" s="37"/>
      <c r="M593" s="37"/>
      <c r="N593" s="37"/>
      <c r="O593" s="37"/>
      <c r="P593" s="37"/>
      <c r="Q593" s="37"/>
      <c r="R593" s="37"/>
      <c r="S593" s="37"/>
      <c r="T593" s="37"/>
      <c r="U593" s="37"/>
      <c r="V593" s="37"/>
      <c r="W593" s="37"/>
      <c r="X593" s="36"/>
      <c r="Y593" s="36"/>
      <c r="Z593" s="36"/>
      <c r="AA593" s="36"/>
      <c r="AB593" s="36"/>
      <c r="AC593" s="36"/>
      <c r="AD593" s="36"/>
      <c r="AE593" s="36"/>
    </row>
    <row r="594" spans="1:31" ht="15.75" customHeight="1" x14ac:dyDescent="0.25">
      <c r="A594" s="37"/>
      <c r="B594" s="801"/>
      <c r="C594" s="37"/>
      <c r="D594" s="37"/>
      <c r="E594" s="37"/>
      <c r="F594" s="37"/>
      <c r="G594" s="37"/>
      <c r="H594" s="37"/>
      <c r="I594" s="37"/>
      <c r="J594" s="37"/>
      <c r="K594" s="37"/>
      <c r="L594" s="37"/>
      <c r="M594" s="37"/>
      <c r="N594" s="37"/>
      <c r="O594" s="37"/>
      <c r="P594" s="37"/>
      <c r="Q594" s="37"/>
      <c r="R594" s="37"/>
      <c r="S594" s="37"/>
      <c r="T594" s="37"/>
      <c r="U594" s="37"/>
      <c r="V594" s="37"/>
      <c r="W594" s="37"/>
      <c r="X594" s="36"/>
      <c r="Y594" s="36"/>
      <c r="Z594" s="36"/>
      <c r="AA594" s="36"/>
      <c r="AB594" s="36"/>
      <c r="AC594" s="36"/>
      <c r="AD594" s="36"/>
      <c r="AE594" s="36"/>
    </row>
    <row r="595" spans="1:31" ht="15.75" customHeight="1" x14ac:dyDescent="0.25">
      <c r="A595" s="37"/>
      <c r="B595" s="801"/>
      <c r="C595" s="37"/>
      <c r="D595" s="37"/>
      <c r="E595" s="37"/>
      <c r="F595" s="37"/>
      <c r="G595" s="37"/>
      <c r="H595" s="37"/>
      <c r="I595" s="37"/>
      <c r="J595" s="37"/>
      <c r="K595" s="37"/>
      <c r="L595" s="37"/>
      <c r="M595" s="37"/>
      <c r="N595" s="37"/>
      <c r="O595" s="37"/>
      <c r="P595" s="37"/>
      <c r="Q595" s="37"/>
      <c r="R595" s="37"/>
      <c r="S595" s="37"/>
      <c r="T595" s="37"/>
      <c r="U595" s="37"/>
      <c r="V595" s="37"/>
      <c r="W595" s="37"/>
      <c r="X595" s="36"/>
      <c r="Y595" s="36"/>
      <c r="Z595" s="36"/>
      <c r="AA595" s="36"/>
      <c r="AB595" s="36"/>
      <c r="AC595" s="36"/>
      <c r="AD595" s="36"/>
      <c r="AE595" s="36"/>
    </row>
    <row r="596" spans="1:31" ht="15.75" customHeight="1" x14ac:dyDescent="0.25">
      <c r="A596" s="37"/>
      <c r="B596" s="801"/>
      <c r="C596" s="37"/>
      <c r="D596" s="37"/>
      <c r="E596" s="37"/>
      <c r="F596" s="37"/>
      <c r="G596" s="37"/>
      <c r="H596" s="37"/>
      <c r="I596" s="37"/>
      <c r="J596" s="37"/>
      <c r="K596" s="37"/>
      <c r="L596" s="37"/>
      <c r="M596" s="37"/>
      <c r="N596" s="37"/>
      <c r="O596" s="37"/>
      <c r="P596" s="37"/>
      <c r="Q596" s="37"/>
      <c r="R596" s="37"/>
      <c r="S596" s="37"/>
      <c r="T596" s="37"/>
      <c r="U596" s="37"/>
      <c r="V596" s="37"/>
      <c r="W596" s="37"/>
      <c r="X596" s="36"/>
      <c r="Y596" s="36"/>
      <c r="Z596" s="36"/>
      <c r="AA596" s="36"/>
      <c r="AB596" s="36"/>
      <c r="AC596" s="36"/>
      <c r="AD596" s="36"/>
      <c r="AE596" s="36"/>
    </row>
    <row r="597" spans="1:31" ht="15.75" customHeight="1" x14ac:dyDescent="0.25">
      <c r="A597" s="37"/>
      <c r="B597" s="801"/>
      <c r="C597" s="37"/>
      <c r="D597" s="37"/>
      <c r="E597" s="37"/>
      <c r="F597" s="37"/>
      <c r="G597" s="37"/>
      <c r="H597" s="37"/>
      <c r="I597" s="37"/>
      <c r="J597" s="37"/>
      <c r="K597" s="37"/>
      <c r="L597" s="37"/>
      <c r="M597" s="37"/>
      <c r="N597" s="37"/>
      <c r="O597" s="37"/>
      <c r="P597" s="37"/>
      <c r="Q597" s="37"/>
      <c r="R597" s="37"/>
      <c r="S597" s="37"/>
      <c r="T597" s="37"/>
      <c r="U597" s="37"/>
      <c r="V597" s="37"/>
      <c r="W597" s="37"/>
      <c r="X597" s="36"/>
      <c r="Y597" s="36"/>
      <c r="Z597" s="36"/>
      <c r="AA597" s="36"/>
      <c r="AB597" s="36"/>
      <c r="AC597" s="36"/>
      <c r="AD597" s="36"/>
      <c r="AE597" s="36"/>
    </row>
    <row r="598" spans="1:31" ht="15.75" customHeight="1" x14ac:dyDescent="0.25">
      <c r="A598" s="37"/>
      <c r="B598" s="801"/>
      <c r="C598" s="37"/>
      <c r="D598" s="37"/>
      <c r="E598" s="37"/>
      <c r="F598" s="37"/>
      <c r="G598" s="37"/>
      <c r="H598" s="37"/>
      <c r="I598" s="37"/>
      <c r="J598" s="37"/>
      <c r="K598" s="37"/>
      <c r="L598" s="37"/>
      <c r="M598" s="37"/>
      <c r="N598" s="37"/>
      <c r="O598" s="37"/>
      <c r="P598" s="37"/>
      <c r="Q598" s="37"/>
      <c r="R598" s="37"/>
      <c r="S598" s="37"/>
      <c r="T598" s="37"/>
      <c r="U598" s="37"/>
      <c r="V598" s="37"/>
      <c r="W598" s="37"/>
      <c r="X598" s="36"/>
      <c r="Y598" s="36"/>
      <c r="Z598" s="36"/>
      <c r="AA598" s="36"/>
      <c r="AB598" s="36"/>
      <c r="AC598" s="36"/>
      <c r="AD598" s="36"/>
      <c r="AE598" s="36"/>
    </row>
    <row r="599" spans="1:31" ht="15.75" customHeight="1" x14ac:dyDescent="0.25">
      <c r="A599" s="37"/>
      <c r="B599" s="801"/>
      <c r="C599" s="37"/>
      <c r="D599" s="37"/>
      <c r="E599" s="37"/>
      <c r="F599" s="37"/>
      <c r="G599" s="37"/>
      <c r="H599" s="37"/>
      <c r="I599" s="37"/>
      <c r="J599" s="37"/>
      <c r="K599" s="37"/>
      <c r="L599" s="37"/>
      <c r="M599" s="37"/>
      <c r="N599" s="37"/>
      <c r="O599" s="37"/>
      <c r="P599" s="37"/>
      <c r="Q599" s="37"/>
      <c r="R599" s="37"/>
      <c r="S599" s="37"/>
      <c r="T599" s="37"/>
      <c r="U599" s="37"/>
      <c r="V599" s="37"/>
      <c r="W599" s="37"/>
      <c r="X599" s="36"/>
      <c r="Y599" s="36"/>
      <c r="Z599" s="36"/>
      <c r="AA599" s="36"/>
      <c r="AB599" s="36"/>
      <c r="AC599" s="36"/>
      <c r="AD599" s="36"/>
      <c r="AE599" s="36"/>
    </row>
    <row r="600" spans="1:31" ht="15.75" customHeight="1" x14ac:dyDescent="0.25">
      <c r="A600" s="37"/>
      <c r="B600" s="801"/>
      <c r="C600" s="37"/>
      <c r="D600" s="37"/>
      <c r="E600" s="37"/>
      <c r="F600" s="37"/>
      <c r="G600" s="37"/>
      <c r="H600" s="37"/>
      <c r="I600" s="37"/>
      <c r="J600" s="37"/>
      <c r="K600" s="37"/>
      <c r="L600" s="37"/>
      <c r="M600" s="37"/>
      <c r="N600" s="37"/>
      <c r="O600" s="37"/>
      <c r="P600" s="37"/>
      <c r="Q600" s="37"/>
      <c r="R600" s="37"/>
      <c r="S600" s="37"/>
      <c r="T600" s="37"/>
      <c r="U600" s="37"/>
      <c r="V600" s="37"/>
      <c r="W600" s="37"/>
      <c r="X600" s="36"/>
      <c r="Y600" s="36"/>
      <c r="Z600" s="36"/>
      <c r="AA600" s="36"/>
      <c r="AB600" s="36"/>
      <c r="AC600" s="36"/>
      <c r="AD600" s="36"/>
      <c r="AE600" s="36"/>
    </row>
    <row r="601" spans="1:31" ht="15.75" customHeight="1" x14ac:dyDescent="0.25">
      <c r="A601" s="37"/>
      <c r="B601" s="801"/>
      <c r="C601" s="37"/>
      <c r="D601" s="37"/>
      <c r="E601" s="37"/>
      <c r="F601" s="37"/>
      <c r="G601" s="37"/>
      <c r="H601" s="37"/>
      <c r="I601" s="37"/>
      <c r="J601" s="37"/>
      <c r="K601" s="37"/>
      <c r="L601" s="37"/>
      <c r="M601" s="37"/>
      <c r="N601" s="37"/>
      <c r="O601" s="37"/>
      <c r="P601" s="37"/>
      <c r="Q601" s="37"/>
      <c r="R601" s="37"/>
      <c r="S601" s="37"/>
      <c r="T601" s="37"/>
      <c r="U601" s="37"/>
      <c r="V601" s="37"/>
      <c r="W601" s="37"/>
      <c r="X601" s="36"/>
      <c r="Y601" s="36"/>
      <c r="Z601" s="36"/>
      <c r="AA601" s="36"/>
      <c r="AB601" s="36"/>
      <c r="AC601" s="36"/>
      <c r="AD601" s="36"/>
      <c r="AE601" s="36"/>
    </row>
    <row r="602" spans="1:31" ht="15.75" customHeight="1" x14ac:dyDescent="0.25">
      <c r="A602" s="37"/>
      <c r="B602" s="801"/>
      <c r="C602" s="37"/>
      <c r="D602" s="37"/>
      <c r="E602" s="37"/>
      <c r="F602" s="37"/>
      <c r="G602" s="37"/>
      <c r="H602" s="37"/>
      <c r="I602" s="37"/>
      <c r="J602" s="37"/>
      <c r="K602" s="37"/>
      <c r="L602" s="37"/>
      <c r="M602" s="37"/>
      <c r="N602" s="37"/>
      <c r="O602" s="37"/>
      <c r="P602" s="37"/>
      <c r="Q602" s="37"/>
      <c r="R602" s="37"/>
      <c r="S602" s="37"/>
      <c r="T602" s="37"/>
      <c r="U602" s="37"/>
      <c r="V602" s="37"/>
      <c r="W602" s="37"/>
      <c r="X602" s="36"/>
      <c r="Y602" s="36"/>
      <c r="Z602" s="36"/>
      <c r="AA602" s="36"/>
      <c r="AB602" s="36"/>
      <c r="AC602" s="36"/>
      <c r="AD602" s="36"/>
      <c r="AE602" s="36"/>
    </row>
    <row r="603" spans="1:31" ht="15.75" customHeight="1" x14ac:dyDescent="0.25">
      <c r="A603" s="37"/>
      <c r="B603" s="801"/>
      <c r="C603" s="37"/>
      <c r="D603" s="37"/>
      <c r="E603" s="37"/>
      <c r="F603" s="37"/>
      <c r="G603" s="37"/>
      <c r="H603" s="37"/>
      <c r="I603" s="37"/>
      <c r="J603" s="37"/>
      <c r="K603" s="37"/>
      <c r="L603" s="37"/>
      <c r="M603" s="37"/>
      <c r="N603" s="37"/>
      <c r="O603" s="37"/>
      <c r="P603" s="37"/>
      <c r="Q603" s="37"/>
      <c r="R603" s="37"/>
      <c r="S603" s="37"/>
      <c r="T603" s="37"/>
      <c r="U603" s="37"/>
      <c r="V603" s="37"/>
      <c r="W603" s="37"/>
      <c r="X603" s="36"/>
      <c r="Y603" s="36"/>
      <c r="Z603" s="36"/>
      <c r="AA603" s="36"/>
      <c r="AB603" s="36"/>
      <c r="AC603" s="36"/>
      <c r="AD603" s="36"/>
      <c r="AE603" s="36"/>
    </row>
    <row r="604" spans="1:31" ht="15.75" customHeight="1" x14ac:dyDescent="0.25">
      <c r="A604" s="37"/>
      <c r="B604" s="801"/>
      <c r="C604" s="37"/>
      <c r="D604" s="37"/>
      <c r="E604" s="37"/>
      <c r="F604" s="37"/>
      <c r="G604" s="37"/>
      <c r="H604" s="37"/>
      <c r="I604" s="37"/>
      <c r="J604" s="37"/>
      <c r="K604" s="37"/>
      <c r="L604" s="37"/>
      <c r="M604" s="37"/>
      <c r="N604" s="37"/>
      <c r="O604" s="37"/>
      <c r="P604" s="37"/>
      <c r="Q604" s="37"/>
      <c r="R604" s="37"/>
      <c r="S604" s="37"/>
      <c r="T604" s="37"/>
      <c r="U604" s="37"/>
      <c r="V604" s="37"/>
      <c r="W604" s="37"/>
      <c r="X604" s="36"/>
      <c r="Y604" s="36"/>
      <c r="Z604" s="36"/>
      <c r="AA604" s="36"/>
      <c r="AB604" s="36"/>
      <c r="AC604" s="36"/>
      <c r="AD604" s="36"/>
      <c r="AE604" s="36"/>
    </row>
    <row r="605" spans="1:31" ht="15.75" customHeight="1" x14ac:dyDescent="0.25">
      <c r="A605" s="37"/>
      <c r="B605" s="801"/>
      <c r="C605" s="37"/>
      <c r="D605" s="37"/>
      <c r="E605" s="37"/>
      <c r="F605" s="37"/>
      <c r="G605" s="37"/>
      <c r="H605" s="37"/>
      <c r="I605" s="37"/>
      <c r="J605" s="37"/>
      <c r="K605" s="37"/>
      <c r="L605" s="37"/>
      <c r="M605" s="37"/>
      <c r="N605" s="37"/>
      <c r="O605" s="37"/>
      <c r="P605" s="37"/>
      <c r="Q605" s="37"/>
      <c r="R605" s="37"/>
      <c r="S605" s="37"/>
      <c r="T605" s="37"/>
      <c r="U605" s="37"/>
      <c r="V605" s="37"/>
      <c r="W605" s="37"/>
      <c r="X605" s="36"/>
      <c r="Y605" s="36"/>
      <c r="Z605" s="36"/>
      <c r="AA605" s="36"/>
      <c r="AB605" s="36"/>
      <c r="AC605" s="36"/>
      <c r="AD605" s="36"/>
      <c r="AE605" s="36"/>
    </row>
    <row r="606" spans="1:31" ht="15.75" customHeight="1" x14ac:dyDescent="0.25">
      <c r="A606" s="37"/>
      <c r="B606" s="801"/>
      <c r="C606" s="37"/>
      <c r="D606" s="37"/>
      <c r="E606" s="37"/>
      <c r="F606" s="37"/>
      <c r="G606" s="37"/>
      <c r="H606" s="37"/>
      <c r="I606" s="37"/>
      <c r="J606" s="37"/>
      <c r="K606" s="37"/>
      <c r="L606" s="37"/>
      <c r="M606" s="37"/>
      <c r="N606" s="37"/>
      <c r="O606" s="37"/>
      <c r="P606" s="37"/>
      <c r="Q606" s="37"/>
      <c r="R606" s="37"/>
      <c r="S606" s="37"/>
      <c r="T606" s="37"/>
      <c r="U606" s="37"/>
      <c r="V606" s="37"/>
      <c r="W606" s="37"/>
      <c r="X606" s="36"/>
      <c r="Y606" s="36"/>
      <c r="Z606" s="36"/>
      <c r="AA606" s="36"/>
      <c r="AB606" s="36"/>
      <c r="AC606" s="36"/>
      <c r="AD606" s="36"/>
      <c r="AE606" s="36"/>
    </row>
    <row r="607" spans="1:31" ht="15.75" customHeight="1" x14ac:dyDescent="0.25">
      <c r="A607" s="37"/>
      <c r="B607" s="801"/>
      <c r="C607" s="37"/>
      <c r="D607" s="37"/>
      <c r="E607" s="37"/>
      <c r="F607" s="37"/>
      <c r="G607" s="37"/>
      <c r="H607" s="37"/>
      <c r="I607" s="37"/>
      <c r="J607" s="37"/>
      <c r="K607" s="37"/>
      <c r="L607" s="37"/>
      <c r="M607" s="37"/>
      <c r="N607" s="37"/>
      <c r="O607" s="37"/>
      <c r="P607" s="37"/>
      <c r="Q607" s="37"/>
      <c r="R607" s="37"/>
      <c r="S607" s="37"/>
      <c r="T607" s="37"/>
      <c r="U607" s="37"/>
      <c r="V607" s="37"/>
      <c r="W607" s="37"/>
      <c r="X607" s="36"/>
      <c r="Y607" s="36"/>
      <c r="Z607" s="36"/>
      <c r="AA607" s="36"/>
      <c r="AB607" s="36"/>
      <c r="AC607" s="36"/>
      <c r="AD607" s="36"/>
      <c r="AE607" s="36"/>
    </row>
    <row r="608" spans="1:31" ht="15.75" customHeight="1" x14ac:dyDescent="0.25">
      <c r="A608" s="37"/>
      <c r="B608" s="801"/>
      <c r="C608" s="37"/>
      <c r="D608" s="37"/>
      <c r="E608" s="37"/>
      <c r="F608" s="37"/>
      <c r="G608" s="37"/>
      <c r="H608" s="37"/>
      <c r="I608" s="37"/>
      <c r="J608" s="37"/>
      <c r="K608" s="37"/>
      <c r="L608" s="37"/>
      <c r="M608" s="37"/>
      <c r="N608" s="37"/>
      <c r="O608" s="37"/>
      <c r="P608" s="37"/>
      <c r="Q608" s="37"/>
      <c r="R608" s="37"/>
      <c r="S608" s="37"/>
      <c r="T608" s="37"/>
      <c r="U608" s="37"/>
      <c r="V608" s="37"/>
      <c r="W608" s="37"/>
      <c r="X608" s="36"/>
      <c r="Y608" s="36"/>
      <c r="Z608" s="36"/>
      <c r="AA608" s="36"/>
      <c r="AB608" s="36"/>
      <c r="AC608" s="36"/>
      <c r="AD608" s="36"/>
      <c r="AE608" s="36"/>
    </row>
    <row r="609" spans="1:31" ht="15.75" customHeight="1" x14ac:dyDescent="0.25">
      <c r="A609" s="37"/>
      <c r="B609" s="801"/>
      <c r="C609" s="37"/>
      <c r="D609" s="37"/>
      <c r="E609" s="37"/>
      <c r="F609" s="37"/>
      <c r="G609" s="37"/>
      <c r="H609" s="37"/>
      <c r="I609" s="37"/>
      <c r="J609" s="37"/>
      <c r="K609" s="37"/>
      <c r="L609" s="37"/>
      <c r="M609" s="37"/>
      <c r="N609" s="37"/>
      <c r="O609" s="37"/>
      <c r="P609" s="37"/>
      <c r="Q609" s="37"/>
      <c r="R609" s="37"/>
      <c r="S609" s="37"/>
      <c r="T609" s="37"/>
      <c r="U609" s="37"/>
      <c r="V609" s="37"/>
      <c r="W609" s="37"/>
      <c r="X609" s="36"/>
      <c r="Y609" s="36"/>
      <c r="Z609" s="36"/>
      <c r="AA609" s="36"/>
      <c r="AB609" s="36"/>
      <c r="AC609" s="36"/>
      <c r="AD609" s="36"/>
      <c r="AE609" s="36"/>
    </row>
    <row r="610" spans="1:31" ht="15.75" customHeight="1" x14ac:dyDescent="0.25">
      <c r="A610" s="37"/>
      <c r="B610" s="801"/>
      <c r="C610" s="37"/>
      <c r="D610" s="37"/>
      <c r="E610" s="37"/>
      <c r="F610" s="37"/>
      <c r="G610" s="37"/>
      <c r="H610" s="37"/>
      <c r="I610" s="37"/>
      <c r="J610" s="37"/>
      <c r="K610" s="37"/>
      <c r="L610" s="37"/>
      <c r="M610" s="37"/>
      <c r="N610" s="37"/>
      <c r="O610" s="37"/>
      <c r="P610" s="37"/>
      <c r="Q610" s="37"/>
      <c r="R610" s="37"/>
      <c r="S610" s="37"/>
      <c r="T610" s="37"/>
      <c r="U610" s="37"/>
      <c r="V610" s="37"/>
      <c r="W610" s="37"/>
      <c r="X610" s="36"/>
      <c r="Y610" s="36"/>
      <c r="Z610" s="36"/>
      <c r="AA610" s="36"/>
      <c r="AB610" s="36"/>
      <c r="AC610" s="36"/>
      <c r="AD610" s="36"/>
      <c r="AE610" s="36"/>
    </row>
    <row r="611" spans="1:31" ht="15.75" customHeight="1" x14ac:dyDescent="0.25">
      <c r="A611" s="37"/>
      <c r="B611" s="801"/>
      <c r="C611" s="37"/>
      <c r="D611" s="37"/>
      <c r="E611" s="37"/>
      <c r="F611" s="37"/>
      <c r="G611" s="37"/>
      <c r="H611" s="37"/>
      <c r="I611" s="37"/>
      <c r="J611" s="37"/>
      <c r="K611" s="37"/>
      <c r="L611" s="37"/>
      <c r="M611" s="37"/>
      <c r="N611" s="37"/>
      <c r="O611" s="37"/>
      <c r="P611" s="37"/>
      <c r="Q611" s="37"/>
      <c r="R611" s="37"/>
      <c r="S611" s="37"/>
      <c r="T611" s="37"/>
      <c r="U611" s="37"/>
      <c r="V611" s="37"/>
      <c r="W611" s="37"/>
      <c r="X611" s="36"/>
      <c r="Y611" s="36"/>
      <c r="Z611" s="36"/>
      <c r="AA611" s="36"/>
      <c r="AB611" s="36"/>
      <c r="AC611" s="36"/>
      <c r="AD611" s="36"/>
      <c r="AE611" s="36"/>
    </row>
    <row r="612" spans="1:31" ht="15.75" customHeight="1" x14ac:dyDescent="0.25">
      <c r="A612" s="37"/>
      <c r="B612" s="801"/>
      <c r="C612" s="37"/>
      <c r="D612" s="37"/>
      <c r="E612" s="37"/>
      <c r="F612" s="37"/>
      <c r="G612" s="37"/>
      <c r="H612" s="37"/>
      <c r="I612" s="37"/>
      <c r="J612" s="37"/>
      <c r="K612" s="37"/>
      <c r="L612" s="37"/>
      <c r="M612" s="37"/>
      <c r="N612" s="37"/>
      <c r="O612" s="37"/>
      <c r="P612" s="37"/>
      <c r="Q612" s="37"/>
      <c r="R612" s="37"/>
      <c r="S612" s="37"/>
      <c r="T612" s="37"/>
      <c r="U612" s="37"/>
      <c r="V612" s="37"/>
      <c r="W612" s="37"/>
      <c r="X612" s="36"/>
      <c r="Y612" s="36"/>
      <c r="Z612" s="36"/>
      <c r="AA612" s="36"/>
      <c r="AB612" s="36"/>
      <c r="AC612" s="36"/>
      <c r="AD612" s="36"/>
      <c r="AE612" s="36"/>
    </row>
    <row r="613" spans="1:31" ht="15.75" customHeight="1" x14ac:dyDescent="0.25">
      <c r="A613" s="37"/>
      <c r="B613" s="801"/>
      <c r="C613" s="37"/>
      <c r="D613" s="37"/>
      <c r="E613" s="37"/>
      <c r="F613" s="37"/>
      <c r="G613" s="37"/>
      <c r="H613" s="37"/>
      <c r="I613" s="37"/>
      <c r="J613" s="37"/>
      <c r="K613" s="37"/>
      <c r="L613" s="37"/>
      <c r="M613" s="37"/>
      <c r="N613" s="37"/>
      <c r="O613" s="37"/>
      <c r="P613" s="37"/>
      <c r="Q613" s="37"/>
      <c r="R613" s="37"/>
      <c r="S613" s="37"/>
      <c r="T613" s="37"/>
      <c r="U613" s="37"/>
      <c r="V613" s="37"/>
      <c r="W613" s="37"/>
      <c r="X613" s="36"/>
      <c r="Y613" s="36"/>
      <c r="Z613" s="36"/>
      <c r="AA613" s="36"/>
      <c r="AB613" s="36"/>
      <c r="AC613" s="36"/>
      <c r="AD613" s="36"/>
      <c r="AE613" s="36"/>
    </row>
    <row r="614" spans="1:31" ht="15.75" customHeight="1" x14ac:dyDescent="0.25">
      <c r="A614" s="37"/>
      <c r="B614" s="801"/>
      <c r="C614" s="37"/>
      <c r="D614" s="37"/>
      <c r="E614" s="37"/>
      <c r="F614" s="37"/>
      <c r="G614" s="37"/>
      <c r="H614" s="37"/>
      <c r="I614" s="37"/>
      <c r="J614" s="37"/>
      <c r="K614" s="37"/>
      <c r="L614" s="37"/>
      <c r="M614" s="37"/>
      <c r="N614" s="37"/>
      <c r="O614" s="37"/>
      <c r="P614" s="37"/>
      <c r="Q614" s="37"/>
      <c r="R614" s="37"/>
      <c r="S614" s="37"/>
      <c r="T614" s="37"/>
      <c r="U614" s="37"/>
      <c r="V614" s="37"/>
      <c r="W614" s="37"/>
      <c r="X614" s="36"/>
      <c r="Y614" s="36"/>
      <c r="Z614" s="36"/>
      <c r="AA614" s="36"/>
      <c r="AB614" s="36"/>
      <c r="AC614" s="36"/>
      <c r="AD614" s="36"/>
      <c r="AE614" s="36"/>
    </row>
    <row r="615" spans="1:31" ht="15.75" customHeight="1" x14ac:dyDescent="0.25">
      <c r="A615" s="37"/>
      <c r="B615" s="801"/>
      <c r="C615" s="37"/>
      <c r="D615" s="37"/>
      <c r="E615" s="37"/>
      <c r="F615" s="37"/>
      <c r="G615" s="37"/>
      <c r="H615" s="37"/>
      <c r="I615" s="37"/>
      <c r="J615" s="37"/>
      <c r="K615" s="37"/>
      <c r="L615" s="37"/>
      <c r="M615" s="37"/>
      <c r="N615" s="37"/>
      <c r="O615" s="37"/>
      <c r="P615" s="37"/>
      <c r="Q615" s="37"/>
      <c r="R615" s="37"/>
      <c r="S615" s="37"/>
      <c r="T615" s="37"/>
      <c r="U615" s="37"/>
      <c r="V615" s="37"/>
      <c r="W615" s="37"/>
      <c r="X615" s="36"/>
      <c r="Y615" s="36"/>
      <c r="Z615" s="36"/>
      <c r="AA615" s="36"/>
      <c r="AB615" s="36"/>
      <c r="AC615" s="36"/>
      <c r="AD615" s="36"/>
      <c r="AE615" s="36"/>
    </row>
    <row r="616" spans="1:31" ht="15.75" customHeight="1" x14ac:dyDescent="0.25">
      <c r="A616" s="37"/>
      <c r="B616" s="801"/>
      <c r="C616" s="37"/>
      <c r="D616" s="37"/>
      <c r="E616" s="37"/>
      <c r="F616" s="37"/>
      <c r="G616" s="37"/>
      <c r="H616" s="37"/>
      <c r="I616" s="37"/>
      <c r="J616" s="37"/>
      <c r="K616" s="37"/>
      <c r="L616" s="37"/>
      <c r="M616" s="37"/>
      <c r="N616" s="37"/>
      <c r="O616" s="37"/>
      <c r="P616" s="37"/>
      <c r="Q616" s="37"/>
      <c r="R616" s="37"/>
      <c r="S616" s="37"/>
      <c r="T616" s="37"/>
      <c r="U616" s="37"/>
      <c r="V616" s="37"/>
      <c r="W616" s="37"/>
      <c r="X616" s="36"/>
      <c r="Y616" s="36"/>
      <c r="Z616" s="36"/>
      <c r="AA616" s="36"/>
      <c r="AB616" s="36"/>
      <c r="AC616" s="36"/>
      <c r="AD616" s="36"/>
      <c r="AE616" s="36"/>
    </row>
    <row r="617" spans="1:31" ht="15.75" customHeight="1" x14ac:dyDescent="0.25">
      <c r="A617" s="37"/>
      <c r="B617" s="801"/>
      <c r="C617" s="37"/>
      <c r="D617" s="37"/>
      <c r="E617" s="37"/>
      <c r="F617" s="37"/>
      <c r="G617" s="37"/>
      <c r="H617" s="37"/>
      <c r="I617" s="37"/>
      <c r="J617" s="37"/>
      <c r="K617" s="37"/>
      <c r="L617" s="37"/>
      <c r="M617" s="37"/>
      <c r="N617" s="37"/>
      <c r="O617" s="37"/>
      <c r="P617" s="37"/>
      <c r="Q617" s="37"/>
      <c r="R617" s="37"/>
      <c r="S617" s="37"/>
      <c r="T617" s="37"/>
      <c r="U617" s="37"/>
      <c r="V617" s="37"/>
      <c r="W617" s="37"/>
      <c r="X617" s="36"/>
      <c r="Y617" s="36"/>
      <c r="Z617" s="36"/>
      <c r="AA617" s="36"/>
      <c r="AB617" s="36"/>
      <c r="AC617" s="36"/>
      <c r="AD617" s="36"/>
      <c r="AE617" s="36"/>
    </row>
    <row r="618" spans="1:31" ht="15.75" customHeight="1" x14ac:dyDescent="0.25">
      <c r="A618" s="37"/>
      <c r="B618" s="801"/>
      <c r="C618" s="37"/>
      <c r="D618" s="37"/>
      <c r="E618" s="37"/>
      <c r="F618" s="37"/>
      <c r="G618" s="37"/>
      <c r="H618" s="37"/>
      <c r="I618" s="37"/>
      <c r="J618" s="37"/>
      <c r="K618" s="37"/>
      <c r="L618" s="37"/>
      <c r="M618" s="37"/>
      <c r="N618" s="37"/>
      <c r="O618" s="37"/>
      <c r="P618" s="37"/>
      <c r="Q618" s="37"/>
      <c r="R618" s="37"/>
      <c r="S618" s="37"/>
      <c r="T618" s="37"/>
      <c r="U618" s="37"/>
      <c r="V618" s="37"/>
      <c r="W618" s="37"/>
      <c r="X618" s="36"/>
      <c r="Y618" s="36"/>
      <c r="Z618" s="36"/>
      <c r="AA618" s="36"/>
      <c r="AB618" s="36"/>
      <c r="AC618" s="36"/>
      <c r="AD618" s="36"/>
      <c r="AE618" s="36"/>
    </row>
    <row r="619" spans="1:31" ht="15.75" customHeight="1" x14ac:dyDescent="0.25">
      <c r="A619" s="37"/>
      <c r="B619" s="801"/>
      <c r="C619" s="37"/>
      <c r="D619" s="37"/>
      <c r="E619" s="37"/>
      <c r="F619" s="37"/>
      <c r="G619" s="37"/>
      <c r="H619" s="37"/>
      <c r="I619" s="37"/>
      <c r="J619" s="37"/>
      <c r="K619" s="37"/>
      <c r="L619" s="37"/>
      <c r="M619" s="37"/>
      <c r="N619" s="37"/>
      <c r="O619" s="37"/>
      <c r="P619" s="37"/>
      <c r="Q619" s="37"/>
      <c r="R619" s="37"/>
      <c r="S619" s="37"/>
      <c r="T619" s="37"/>
      <c r="U619" s="37"/>
      <c r="V619" s="37"/>
      <c r="W619" s="37"/>
      <c r="X619" s="36"/>
      <c r="Y619" s="36"/>
      <c r="Z619" s="36"/>
      <c r="AA619" s="36"/>
      <c r="AB619" s="36"/>
      <c r="AC619" s="36"/>
      <c r="AD619" s="36"/>
      <c r="AE619" s="36"/>
    </row>
    <row r="620" spans="1:31" ht="15.75" customHeight="1" x14ac:dyDescent="0.25">
      <c r="A620" s="37"/>
      <c r="B620" s="801"/>
      <c r="C620" s="37"/>
      <c r="D620" s="37"/>
      <c r="E620" s="37"/>
      <c r="F620" s="37"/>
      <c r="G620" s="37"/>
      <c r="H620" s="37"/>
      <c r="I620" s="37"/>
      <c r="J620" s="37"/>
      <c r="K620" s="37"/>
      <c r="L620" s="37"/>
      <c r="M620" s="37"/>
      <c r="N620" s="37"/>
      <c r="O620" s="37"/>
      <c r="P620" s="37"/>
      <c r="Q620" s="37"/>
      <c r="R620" s="37"/>
      <c r="S620" s="37"/>
      <c r="T620" s="37"/>
      <c r="U620" s="37"/>
      <c r="V620" s="37"/>
      <c r="W620" s="37"/>
      <c r="X620" s="36"/>
      <c r="Y620" s="36"/>
      <c r="Z620" s="36"/>
      <c r="AA620" s="36"/>
      <c r="AB620" s="36"/>
      <c r="AC620" s="36"/>
      <c r="AD620" s="36"/>
      <c r="AE620" s="36"/>
    </row>
    <row r="621" spans="1:31" ht="15.75" customHeight="1" x14ac:dyDescent="0.25">
      <c r="A621" s="37"/>
      <c r="B621" s="801"/>
      <c r="C621" s="37"/>
      <c r="D621" s="37"/>
      <c r="E621" s="37"/>
      <c r="F621" s="37"/>
      <c r="G621" s="37"/>
      <c r="H621" s="37"/>
      <c r="I621" s="37"/>
      <c r="J621" s="37"/>
      <c r="K621" s="37"/>
      <c r="L621" s="37"/>
      <c r="M621" s="37"/>
      <c r="N621" s="37"/>
      <c r="O621" s="37"/>
      <c r="P621" s="37"/>
      <c r="Q621" s="37"/>
      <c r="R621" s="37"/>
      <c r="S621" s="37"/>
      <c r="T621" s="37"/>
      <c r="U621" s="37"/>
      <c r="V621" s="37"/>
      <c r="W621" s="37"/>
      <c r="X621" s="36"/>
      <c r="Y621" s="36"/>
      <c r="Z621" s="36"/>
      <c r="AA621" s="36"/>
      <c r="AB621" s="36"/>
      <c r="AC621" s="36"/>
      <c r="AD621" s="36"/>
      <c r="AE621" s="36"/>
    </row>
    <row r="622" spans="1:31" ht="15.75" customHeight="1" x14ac:dyDescent="0.25">
      <c r="A622" s="37"/>
      <c r="B622" s="801"/>
      <c r="C622" s="37"/>
      <c r="D622" s="37"/>
      <c r="E622" s="37"/>
      <c r="F622" s="37"/>
      <c r="G622" s="37"/>
      <c r="H622" s="37"/>
      <c r="I622" s="37"/>
      <c r="J622" s="37"/>
      <c r="K622" s="37"/>
      <c r="L622" s="37"/>
      <c r="M622" s="37"/>
      <c r="N622" s="37"/>
      <c r="O622" s="37"/>
      <c r="P622" s="37"/>
      <c r="Q622" s="37"/>
      <c r="R622" s="37"/>
      <c r="S622" s="37"/>
      <c r="T622" s="37"/>
      <c r="U622" s="37"/>
      <c r="V622" s="37"/>
      <c r="W622" s="37"/>
      <c r="X622" s="36"/>
      <c r="Y622" s="36"/>
      <c r="Z622" s="36"/>
      <c r="AA622" s="36"/>
      <c r="AB622" s="36"/>
      <c r="AC622" s="36"/>
      <c r="AD622" s="36"/>
      <c r="AE622" s="36"/>
    </row>
    <row r="623" spans="1:31" ht="15.75" customHeight="1" x14ac:dyDescent="0.25">
      <c r="A623" s="37"/>
      <c r="B623" s="801"/>
      <c r="C623" s="37"/>
      <c r="D623" s="37"/>
      <c r="E623" s="37"/>
      <c r="F623" s="37"/>
      <c r="G623" s="37"/>
      <c r="H623" s="37"/>
      <c r="I623" s="37"/>
      <c r="J623" s="37"/>
      <c r="K623" s="37"/>
      <c r="L623" s="37"/>
      <c r="M623" s="37"/>
      <c r="N623" s="37"/>
      <c r="O623" s="37"/>
      <c r="P623" s="37"/>
      <c r="Q623" s="37"/>
      <c r="R623" s="37"/>
      <c r="S623" s="37"/>
      <c r="T623" s="37"/>
      <c r="U623" s="37"/>
      <c r="V623" s="37"/>
      <c r="W623" s="37"/>
      <c r="X623" s="36"/>
      <c r="Y623" s="36"/>
      <c r="Z623" s="36"/>
      <c r="AA623" s="36"/>
      <c r="AB623" s="36"/>
      <c r="AC623" s="36"/>
      <c r="AD623" s="36"/>
      <c r="AE623" s="36"/>
    </row>
    <row r="624" spans="1:31" ht="15.75" customHeight="1" x14ac:dyDescent="0.25">
      <c r="A624" s="37"/>
      <c r="B624" s="801"/>
      <c r="C624" s="37"/>
      <c r="D624" s="37"/>
      <c r="E624" s="37"/>
      <c r="F624" s="37"/>
      <c r="G624" s="37"/>
      <c r="H624" s="37"/>
      <c r="I624" s="37"/>
      <c r="J624" s="37"/>
      <c r="K624" s="37"/>
      <c r="L624" s="37"/>
      <c r="M624" s="37"/>
      <c r="N624" s="37"/>
      <c r="O624" s="37"/>
      <c r="P624" s="37"/>
      <c r="Q624" s="37"/>
      <c r="R624" s="37"/>
      <c r="S624" s="37"/>
      <c r="T624" s="37"/>
      <c r="U624" s="37"/>
      <c r="V624" s="37"/>
      <c r="W624" s="37"/>
      <c r="X624" s="36"/>
      <c r="Y624" s="36"/>
      <c r="Z624" s="36"/>
      <c r="AA624" s="36"/>
      <c r="AB624" s="36"/>
      <c r="AC624" s="36"/>
      <c r="AD624" s="36"/>
      <c r="AE624" s="36"/>
    </row>
    <row r="625" spans="1:31" ht="15.75" customHeight="1" x14ac:dyDescent="0.25">
      <c r="A625" s="37"/>
      <c r="B625" s="801"/>
      <c r="C625" s="37"/>
      <c r="D625" s="37"/>
      <c r="E625" s="37"/>
      <c r="F625" s="37"/>
      <c r="G625" s="37"/>
      <c r="H625" s="37"/>
      <c r="I625" s="37"/>
      <c r="J625" s="37"/>
      <c r="K625" s="37"/>
      <c r="L625" s="37"/>
      <c r="M625" s="37"/>
      <c r="N625" s="37"/>
      <c r="O625" s="37"/>
      <c r="P625" s="37"/>
      <c r="Q625" s="37"/>
      <c r="R625" s="37"/>
      <c r="S625" s="37"/>
      <c r="T625" s="37"/>
      <c r="U625" s="37"/>
      <c r="V625" s="37"/>
      <c r="W625" s="37"/>
      <c r="X625" s="36"/>
      <c r="Y625" s="36"/>
      <c r="Z625" s="36"/>
      <c r="AA625" s="36"/>
      <c r="AB625" s="36"/>
      <c r="AC625" s="36"/>
      <c r="AD625" s="36"/>
      <c r="AE625" s="36"/>
    </row>
    <row r="626" spans="1:31" ht="15.75" customHeight="1" x14ac:dyDescent="0.25">
      <c r="A626" s="37"/>
      <c r="B626" s="801"/>
      <c r="C626" s="37"/>
      <c r="D626" s="37"/>
      <c r="E626" s="37"/>
      <c r="F626" s="37"/>
      <c r="G626" s="37"/>
      <c r="H626" s="37"/>
      <c r="I626" s="37"/>
      <c r="J626" s="37"/>
      <c r="K626" s="37"/>
      <c r="L626" s="37"/>
      <c r="M626" s="37"/>
      <c r="N626" s="37"/>
      <c r="O626" s="37"/>
      <c r="P626" s="37"/>
      <c r="Q626" s="37"/>
      <c r="R626" s="37"/>
      <c r="S626" s="37"/>
      <c r="T626" s="37"/>
      <c r="U626" s="37"/>
      <c r="V626" s="37"/>
      <c r="W626" s="37"/>
      <c r="X626" s="36"/>
      <c r="Y626" s="36"/>
      <c r="Z626" s="36"/>
      <c r="AA626" s="36"/>
      <c r="AB626" s="36"/>
      <c r="AC626" s="36"/>
      <c r="AD626" s="36"/>
      <c r="AE626" s="36"/>
    </row>
    <row r="627" spans="1:31" ht="15.75" customHeight="1" x14ac:dyDescent="0.25">
      <c r="A627" s="37"/>
      <c r="B627" s="801"/>
      <c r="C627" s="37"/>
      <c r="D627" s="37"/>
      <c r="E627" s="37"/>
      <c r="F627" s="37"/>
      <c r="G627" s="37"/>
      <c r="H627" s="37"/>
      <c r="I627" s="37"/>
      <c r="J627" s="37"/>
      <c r="K627" s="37"/>
      <c r="L627" s="37"/>
      <c r="M627" s="37"/>
      <c r="N627" s="37"/>
      <c r="O627" s="37"/>
      <c r="P627" s="37"/>
      <c r="Q627" s="37"/>
      <c r="R627" s="37"/>
      <c r="S627" s="37"/>
      <c r="T627" s="37"/>
      <c r="U627" s="37"/>
      <c r="V627" s="37"/>
      <c r="W627" s="37"/>
      <c r="X627" s="36"/>
      <c r="Y627" s="36"/>
      <c r="Z627" s="36"/>
      <c r="AA627" s="36"/>
      <c r="AB627" s="36"/>
      <c r="AC627" s="36"/>
      <c r="AD627" s="36"/>
      <c r="AE627" s="36"/>
    </row>
    <row r="628" spans="1:31" ht="15.75" customHeight="1" x14ac:dyDescent="0.25">
      <c r="A628" s="37"/>
      <c r="B628" s="801"/>
      <c r="C628" s="37"/>
      <c r="D628" s="37"/>
      <c r="E628" s="37"/>
      <c r="F628" s="37"/>
      <c r="G628" s="37"/>
      <c r="H628" s="37"/>
      <c r="I628" s="37"/>
      <c r="J628" s="37"/>
      <c r="K628" s="37"/>
      <c r="L628" s="37"/>
      <c r="M628" s="37"/>
      <c r="N628" s="37"/>
      <c r="O628" s="37"/>
      <c r="P628" s="37"/>
      <c r="Q628" s="37"/>
      <c r="R628" s="37"/>
      <c r="S628" s="37"/>
      <c r="T628" s="37"/>
      <c r="U628" s="37"/>
      <c r="V628" s="37"/>
      <c r="W628" s="37"/>
      <c r="X628" s="36"/>
      <c r="Y628" s="36"/>
      <c r="Z628" s="36"/>
      <c r="AA628" s="36"/>
      <c r="AB628" s="36"/>
      <c r="AC628" s="36"/>
      <c r="AD628" s="36"/>
      <c r="AE628" s="36"/>
    </row>
    <row r="629" spans="1:31" ht="15.75" customHeight="1" x14ac:dyDescent="0.25">
      <c r="A629" s="37"/>
      <c r="B629" s="801"/>
      <c r="C629" s="37"/>
      <c r="D629" s="37"/>
      <c r="E629" s="37"/>
      <c r="F629" s="37"/>
      <c r="G629" s="37"/>
      <c r="H629" s="37"/>
      <c r="I629" s="37"/>
      <c r="J629" s="37"/>
      <c r="K629" s="37"/>
      <c r="L629" s="37"/>
      <c r="M629" s="37"/>
      <c r="N629" s="37"/>
      <c r="O629" s="37"/>
      <c r="P629" s="37"/>
      <c r="Q629" s="37"/>
      <c r="R629" s="37"/>
      <c r="S629" s="37"/>
      <c r="T629" s="37"/>
      <c r="U629" s="37"/>
      <c r="V629" s="37"/>
      <c r="W629" s="37"/>
      <c r="X629" s="36"/>
      <c r="Y629" s="36"/>
      <c r="Z629" s="36"/>
      <c r="AA629" s="36"/>
      <c r="AB629" s="36"/>
      <c r="AC629" s="36"/>
      <c r="AD629" s="36"/>
      <c r="AE629" s="36"/>
    </row>
    <row r="630" spans="1:31" ht="15.75" customHeight="1" x14ac:dyDescent="0.25">
      <c r="A630" s="37"/>
      <c r="B630" s="801"/>
      <c r="C630" s="37"/>
      <c r="D630" s="37"/>
      <c r="E630" s="37"/>
      <c r="F630" s="37"/>
      <c r="G630" s="37"/>
      <c r="H630" s="37"/>
      <c r="I630" s="37"/>
      <c r="J630" s="37"/>
      <c r="K630" s="37"/>
      <c r="L630" s="37"/>
      <c r="M630" s="37"/>
      <c r="N630" s="37"/>
      <c r="O630" s="37"/>
      <c r="P630" s="37"/>
      <c r="Q630" s="37"/>
      <c r="R630" s="37"/>
      <c r="S630" s="37"/>
      <c r="T630" s="37"/>
      <c r="U630" s="37"/>
      <c r="V630" s="37"/>
      <c r="W630" s="37"/>
      <c r="X630" s="36"/>
      <c r="Y630" s="36"/>
      <c r="Z630" s="36"/>
      <c r="AA630" s="36"/>
      <c r="AB630" s="36"/>
      <c r="AC630" s="36"/>
      <c r="AD630" s="36"/>
      <c r="AE630" s="36"/>
    </row>
    <row r="631" spans="1:31" ht="15.75" customHeight="1" x14ac:dyDescent="0.25">
      <c r="A631" s="37"/>
      <c r="B631" s="801"/>
      <c r="C631" s="37"/>
      <c r="D631" s="37"/>
      <c r="E631" s="37"/>
      <c r="F631" s="37"/>
      <c r="G631" s="37"/>
      <c r="H631" s="37"/>
      <c r="I631" s="37"/>
      <c r="J631" s="37"/>
      <c r="K631" s="37"/>
      <c r="L631" s="37"/>
      <c r="M631" s="37"/>
      <c r="N631" s="37"/>
      <c r="O631" s="37"/>
      <c r="P631" s="37"/>
      <c r="Q631" s="37"/>
      <c r="R631" s="37"/>
      <c r="S631" s="37"/>
      <c r="T631" s="37"/>
      <c r="U631" s="37"/>
      <c r="V631" s="37"/>
      <c r="W631" s="37"/>
      <c r="X631" s="36"/>
      <c r="Y631" s="36"/>
      <c r="Z631" s="36"/>
      <c r="AA631" s="36"/>
      <c r="AB631" s="36"/>
      <c r="AC631" s="36"/>
      <c r="AD631" s="36"/>
      <c r="AE631" s="36"/>
    </row>
    <row r="632" spans="1:31" ht="15.75" customHeight="1" x14ac:dyDescent="0.25">
      <c r="A632" s="37"/>
      <c r="B632" s="801"/>
      <c r="C632" s="37"/>
      <c r="D632" s="37"/>
      <c r="E632" s="37"/>
      <c r="F632" s="37"/>
      <c r="G632" s="37"/>
      <c r="H632" s="37"/>
      <c r="I632" s="37"/>
      <c r="J632" s="37"/>
      <c r="K632" s="37"/>
      <c r="L632" s="37"/>
      <c r="M632" s="37"/>
      <c r="N632" s="37"/>
      <c r="O632" s="37"/>
      <c r="P632" s="37"/>
      <c r="Q632" s="37"/>
      <c r="R632" s="37"/>
      <c r="S632" s="37"/>
      <c r="T632" s="37"/>
      <c r="U632" s="37"/>
      <c r="V632" s="37"/>
      <c r="W632" s="37"/>
      <c r="X632" s="36"/>
      <c r="Y632" s="36"/>
      <c r="Z632" s="36"/>
      <c r="AA632" s="36"/>
      <c r="AB632" s="36"/>
      <c r="AC632" s="36"/>
      <c r="AD632" s="36"/>
      <c r="AE632" s="36"/>
    </row>
    <row r="633" spans="1:31" ht="15.75" customHeight="1" x14ac:dyDescent="0.25">
      <c r="A633" s="37"/>
      <c r="B633" s="801"/>
      <c r="C633" s="37"/>
      <c r="D633" s="37"/>
      <c r="E633" s="37"/>
      <c r="F633" s="37"/>
      <c r="G633" s="37"/>
      <c r="H633" s="37"/>
      <c r="I633" s="37"/>
      <c r="J633" s="37"/>
      <c r="K633" s="37"/>
      <c r="L633" s="37"/>
      <c r="M633" s="37"/>
      <c r="N633" s="37"/>
      <c r="O633" s="37"/>
      <c r="P633" s="37"/>
      <c r="Q633" s="37"/>
      <c r="R633" s="37"/>
      <c r="S633" s="37"/>
      <c r="T633" s="37"/>
      <c r="U633" s="37"/>
      <c r="V633" s="37"/>
      <c r="W633" s="37"/>
      <c r="X633" s="36"/>
      <c r="Y633" s="36"/>
      <c r="Z633" s="36"/>
      <c r="AA633" s="36"/>
      <c r="AB633" s="36"/>
      <c r="AC633" s="36"/>
      <c r="AD633" s="36"/>
      <c r="AE633" s="36"/>
    </row>
    <row r="634" spans="1:31" ht="15.75" customHeight="1" x14ac:dyDescent="0.25">
      <c r="A634" s="37"/>
      <c r="B634" s="801"/>
      <c r="C634" s="37"/>
      <c r="D634" s="37"/>
      <c r="E634" s="37"/>
      <c r="F634" s="37"/>
      <c r="G634" s="37"/>
      <c r="H634" s="37"/>
      <c r="I634" s="37"/>
      <c r="J634" s="37"/>
      <c r="K634" s="37"/>
      <c r="L634" s="37"/>
      <c r="M634" s="37"/>
      <c r="N634" s="37"/>
      <c r="O634" s="37"/>
      <c r="P634" s="37"/>
      <c r="Q634" s="37"/>
      <c r="R634" s="37"/>
      <c r="S634" s="37"/>
      <c r="T634" s="37"/>
      <c r="U634" s="37"/>
      <c r="V634" s="37"/>
      <c r="W634" s="37"/>
      <c r="X634" s="36"/>
      <c r="Y634" s="36"/>
      <c r="Z634" s="36"/>
      <c r="AA634" s="36"/>
      <c r="AB634" s="36"/>
      <c r="AC634" s="36"/>
      <c r="AD634" s="36"/>
      <c r="AE634" s="36"/>
    </row>
    <row r="635" spans="1:31" ht="15.75" customHeight="1" x14ac:dyDescent="0.25">
      <c r="A635" s="37"/>
      <c r="B635" s="801"/>
      <c r="C635" s="37"/>
      <c r="D635" s="37"/>
      <c r="E635" s="37"/>
      <c r="F635" s="37"/>
      <c r="G635" s="37"/>
      <c r="H635" s="37"/>
      <c r="I635" s="37"/>
      <c r="J635" s="37"/>
      <c r="K635" s="37"/>
      <c r="L635" s="37"/>
      <c r="M635" s="37"/>
      <c r="N635" s="37"/>
      <c r="O635" s="37"/>
      <c r="P635" s="37"/>
      <c r="Q635" s="37"/>
      <c r="R635" s="37"/>
      <c r="S635" s="37"/>
      <c r="T635" s="37"/>
      <c r="U635" s="37"/>
      <c r="V635" s="37"/>
      <c r="W635" s="37"/>
      <c r="X635" s="36"/>
      <c r="Y635" s="36"/>
      <c r="Z635" s="36"/>
      <c r="AA635" s="36"/>
      <c r="AB635" s="36"/>
      <c r="AC635" s="36"/>
      <c r="AD635" s="36"/>
      <c r="AE635" s="36"/>
    </row>
    <row r="636" spans="1:31" ht="15.75" customHeight="1" x14ac:dyDescent="0.25">
      <c r="A636" s="37"/>
      <c r="B636" s="801"/>
      <c r="C636" s="37"/>
      <c r="D636" s="37"/>
      <c r="E636" s="37"/>
      <c r="F636" s="37"/>
      <c r="G636" s="37"/>
      <c r="H636" s="37"/>
      <c r="I636" s="37"/>
      <c r="J636" s="37"/>
      <c r="K636" s="37"/>
      <c r="L636" s="37"/>
      <c r="M636" s="37"/>
      <c r="N636" s="37"/>
      <c r="O636" s="37"/>
      <c r="P636" s="37"/>
      <c r="Q636" s="37"/>
      <c r="R636" s="37"/>
      <c r="S636" s="37"/>
      <c r="T636" s="37"/>
      <c r="U636" s="37"/>
      <c r="V636" s="37"/>
      <c r="W636" s="37"/>
      <c r="X636" s="36"/>
      <c r="Y636" s="36"/>
      <c r="Z636" s="36"/>
      <c r="AA636" s="36"/>
      <c r="AB636" s="36"/>
      <c r="AC636" s="36"/>
      <c r="AD636" s="36"/>
      <c r="AE636" s="36"/>
    </row>
    <row r="637" spans="1:31" ht="15.75" customHeight="1" x14ac:dyDescent="0.25">
      <c r="A637" s="37"/>
      <c r="B637" s="801"/>
      <c r="C637" s="37"/>
      <c r="D637" s="37"/>
      <c r="E637" s="37"/>
      <c r="F637" s="37"/>
      <c r="G637" s="37"/>
      <c r="H637" s="37"/>
      <c r="I637" s="37"/>
      <c r="J637" s="37"/>
      <c r="K637" s="37"/>
      <c r="L637" s="37"/>
      <c r="M637" s="37"/>
      <c r="N637" s="37"/>
      <c r="O637" s="37"/>
      <c r="P637" s="37"/>
      <c r="Q637" s="37"/>
      <c r="R637" s="37"/>
      <c r="S637" s="37"/>
      <c r="T637" s="37"/>
      <c r="U637" s="37"/>
      <c r="V637" s="37"/>
      <c r="W637" s="37"/>
      <c r="X637" s="36"/>
      <c r="Y637" s="36"/>
      <c r="Z637" s="36"/>
      <c r="AA637" s="36"/>
      <c r="AB637" s="36"/>
      <c r="AC637" s="36"/>
      <c r="AD637" s="36"/>
      <c r="AE637" s="36"/>
    </row>
    <row r="638" spans="1:31" ht="15.75" customHeight="1" x14ac:dyDescent="0.25">
      <c r="A638" s="37"/>
      <c r="B638" s="801"/>
      <c r="C638" s="37"/>
      <c r="D638" s="37"/>
      <c r="E638" s="37"/>
      <c r="F638" s="37"/>
      <c r="G638" s="37"/>
      <c r="H638" s="37"/>
      <c r="I638" s="37"/>
      <c r="J638" s="37"/>
      <c r="K638" s="37"/>
      <c r="L638" s="37"/>
      <c r="M638" s="37"/>
      <c r="N638" s="37"/>
      <c r="O638" s="37"/>
      <c r="P638" s="37"/>
      <c r="Q638" s="37"/>
      <c r="R638" s="37"/>
      <c r="S638" s="37"/>
      <c r="T638" s="37"/>
      <c r="U638" s="37"/>
      <c r="V638" s="37"/>
      <c r="W638" s="37"/>
      <c r="X638" s="36"/>
      <c r="Y638" s="36"/>
      <c r="Z638" s="36"/>
      <c r="AA638" s="36"/>
      <c r="AB638" s="36"/>
      <c r="AC638" s="36"/>
      <c r="AD638" s="36"/>
      <c r="AE638" s="36"/>
    </row>
    <row r="639" spans="1:31" ht="15.75" customHeight="1" x14ac:dyDescent="0.25">
      <c r="A639" s="37"/>
      <c r="B639" s="801"/>
      <c r="C639" s="37"/>
      <c r="D639" s="37"/>
      <c r="E639" s="37"/>
      <c r="F639" s="37"/>
      <c r="G639" s="37"/>
      <c r="H639" s="37"/>
      <c r="I639" s="37"/>
      <c r="J639" s="37"/>
      <c r="K639" s="37"/>
      <c r="L639" s="37"/>
      <c r="M639" s="37"/>
      <c r="N639" s="37"/>
      <c r="O639" s="37"/>
      <c r="P639" s="37"/>
      <c r="Q639" s="37"/>
      <c r="R639" s="37"/>
      <c r="S639" s="37"/>
      <c r="T639" s="37"/>
      <c r="U639" s="37"/>
      <c r="V639" s="37"/>
      <c r="W639" s="37"/>
      <c r="X639" s="36"/>
      <c r="Y639" s="36"/>
      <c r="Z639" s="36"/>
      <c r="AA639" s="36"/>
      <c r="AB639" s="36"/>
      <c r="AC639" s="36"/>
      <c r="AD639" s="36"/>
      <c r="AE639" s="36"/>
    </row>
    <row r="640" spans="1:31" ht="15.75" customHeight="1" x14ac:dyDescent="0.25">
      <c r="A640" s="37"/>
      <c r="B640" s="801"/>
      <c r="C640" s="37"/>
      <c r="D640" s="37"/>
      <c r="E640" s="37"/>
      <c r="F640" s="37"/>
      <c r="G640" s="37"/>
      <c r="H640" s="37"/>
      <c r="I640" s="37"/>
      <c r="J640" s="37"/>
      <c r="K640" s="37"/>
      <c r="L640" s="37"/>
      <c r="M640" s="37"/>
      <c r="N640" s="37"/>
      <c r="O640" s="37"/>
      <c r="P640" s="37"/>
      <c r="Q640" s="37"/>
      <c r="R640" s="37"/>
      <c r="S640" s="37"/>
      <c r="T640" s="37"/>
      <c r="U640" s="37"/>
      <c r="V640" s="37"/>
      <c r="W640" s="37"/>
      <c r="X640" s="36"/>
      <c r="Y640" s="36"/>
      <c r="Z640" s="36"/>
      <c r="AA640" s="36"/>
      <c r="AB640" s="36"/>
      <c r="AC640" s="36"/>
      <c r="AD640" s="36"/>
      <c r="AE640" s="36"/>
    </row>
    <row r="641" spans="1:31" ht="15.75" customHeight="1" x14ac:dyDescent="0.25">
      <c r="A641" s="37"/>
      <c r="B641" s="801"/>
      <c r="C641" s="37"/>
      <c r="D641" s="37"/>
      <c r="E641" s="37"/>
      <c r="F641" s="37"/>
      <c r="G641" s="37"/>
      <c r="H641" s="37"/>
      <c r="I641" s="37"/>
      <c r="J641" s="37"/>
      <c r="K641" s="37"/>
      <c r="L641" s="37"/>
      <c r="M641" s="37"/>
      <c r="N641" s="37"/>
      <c r="O641" s="37"/>
      <c r="P641" s="37"/>
      <c r="Q641" s="37"/>
      <c r="R641" s="37"/>
      <c r="S641" s="37"/>
      <c r="T641" s="37"/>
      <c r="U641" s="37"/>
      <c r="V641" s="37"/>
      <c r="W641" s="37"/>
      <c r="X641" s="36"/>
      <c r="Y641" s="36"/>
      <c r="Z641" s="36"/>
      <c r="AA641" s="36"/>
      <c r="AB641" s="36"/>
      <c r="AC641" s="36"/>
      <c r="AD641" s="36"/>
      <c r="AE641" s="36"/>
    </row>
    <row r="642" spans="1:31" ht="15.75" customHeight="1" x14ac:dyDescent="0.25">
      <c r="A642" s="37"/>
      <c r="B642" s="801"/>
      <c r="C642" s="37"/>
      <c r="D642" s="37"/>
      <c r="E642" s="37"/>
      <c r="F642" s="37"/>
      <c r="G642" s="37"/>
      <c r="H642" s="37"/>
      <c r="I642" s="37"/>
      <c r="J642" s="37"/>
      <c r="K642" s="37"/>
      <c r="L642" s="37"/>
      <c r="M642" s="37"/>
      <c r="N642" s="37"/>
      <c r="O642" s="37"/>
      <c r="P642" s="37"/>
      <c r="Q642" s="37"/>
      <c r="R642" s="37"/>
      <c r="S642" s="37"/>
      <c r="T642" s="37"/>
      <c r="U642" s="37"/>
      <c r="V642" s="37"/>
      <c r="W642" s="37"/>
      <c r="X642" s="36"/>
      <c r="Y642" s="36"/>
      <c r="Z642" s="36"/>
      <c r="AA642" s="36"/>
      <c r="AB642" s="36"/>
      <c r="AC642" s="36"/>
      <c r="AD642" s="36"/>
      <c r="AE642" s="36"/>
    </row>
    <row r="643" spans="1:31" ht="15.75" customHeight="1" x14ac:dyDescent="0.25">
      <c r="A643" s="37"/>
      <c r="B643" s="801"/>
      <c r="C643" s="37"/>
      <c r="D643" s="37"/>
      <c r="E643" s="37"/>
      <c r="F643" s="37"/>
      <c r="G643" s="37"/>
      <c r="H643" s="37"/>
      <c r="I643" s="37"/>
      <c r="J643" s="37"/>
      <c r="K643" s="37"/>
      <c r="L643" s="37"/>
      <c r="M643" s="37"/>
      <c r="N643" s="37"/>
      <c r="O643" s="37"/>
      <c r="P643" s="37"/>
      <c r="Q643" s="37"/>
      <c r="R643" s="37"/>
      <c r="S643" s="37"/>
      <c r="T643" s="37"/>
      <c r="U643" s="37"/>
      <c r="V643" s="37"/>
      <c r="W643" s="37"/>
      <c r="X643" s="36"/>
      <c r="Y643" s="36"/>
      <c r="Z643" s="36"/>
      <c r="AA643" s="36"/>
      <c r="AB643" s="36"/>
      <c r="AC643" s="36"/>
      <c r="AD643" s="36"/>
      <c r="AE643" s="36"/>
    </row>
    <row r="644" spans="1:31" ht="15.75" customHeight="1" x14ac:dyDescent="0.25">
      <c r="A644" s="37"/>
      <c r="B644" s="801"/>
      <c r="C644" s="37"/>
      <c r="D644" s="37"/>
      <c r="E644" s="37"/>
      <c r="F644" s="37"/>
      <c r="G644" s="37"/>
      <c r="H644" s="37"/>
      <c r="I644" s="37"/>
      <c r="J644" s="37"/>
      <c r="K644" s="37"/>
      <c r="L644" s="37"/>
      <c r="M644" s="37"/>
      <c r="N644" s="37"/>
      <c r="O644" s="37"/>
      <c r="P644" s="37"/>
      <c r="Q644" s="37"/>
      <c r="R644" s="37"/>
      <c r="S644" s="37"/>
      <c r="T644" s="37"/>
      <c r="U644" s="37"/>
      <c r="V644" s="37"/>
      <c r="W644" s="37"/>
      <c r="X644" s="36"/>
      <c r="Y644" s="36"/>
      <c r="Z644" s="36"/>
      <c r="AA644" s="36"/>
      <c r="AB644" s="36"/>
      <c r="AC644" s="36"/>
      <c r="AD644" s="36"/>
      <c r="AE644" s="36"/>
    </row>
    <row r="645" spans="1:31" ht="15.75" customHeight="1" x14ac:dyDescent="0.25">
      <c r="A645" s="37"/>
      <c r="B645" s="801"/>
      <c r="C645" s="37"/>
      <c r="D645" s="37"/>
      <c r="E645" s="37"/>
      <c r="F645" s="37"/>
      <c r="G645" s="37"/>
      <c r="H645" s="37"/>
      <c r="I645" s="37"/>
      <c r="J645" s="37"/>
      <c r="K645" s="37"/>
      <c r="L645" s="37"/>
      <c r="M645" s="37"/>
      <c r="N645" s="37"/>
      <c r="O645" s="37"/>
      <c r="P645" s="37"/>
      <c r="Q645" s="37"/>
      <c r="R645" s="37"/>
      <c r="S645" s="37"/>
      <c r="T645" s="37"/>
      <c r="U645" s="37"/>
      <c r="V645" s="37"/>
      <c r="W645" s="37"/>
      <c r="X645" s="36"/>
      <c r="Y645" s="36"/>
      <c r="Z645" s="36"/>
      <c r="AA645" s="36"/>
      <c r="AB645" s="36"/>
      <c r="AC645" s="36"/>
      <c r="AD645" s="36"/>
      <c r="AE645" s="36"/>
    </row>
    <row r="646" spans="1:31" ht="15.75" customHeight="1" x14ac:dyDescent="0.25">
      <c r="A646" s="37"/>
      <c r="B646" s="801"/>
      <c r="C646" s="37"/>
      <c r="D646" s="37"/>
      <c r="E646" s="37"/>
      <c r="F646" s="37"/>
      <c r="G646" s="37"/>
      <c r="H646" s="37"/>
      <c r="I646" s="37"/>
      <c r="J646" s="37"/>
      <c r="K646" s="37"/>
      <c r="L646" s="37"/>
      <c r="M646" s="37"/>
      <c r="N646" s="37"/>
      <c r="O646" s="37"/>
      <c r="P646" s="37"/>
      <c r="Q646" s="37"/>
      <c r="R646" s="37"/>
      <c r="S646" s="37"/>
      <c r="T646" s="37"/>
      <c r="U646" s="37"/>
      <c r="V646" s="37"/>
      <c r="W646" s="37"/>
      <c r="X646" s="36"/>
      <c r="Y646" s="36"/>
      <c r="Z646" s="36"/>
      <c r="AA646" s="36"/>
      <c r="AB646" s="36"/>
      <c r="AC646" s="36"/>
      <c r="AD646" s="36"/>
      <c r="AE646" s="36"/>
    </row>
    <row r="647" spans="1:31" ht="15.75" customHeight="1" x14ac:dyDescent="0.25">
      <c r="A647" s="37"/>
      <c r="B647" s="801"/>
      <c r="C647" s="37"/>
      <c r="D647" s="37"/>
      <c r="E647" s="37"/>
      <c r="F647" s="37"/>
      <c r="G647" s="37"/>
      <c r="H647" s="37"/>
      <c r="I647" s="37"/>
      <c r="J647" s="37"/>
      <c r="K647" s="37"/>
      <c r="L647" s="37"/>
      <c r="M647" s="37"/>
      <c r="N647" s="37"/>
      <c r="O647" s="37"/>
      <c r="P647" s="37"/>
      <c r="Q647" s="37"/>
      <c r="R647" s="37"/>
      <c r="S647" s="37"/>
      <c r="T647" s="37"/>
      <c r="U647" s="37"/>
      <c r="V647" s="37"/>
      <c r="W647" s="37"/>
      <c r="X647" s="36"/>
      <c r="Y647" s="36"/>
      <c r="Z647" s="36"/>
      <c r="AA647" s="36"/>
      <c r="AB647" s="36"/>
      <c r="AC647" s="36"/>
      <c r="AD647" s="36"/>
      <c r="AE647" s="36"/>
    </row>
    <row r="648" spans="1:31" ht="15.75" customHeight="1" x14ac:dyDescent="0.25">
      <c r="A648" s="37"/>
      <c r="B648" s="801"/>
      <c r="C648" s="37"/>
      <c r="D648" s="37"/>
      <c r="E648" s="37"/>
      <c r="F648" s="37"/>
      <c r="G648" s="37"/>
      <c r="H648" s="37"/>
      <c r="I648" s="37"/>
      <c r="J648" s="37"/>
      <c r="K648" s="37"/>
      <c r="L648" s="37"/>
      <c r="M648" s="37"/>
      <c r="N648" s="37"/>
      <c r="O648" s="37"/>
      <c r="P648" s="37"/>
      <c r="Q648" s="37"/>
      <c r="R648" s="37"/>
      <c r="S648" s="37"/>
      <c r="T648" s="37"/>
      <c r="U648" s="37"/>
      <c r="V648" s="37"/>
      <c r="W648" s="37"/>
      <c r="X648" s="36"/>
      <c r="Y648" s="36"/>
      <c r="Z648" s="36"/>
      <c r="AA648" s="36"/>
      <c r="AB648" s="36"/>
      <c r="AC648" s="36"/>
      <c r="AD648" s="36"/>
      <c r="AE648" s="36"/>
    </row>
    <row r="649" spans="1:31" ht="15.75" customHeight="1" x14ac:dyDescent="0.25">
      <c r="A649" s="37"/>
      <c r="B649" s="801"/>
      <c r="C649" s="37"/>
      <c r="D649" s="37"/>
      <c r="E649" s="37"/>
      <c r="F649" s="37"/>
      <c r="G649" s="37"/>
      <c r="H649" s="37"/>
      <c r="I649" s="37"/>
      <c r="J649" s="37"/>
      <c r="K649" s="37"/>
      <c r="L649" s="37"/>
      <c r="M649" s="37"/>
      <c r="N649" s="37"/>
      <c r="O649" s="37"/>
      <c r="P649" s="37"/>
      <c r="Q649" s="37"/>
      <c r="R649" s="37"/>
      <c r="S649" s="37"/>
      <c r="T649" s="37"/>
      <c r="U649" s="37"/>
      <c r="V649" s="37"/>
      <c r="W649" s="37"/>
      <c r="X649" s="36"/>
      <c r="Y649" s="36"/>
      <c r="Z649" s="36"/>
      <c r="AA649" s="36"/>
      <c r="AB649" s="36"/>
      <c r="AC649" s="36"/>
      <c r="AD649" s="36"/>
      <c r="AE649" s="36"/>
    </row>
    <row r="650" spans="1:31" ht="15.75" customHeight="1" x14ac:dyDescent="0.25">
      <c r="A650" s="37"/>
      <c r="B650" s="801"/>
      <c r="C650" s="37"/>
      <c r="D650" s="37"/>
      <c r="E650" s="37"/>
      <c r="F650" s="37"/>
      <c r="G650" s="37"/>
      <c r="H650" s="37"/>
      <c r="I650" s="37"/>
      <c r="J650" s="37"/>
      <c r="K650" s="37"/>
      <c r="L650" s="37"/>
      <c r="M650" s="37"/>
      <c r="N650" s="37"/>
      <c r="O650" s="37"/>
      <c r="P650" s="37"/>
      <c r="Q650" s="37"/>
      <c r="R650" s="37"/>
      <c r="S650" s="37"/>
      <c r="T650" s="37"/>
      <c r="U650" s="37"/>
      <c r="V650" s="37"/>
      <c r="W650" s="37"/>
      <c r="X650" s="36"/>
      <c r="Y650" s="36"/>
      <c r="Z650" s="36"/>
      <c r="AA650" s="36"/>
      <c r="AB650" s="36"/>
      <c r="AC650" s="36"/>
      <c r="AD650" s="36"/>
      <c r="AE650" s="36"/>
    </row>
    <row r="651" spans="1:31" ht="15.75" customHeight="1" x14ac:dyDescent="0.25">
      <c r="A651" s="37"/>
      <c r="B651" s="801"/>
      <c r="C651" s="37"/>
      <c r="D651" s="37"/>
      <c r="E651" s="37"/>
      <c r="F651" s="37"/>
      <c r="G651" s="37"/>
      <c r="H651" s="37"/>
      <c r="I651" s="37"/>
      <c r="J651" s="37"/>
      <c r="K651" s="37"/>
      <c r="L651" s="37"/>
      <c r="M651" s="37"/>
      <c r="N651" s="37"/>
      <c r="O651" s="37"/>
      <c r="P651" s="37"/>
      <c r="Q651" s="37"/>
      <c r="R651" s="37"/>
      <c r="S651" s="37"/>
      <c r="T651" s="37"/>
      <c r="U651" s="37"/>
      <c r="V651" s="37"/>
      <c r="W651" s="37"/>
      <c r="X651" s="36"/>
      <c r="Y651" s="36"/>
      <c r="Z651" s="36"/>
      <c r="AA651" s="36"/>
      <c r="AB651" s="36"/>
      <c r="AC651" s="36"/>
      <c r="AD651" s="36"/>
      <c r="AE651" s="36"/>
    </row>
    <row r="652" spans="1:31" ht="15.75" customHeight="1" x14ac:dyDescent="0.25">
      <c r="A652" s="37"/>
      <c r="B652" s="801"/>
      <c r="C652" s="37"/>
      <c r="D652" s="37"/>
      <c r="E652" s="37"/>
      <c r="F652" s="37"/>
      <c r="G652" s="37"/>
      <c r="H652" s="37"/>
      <c r="I652" s="37"/>
      <c r="J652" s="37"/>
      <c r="K652" s="37"/>
      <c r="L652" s="37"/>
      <c r="M652" s="37"/>
      <c r="N652" s="37"/>
      <c r="O652" s="37"/>
      <c r="P652" s="37"/>
      <c r="Q652" s="37"/>
      <c r="R652" s="37"/>
      <c r="S652" s="37"/>
      <c r="T652" s="37"/>
      <c r="U652" s="37"/>
      <c r="V652" s="37"/>
      <c r="W652" s="37"/>
      <c r="X652" s="36"/>
      <c r="Y652" s="36"/>
      <c r="Z652" s="36"/>
      <c r="AA652" s="36"/>
      <c r="AB652" s="36"/>
      <c r="AC652" s="36"/>
      <c r="AD652" s="36"/>
      <c r="AE652" s="36"/>
    </row>
    <row r="653" spans="1:31" ht="15.75" customHeight="1" x14ac:dyDescent="0.25">
      <c r="A653" s="37"/>
      <c r="B653" s="801"/>
      <c r="C653" s="37"/>
      <c r="D653" s="37"/>
      <c r="E653" s="37"/>
      <c r="F653" s="37"/>
      <c r="G653" s="37"/>
      <c r="H653" s="37"/>
      <c r="I653" s="37"/>
      <c r="J653" s="37"/>
      <c r="K653" s="37"/>
      <c r="L653" s="37"/>
      <c r="M653" s="37"/>
      <c r="N653" s="37"/>
      <c r="O653" s="37"/>
      <c r="P653" s="37"/>
      <c r="Q653" s="37"/>
      <c r="R653" s="37"/>
      <c r="S653" s="37"/>
      <c r="T653" s="37"/>
      <c r="U653" s="37"/>
      <c r="V653" s="37"/>
      <c r="W653" s="37"/>
      <c r="X653" s="36"/>
      <c r="Y653" s="36"/>
      <c r="Z653" s="36"/>
      <c r="AA653" s="36"/>
      <c r="AB653" s="36"/>
      <c r="AC653" s="36"/>
      <c r="AD653" s="36"/>
      <c r="AE653" s="36"/>
    </row>
    <row r="654" spans="1:31" ht="15.75" customHeight="1" x14ac:dyDescent="0.25">
      <c r="A654" s="37"/>
      <c r="B654" s="801"/>
      <c r="C654" s="37"/>
      <c r="D654" s="37"/>
      <c r="E654" s="37"/>
      <c r="F654" s="37"/>
      <c r="G654" s="37"/>
      <c r="H654" s="37"/>
      <c r="I654" s="37"/>
      <c r="J654" s="37"/>
      <c r="K654" s="37"/>
      <c r="L654" s="37"/>
      <c r="M654" s="37"/>
      <c r="N654" s="37"/>
      <c r="O654" s="37"/>
      <c r="P654" s="37"/>
      <c r="Q654" s="37"/>
      <c r="R654" s="37"/>
      <c r="S654" s="37"/>
      <c r="T654" s="37"/>
      <c r="U654" s="37"/>
      <c r="V654" s="37"/>
      <c r="W654" s="37"/>
      <c r="X654" s="36"/>
      <c r="Y654" s="36"/>
      <c r="Z654" s="36"/>
      <c r="AA654" s="36"/>
      <c r="AB654" s="36"/>
      <c r="AC654" s="36"/>
      <c r="AD654" s="36"/>
      <c r="AE654" s="36"/>
    </row>
    <row r="655" spans="1:31" ht="15.75" customHeight="1" x14ac:dyDescent="0.25">
      <c r="A655" s="37"/>
      <c r="B655" s="801"/>
      <c r="C655" s="37"/>
      <c r="D655" s="37"/>
      <c r="E655" s="37"/>
      <c r="F655" s="37"/>
      <c r="G655" s="37"/>
      <c r="H655" s="37"/>
      <c r="I655" s="37"/>
      <c r="J655" s="37"/>
      <c r="K655" s="37"/>
      <c r="L655" s="37"/>
      <c r="M655" s="37"/>
      <c r="N655" s="37"/>
      <c r="O655" s="37"/>
      <c r="P655" s="37"/>
      <c r="Q655" s="37"/>
      <c r="R655" s="37"/>
      <c r="S655" s="37"/>
      <c r="T655" s="37"/>
      <c r="U655" s="37"/>
      <c r="V655" s="37"/>
      <c r="W655" s="37"/>
      <c r="X655" s="36"/>
      <c r="Y655" s="36"/>
      <c r="Z655" s="36"/>
      <c r="AA655" s="36"/>
      <c r="AB655" s="36"/>
      <c r="AC655" s="36"/>
      <c r="AD655" s="36"/>
      <c r="AE655" s="36"/>
    </row>
    <row r="656" spans="1:31" ht="15.75" customHeight="1" x14ac:dyDescent="0.25">
      <c r="A656" s="37"/>
      <c r="B656" s="801"/>
      <c r="C656" s="37"/>
      <c r="D656" s="37"/>
      <c r="E656" s="37"/>
      <c r="F656" s="37"/>
      <c r="G656" s="37"/>
      <c r="H656" s="37"/>
      <c r="I656" s="37"/>
      <c r="J656" s="37"/>
      <c r="K656" s="37"/>
      <c r="L656" s="37"/>
      <c r="M656" s="37"/>
      <c r="N656" s="37"/>
      <c r="O656" s="37"/>
      <c r="P656" s="37"/>
      <c r="Q656" s="37"/>
      <c r="R656" s="37"/>
      <c r="S656" s="37"/>
      <c r="T656" s="37"/>
      <c r="U656" s="37"/>
      <c r="V656" s="37"/>
      <c r="W656" s="37"/>
      <c r="X656" s="36"/>
      <c r="Y656" s="36"/>
      <c r="Z656" s="36"/>
      <c r="AA656" s="36"/>
      <c r="AB656" s="36"/>
      <c r="AC656" s="36"/>
      <c r="AD656" s="36"/>
      <c r="AE656" s="36"/>
    </row>
    <row r="657" spans="1:31" ht="15.75" customHeight="1" x14ac:dyDescent="0.25">
      <c r="A657" s="37"/>
      <c r="B657" s="801"/>
      <c r="C657" s="37"/>
      <c r="D657" s="37"/>
      <c r="E657" s="37"/>
      <c r="F657" s="37"/>
      <c r="G657" s="37"/>
      <c r="H657" s="37"/>
      <c r="I657" s="37"/>
      <c r="J657" s="37"/>
      <c r="K657" s="37"/>
      <c r="L657" s="37"/>
      <c r="M657" s="37"/>
      <c r="N657" s="37"/>
      <c r="O657" s="37"/>
      <c r="P657" s="37"/>
      <c r="Q657" s="37"/>
      <c r="R657" s="37"/>
      <c r="S657" s="37"/>
      <c r="T657" s="37"/>
      <c r="U657" s="37"/>
      <c r="V657" s="37"/>
      <c r="W657" s="37"/>
      <c r="X657" s="36"/>
      <c r="Y657" s="36"/>
      <c r="Z657" s="36"/>
      <c r="AA657" s="36"/>
      <c r="AB657" s="36"/>
      <c r="AC657" s="36"/>
      <c r="AD657" s="36"/>
      <c r="AE657" s="36"/>
    </row>
    <row r="658" spans="1:31" ht="15.75" customHeight="1" x14ac:dyDescent="0.25">
      <c r="A658" s="37"/>
      <c r="B658" s="801"/>
      <c r="C658" s="37"/>
      <c r="D658" s="37"/>
      <c r="E658" s="37"/>
      <c r="F658" s="37"/>
      <c r="G658" s="37"/>
      <c r="H658" s="37"/>
      <c r="I658" s="37"/>
      <c r="J658" s="37"/>
      <c r="K658" s="37"/>
      <c r="L658" s="37"/>
      <c r="M658" s="37"/>
      <c r="N658" s="37"/>
      <c r="O658" s="37"/>
      <c r="P658" s="37"/>
      <c r="Q658" s="37"/>
      <c r="R658" s="37"/>
      <c r="S658" s="37"/>
      <c r="T658" s="37"/>
      <c r="U658" s="37"/>
      <c r="V658" s="37"/>
      <c r="W658" s="37"/>
      <c r="X658" s="36"/>
      <c r="Y658" s="36"/>
      <c r="Z658" s="36"/>
      <c r="AA658" s="36"/>
      <c r="AB658" s="36"/>
      <c r="AC658" s="36"/>
      <c r="AD658" s="36"/>
      <c r="AE658" s="36"/>
    </row>
    <row r="659" spans="1:31" ht="15.75" customHeight="1" x14ac:dyDescent="0.25">
      <c r="A659" s="37"/>
      <c r="B659" s="801"/>
      <c r="C659" s="37"/>
      <c r="D659" s="37"/>
      <c r="E659" s="37"/>
      <c r="F659" s="37"/>
      <c r="G659" s="37"/>
      <c r="H659" s="37"/>
      <c r="I659" s="37"/>
      <c r="J659" s="37"/>
      <c r="K659" s="37"/>
      <c r="L659" s="37"/>
      <c r="M659" s="37"/>
      <c r="N659" s="37"/>
      <c r="O659" s="37"/>
      <c r="P659" s="37"/>
      <c r="Q659" s="37"/>
      <c r="R659" s="37"/>
      <c r="S659" s="37"/>
      <c r="T659" s="37"/>
      <c r="U659" s="37"/>
      <c r="V659" s="37"/>
      <c r="W659" s="37"/>
      <c r="X659" s="36"/>
      <c r="Y659" s="36"/>
      <c r="Z659" s="36"/>
      <c r="AA659" s="36"/>
      <c r="AB659" s="36"/>
      <c r="AC659" s="36"/>
      <c r="AD659" s="36"/>
      <c r="AE659" s="36"/>
    </row>
    <row r="660" spans="1:31" ht="15.75" customHeight="1" x14ac:dyDescent="0.25">
      <c r="A660" s="37"/>
      <c r="B660" s="801"/>
      <c r="C660" s="37"/>
      <c r="D660" s="37"/>
      <c r="E660" s="37"/>
      <c r="F660" s="37"/>
      <c r="G660" s="37"/>
      <c r="H660" s="37"/>
      <c r="I660" s="37"/>
      <c r="J660" s="37"/>
      <c r="K660" s="37"/>
      <c r="L660" s="37"/>
      <c r="M660" s="37"/>
      <c r="N660" s="37"/>
      <c r="O660" s="37"/>
      <c r="P660" s="37"/>
      <c r="Q660" s="37"/>
      <c r="R660" s="37"/>
      <c r="S660" s="37"/>
      <c r="T660" s="37"/>
      <c r="U660" s="37"/>
      <c r="V660" s="37"/>
      <c r="W660" s="37"/>
      <c r="X660" s="36"/>
      <c r="Y660" s="36"/>
      <c r="Z660" s="36"/>
      <c r="AA660" s="36"/>
      <c r="AB660" s="36"/>
      <c r="AC660" s="36"/>
      <c r="AD660" s="36"/>
      <c r="AE660" s="36"/>
    </row>
    <row r="661" spans="1:31" ht="15.75" customHeight="1" x14ac:dyDescent="0.25">
      <c r="A661" s="37"/>
      <c r="B661" s="801"/>
      <c r="C661" s="37"/>
      <c r="D661" s="37"/>
      <c r="E661" s="37"/>
      <c r="F661" s="37"/>
      <c r="G661" s="37"/>
      <c r="H661" s="37"/>
      <c r="I661" s="37"/>
      <c r="J661" s="37"/>
      <c r="K661" s="37"/>
      <c r="L661" s="37"/>
      <c r="M661" s="37"/>
      <c r="N661" s="37"/>
      <c r="O661" s="37"/>
      <c r="P661" s="37"/>
      <c r="Q661" s="37"/>
      <c r="R661" s="37"/>
      <c r="S661" s="37"/>
      <c r="T661" s="37"/>
      <c r="U661" s="37"/>
      <c r="V661" s="37"/>
      <c r="W661" s="37"/>
      <c r="X661" s="36"/>
      <c r="Y661" s="36"/>
      <c r="Z661" s="36"/>
      <c r="AA661" s="36"/>
      <c r="AB661" s="36"/>
      <c r="AC661" s="36"/>
      <c r="AD661" s="36"/>
      <c r="AE661" s="36"/>
    </row>
    <row r="662" spans="1:31" ht="15.75" customHeight="1" x14ac:dyDescent="0.25">
      <c r="A662" s="37"/>
      <c r="B662" s="801"/>
      <c r="C662" s="37"/>
      <c r="D662" s="37"/>
      <c r="E662" s="37"/>
      <c r="F662" s="37"/>
      <c r="G662" s="37"/>
      <c r="H662" s="37"/>
      <c r="I662" s="37"/>
      <c r="J662" s="37"/>
      <c r="K662" s="37"/>
      <c r="L662" s="37"/>
      <c r="M662" s="37"/>
      <c r="N662" s="37"/>
      <c r="O662" s="37"/>
      <c r="P662" s="37"/>
      <c r="Q662" s="37"/>
      <c r="R662" s="37"/>
      <c r="S662" s="37"/>
      <c r="T662" s="37"/>
      <c r="U662" s="37"/>
      <c r="V662" s="37"/>
      <c r="W662" s="37"/>
      <c r="X662" s="36"/>
      <c r="Y662" s="36"/>
      <c r="Z662" s="36"/>
      <c r="AA662" s="36"/>
      <c r="AB662" s="36"/>
      <c r="AC662" s="36"/>
      <c r="AD662" s="36"/>
      <c r="AE662" s="36"/>
    </row>
    <row r="663" spans="1:31" ht="15.75" customHeight="1" x14ac:dyDescent="0.25">
      <c r="A663" s="37"/>
      <c r="B663" s="801"/>
      <c r="C663" s="37"/>
      <c r="D663" s="37"/>
      <c r="E663" s="37"/>
      <c r="F663" s="37"/>
      <c r="G663" s="37"/>
      <c r="H663" s="37"/>
      <c r="I663" s="37"/>
      <c r="J663" s="37"/>
      <c r="K663" s="37"/>
      <c r="L663" s="37"/>
      <c r="M663" s="37"/>
      <c r="N663" s="37"/>
      <c r="O663" s="37"/>
      <c r="P663" s="37"/>
      <c r="Q663" s="37"/>
      <c r="R663" s="37"/>
      <c r="S663" s="37"/>
      <c r="T663" s="37"/>
      <c r="U663" s="37"/>
      <c r="V663" s="37"/>
      <c r="W663" s="37"/>
      <c r="X663" s="36"/>
      <c r="Y663" s="36"/>
      <c r="Z663" s="36"/>
      <c r="AA663" s="36"/>
      <c r="AB663" s="36"/>
      <c r="AC663" s="36"/>
      <c r="AD663" s="36"/>
      <c r="AE663" s="36"/>
    </row>
    <row r="664" spans="1:31" ht="15.75" customHeight="1" x14ac:dyDescent="0.25">
      <c r="A664" s="37"/>
      <c r="B664" s="801"/>
      <c r="C664" s="37"/>
      <c r="D664" s="37"/>
      <c r="E664" s="37"/>
      <c r="F664" s="37"/>
      <c r="G664" s="37"/>
      <c r="H664" s="37"/>
      <c r="I664" s="37"/>
      <c r="J664" s="37"/>
      <c r="K664" s="37"/>
      <c r="L664" s="37"/>
      <c r="M664" s="37"/>
      <c r="N664" s="37"/>
      <c r="O664" s="37"/>
      <c r="P664" s="37"/>
      <c r="Q664" s="37"/>
      <c r="R664" s="37"/>
      <c r="S664" s="37"/>
      <c r="T664" s="37"/>
      <c r="U664" s="37"/>
      <c r="V664" s="37"/>
      <c r="W664" s="37"/>
      <c r="X664" s="36"/>
      <c r="Y664" s="36"/>
      <c r="Z664" s="36"/>
      <c r="AA664" s="36"/>
      <c r="AB664" s="36"/>
      <c r="AC664" s="36"/>
      <c r="AD664" s="36"/>
      <c r="AE664" s="36"/>
    </row>
    <row r="665" spans="1:31" ht="15.75" customHeight="1" x14ac:dyDescent="0.25">
      <c r="A665" s="37"/>
      <c r="B665" s="801"/>
      <c r="C665" s="37"/>
      <c r="D665" s="37"/>
      <c r="E665" s="37"/>
      <c r="F665" s="37"/>
      <c r="G665" s="37"/>
      <c r="H665" s="37"/>
      <c r="I665" s="37"/>
      <c r="J665" s="37"/>
      <c r="K665" s="37"/>
      <c r="L665" s="37"/>
      <c r="M665" s="37"/>
      <c r="N665" s="37"/>
      <c r="O665" s="37"/>
      <c r="P665" s="37"/>
      <c r="Q665" s="37"/>
      <c r="R665" s="37"/>
      <c r="S665" s="37"/>
      <c r="T665" s="37"/>
      <c r="U665" s="37"/>
      <c r="V665" s="37"/>
      <c r="W665" s="37"/>
      <c r="X665" s="36"/>
      <c r="Y665" s="36"/>
      <c r="Z665" s="36"/>
      <c r="AA665" s="36"/>
      <c r="AB665" s="36"/>
      <c r="AC665" s="36"/>
      <c r="AD665" s="36"/>
      <c r="AE665" s="36"/>
    </row>
    <row r="666" spans="1:31" ht="15.75" customHeight="1" x14ac:dyDescent="0.25">
      <c r="A666" s="37"/>
      <c r="B666" s="801"/>
      <c r="C666" s="37"/>
      <c r="D666" s="37"/>
      <c r="E666" s="37"/>
      <c r="F666" s="37"/>
      <c r="G666" s="37"/>
      <c r="H666" s="37"/>
      <c r="I666" s="37"/>
      <c r="J666" s="37"/>
      <c r="K666" s="37"/>
      <c r="L666" s="37"/>
      <c r="M666" s="37"/>
      <c r="N666" s="37"/>
      <c r="O666" s="37"/>
      <c r="P666" s="37"/>
      <c r="Q666" s="37"/>
      <c r="R666" s="37"/>
      <c r="S666" s="37"/>
      <c r="T666" s="37"/>
      <c r="U666" s="37"/>
      <c r="V666" s="37"/>
      <c r="W666" s="37"/>
      <c r="X666" s="36"/>
      <c r="Y666" s="36"/>
      <c r="Z666" s="36"/>
      <c r="AA666" s="36"/>
      <c r="AB666" s="36"/>
      <c r="AC666" s="36"/>
      <c r="AD666" s="36"/>
      <c r="AE666" s="36"/>
    </row>
    <row r="667" spans="1:31" ht="15.75" customHeight="1" x14ac:dyDescent="0.25">
      <c r="A667" s="37"/>
      <c r="B667" s="801"/>
      <c r="C667" s="37"/>
      <c r="D667" s="37"/>
      <c r="E667" s="37"/>
      <c r="F667" s="37"/>
      <c r="G667" s="37"/>
      <c r="H667" s="37"/>
      <c r="I667" s="37"/>
      <c r="J667" s="37"/>
      <c r="K667" s="37"/>
      <c r="L667" s="37"/>
      <c r="M667" s="37"/>
      <c r="N667" s="37"/>
      <c r="O667" s="37"/>
      <c r="P667" s="37"/>
      <c r="Q667" s="37"/>
      <c r="R667" s="37"/>
      <c r="S667" s="37"/>
      <c r="T667" s="37"/>
      <c r="U667" s="37"/>
      <c r="V667" s="37"/>
      <c r="W667" s="37"/>
      <c r="X667" s="36"/>
      <c r="Y667" s="36"/>
      <c r="Z667" s="36"/>
      <c r="AA667" s="36"/>
      <c r="AB667" s="36"/>
      <c r="AC667" s="36"/>
      <c r="AD667" s="36"/>
      <c r="AE667" s="36"/>
    </row>
    <row r="668" spans="1:31" ht="15.75" customHeight="1" x14ac:dyDescent="0.25">
      <c r="A668" s="37"/>
      <c r="B668" s="801"/>
      <c r="C668" s="37"/>
      <c r="D668" s="37"/>
      <c r="E668" s="37"/>
      <c r="F668" s="37"/>
      <c r="G668" s="37"/>
      <c r="H668" s="37"/>
      <c r="I668" s="37"/>
      <c r="J668" s="37"/>
      <c r="K668" s="37"/>
      <c r="L668" s="37"/>
      <c r="M668" s="37"/>
      <c r="N668" s="37"/>
      <c r="O668" s="37"/>
      <c r="P668" s="37"/>
      <c r="Q668" s="37"/>
      <c r="R668" s="37"/>
      <c r="S668" s="37"/>
      <c r="T668" s="37"/>
      <c r="U668" s="37"/>
      <c r="V668" s="37"/>
      <c r="W668" s="37"/>
      <c r="X668" s="36"/>
      <c r="Y668" s="36"/>
      <c r="Z668" s="36"/>
      <c r="AA668" s="36"/>
      <c r="AB668" s="36"/>
      <c r="AC668" s="36"/>
      <c r="AD668" s="36"/>
      <c r="AE668" s="36"/>
    </row>
    <row r="669" spans="1:31" ht="15.75" customHeight="1" x14ac:dyDescent="0.25">
      <c r="A669" s="37"/>
      <c r="B669" s="801"/>
      <c r="C669" s="37"/>
      <c r="D669" s="37"/>
      <c r="E669" s="37"/>
      <c r="F669" s="37"/>
      <c r="G669" s="37"/>
      <c r="H669" s="37"/>
      <c r="I669" s="37"/>
      <c r="J669" s="37"/>
      <c r="K669" s="37"/>
      <c r="L669" s="37"/>
      <c r="M669" s="37"/>
      <c r="N669" s="37"/>
      <c r="O669" s="37"/>
      <c r="P669" s="37"/>
      <c r="Q669" s="37"/>
      <c r="R669" s="37"/>
      <c r="S669" s="37"/>
      <c r="T669" s="37"/>
      <c r="U669" s="37"/>
      <c r="V669" s="37"/>
      <c r="W669" s="37"/>
      <c r="X669" s="36"/>
      <c r="Y669" s="36"/>
      <c r="Z669" s="36"/>
      <c r="AA669" s="36"/>
      <c r="AB669" s="36"/>
      <c r="AC669" s="36"/>
      <c r="AD669" s="36"/>
      <c r="AE669" s="36"/>
    </row>
    <row r="670" spans="1:31" ht="15.75" customHeight="1" x14ac:dyDescent="0.25">
      <c r="A670" s="37"/>
      <c r="B670" s="801"/>
      <c r="C670" s="37"/>
      <c r="D670" s="37"/>
      <c r="E670" s="37"/>
      <c r="F670" s="37"/>
      <c r="G670" s="37"/>
      <c r="H670" s="37"/>
      <c r="I670" s="37"/>
      <c r="J670" s="37"/>
      <c r="K670" s="37"/>
      <c r="L670" s="37"/>
      <c r="M670" s="37"/>
      <c r="N670" s="37"/>
      <c r="O670" s="37"/>
      <c r="P670" s="37"/>
      <c r="Q670" s="37"/>
      <c r="R670" s="37"/>
      <c r="S670" s="37"/>
      <c r="T670" s="37"/>
      <c r="U670" s="37"/>
      <c r="V670" s="37"/>
      <c r="W670" s="37"/>
      <c r="X670" s="36"/>
      <c r="Y670" s="36"/>
      <c r="Z670" s="36"/>
      <c r="AA670" s="36"/>
      <c r="AB670" s="36"/>
      <c r="AC670" s="36"/>
      <c r="AD670" s="36"/>
      <c r="AE670" s="36"/>
    </row>
    <row r="671" spans="1:31" ht="15.75" customHeight="1" x14ac:dyDescent="0.25">
      <c r="A671" s="37"/>
      <c r="B671" s="801"/>
      <c r="C671" s="37"/>
      <c r="D671" s="37"/>
      <c r="E671" s="37"/>
      <c r="F671" s="37"/>
      <c r="G671" s="37"/>
      <c r="H671" s="37"/>
      <c r="I671" s="37"/>
      <c r="J671" s="37"/>
      <c r="K671" s="37"/>
      <c r="L671" s="37"/>
      <c r="M671" s="37"/>
      <c r="N671" s="37"/>
      <c r="O671" s="37"/>
      <c r="P671" s="37"/>
      <c r="Q671" s="37"/>
      <c r="R671" s="37"/>
      <c r="S671" s="37"/>
      <c r="T671" s="37"/>
      <c r="U671" s="37"/>
      <c r="V671" s="37"/>
      <c r="W671" s="37"/>
      <c r="X671" s="36"/>
      <c r="Y671" s="36"/>
      <c r="Z671" s="36"/>
      <c r="AA671" s="36"/>
      <c r="AB671" s="36"/>
      <c r="AC671" s="36"/>
      <c r="AD671" s="36"/>
      <c r="AE671" s="36"/>
    </row>
    <row r="672" spans="1:31" ht="15.75" customHeight="1" x14ac:dyDescent="0.25">
      <c r="A672" s="37"/>
      <c r="B672" s="801"/>
      <c r="C672" s="37"/>
      <c r="D672" s="37"/>
      <c r="E672" s="37"/>
      <c r="F672" s="37"/>
      <c r="G672" s="37"/>
      <c r="H672" s="37"/>
      <c r="I672" s="37"/>
      <c r="J672" s="37"/>
      <c r="K672" s="37"/>
      <c r="L672" s="37"/>
      <c r="M672" s="37"/>
      <c r="N672" s="37"/>
      <c r="O672" s="37"/>
      <c r="P672" s="37"/>
      <c r="Q672" s="37"/>
      <c r="R672" s="37"/>
      <c r="S672" s="37"/>
      <c r="T672" s="37"/>
      <c r="U672" s="37"/>
      <c r="V672" s="37"/>
      <c r="W672" s="37"/>
      <c r="X672" s="36"/>
      <c r="Y672" s="36"/>
      <c r="Z672" s="36"/>
      <c r="AA672" s="36"/>
      <c r="AB672" s="36"/>
      <c r="AC672" s="36"/>
      <c r="AD672" s="36"/>
      <c r="AE672" s="36"/>
    </row>
    <row r="673" spans="1:31" ht="15.75" customHeight="1" x14ac:dyDescent="0.25">
      <c r="A673" s="37"/>
      <c r="B673" s="801"/>
      <c r="C673" s="37"/>
      <c r="D673" s="37"/>
      <c r="E673" s="37"/>
      <c r="F673" s="37"/>
      <c r="G673" s="37"/>
      <c r="H673" s="37"/>
      <c r="I673" s="37"/>
      <c r="J673" s="37"/>
      <c r="K673" s="37"/>
      <c r="L673" s="37"/>
      <c r="M673" s="37"/>
      <c r="N673" s="37"/>
      <c r="O673" s="37"/>
      <c r="P673" s="37"/>
      <c r="Q673" s="37"/>
      <c r="R673" s="37"/>
      <c r="S673" s="37"/>
      <c r="T673" s="37"/>
      <c r="U673" s="37"/>
      <c r="V673" s="37"/>
      <c r="W673" s="37"/>
      <c r="X673" s="36"/>
      <c r="Y673" s="36"/>
      <c r="Z673" s="36"/>
      <c r="AA673" s="36"/>
      <c r="AB673" s="36"/>
      <c r="AC673" s="36"/>
      <c r="AD673" s="36"/>
      <c r="AE673" s="36"/>
    </row>
    <row r="674" spans="1:31" ht="15.75" customHeight="1" x14ac:dyDescent="0.25">
      <c r="A674" s="37"/>
      <c r="B674" s="801"/>
      <c r="C674" s="37"/>
      <c r="D674" s="37"/>
      <c r="E674" s="37"/>
      <c r="F674" s="37"/>
      <c r="G674" s="37"/>
      <c r="H674" s="37"/>
      <c r="I674" s="37"/>
      <c r="J674" s="37"/>
      <c r="K674" s="37"/>
      <c r="L674" s="37"/>
      <c r="M674" s="37"/>
      <c r="N674" s="37"/>
      <c r="O674" s="37"/>
      <c r="P674" s="37"/>
      <c r="Q674" s="37"/>
      <c r="R674" s="37"/>
      <c r="S674" s="37"/>
      <c r="T674" s="37"/>
      <c r="U674" s="37"/>
      <c r="V674" s="37"/>
      <c r="W674" s="37"/>
      <c r="X674" s="36"/>
      <c r="Y674" s="36"/>
      <c r="Z674" s="36"/>
      <c r="AA674" s="36"/>
      <c r="AB674" s="36"/>
      <c r="AC674" s="36"/>
      <c r="AD674" s="36"/>
      <c r="AE674" s="36"/>
    </row>
    <row r="675" spans="1:31" ht="15.75" customHeight="1" x14ac:dyDescent="0.25">
      <c r="A675" s="37"/>
      <c r="B675" s="801"/>
      <c r="C675" s="37"/>
      <c r="D675" s="37"/>
      <c r="E675" s="37"/>
      <c r="F675" s="37"/>
      <c r="G675" s="37"/>
      <c r="H675" s="37"/>
      <c r="I675" s="37"/>
      <c r="J675" s="37"/>
      <c r="K675" s="37"/>
      <c r="L675" s="37"/>
      <c r="M675" s="37"/>
      <c r="N675" s="37"/>
      <c r="O675" s="37"/>
      <c r="P675" s="37"/>
      <c r="Q675" s="37"/>
      <c r="R675" s="37"/>
      <c r="S675" s="37"/>
      <c r="T675" s="37"/>
      <c r="U675" s="37"/>
      <c r="V675" s="37"/>
      <c r="W675" s="37"/>
      <c r="X675" s="36"/>
      <c r="Y675" s="36"/>
      <c r="Z675" s="36"/>
      <c r="AA675" s="36"/>
      <c r="AB675" s="36"/>
      <c r="AC675" s="36"/>
      <c r="AD675" s="36"/>
      <c r="AE675" s="36"/>
    </row>
    <row r="676" spans="1:31" ht="15.75" customHeight="1" x14ac:dyDescent="0.25">
      <c r="A676" s="37"/>
      <c r="B676" s="801"/>
      <c r="C676" s="37"/>
      <c r="D676" s="37"/>
      <c r="E676" s="37"/>
      <c r="F676" s="37"/>
      <c r="G676" s="37"/>
      <c r="H676" s="37"/>
      <c r="I676" s="37"/>
      <c r="J676" s="37"/>
      <c r="K676" s="37"/>
      <c r="L676" s="37"/>
      <c r="M676" s="37"/>
      <c r="N676" s="37"/>
      <c r="O676" s="37"/>
      <c r="P676" s="37"/>
      <c r="Q676" s="37"/>
      <c r="R676" s="37"/>
      <c r="S676" s="37"/>
      <c r="T676" s="37"/>
      <c r="U676" s="37"/>
      <c r="V676" s="37"/>
      <c r="W676" s="37"/>
      <c r="X676" s="36"/>
      <c r="Y676" s="36"/>
      <c r="Z676" s="36"/>
      <c r="AA676" s="36"/>
      <c r="AB676" s="36"/>
      <c r="AC676" s="36"/>
      <c r="AD676" s="36"/>
      <c r="AE676" s="36"/>
    </row>
    <row r="677" spans="1:31" ht="15.75" customHeight="1" x14ac:dyDescent="0.25">
      <c r="A677" s="37"/>
      <c r="B677" s="801"/>
      <c r="C677" s="37"/>
      <c r="D677" s="37"/>
      <c r="E677" s="37"/>
      <c r="F677" s="37"/>
      <c r="G677" s="37"/>
      <c r="H677" s="37"/>
      <c r="I677" s="37"/>
      <c r="J677" s="37"/>
      <c r="K677" s="37"/>
      <c r="L677" s="37"/>
      <c r="M677" s="37"/>
      <c r="N677" s="37"/>
      <c r="O677" s="37"/>
      <c r="P677" s="37"/>
      <c r="Q677" s="37"/>
      <c r="R677" s="37"/>
      <c r="S677" s="37"/>
      <c r="T677" s="37"/>
      <c r="U677" s="37"/>
      <c r="V677" s="37"/>
      <c r="W677" s="37"/>
      <c r="X677" s="36"/>
      <c r="Y677" s="36"/>
      <c r="Z677" s="36"/>
      <c r="AA677" s="36"/>
      <c r="AB677" s="36"/>
      <c r="AC677" s="36"/>
      <c r="AD677" s="36"/>
      <c r="AE677" s="36"/>
    </row>
    <row r="678" spans="1:31" ht="15.75" customHeight="1" x14ac:dyDescent="0.25">
      <c r="A678" s="37"/>
      <c r="B678" s="801"/>
      <c r="C678" s="37"/>
      <c r="D678" s="37"/>
      <c r="E678" s="37"/>
      <c r="F678" s="37"/>
      <c r="G678" s="37"/>
      <c r="H678" s="37"/>
      <c r="I678" s="37"/>
      <c r="J678" s="37"/>
      <c r="K678" s="37"/>
      <c r="L678" s="37"/>
      <c r="M678" s="37"/>
      <c r="N678" s="37"/>
      <c r="O678" s="37"/>
      <c r="P678" s="37"/>
      <c r="Q678" s="37"/>
      <c r="R678" s="37"/>
      <c r="S678" s="37"/>
      <c r="T678" s="37"/>
      <c r="U678" s="37"/>
      <c r="V678" s="37"/>
      <c r="W678" s="37"/>
      <c r="X678" s="36"/>
      <c r="Y678" s="36"/>
      <c r="Z678" s="36"/>
      <c r="AA678" s="36"/>
      <c r="AB678" s="36"/>
      <c r="AC678" s="36"/>
      <c r="AD678" s="36"/>
      <c r="AE678" s="36"/>
    </row>
    <row r="679" spans="1:31" ht="15.75" customHeight="1" x14ac:dyDescent="0.25">
      <c r="A679" s="37"/>
      <c r="B679" s="801"/>
      <c r="C679" s="37"/>
      <c r="D679" s="37"/>
      <c r="E679" s="37"/>
      <c r="F679" s="37"/>
      <c r="G679" s="37"/>
      <c r="H679" s="37"/>
      <c r="I679" s="37"/>
      <c r="J679" s="37"/>
      <c r="K679" s="37"/>
      <c r="L679" s="37"/>
      <c r="M679" s="37"/>
      <c r="N679" s="37"/>
      <c r="O679" s="37"/>
      <c r="P679" s="37"/>
      <c r="Q679" s="37"/>
      <c r="R679" s="37"/>
      <c r="S679" s="37"/>
      <c r="T679" s="37"/>
      <c r="U679" s="37"/>
      <c r="V679" s="37"/>
      <c r="W679" s="37"/>
      <c r="X679" s="36"/>
      <c r="Y679" s="36"/>
      <c r="Z679" s="36"/>
      <c r="AA679" s="36"/>
      <c r="AB679" s="36"/>
      <c r="AC679" s="36"/>
      <c r="AD679" s="36"/>
      <c r="AE679" s="36"/>
    </row>
    <row r="680" spans="1:31" ht="15.75" customHeight="1" x14ac:dyDescent="0.25">
      <c r="A680" s="37"/>
      <c r="B680" s="801"/>
      <c r="C680" s="37"/>
      <c r="D680" s="37"/>
      <c r="E680" s="37"/>
      <c r="F680" s="37"/>
      <c r="G680" s="37"/>
      <c r="H680" s="37"/>
      <c r="I680" s="37"/>
      <c r="J680" s="37"/>
      <c r="K680" s="37"/>
      <c r="L680" s="37"/>
      <c r="M680" s="37"/>
      <c r="N680" s="37"/>
      <c r="O680" s="37"/>
      <c r="P680" s="37"/>
      <c r="Q680" s="37"/>
      <c r="R680" s="37"/>
      <c r="S680" s="37"/>
      <c r="T680" s="37"/>
      <c r="U680" s="37"/>
      <c r="V680" s="37"/>
      <c r="W680" s="37"/>
      <c r="X680" s="36"/>
      <c r="Y680" s="36"/>
      <c r="Z680" s="36"/>
      <c r="AA680" s="36"/>
      <c r="AB680" s="36"/>
      <c r="AC680" s="36"/>
      <c r="AD680" s="36"/>
      <c r="AE680" s="36"/>
    </row>
    <row r="681" spans="1:31" ht="15.75" customHeight="1" x14ac:dyDescent="0.25">
      <c r="A681" s="37"/>
      <c r="B681" s="801"/>
      <c r="C681" s="37"/>
      <c r="D681" s="37"/>
      <c r="E681" s="37"/>
      <c r="F681" s="37"/>
      <c r="G681" s="37"/>
      <c r="H681" s="37"/>
      <c r="I681" s="37"/>
      <c r="J681" s="37"/>
      <c r="K681" s="37"/>
      <c r="L681" s="37"/>
      <c r="M681" s="37"/>
      <c r="N681" s="37"/>
      <c r="O681" s="37"/>
      <c r="P681" s="37"/>
      <c r="Q681" s="37"/>
      <c r="R681" s="37"/>
      <c r="S681" s="37"/>
      <c r="T681" s="37"/>
      <c r="U681" s="37"/>
      <c r="V681" s="37"/>
      <c r="W681" s="37"/>
      <c r="X681" s="36"/>
      <c r="Y681" s="36"/>
      <c r="Z681" s="36"/>
      <c r="AA681" s="36"/>
      <c r="AB681" s="36"/>
      <c r="AC681" s="36"/>
      <c r="AD681" s="36"/>
      <c r="AE681" s="36"/>
    </row>
    <row r="682" spans="1:31" ht="15.75" customHeight="1" x14ac:dyDescent="0.25">
      <c r="A682" s="37"/>
      <c r="B682" s="801"/>
      <c r="C682" s="37"/>
      <c r="D682" s="37"/>
      <c r="E682" s="37"/>
      <c r="F682" s="37"/>
      <c r="G682" s="37"/>
      <c r="H682" s="37"/>
      <c r="I682" s="37"/>
      <c r="J682" s="37"/>
      <c r="K682" s="37"/>
      <c r="L682" s="37"/>
      <c r="M682" s="37"/>
      <c r="N682" s="37"/>
      <c r="O682" s="37"/>
      <c r="P682" s="37"/>
      <c r="Q682" s="37"/>
      <c r="R682" s="37"/>
      <c r="S682" s="37"/>
      <c r="T682" s="37"/>
      <c r="U682" s="37"/>
      <c r="V682" s="37"/>
      <c r="W682" s="37"/>
      <c r="X682" s="36"/>
      <c r="Y682" s="36"/>
      <c r="Z682" s="36"/>
      <c r="AA682" s="36"/>
      <c r="AB682" s="36"/>
      <c r="AC682" s="36"/>
      <c r="AD682" s="36"/>
      <c r="AE682" s="36"/>
    </row>
    <row r="683" spans="1:31" ht="15.75" customHeight="1" x14ac:dyDescent="0.25">
      <c r="A683" s="37"/>
      <c r="B683" s="801"/>
      <c r="C683" s="37"/>
      <c r="D683" s="37"/>
      <c r="E683" s="37"/>
      <c r="F683" s="37"/>
      <c r="G683" s="37"/>
      <c r="H683" s="37"/>
      <c r="I683" s="37"/>
      <c r="J683" s="37"/>
      <c r="K683" s="37"/>
      <c r="L683" s="37"/>
      <c r="M683" s="37"/>
      <c r="N683" s="37"/>
      <c r="O683" s="37"/>
      <c r="P683" s="37"/>
      <c r="Q683" s="37"/>
      <c r="R683" s="37"/>
      <c r="S683" s="37"/>
      <c r="T683" s="37"/>
      <c r="U683" s="37"/>
      <c r="V683" s="37"/>
      <c r="W683" s="37"/>
      <c r="X683" s="36"/>
      <c r="Y683" s="36"/>
      <c r="Z683" s="36"/>
      <c r="AA683" s="36"/>
      <c r="AB683" s="36"/>
      <c r="AC683" s="36"/>
      <c r="AD683" s="36"/>
      <c r="AE683" s="36"/>
    </row>
    <row r="684" spans="1:31" ht="15.75" customHeight="1" x14ac:dyDescent="0.25">
      <c r="A684" s="37"/>
      <c r="B684" s="801"/>
      <c r="C684" s="37"/>
      <c r="D684" s="37"/>
      <c r="E684" s="37"/>
      <c r="F684" s="37"/>
      <c r="G684" s="37"/>
      <c r="H684" s="37"/>
      <c r="I684" s="37"/>
      <c r="J684" s="37"/>
      <c r="K684" s="37"/>
      <c r="L684" s="37"/>
      <c r="M684" s="37"/>
      <c r="N684" s="37"/>
      <c r="O684" s="37"/>
      <c r="P684" s="37"/>
      <c r="Q684" s="37"/>
      <c r="R684" s="37"/>
      <c r="S684" s="37"/>
      <c r="T684" s="37"/>
      <c r="U684" s="37"/>
      <c r="V684" s="37"/>
      <c r="W684" s="37"/>
      <c r="X684" s="36"/>
      <c r="Y684" s="36"/>
      <c r="Z684" s="36"/>
      <c r="AA684" s="36"/>
      <c r="AB684" s="36"/>
      <c r="AC684" s="36"/>
      <c r="AD684" s="36"/>
      <c r="AE684" s="36"/>
    </row>
    <row r="685" spans="1:31" ht="15.75" customHeight="1" x14ac:dyDescent="0.25">
      <c r="A685" s="37"/>
      <c r="B685" s="801"/>
      <c r="C685" s="37"/>
      <c r="D685" s="37"/>
      <c r="E685" s="37"/>
      <c r="F685" s="37"/>
      <c r="G685" s="37"/>
      <c r="H685" s="37"/>
      <c r="I685" s="37"/>
      <c r="J685" s="37"/>
      <c r="K685" s="37"/>
      <c r="L685" s="37"/>
      <c r="M685" s="37"/>
      <c r="N685" s="37"/>
      <c r="O685" s="37"/>
      <c r="P685" s="37"/>
      <c r="Q685" s="37"/>
      <c r="R685" s="37"/>
      <c r="S685" s="37"/>
      <c r="T685" s="37"/>
      <c r="U685" s="37"/>
      <c r="V685" s="37"/>
      <c r="W685" s="37"/>
      <c r="X685" s="36"/>
      <c r="Y685" s="36"/>
      <c r="Z685" s="36"/>
      <c r="AA685" s="36"/>
      <c r="AB685" s="36"/>
      <c r="AC685" s="36"/>
      <c r="AD685" s="36"/>
      <c r="AE685" s="36"/>
    </row>
    <row r="686" spans="1:31" ht="15.75" customHeight="1" x14ac:dyDescent="0.25">
      <c r="A686" s="37"/>
      <c r="B686" s="801"/>
      <c r="C686" s="37"/>
      <c r="D686" s="37"/>
      <c r="E686" s="37"/>
      <c r="F686" s="37"/>
      <c r="G686" s="37"/>
      <c r="H686" s="37"/>
      <c r="I686" s="37"/>
      <c r="J686" s="37"/>
      <c r="K686" s="37"/>
      <c r="L686" s="37"/>
      <c r="M686" s="37"/>
      <c r="N686" s="37"/>
      <c r="O686" s="37"/>
      <c r="P686" s="37"/>
      <c r="Q686" s="37"/>
      <c r="R686" s="37"/>
      <c r="S686" s="37"/>
      <c r="T686" s="37"/>
      <c r="U686" s="37"/>
      <c r="V686" s="37"/>
      <c r="W686" s="37"/>
      <c r="X686" s="36"/>
      <c r="Y686" s="36"/>
      <c r="Z686" s="36"/>
      <c r="AA686" s="36"/>
      <c r="AB686" s="36"/>
      <c r="AC686" s="36"/>
      <c r="AD686" s="36"/>
      <c r="AE686" s="36"/>
    </row>
    <row r="687" spans="1:31" ht="15.75" customHeight="1" x14ac:dyDescent="0.25">
      <c r="A687" s="37"/>
      <c r="B687" s="801"/>
      <c r="C687" s="37"/>
      <c r="D687" s="37"/>
      <c r="E687" s="37"/>
      <c r="F687" s="37"/>
      <c r="G687" s="37"/>
      <c r="H687" s="37"/>
      <c r="I687" s="37"/>
      <c r="J687" s="37"/>
      <c r="K687" s="37"/>
      <c r="L687" s="37"/>
      <c r="M687" s="37"/>
      <c r="N687" s="37"/>
      <c r="O687" s="37"/>
      <c r="P687" s="37"/>
      <c r="Q687" s="37"/>
      <c r="R687" s="37"/>
      <c r="S687" s="37"/>
      <c r="T687" s="37"/>
      <c r="U687" s="37"/>
      <c r="V687" s="37"/>
      <c r="W687" s="37"/>
      <c r="X687" s="36"/>
      <c r="Y687" s="36"/>
      <c r="Z687" s="36"/>
      <c r="AA687" s="36"/>
      <c r="AB687" s="36"/>
      <c r="AC687" s="36"/>
      <c r="AD687" s="36"/>
      <c r="AE687" s="36"/>
    </row>
    <row r="688" spans="1:31" ht="15.75" customHeight="1" x14ac:dyDescent="0.25">
      <c r="A688" s="37"/>
      <c r="B688" s="801"/>
      <c r="C688" s="37"/>
      <c r="D688" s="37"/>
      <c r="E688" s="37"/>
      <c r="F688" s="37"/>
      <c r="G688" s="37"/>
      <c r="H688" s="37"/>
      <c r="I688" s="37"/>
      <c r="J688" s="37"/>
      <c r="K688" s="37"/>
      <c r="L688" s="37"/>
      <c r="M688" s="37"/>
      <c r="N688" s="37"/>
      <c r="O688" s="37"/>
      <c r="P688" s="37"/>
      <c r="Q688" s="37"/>
      <c r="R688" s="37"/>
      <c r="S688" s="37"/>
      <c r="T688" s="37"/>
      <c r="U688" s="37"/>
      <c r="V688" s="37"/>
      <c r="W688" s="37"/>
      <c r="X688" s="36"/>
      <c r="Y688" s="36"/>
      <c r="Z688" s="36"/>
      <c r="AA688" s="36"/>
      <c r="AB688" s="36"/>
      <c r="AC688" s="36"/>
      <c r="AD688" s="36"/>
      <c r="AE688" s="36"/>
    </row>
    <row r="689" spans="1:31" ht="15.75" customHeight="1" x14ac:dyDescent="0.25">
      <c r="A689" s="37"/>
      <c r="B689" s="801"/>
      <c r="C689" s="37"/>
      <c r="D689" s="37"/>
      <c r="E689" s="37"/>
      <c r="F689" s="37"/>
      <c r="G689" s="37"/>
      <c r="H689" s="37"/>
      <c r="I689" s="37"/>
      <c r="J689" s="37"/>
      <c r="K689" s="37"/>
      <c r="L689" s="37"/>
      <c r="M689" s="37"/>
      <c r="N689" s="37"/>
      <c r="O689" s="37"/>
      <c r="P689" s="37"/>
      <c r="Q689" s="37"/>
      <c r="R689" s="37"/>
      <c r="S689" s="37"/>
      <c r="T689" s="37"/>
      <c r="U689" s="37"/>
      <c r="V689" s="37"/>
      <c r="W689" s="37"/>
      <c r="X689" s="36"/>
      <c r="Y689" s="36"/>
      <c r="Z689" s="36"/>
      <c r="AA689" s="36"/>
      <c r="AB689" s="36"/>
      <c r="AC689" s="36"/>
      <c r="AD689" s="36"/>
      <c r="AE689" s="36"/>
    </row>
    <row r="690" spans="1:31" ht="15.75" customHeight="1" x14ac:dyDescent="0.25">
      <c r="A690" s="37"/>
      <c r="B690" s="801"/>
      <c r="C690" s="37"/>
      <c r="D690" s="37"/>
      <c r="E690" s="37"/>
      <c r="F690" s="37"/>
      <c r="G690" s="37"/>
      <c r="H690" s="37"/>
      <c r="I690" s="37"/>
      <c r="J690" s="37"/>
      <c r="K690" s="37"/>
      <c r="L690" s="37"/>
      <c r="M690" s="37"/>
      <c r="N690" s="37"/>
      <c r="O690" s="37"/>
      <c r="P690" s="37"/>
      <c r="Q690" s="37"/>
      <c r="R690" s="37"/>
      <c r="S690" s="37"/>
      <c r="T690" s="37"/>
      <c r="U690" s="37"/>
      <c r="V690" s="37"/>
      <c r="W690" s="37"/>
      <c r="X690" s="36"/>
      <c r="Y690" s="36"/>
      <c r="Z690" s="36"/>
      <c r="AA690" s="36"/>
      <c r="AB690" s="36"/>
      <c r="AC690" s="36"/>
      <c r="AD690" s="36"/>
      <c r="AE690" s="36"/>
    </row>
    <row r="691" spans="1:31" ht="15.75" customHeight="1" x14ac:dyDescent="0.25">
      <c r="A691" s="37"/>
      <c r="B691" s="801"/>
      <c r="C691" s="37"/>
      <c r="D691" s="37"/>
      <c r="E691" s="37"/>
      <c r="F691" s="37"/>
      <c r="G691" s="37"/>
      <c r="H691" s="37"/>
      <c r="I691" s="37"/>
      <c r="J691" s="37"/>
      <c r="K691" s="37"/>
      <c r="L691" s="37"/>
      <c r="M691" s="37"/>
      <c r="N691" s="37"/>
      <c r="O691" s="37"/>
      <c r="P691" s="37"/>
      <c r="Q691" s="37"/>
      <c r="R691" s="37"/>
      <c r="S691" s="37"/>
      <c r="T691" s="37"/>
      <c r="U691" s="37"/>
      <c r="V691" s="37"/>
      <c r="W691" s="37"/>
      <c r="X691" s="36"/>
      <c r="Y691" s="36"/>
      <c r="Z691" s="36"/>
      <c r="AA691" s="36"/>
      <c r="AB691" s="36"/>
      <c r="AC691" s="36"/>
      <c r="AD691" s="36"/>
      <c r="AE691" s="36"/>
    </row>
    <row r="692" spans="1:31" ht="15.75" customHeight="1" x14ac:dyDescent="0.25">
      <c r="A692" s="37"/>
      <c r="B692" s="801"/>
      <c r="C692" s="37"/>
      <c r="D692" s="37"/>
      <c r="E692" s="37"/>
      <c r="F692" s="37"/>
      <c r="G692" s="37"/>
      <c r="H692" s="37"/>
      <c r="I692" s="37"/>
      <c r="J692" s="37"/>
      <c r="K692" s="37"/>
      <c r="L692" s="37"/>
      <c r="M692" s="37"/>
      <c r="N692" s="37"/>
      <c r="O692" s="37"/>
      <c r="P692" s="37"/>
      <c r="Q692" s="37"/>
      <c r="R692" s="37"/>
      <c r="S692" s="37"/>
      <c r="T692" s="37"/>
      <c r="U692" s="37"/>
      <c r="V692" s="37"/>
      <c r="W692" s="37"/>
      <c r="X692" s="36"/>
      <c r="Y692" s="36"/>
      <c r="Z692" s="36"/>
      <c r="AA692" s="36"/>
      <c r="AB692" s="36"/>
      <c r="AC692" s="36"/>
      <c r="AD692" s="36"/>
      <c r="AE692" s="36"/>
    </row>
    <row r="693" spans="1:31" ht="15.75" customHeight="1" x14ac:dyDescent="0.25">
      <c r="A693" s="37"/>
      <c r="B693" s="801"/>
      <c r="C693" s="37"/>
      <c r="D693" s="37"/>
      <c r="E693" s="37"/>
      <c r="F693" s="37"/>
      <c r="G693" s="37"/>
      <c r="H693" s="37"/>
      <c r="I693" s="37"/>
      <c r="J693" s="37"/>
      <c r="K693" s="37"/>
      <c r="L693" s="37"/>
      <c r="M693" s="37"/>
      <c r="N693" s="37"/>
      <c r="O693" s="37"/>
      <c r="P693" s="37"/>
      <c r="Q693" s="37"/>
      <c r="R693" s="37"/>
      <c r="S693" s="37"/>
      <c r="T693" s="37"/>
      <c r="U693" s="37"/>
      <c r="V693" s="37"/>
      <c r="W693" s="37"/>
      <c r="X693" s="36"/>
      <c r="Y693" s="36"/>
      <c r="Z693" s="36"/>
      <c r="AA693" s="36"/>
      <c r="AB693" s="36"/>
      <c r="AC693" s="36"/>
      <c r="AD693" s="36"/>
      <c r="AE693" s="36"/>
    </row>
    <row r="694" spans="1:31" ht="15.75" customHeight="1" x14ac:dyDescent="0.25">
      <c r="A694" s="37"/>
      <c r="B694" s="801"/>
      <c r="C694" s="37"/>
      <c r="D694" s="37"/>
      <c r="E694" s="37"/>
      <c r="F694" s="37"/>
      <c r="G694" s="37"/>
      <c r="H694" s="37"/>
      <c r="I694" s="37"/>
      <c r="J694" s="37"/>
      <c r="K694" s="37"/>
      <c r="L694" s="37"/>
      <c r="M694" s="37"/>
      <c r="N694" s="37"/>
      <c r="O694" s="37"/>
      <c r="P694" s="37"/>
      <c r="Q694" s="37"/>
      <c r="R694" s="37"/>
      <c r="S694" s="37"/>
      <c r="T694" s="37"/>
      <c r="U694" s="37"/>
      <c r="V694" s="37"/>
      <c r="W694" s="37"/>
      <c r="X694" s="36"/>
      <c r="Y694" s="36"/>
      <c r="Z694" s="36"/>
      <c r="AA694" s="36"/>
      <c r="AB694" s="36"/>
      <c r="AC694" s="36"/>
      <c r="AD694" s="36"/>
      <c r="AE694" s="36"/>
    </row>
    <row r="695" spans="1:31" ht="15.75" customHeight="1" x14ac:dyDescent="0.25">
      <c r="A695" s="37"/>
      <c r="B695" s="801"/>
      <c r="C695" s="37"/>
      <c r="D695" s="37"/>
      <c r="E695" s="37"/>
      <c r="F695" s="37"/>
      <c r="G695" s="37"/>
      <c r="H695" s="37"/>
      <c r="I695" s="37"/>
      <c r="J695" s="37"/>
      <c r="K695" s="37"/>
      <c r="L695" s="37"/>
      <c r="M695" s="37"/>
      <c r="N695" s="37"/>
      <c r="O695" s="37"/>
      <c r="P695" s="37"/>
      <c r="Q695" s="37"/>
      <c r="R695" s="37"/>
      <c r="S695" s="37"/>
      <c r="T695" s="37"/>
      <c r="U695" s="37"/>
      <c r="V695" s="37"/>
      <c r="W695" s="37"/>
      <c r="X695" s="36"/>
      <c r="Y695" s="36"/>
      <c r="Z695" s="36"/>
      <c r="AA695" s="36"/>
      <c r="AB695" s="36"/>
      <c r="AC695" s="36"/>
      <c r="AD695" s="36"/>
      <c r="AE695" s="36"/>
    </row>
    <row r="696" spans="1:31" ht="15.75" customHeight="1" x14ac:dyDescent="0.25">
      <c r="A696" s="37"/>
      <c r="B696" s="801"/>
      <c r="C696" s="37"/>
      <c r="D696" s="37"/>
      <c r="E696" s="37"/>
      <c r="F696" s="37"/>
      <c r="G696" s="37"/>
      <c r="H696" s="37"/>
      <c r="I696" s="37"/>
      <c r="J696" s="37"/>
      <c r="K696" s="37"/>
      <c r="L696" s="37"/>
      <c r="M696" s="37"/>
      <c r="N696" s="37"/>
      <c r="O696" s="37"/>
      <c r="P696" s="37"/>
      <c r="Q696" s="37"/>
      <c r="R696" s="37"/>
      <c r="S696" s="37"/>
      <c r="T696" s="37"/>
      <c r="U696" s="37"/>
      <c r="V696" s="37"/>
      <c r="W696" s="37"/>
      <c r="X696" s="36"/>
      <c r="Y696" s="36"/>
      <c r="Z696" s="36"/>
      <c r="AA696" s="36"/>
      <c r="AB696" s="36"/>
      <c r="AC696" s="36"/>
      <c r="AD696" s="36"/>
      <c r="AE696" s="36"/>
    </row>
    <row r="697" spans="1:31" ht="15.75" customHeight="1" x14ac:dyDescent="0.25">
      <c r="A697" s="37"/>
      <c r="B697" s="801"/>
      <c r="C697" s="37"/>
      <c r="D697" s="37"/>
      <c r="E697" s="37"/>
      <c r="F697" s="37"/>
      <c r="G697" s="37"/>
      <c r="H697" s="37"/>
      <c r="I697" s="37"/>
      <c r="J697" s="37"/>
      <c r="K697" s="37"/>
      <c r="L697" s="37"/>
      <c r="M697" s="37"/>
      <c r="N697" s="37"/>
      <c r="O697" s="37"/>
      <c r="P697" s="37"/>
      <c r="Q697" s="37"/>
      <c r="R697" s="37"/>
      <c r="S697" s="37"/>
      <c r="T697" s="37"/>
      <c r="U697" s="37"/>
      <c r="V697" s="37"/>
      <c r="W697" s="37"/>
      <c r="X697" s="36"/>
      <c r="Y697" s="36"/>
      <c r="Z697" s="36"/>
      <c r="AA697" s="36"/>
      <c r="AB697" s="36"/>
      <c r="AC697" s="36"/>
      <c r="AD697" s="36"/>
      <c r="AE697" s="36"/>
    </row>
    <row r="698" spans="1:31" ht="15.75" customHeight="1" x14ac:dyDescent="0.25">
      <c r="A698" s="37"/>
      <c r="B698" s="801"/>
      <c r="C698" s="37"/>
      <c r="D698" s="37"/>
      <c r="E698" s="37"/>
      <c r="F698" s="37"/>
      <c r="G698" s="37"/>
      <c r="H698" s="37"/>
      <c r="I698" s="37"/>
      <c r="J698" s="37"/>
      <c r="K698" s="37"/>
      <c r="L698" s="37"/>
      <c r="M698" s="37"/>
      <c r="N698" s="37"/>
      <c r="O698" s="37"/>
      <c r="P698" s="37"/>
      <c r="Q698" s="37"/>
      <c r="R698" s="37"/>
      <c r="S698" s="37"/>
      <c r="T698" s="37"/>
      <c r="U698" s="37"/>
      <c r="V698" s="37"/>
      <c r="W698" s="37"/>
      <c r="X698" s="36"/>
      <c r="Y698" s="36"/>
      <c r="Z698" s="36"/>
      <c r="AA698" s="36"/>
      <c r="AB698" s="36"/>
      <c r="AC698" s="36"/>
      <c r="AD698" s="36"/>
      <c r="AE698" s="36"/>
    </row>
    <row r="699" spans="1:31" ht="15.75" customHeight="1" x14ac:dyDescent="0.25">
      <c r="A699" s="37"/>
      <c r="B699" s="801"/>
      <c r="C699" s="37"/>
      <c r="D699" s="37"/>
      <c r="E699" s="37"/>
      <c r="F699" s="37"/>
      <c r="G699" s="37"/>
      <c r="H699" s="37"/>
      <c r="I699" s="37"/>
      <c r="J699" s="37"/>
      <c r="K699" s="37"/>
      <c r="L699" s="37"/>
      <c r="M699" s="37"/>
      <c r="N699" s="37"/>
      <c r="O699" s="37"/>
      <c r="P699" s="37"/>
      <c r="Q699" s="37"/>
      <c r="R699" s="37"/>
      <c r="S699" s="37"/>
      <c r="T699" s="37"/>
      <c r="U699" s="37"/>
      <c r="V699" s="37"/>
      <c r="W699" s="37"/>
      <c r="X699" s="36"/>
      <c r="Y699" s="36"/>
      <c r="Z699" s="36"/>
      <c r="AA699" s="36"/>
      <c r="AB699" s="36"/>
      <c r="AC699" s="36"/>
      <c r="AD699" s="36"/>
      <c r="AE699" s="36"/>
    </row>
    <row r="700" spans="1:31" ht="15.75" customHeight="1" x14ac:dyDescent="0.25">
      <c r="A700" s="37"/>
      <c r="B700" s="801"/>
      <c r="C700" s="37"/>
      <c r="D700" s="37"/>
      <c r="E700" s="37"/>
      <c r="F700" s="37"/>
      <c r="G700" s="37"/>
      <c r="H700" s="37"/>
      <c r="I700" s="37"/>
      <c r="J700" s="37"/>
      <c r="K700" s="37"/>
      <c r="L700" s="37"/>
      <c r="M700" s="37"/>
      <c r="N700" s="37"/>
      <c r="O700" s="37"/>
      <c r="P700" s="37"/>
      <c r="Q700" s="37"/>
      <c r="R700" s="37"/>
      <c r="S700" s="37"/>
      <c r="T700" s="37"/>
      <c r="U700" s="37"/>
      <c r="V700" s="37"/>
      <c r="W700" s="37"/>
      <c r="X700" s="36"/>
      <c r="Y700" s="36"/>
      <c r="Z700" s="36"/>
      <c r="AA700" s="36"/>
      <c r="AB700" s="36"/>
      <c r="AC700" s="36"/>
      <c r="AD700" s="36"/>
      <c r="AE700" s="36"/>
    </row>
    <row r="701" spans="1:31" ht="15.75" customHeight="1" x14ac:dyDescent="0.25">
      <c r="A701" s="37"/>
      <c r="B701" s="801"/>
      <c r="C701" s="37"/>
      <c r="D701" s="37"/>
      <c r="E701" s="37"/>
      <c r="F701" s="37"/>
      <c r="G701" s="37"/>
      <c r="H701" s="37"/>
      <c r="I701" s="37"/>
      <c r="J701" s="37"/>
      <c r="K701" s="37"/>
      <c r="L701" s="37"/>
      <c r="M701" s="37"/>
      <c r="N701" s="37"/>
      <c r="O701" s="37"/>
      <c r="P701" s="37"/>
      <c r="Q701" s="37"/>
      <c r="R701" s="37"/>
      <c r="S701" s="37"/>
      <c r="T701" s="37"/>
      <c r="U701" s="37"/>
      <c r="V701" s="37"/>
      <c r="W701" s="37"/>
      <c r="X701" s="36"/>
      <c r="Y701" s="36"/>
      <c r="Z701" s="36"/>
      <c r="AA701" s="36"/>
      <c r="AB701" s="36"/>
      <c r="AC701" s="36"/>
      <c r="AD701" s="36"/>
      <c r="AE701" s="36"/>
    </row>
    <row r="702" spans="1:31" ht="15.75" customHeight="1" x14ac:dyDescent="0.25">
      <c r="A702" s="37"/>
      <c r="B702" s="801"/>
      <c r="C702" s="37"/>
      <c r="D702" s="37"/>
      <c r="E702" s="37"/>
      <c r="F702" s="37"/>
      <c r="G702" s="37"/>
      <c r="H702" s="37"/>
      <c r="I702" s="37"/>
      <c r="J702" s="37"/>
      <c r="K702" s="37"/>
      <c r="L702" s="37"/>
      <c r="M702" s="37"/>
      <c r="N702" s="37"/>
      <c r="O702" s="37"/>
      <c r="P702" s="37"/>
      <c r="Q702" s="37"/>
      <c r="R702" s="37"/>
      <c r="S702" s="37"/>
      <c r="T702" s="37"/>
      <c r="U702" s="37"/>
      <c r="V702" s="37"/>
      <c r="W702" s="37"/>
      <c r="X702" s="36"/>
      <c r="Y702" s="36"/>
      <c r="Z702" s="36"/>
      <c r="AA702" s="36"/>
      <c r="AB702" s="36"/>
      <c r="AC702" s="36"/>
      <c r="AD702" s="36"/>
      <c r="AE702" s="36"/>
    </row>
    <row r="703" spans="1:31" ht="15.75" customHeight="1" x14ac:dyDescent="0.25">
      <c r="A703" s="37"/>
      <c r="B703" s="801"/>
      <c r="C703" s="37"/>
      <c r="D703" s="37"/>
      <c r="E703" s="37"/>
      <c r="F703" s="37"/>
      <c r="G703" s="37"/>
      <c r="H703" s="37"/>
      <c r="I703" s="37"/>
      <c r="J703" s="37"/>
      <c r="K703" s="37"/>
      <c r="L703" s="37"/>
      <c r="M703" s="37"/>
      <c r="N703" s="37"/>
      <c r="O703" s="37"/>
      <c r="P703" s="37"/>
      <c r="Q703" s="37"/>
      <c r="R703" s="37"/>
      <c r="S703" s="37"/>
      <c r="T703" s="37"/>
      <c r="U703" s="37"/>
      <c r="V703" s="37"/>
      <c r="W703" s="37"/>
      <c r="X703" s="36"/>
      <c r="Y703" s="36"/>
      <c r="Z703" s="36"/>
      <c r="AA703" s="36"/>
      <c r="AB703" s="36"/>
      <c r="AC703" s="36"/>
      <c r="AD703" s="36"/>
      <c r="AE703" s="36"/>
    </row>
    <row r="704" spans="1:31" ht="15.75" customHeight="1" x14ac:dyDescent="0.25">
      <c r="A704" s="37"/>
      <c r="B704" s="801"/>
      <c r="C704" s="37"/>
      <c r="D704" s="37"/>
      <c r="E704" s="37"/>
      <c r="F704" s="37"/>
      <c r="G704" s="37"/>
      <c r="H704" s="37"/>
      <c r="I704" s="37"/>
      <c r="J704" s="37"/>
      <c r="K704" s="37"/>
      <c r="L704" s="37"/>
      <c r="M704" s="37"/>
      <c r="N704" s="37"/>
      <c r="O704" s="37"/>
      <c r="P704" s="37"/>
      <c r="Q704" s="37"/>
      <c r="R704" s="37"/>
      <c r="S704" s="37"/>
      <c r="T704" s="37"/>
      <c r="U704" s="37"/>
      <c r="V704" s="37"/>
      <c r="W704" s="37"/>
      <c r="X704" s="36"/>
      <c r="Y704" s="36"/>
      <c r="Z704" s="36"/>
      <c r="AA704" s="36"/>
      <c r="AB704" s="36"/>
      <c r="AC704" s="36"/>
      <c r="AD704" s="36"/>
      <c r="AE704" s="36"/>
    </row>
    <row r="705" spans="1:31" ht="15.75" customHeight="1" x14ac:dyDescent="0.25">
      <c r="A705" s="37"/>
      <c r="B705" s="801"/>
      <c r="C705" s="37"/>
      <c r="D705" s="37"/>
      <c r="E705" s="37"/>
      <c r="F705" s="37"/>
      <c r="G705" s="37"/>
      <c r="H705" s="37"/>
      <c r="I705" s="37"/>
      <c r="J705" s="37"/>
      <c r="K705" s="37"/>
      <c r="L705" s="37"/>
      <c r="M705" s="37"/>
      <c r="N705" s="37"/>
      <c r="O705" s="37"/>
      <c r="P705" s="37"/>
      <c r="Q705" s="37"/>
      <c r="R705" s="37"/>
      <c r="S705" s="37"/>
      <c r="T705" s="37"/>
      <c r="U705" s="37"/>
      <c r="V705" s="37"/>
      <c r="W705" s="37"/>
      <c r="X705" s="36"/>
      <c r="Y705" s="36"/>
      <c r="Z705" s="36"/>
      <c r="AA705" s="36"/>
      <c r="AB705" s="36"/>
      <c r="AC705" s="36"/>
      <c r="AD705" s="36"/>
      <c r="AE705" s="36"/>
    </row>
    <row r="706" spans="1:31" ht="15.75" customHeight="1" x14ac:dyDescent="0.25">
      <c r="A706" s="37"/>
      <c r="B706" s="801"/>
      <c r="C706" s="37"/>
      <c r="D706" s="37"/>
      <c r="E706" s="37"/>
      <c r="F706" s="37"/>
      <c r="G706" s="37"/>
      <c r="H706" s="37"/>
      <c r="I706" s="37"/>
      <c r="J706" s="37"/>
      <c r="K706" s="37"/>
      <c r="L706" s="37"/>
      <c r="M706" s="37"/>
      <c r="N706" s="37"/>
      <c r="O706" s="37"/>
      <c r="P706" s="37"/>
      <c r="Q706" s="37"/>
      <c r="R706" s="37"/>
      <c r="S706" s="37"/>
      <c r="T706" s="37"/>
      <c r="U706" s="37"/>
      <c r="V706" s="37"/>
      <c r="W706" s="37"/>
      <c r="X706" s="36"/>
      <c r="Y706" s="36"/>
      <c r="Z706" s="36"/>
      <c r="AA706" s="36"/>
      <c r="AB706" s="36"/>
      <c r="AC706" s="36"/>
      <c r="AD706" s="36"/>
      <c r="AE706" s="36"/>
    </row>
    <row r="707" spans="1:31" ht="15.75" customHeight="1" x14ac:dyDescent="0.25">
      <c r="A707" s="37"/>
      <c r="B707" s="801"/>
      <c r="C707" s="37"/>
      <c r="D707" s="37"/>
      <c r="E707" s="37"/>
      <c r="F707" s="37"/>
      <c r="G707" s="37"/>
      <c r="H707" s="37"/>
      <c r="I707" s="37"/>
      <c r="J707" s="37"/>
      <c r="K707" s="37"/>
      <c r="L707" s="37"/>
      <c r="M707" s="37"/>
      <c r="N707" s="37"/>
      <c r="O707" s="37"/>
      <c r="P707" s="37"/>
      <c r="Q707" s="37"/>
      <c r="R707" s="37"/>
      <c r="S707" s="37"/>
      <c r="T707" s="37"/>
      <c r="U707" s="37"/>
      <c r="V707" s="37"/>
      <c r="W707" s="37"/>
      <c r="X707" s="36"/>
      <c r="Y707" s="36"/>
      <c r="Z707" s="36"/>
      <c r="AA707" s="36"/>
      <c r="AB707" s="36"/>
      <c r="AC707" s="36"/>
      <c r="AD707" s="36"/>
      <c r="AE707" s="36"/>
    </row>
    <row r="708" spans="1:31" ht="15.75" customHeight="1" x14ac:dyDescent="0.25">
      <c r="A708" s="37"/>
      <c r="B708" s="801"/>
      <c r="C708" s="37"/>
      <c r="D708" s="37"/>
      <c r="E708" s="37"/>
      <c r="F708" s="37"/>
      <c r="G708" s="37"/>
      <c r="H708" s="37"/>
      <c r="I708" s="37"/>
      <c r="J708" s="37"/>
      <c r="K708" s="37"/>
      <c r="L708" s="37"/>
      <c r="M708" s="37"/>
      <c r="N708" s="37"/>
      <c r="O708" s="37"/>
      <c r="P708" s="37"/>
      <c r="Q708" s="37"/>
      <c r="R708" s="37"/>
      <c r="S708" s="37"/>
      <c r="T708" s="37"/>
      <c r="U708" s="37"/>
      <c r="V708" s="37"/>
      <c r="W708" s="37"/>
      <c r="X708" s="36"/>
      <c r="Y708" s="36"/>
      <c r="Z708" s="36"/>
      <c r="AA708" s="36"/>
      <c r="AB708" s="36"/>
      <c r="AC708" s="36"/>
      <c r="AD708" s="36"/>
      <c r="AE708" s="36"/>
    </row>
    <row r="709" spans="1:31" ht="15.75" customHeight="1" x14ac:dyDescent="0.25">
      <c r="A709" s="37"/>
      <c r="B709" s="801"/>
      <c r="C709" s="37"/>
      <c r="D709" s="37"/>
      <c r="E709" s="37"/>
      <c r="F709" s="37"/>
      <c r="G709" s="37"/>
      <c r="H709" s="37"/>
      <c r="I709" s="37"/>
      <c r="J709" s="37"/>
      <c r="K709" s="37"/>
      <c r="L709" s="37"/>
      <c r="M709" s="37"/>
      <c r="N709" s="37"/>
      <c r="O709" s="37"/>
      <c r="P709" s="37"/>
      <c r="Q709" s="37"/>
      <c r="R709" s="37"/>
      <c r="S709" s="37"/>
      <c r="T709" s="37"/>
      <c r="U709" s="37"/>
      <c r="V709" s="37"/>
      <c r="W709" s="37"/>
      <c r="X709" s="36"/>
      <c r="Y709" s="36"/>
      <c r="Z709" s="36"/>
      <c r="AA709" s="36"/>
      <c r="AB709" s="36"/>
      <c r="AC709" s="36"/>
      <c r="AD709" s="36"/>
      <c r="AE709" s="36"/>
    </row>
    <row r="710" spans="1:31" ht="15.75" customHeight="1" x14ac:dyDescent="0.25">
      <c r="A710" s="37"/>
      <c r="B710" s="801"/>
      <c r="C710" s="37"/>
      <c r="D710" s="37"/>
      <c r="E710" s="37"/>
      <c r="F710" s="37"/>
      <c r="G710" s="37"/>
      <c r="H710" s="37"/>
      <c r="I710" s="37"/>
      <c r="J710" s="37"/>
      <c r="K710" s="37"/>
      <c r="L710" s="37"/>
      <c r="M710" s="37"/>
      <c r="N710" s="37"/>
      <c r="O710" s="37"/>
      <c r="P710" s="37"/>
      <c r="Q710" s="37"/>
      <c r="R710" s="37"/>
      <c r="S710" s="37"/>
      <c r="T710" s="37"/>
      <c r="U710" s="37"/>
      <c r="V710" s="37"/>
      <c r="W710" s="37"/>
      <c r="X710" s="36"/>
      <c r="Y710" s="36"/>
      <c r="Z710" s="36"/>
      <c r="AA710" s="36"/>
      <c r="AB710" s="36"/>
      <c r="AC710" s="36"/>
      <c r="AD710" s="36"/>
      <c r="AE710" s="36"/>
    </row>
    <row r="711" spans="1:31" ht="15.75" customHeight="1" x14ac:dyDescent="0.25">
      <c r="A711" s="37"/>
      <c r="B711" s="801"/>
      <c r="C711" s="37"/>
      <c r="D711" s="37"/>
      <c r="E711" s="37"/>
      <c r="F711" s="37"/>
      <c r="G711" s="37"/>
      <c r="H711" s="37"/>
      <c r="I711" s="37"/>
      <c r="J711" s="37"/>
      <c r="K711" s="37"/>
      <c r="L711" s="37"/>
      <c r="M711" s="37"/>
      <c r="N711" s="37"/>
      <c r="O711" s="37"/>
      <c r="P711" s="37"/>
      <c r="Q711" s="37"/>
      <c r="R711" s="37"/>
      <c r="S711" s="37"/>
      <c r="T711" s="37"/>
      <c r="U711" s="37"/>
      <c r="V711" s="37"/>
      <c r="W711" s="37"/>
      <c r="X711" s="36"/>
      <c r="Y711" s="36"/>
      <c r="Z711" s="36"/>
      <c r="AA711" s="36"/>
      <c r="AB711" s="36"/>
      <c r="AC711" s="36"/>
      <c r="AD711" s="36"/>
      <c r="AE711" s="36"/>
    </row>
    <row r="712" spans="1:31" ht="15.75" customHeight="1" x14ac:dyDescent="0.25">
      <c r="A712" s="37"/>
      <c r="B712" s="801"/>
      <c r="C712" s="37"/>
      <c r="D712" s="37"/>
      <c r="E712" s="37"/>
      <c r="F712" s="37"/>
      <c r="G712" s="37"/>
      <c r="H712" s="37"/>
      <c r="I712" s="37"/>
      <c r="J712" s="37"/>
      <c r="K712" s="37"/>
      <c r="L712" s="37"/>
      <c r="M712" s="37"/>
      <c r="N712" s="37"/>
      <c r="O712" s="37"/>
      <c r="P712" s="37"/>
      <c r="Q712" s="37"/>
      <c r="R712" s="37"/>
      <c r="S712" s="37"/>
      <c r="T712" s="37"/>
      <c r="U712" s="37"/>
      <c r="V712" s="37"/>
      <c r="W712" s="37"/>
      <c r="X712" s="36"/>
      <c r="Y712" s="36"/>
      <c r="Z712" s="36"/>
      <c r="AA712" s="36"/>
      <c r="AB712" s="36"/>
      <c r="AC712" s="36"/>
      <c r="AD712" s="36"/>
      <c r="AE712" s="36"/>
    </row>
    <row r="713" spans="1:31" ht="15.75" customHeight="1" x14ac:dyDescent="0.25">
      <c r="A713" s="37"/>
      <c r="B713" s="801"/>
      <c r="C713" s="37"/>
      <c r="D713" s="37"/>
      <c r="E713" s="37"/>
      <c r="F713" s="37"/>
      <c r="G713" s="37"/>
      <c r="H713" s="37"/>
      <c r="I713" s="37"/>
      <c r="J713" s="37"/>
      <c r="K713" s="37"/>
      <c r="L713" s="37"/>
      <c r="M713" s="37"/>
      <c r="N713" s="37"/>
      <c r="O713" s="37"/>
      <c r="P713" s="37"/>
      <c r="Q713" s="37"/>
      <c r="R713" s="37"/>
      <c r="S713" s="37"/>
      <c r="T713" s="37"/>
      <c r="U713" s="37"/>
      <c r="V713" s="37"/>
      <c r="W713" s="37"/>
      <c r="X713" s="36"/>
      <c r="Y713" s="36"/>
      <c r="Z713" s="36"/>
      <c r="AA713" s="36"/>
      <c r="AB713" s="36"/>
      <c r="AC713" s="36"/>
      <c r="AD713" s="36"/>
      <c r="AE713" s="36"/>
    </row>
    <row r="714" spans="1:31" ht="15.75" customHeight="1" x14ac:dyDescent="0.25">
      <c r="A714" s="37"/>
      <c r="B714" s="801"/>
      <c r="C714" s="37"/>
      <c r="D714" s="37"/>
      <c r="E714" s="37"/>
      <c r="F714" s="37"/>
      <c r="G714" s="37"/>
      <c r="H714" s="37"/>
      <c r="I714" s="37"/>
      <c r="J714" s="37"/>
      <c r="K714" s="37"/>
      <c r="L714" s="37"/>
      <c r="M714" s="37"/>
      <c r="N714" s="37"/>
      <c r="O714" s="37"/>
      <c r="P714" s="37"/>
      <c r="Q714" s="37"/>
      <c r="R714" s="37"/>
      <c r="S714" s="37"/>
      <c r="T714" s="37"/>
      <c r="U714" s="37"/>
      <c r="V714" s="37"/>
      <c r="W714" s="37"/>
      <c r="X714" s="36"/>
      <c r="Y714" s="36"/>
      <c r="Z714" s="36"/>
      <c r="AA714" s="36"/>
      <c r="AB714" s="36"/>
      <c r="AC714" s="36"/>
      <c r="AD714" s="36"/>
      <c r="AE714" s="36"/>
    </row>
    <row r="715" spans="1:31" ht="15.75" customHeight="1" x14ac:dyDescent="0.25">
      <c r="A715" s="37"/>
      <c r="B715" s="801"/>
      <c r="C715" s="37"/>
      <c r="D715" s="37"/>
      <c r="E715" s="37"/>
      <c r="F715" s="37"/>
      <c r="G715" s="37"/>
      <c r="H715" s="37"/>
      <c r="I715" s="37"/>
      <c r="J715" s="37"/>
      <c r="K715" s="37"/>
      <c r="L715" s="37"/>
      <c r="M715" s="37"/>
      <c r="N715" s="37"/>
      <c r="O715" s="37"/>
      <c r="P715" s="37"/>
      <c r="Q715" s="37"/>
      <c r="R715" s="37"/>
      <c r="S715" s="37"/>
      <c r="T715" s="37"/>
      <c r="U715" s="37"/>
      <c r="V715" s="37"/>
      <c r="W715" s="37"/>
      <c r="X715" s="36"/>
      <c r="Y715" s="36"/>
      <c r="Z715" s="36"/>
      <c r="AA715" s="36"/>
      <c r="AB715" s="36"/>
      <c r="AC715" s="36"/>
      <c r="AD715" s="36"/>
      <c r="AE715" s="36"/>
    </row>
    <row r="716" spans="1:31" ht="15.75" customHeight="1" x14ac:dyDescent="0.25">
      <c r="A716" s="37"/>
      <c r="B716" s="801"/>
      <c r="C716" s="37"/>
      <c r="D716" s="37"/>
      <c r="E716" s="37"/>
      <c r="F716" s="37"/>
      <c r="G716" s="37"/>
      <c r="H716" s="37"/>
      <c r="I716" s="37"/>
      <c r="J716" s="37"/>
      <c r="K716" s="37"/>
      <c r="L716" s="37"/>
      <c r="M716" s="37"/>
      <c r="N716" s="37"/>
      <c r="O716" s="37"/>
      <c r="P716" s="37"/>
      <c r="Q716" s="37"/>
      <c r="R716" s="37"/>
      <c r="S716" s="37"/>
      <c r="T716" s="37"/>
      <c r="U716" s="37"/>
      <c r="V716" s="37"/>
      <c r="W716" s="37"/>
      <c r="X716" s="36"/>
      <c r="Y716" s="36"/>
      <c r="Z716" s="36"/>
      <c r="AA716" s="36"/>
      <c r="AB716" s="36"/>
      <c r="AC716" s="36"/>
      <c r="AD716" s="36"/>
      <c r="AE716" s="36"/>
    </row>
    <row r="717" spans="1:31" ht="15.75" customHeight="1" x14ac:dyDescent="0.25">
      <c r="A717" s="37"/>
      <c r="B717" s="801"/>
      <c r="C717" s="37"/>
      <c r="D717" s="37"/>
      <c r="E717" s="37"/>
      <c r="F717" s="37"/>
      <c r="G717" s="37"/>
      <c r="H717" s="37"/>
      <c r="I717" s="37"/>
      <c r="J717" s="37"/>
      <c r="K717" s="37"/>
      <c r="L717" s="37"/>
      <c r="M717" s="37"/>
      <c r="N717" s="37"/>
      <c r="O717" s="37"/>
      <c r="P717" s="37"/>
      <c r="Q717" s="37"/>
      <c r="R717" s="37"/>
      <c r="S717" s="37"/>
      <c r="T717" s="37"/>
      <c r="U717" s="37"/>
      <c r="V717" s="37"/>
      <c r="W717" s="37"/>
      <c r="X717" s="36"/>
      <c r="Y717" s="36"/>
      <c r="Z717" s="36"/>
      <c r="AA717" s="36"/>
      <c r="AB717" s="36"/>
      <c r="AC717" s="36"/>
      <c r="AD717" s="36"/>
      <c r="AE717" s="36"/>
    </row>
    <row r="718" spans="1:31" ht="15.75" customHeight="1" x14ac:dyDescent="0.25">
      <c r="A718" s="37"/>
      <c r="B718" s="801"/>
      <c r="C718" s="37"/>
      <c r="D718" s="37"/>
      <c r="E718" s="37"/>
      <c r="F718" s="37"/>
      <c r="G718" s="37"/>
      <c r="H718" s="37"/>
      <c r="I718" s="37"/>
      <c r="J718" s="37"/>
      <c r="K718" s="37"/>
      <c r="L718" s="37"/>
      <c r="M718" s="37"/>
      <c r="N718" s="37"/>
      <c r="O718" s="37"/>
      <c r="P718" s="37"/>
      <c r="Q718" s="37"/>
      <c r="R718" s="37"/>
      <c r="S718" s="37"/>
      <c r="T718" s="37"/>
      <c r="U718" s="37"/>
      <c r="V718" s="37"/>
      <c r="W718" s="37"/>
      <c r="X718" s="36"/>
      <c r="Y718" s="36"/>
      <c r="Z718" s="36"/>
      <c r="AA718" s="36"/>
      <c r="AB718" s="36"/>
      <c r="AC718" s="36"/>
      <c r="AD718" s="36"/>
      <c r="AE718" s="36"/>
    </row>
    <row r="719" spans="1:31" ht="15.75" customHeight="1" x14ac:dyDescent="0.25">
      <c r="A719" s="37"/>
      <c r="B719" s="801"/>
      <c r="C719" s="37"/>
      <c r="D719" s="37"/>
      <c r="E719" s="37"/>
      <c r="F719" s="37"/>
      <c r="G719" s="37"/>
      <c r="H719" s="37"/>
      <c r="I719" s="37"/>
      <c r="J719" s="37"/>
      <c r="K719" s="37"/>
      <c r="L719" s="37"/>
      <c r="M719" s="37"/>
      <c r="N719" s="37"/>
      <c r="O719" s="37"/>
      <c r="P719" s="37"/>
      <c r="Q719" s="37"/>
      <c r="R719" s="37"/>
      <c r="S719" s="37"/>
      <c r="T719" s="37"/>
      <c r="U719" s="37"/>
      <c r="V719" s="37"/>
      <c r="W719" s="37"/>
      <c r="X719" s="36"/>
      <c r="Y719" s="36"/>
      <c r="Z719" s="36"/>
      <c r="AA719" s="36"/>
      <c r="AB719" s="36"/>
      <c r="AC719" s="36"/>
      <c r="AD719" s="36"/>
      <c r="AE719" s="36"/>
    </row>
    <row r="720" spans="1:31" ht="15.75" customHeight="1" x14ac:dyDescent="0.25">
      <c r="A720" s="37"/>
      <c r="B720" s="801"/>
      <c r="C720" s="37"/>
      <c r="D720" s="37"/>
      <c r="E720" s="37"/>
      <c r="F720" s="37"/>
      <c r="G720" s="37"/>
      <c r="H720" s="37"/>
      <c r="I720" s="37"/>
      <c r="J720" s="37"/>
      <c r="K720" s="37"/>
      <c r="L720" s="37"/>
      <c r="M720" s="37"/>
      <c r="N720" s="37"/>
      <c r="O720" s="37"/>
      <c r="P720" s="37"/>
      <c r="Q720" s="37"/>
      <c r="R720" s="37"/>
      <c r="S720" s="37"/>
      <c r="T720" s="37"/>
      <c r="U720" s="37"/>
      <c r="V720" s="37"/>
      <c r="W720" s="37"/>
      <c r="X720" s="36"/>
      <c r="Y720" s="36"/>
      <c r="Z720" s="36"/>
      <c r="AA720" s="36"/>
      <c r="AB720" s="36"/>
      <c r="AC720" s="36"/>
      <c r="AD720" s="36"/>
      <c r="AE720" s="36"/>
    </row>
    <row r="721" spans="1:31" ht="15.75" customHeight="1" x14ac:dyDescent="0.25">
      <c r="A721" s="37"/>
      <c r="B721" s="801"/>
      <c r="C721" s="37"/>
      <c r="D721" s="37"/>
      <c r="E721" s="37"/>
      <c r="F721" s="37"/>
      <c r="G721" s="37"/>
      <c r="H721" s="37"/>
      <c r="I721" s="37"/>
      <c r="J721" s="37"/>
      <c r="K721" s="37"/>
      <c r="L721" s="37"/>
      <c r="M721" s="37"/>
      <c r="N721" s="37"/>
      <c r="O721" s="37"/>
      <c r="P721" s="37"/>
      <c r="Q721" s="37"/>
      <c r="R721" s="37"/>
      <c r="S721" s="37"/>
      <c r="T721" s="37"/>
      <c r="U721" s="37"/>
      <c r="V721" s="37"/>
      <c r="W721" s="37"/>
      <c r="X721" s="36"/>
      <c r="Y721" s="36"/>
      <c r="Z721" s="36"/>
      <c r="AA721" s="36"/>
      <c r="AB721" s="36"/>
      <c r="AC721" s="36"/>
      <c r="AD721" s="36"/>
      <c r="AE721" s="36"/>
    </row>
    <row r="722" spans="1:31" ht="15.75" customHeight="1" x14ac:dyDescent="0.25">
      <c r="A722" s="37"/>
      <c r="B722" s="801"/>
      <c r="C722" s="37"/>
      <c r="D722" s="37"/>
      <c r="E722" s="37"/>
      <c r="F722" s="37"/>
      <c r="G722" s="37"/>
      <c r="H722" s="37"/>
      <c r="I722" s="37"/>
      <c r="J722" s="37"/>
      <c r="K722" s="37"/>
      <c r="L722" s="37"/>
      <c r="M722" s="37"/>
      <c r="N722" s="37"/>
      <c r="O722" s="37"/>
      <c r="P722" s="37"/>
      <c r="Q722" s="37"/>
      <c r="R722" s="37"/>
      <c r="S722" s="37"/>
      <c r="T722" s="37"/>
      <c r="U722" s="37"/>
      <c r="V722" s="37"/>
      <c r="W722" s="37"/>
      <c r="X722" s="36"/>
      <c r="Y722" s="36"/>
      <c r="Z722" s="36"/>
      <c r="AA722" s="36"/>
      <c r="AB722" s="36"/>
      <c r="AC722" s="36"/>
      <c r="AD722" s="36"/>
      <c r="AE722" s="36"/>
    </row>
    <row r="723" spans="1:31" ht="15.75" customHeight="1" x14ac:dyDescent="0.25">
      <c r="A723" s="37"/>
      <c r="B723" s="801"/>
      <c r="C723" s="37"/>
      <c r="D723" s="37"/>
      <c r="E723" s="37"/>
      <c r="F723" s="37"/>
      <c r="G723" s="37"/>
      <c r="H723" s="37"/>
      <c r="I723" s="37"/>
      <c r="J723" s="37"/>
      <c r="K723" s="37"/>
      <c r="L723" s="37"/>
      <c r="M723" s="37"/>
      <c r="N723" s="37"/>
      <c r="O723" s="37"/>
      <c r="P723" s="37"/>
      <c r="Q723" s="37"/>
      <c r="R723" s="37"/>
      <c r="S723" s="37"/>
      <c r="T723" s="37"/>
      <c r="U723" s="37"/>
      <c r="V723" s="37"/>
      <c r="W723" s="37"/>
      <c r="X723" s="36"/>
      <c r="Y723" s="36"/>
      <c r="Z723" s="36"/>
      <c r="AA723" s="36"/>
      <c r="AB723" s="36"/>
      <c r="AC723" s="36"/>
      <c r="AD723" s="36"/>
      <c r="AE723" s="36"/>
    </row>
    <row r="724" spans="1:31" ht="15.75" customHeight="1" x14ac:dyDescent="0.25">
      <c r="A724" s="37"/>
      <c r="B724" s="801"/>
      <c r="C724" s="37"/>
      <c r="D724" s="37"/>
      <c r="E724" s="37"/>
      <c r="F724" s="37"/>
      <c r="G724" s="37"/>
      <c r="H724" s="37"/>
      <c r="I724" s="37"/>
      <c r="J724" s="37"/>
      <c r="K724" s="37"/>
      <c r="L724" s="37"/>
      <c r="M724" s="37"/>
      <c r="N724" s="37"/>
      <c r="O724" s="37"/>
      <c r="P724" s="37"/>
      <c r="Q724" s="37"/>
      <c r="R724" s="37"/>
      <c r="S724" s="37"/>
      <c r="T724" s="37"/>
      <c r="U724" s="37"/>
      <c r="V724" s="37"/>
      <c r="W724" s="37"/>
      <c r="X724" s="36"/>
      <c r="Y724" s="36"/>
      <c r="Z724" s="36"/>
      <c r="AA724" s="36"/>
      <c r="AB724" s="36"/>
      <c r="AC724" s="36"/>
      <c r="AD724" s="36"/>
      <c r="AE724" s="36"/>
    </row>
    <row r="725" spans="1:31" ht="15.75" customHeight="1" x14ac:dyDescent="0.25">
      <c r="A725" s="37"/>
      <c r="B725" s="801"/>
      <c r="C725" s="37"/>
      <c r="D725" s="37"/>
      <c r="E725" s="37"/>
      <c r="F725" s="37"/>
      <c r="G725" s="37"/>
      <c r="H725" s="37"/>
      <c r="I725" s="37"/>
      <c r="J725" s="37"/>
      <c r="K725" s="37"/>
      <c r="L725" s="37"/>
      <c r="M725" s="37"/>
      <c r="N725" s="37"/>
      <c r="O725" s="37"/>
      <c r="P725" s="37"/>
      <c r="Q725" s="37"/>
      <c r="R725" s="37"/>
      <c r="S725" s="37"/>
      <c r="T725" s="37"/>
      <c r="U725" s="37"/>
      <c r="V725" s="37"/>
      <c r="W725" s="37"/>
      <c r="X725" s="36"/>
      <c r="Y725" s="36"/>
      <c r="Z725" s="36"/>
      <c r="AA725" s="36"/>
      <c r="AB725" s="36"/>
      <c r="AC725" s="36"/>
      <c r="AD725" s="36"/>
      <c r="AE725" s="36"/>
    </row>
    <row r="726" spans="1:31" ht="15.75" customHeight="1" x14ac:dyDescent="0.25">
      <c r="A726" s="37"/>
      <c r="B726" s="801"/>
      <c r="C726" s="37"/>
      <c r="D726" s="37"/>
      <c r="E726" s="37"/>
      <c r="F726" s="37"/>
      <c r="G726" s="37"/>
      <c r="H726" s="37"/>
      <c r="I726" s="37"/>
      <c r="J726" s="37"/>
      <c r="K726" s="37"/>
      <c r="L726" s="37"/>
      <c r="M726" s="37"/>
      <c r="N726" s="37"/>
      <c r="O726" s="37"/>
      <c r="P726" s="37"/>
      <c r="Q726" s="37"/>
      <c r="R726" s="37"/>
      <c r="S726" s="37"/>
      <c r="T726" s="37"/>
      <c r="U726" s="37"/>
      <c r="V726" s="37"/>
      <c r="W726" s="37"/>
      <c r="X726" s="36"/>
      <c r="Y726" s="36"/>
      <c r="Z726" s="36"/>
      <c r="AA726" s="36"/>
      <c r="AB726" s="36"/>
      <c r="AC726" s="36"/>
      <c r="AD726" s="36"/>
      <c r="AE726" s="36"/>
    </row>
    <row r="727" spans="1:31" ht="15.75" customHeight="1" x14ac:dyDescent="0.25">
      <c r="A727" s="37"/>
      <c r="B727" s="801"/>
      <c r="C727" s="37"/>
      <c r="D727" s="37"/>
      <c r="E727" s="37"/>
      <c r="F727" s="37"/>
      <c r="G727" s="37"/>
      <c r="H727" s="37"/>
      <c r="I727" s="37"/>
      <c r="J727" s="37"/>
      <c r="K727" s="37"/>
      <c r="L727" s="37"/>
      <c r="M727" s="37"/>
      <c r="N727" s="37"/>
      <c r="O727" s="37"/>
      <c r="P727" s="37"/>
      <c r="Q727" s="37"/>
      <c r="R727" s="37"/>
      <c r="S727" s="37"/>
      <c r="T727" s="37"/>
      <c r="U727" s="37"/>
      <c r="V727" s="37"/>
      <c r="W727" s="37"/>
      <c r="X727" s="36"/>
      <c r="Y727" s="36"/>
      <c r="Z727" s="36"/>
      <c r="AA727" s="36"/>
      <c r="AB727" s="36"/>
      <c r="AC727" s="36"/>
      <c r="AD727" s="36"/>
      <c r="AE727" s="36"/>
    </row>
    <row r="728" spans="1:31" ht="15.75" customHeight="1" x14ac:dyDescent="0.25">
      <c r="A728" s="37"/>
      <c r="B728" s="801"/>
      <c r="C728" s="37"/>
      <c r="D728" s="37"/>
      <c r="E728" s="37"/>
      <c r="F728" s="37"/>
      <c r="G728" s="37"/>
      <c r="H728" s="37"/>
      <c r="I728" s="37"/>
      <c r="J728" s="37"/>
      <c r="K728" s="37"/>
      <c r="L728" s="37"/>
      <c r="M728" s="37"/>
      <c r="N728" s="37"/>
      <c r="O728" s="37"/>
      <c r="P728" s="37"/>
      <c r="Q728" s="37"/>
      <c r="R728" s="37"/>
      <c r="S728" s="37"/>
      <c r="T728" s="37"/>
      <c r="U728" s="37"/>
      <c r="V728" s="37"/>
      <c r="W728" s="37"/>
      <c r="X728" s="36"/>
      <c r="Y728" s="36"/>
      <c r="Z728" s="36"/>
      <c r="AA728" s="36"/>
      <c r="AB728" s="36"/>
      <c r="AC728" s="36"/>
      <c r="AD728" s="36"/>
      <c r="AE728" s="36"/>
    </row>
    <row r="729" spans="1:31" ht="15.75" customHeight="1" x14ac:dyDescent="0.25">
      <c r="A729" s="37"/>
      <c r="B729" s="801"/>
      <c r="C729" s="37"/>
      <c r="D729" s="37"/>
      <c r="E729" s="37"/>
      <c r="F729" s="37"/>
      <c r="G729" s="37"/>
      <c r="H729" s="37"/>
      <c r="I729" s="37"/>
      <c r="J729" s="37"/>
      <c r="K729" s="37"/>
      <c r="L729" s="37"/>
      <c r="M729" s="37"/>
      <c r="N729" s="37"/>
      <c r="O729" s="37"/>
      <c r="P729" s="37"/>
      <c r="Q729" s="37"/>
      <c r="R729" s="37"/>
      <c r="S729" s="37"/>
      <c r="T729" s="37"/>
      <c r="U729" s="37"/>
      <c r="V729" s="37"/>
      <c r="W729" s="37"/>
      <c r="X729" s="36"/>
      <c r="Y729" s="36"/>
      <c r="Z729" s="36"/>
      <c r="AA729" s="36"/>
      <c r="AB729" s="36"/>
      <c r="AC729" s="36"/>
      <c r="AD729" s="36"/>
      <c r="AE729" s="36"/>
    </row>
    <row r="730" spans="1:31" ht="15.75" customHeight="1" x14ac:dyDescent="0.25">
      <c r="A730" s="37"/>
      <c r="B730" s="801"/>
      <c r="C730" s="37"/>
      <c r="D730" s="37"/>
      <c r="E730" s="37"/>
      <c r="F730" s="37"/>
      <c r="G730" s="37"/>
      <c r="H730" s="37"/>
      <c r="I730" s="37"/>
      <c r="J730" s="37"/>
      <c r="K730" s="37"/>
      <c r="L730" s="37"/>
      <c r="M730" s="37"/>
      <c r="N730" s="37"/>
      <c r="O730" s="37"/>
      <c r="P730" s="37"/>
      <c r="Q730" s="37"/>
      <c r="R730" s="37"/>
      <c r="S730" s="37"/>
      <c r="T730" s="37"/>
      <c r="U730" s="37"/>
      <c r="V730" s="37"/>
      <c r="W730" s="37"/>
      <c r="X730" s="36"/>
      <c r="Y730" s="36"/>
      <c r="Z730" s="36"/>
      <c r="AA730" s="36"/>
      <c r="AB730" s="36"/>
      <c r="AC730" s="36"/>
      <c r="AD730" s="36"/>
      <c r="AE730" s="36"/>
    </row>
    <row r="731" spans="1:31" ht="15.75" customHeight="1" x14ac:dyDescent="0.25">
      <c r="A731" s="37"/>
      <c r="B731" s="801"/>
      <c r="C731" s="37"/>
      <c r="D731" s="37"/>
      <c r="E731" s="37"/>
      <c r="F731" s="37"/>
      <c r="G731" s="37"/>
      <c r="H731" s="37"/>
      <c r="I731" s="37"/>
      <c r="J731" s="37"/>
      <c r="K731" s="37"/>
      <c r="L731" s="37"/>
      <c r="M731" s="37"/>
      <c r="N731" s="37"/>
      <c r="O731" s="37"/>
      <c r="P731" s="37"/>
      <c r="Q731" s="37"/>
      <c r="R731" s="37"/>
      <c r="S731" s="37"/>
      <c r="T731" s="37"/>
      <c r="U731" s="37"/>
      <c r="V731" s="37"/>
      <c r="W731" s="37"/>
      <c r="X731" s="36"/>
      <c r="Y731" s="36"/>
      <c r="Z731" s="36"/>
      <c r="AA731" s="36"/>
      <c r="AB731" s="36"/>
      <c r="AC731" s="36"/>
      <c r="AD731" s="36"/>
      <c r="AE731" s="36"/>
    </row>
    <row r="732" spans="1:31" ht="15.75" customHeight="1" x14ac:dyDescent="0.25">
      <c r="A732" s="37"/>
      <c r="B732" s="801"/>
      <c r="C732" s="37"/>
      <c r="D732" s="37"/>
      <c r="E732" s="37"/>
      <c r="F732" s="37"/>
      <c r="G732" s="37"/>
      <c r="H732" s="37"/>
      <c r="I732" s="37"/>
      <c r="J732" s="37"/>
      <c r="K732" s="37"/>
      <c r="L732" s="37"/>
      <c r="M732" s="37"/>
      <c r="N732" s="37"/>
      <c r="O732" s="37"/>
      <c r="P732" s="37"/>
      <c r="Q732" s="37"/>
      <c r="R732" s="37"/>
      <c r="S732" s="37"/>
      <c r="T732" s="37"/>
      <c r="U732" s="37"/>
      <c r="V732" s="37"/>
      <c r="W732" s="37"/>
      <c r="X732" s="36"/>
      <c r="Y732" s="36"/>
      <c r="Z732" s="36"/>
      <c r="AA732" s="36"/>
      <c r="AB732" s="36"/>
      <c r="AC732" s="36"/>
      <c r="AD732" s="36"/>
      <c r="AE732" s="36"/>
    </row>
    <row r="733" spans="1:31" ht="15.75" customHeight="1" x14ac:dyDescent="0.25">
      <c r="A733" s="37"/>
      <c r="B733" s="801"/>
      <c r="C733" s="37"/>
      <c r="D733" s="37"/>
      <c r="E733" s="37"/>
      <c r="F733" s="37"/>
      <c r="G733" s="37"/>
      <c r="H733" s="37"/>
      <c r="I733" s="37"/>
      <c r="J733" s="37"/>
      <c r="K733" s="37"/>
      <c r="L733" s="37"/>
      <c r="M733" s="37"/>
      <c r="N733" s="37"/>
      <c r="O733" s="37"/>
      <c r="P733" s="37"/>
      <c r="Q733" s="37"/>
      <c r="R733" s="37"/>
      <c r="S733" s="37"/>
      <c r="T733" s="37"/>
      <c r="U733" s="37"/>
      <c r="V733" s="37"/>
      <c r="W733" s="37"/>
      <c r="X733" s="36"/>
      <c r="Y733" s="36"/>
      <c r="Z733" s="36"/>
      <c r="AA733" s="36"/>
      <c r="AB733" s="36"/>
      <c r="AC733" s="36"/>
      <c r="AD733" s="36"/>
      <c r="AE733" s="36"/>
    </row>
    <row r="734" spans="1:31" ht="15.75" customHeight="1" x14ac:dyDescent="0.25">
      <c r="A734" s="37"/>
      <c r="B734" s="801"/>
      <c r="C734" s="37"/>
      <c r="D734" s="37"/>
      <c r="E734" s="37"/>
      <c r="F734" s="37"/>
      <c r="G734" s="37"/>
      <c r="H734" s="37"/>
      <c r="I734" s="37"/>
      <c r="J734" s="37"/>
      <c r="K734" s="37"/>
      <c r="L734" s="37"/>
      <c r="M734" s="37"/>
      <c r="N734" s="37"/>
      <c r="O734" s="37"/>
      <c r="P734" s="37"/>
      <c r="Q734" s="37"/>
      <c r="R734" s="37"/>
      <c r="S734" s="37"/>
      <c r="T734" s="37"/>
      <c r="U734" s="37"/>
      <c r="V734" s="37"/>
      <c r="W734" s="37"/>
      <c r="X734" s="36"/>
      <c r="Y734" s="36"/>
      <c r="Z734" s="36"/>
      <c r="AA734" s="36"/>
      <c r="AB734" s="36"/>
      <c r="AC734" s="36"/>
      <c r="AD734" s="36"/>
      <c r="AE734" s="36"/>
    </row>
    <row r="735" spans="1:31" ht="15.75" customHeight="1" x14ac:dyDescent="0.25">
      <c r="A735" s="37"/>
      <c r="B735" s="801"/>
      <c r="C735" s="37"/>
      <c r="D735" s="37"/>
      <c r="E735" s="37"/>
      <c r="F735" s="37"/>
      <c r="G735" s="37"/>
      <c r="H735" s="37"/>
      <c r="I735" s="37"/>
      <c r="J735" s="37"/>
      <c r="K735" s="37"/>
      <c r="L735" s="37"/>
      <c r="M735" s="37"/>
      <c r="N735" s="37"/>
      <c r="O735" s="37"/>
      <c r="P735" s="37"/>
      <c r="Q735" s="37"/>
      <c r="R735" s="37"/>
      <c r="S735" s="37"/>
      <c r="T735" s="37"/>
      <c r="U735" s="37"/>
      <c r="V735" s="37"/>
      <c r="W735" s="37"/>
      <c r="X735" s="36"/>
      <c r="Y735" s="36"/>
      <c r="Z735" s="36"/>
      <c r="AA735" s="36"/>
      <c r="AB735" s="36"/>
      <c r="AC735" s="36"/>
      <c r="AD735" s="36"/>
      <c r="AE735" s="36"/>
    </row>
    <row r="736" spans="1:31" ht="15.75" customHeight="1" x14ac:dyDescent="0.25">
      <c r="A736" s="37"/>
      <c r="B736" s="801"/>
      <c r="C736" s="37"/>
      <c r="D736" s="37"/>
      <c r="E736" s="37"/>
      <c r="F736" s="37"/>
      <c r="G736" s="37"/>
      <c r="H736" s="37"/>
      <c r="I736" s="37"/>
      <c r="J736" s="37"/>
      <c r="K736" s="37"/>
      <c r="L736" s="37"/>
      <c r="M736" s="37"/>
      <c r="N736" s="37"/>
      <c r="O736" s="37"/>
      <c r="P736" s="37"/>
      <c r="Q736" s="37"/>
      <c r="R736" s="37"/>
      <c r="S736" s="37"/>
      <c r="T736" s="37"/>
      <c r="U736" s="37"/>
      <c r="V736" s="37"/>
      <c r="W736" s="37"/>
      <c r="X736" s="36"/>
      <c r="Y736" s="36"/>
      <c r="Z736" s="36"/>
      <c r="AA736" s="36"/>
      <c r="AB736" s="36"/>
      <c r="AC736" s="36"/>
      <c r="AD736" s="36"/>
      <c r="AE736" s="36"/>
    </row>
    <row r="737" spans="1:31" ht="15.75" customHeight="1" x14ac:dyDescent="0.25">
      <c r="A737" s="37"/>
      <c r="B737" s="801"/>
      <c r="C737" s="37"/>
      <c r="D737" s="37"/>
      <c r="E737" s="37"/>
      <c r="F737" s="37"/>
      <c r="G737" s="37"/>
      <c r="H737" s="37"/>
      <c r="I737" s="37"/>
      <c r="J737" s="37"/>
      <c r="K737" s="37"/>
      <c r="L737" s="37"/>
      <c r="M737" s="37"/>
      <c r="N737" s="37"/>
      <c r="O737" s="37"/>
      <c r="P737" s="37"/>
      <c r="Q737" s="37"/>
      <c r="R737" s="37"/>
      <c r="S737" s="37"/>
      <c r="T737" s="37"/>
      <c r="U737" s="37"/>
      <c r="V737" s="37"/>
      <c r="W737" s="37"/>
      <c r="X737" s="36"/>
      <c r="Y737" s="36"/>
      <c r="Z737" s="36"/>
      <c r="AA737" s="36"/>
      <c r="AB737" s="36"/>
      <c r="AC737" s="36"/>
      <c r="AD737" s="36"/>
      <c r="AE737" s="36"/>
    </row>
    <row r="738" spans="1:31" ht="15.75" customHeight="1" x14ac:dyDescent="0.25">
      <c r="A738" s="37"/>
      <c r="B738" s="801"/>
      <c r="C738" s="37"/>
      <c r="D738" s="37"/>
      <c r="E738" s="37"/>
      <c r="F738" s="37"/>
      <c r="G738" s="37"/>
      <c r="H738" s="37"/>
      <c r="I738" s="37"/>
      <c r="J738" s="37"/>
      <c r="K738" s="37"/>
      <c r="L738" s="37"/>
      <c r="M738" s="37"/>
      <c r="N738" s="37"/>
      <c r="O738" s="37"/>
      <c r="P738" s="37"/>
      <c r="Q738" s="37"/>
      <c r="R738" s="37"/>
      <c r="S738" s="37"/>
      <c r="T738" s="37"/>
      <c r="U738" s="37"/>
      <c r="V738" s="37"/>
      <c r="W738" s="37"/>
      <c r="X738" s="36"/>
      <c r="Y738" s="36"/>
      <c r="Z738" s="36"/>
      <c r="AA738" s="36"/>
      <c r="AB738" s="36"/>
      <c r="AC738" s="36"/>
      <c r="AD738" s="36"/>
      <c r="AE738" s="36"/>
    </row>
    <row r="739" spans="1:31" ht="15.75" customHeight="1" x14ac:dyDescent="0.25">
      <c r="A739" s="37"/>
      <c r="B739" s="801"/>
      <c r="C739" s="37"/>
      <c r="D739" s="37"/>
      <c r="E739" s="37"/>
      <c r="F739" s="37"/>
      <c r="G739" s="37"/>
      <c r="H739" s="37"/>
      <c r="I739" s="37"/>
      <c r="J739" s="37"/>
      <c r="K739" s="37"/>
      <c r="L739" s="37"/>
      <c r="M739" s="37"/>
      <c r="N739" s="37"/>
      <c r="O739" s="37"/>
      <c r="P739" s="37"/>
      <c r="Q739" s="37"/>
      <c r="R739" s="37"/>
      <c r="S739" s="37"/>
      <c r="T739" s="37"/>
      <c r="U739" s="37"/>
      <c r="V739" s="37"/>
      <c r="W739" s="37"/>
      <c r="X739" s="36"/>
      <c r="Y739" s="36"/>
      <c r="Z739" s="36"/>
      <c r="AA739" s="36"/>
      <c r="AB739" s="36"/>
      <c r="AC739" s="36"/>
      <c r="AD739" s="36"/>
      <c r="AE739" s="36"/>
    </row>
    <row r="740" spans="1:31" ht="15.75" customHeight="1" x14ac:dyDescent="0.25">
      <c r="A740" s="37"/>
      <c r="B740" s="801"/>
      <c r="C740" s="37"/>
      <c r="D740" s="37"/>
      <c r="E740" s="37"/>
      <c r="F740" s="37"/>
      <c r="G740" s="37"/>
      <c r="H740" s="37"/>
      <c r="I740" s="37"/>
      <c r="J740" s="37"/>
      <c r="K740" s="37"/>
      <c r="L740" s="37"/>
      <c r="M740" s="37"/>
      <c r="N740" s="37"/>
      <c r="O740" s="37"/>
      <c r="P740" s="37"/>
      <c r="Q740" s="37"/>
      <c r="R740" s="37"/>
      <c r="S740" s="37"/>
      <c r="T740" s="37"/>
      <c r="U740" s="37"/>
      <c r="V740" s="37"/>
      <c r="W740" s="37"/>
      <c r="X740" s="36"/>
      <c r="Y740" s="36"/>
      <c r="Z740" s="36"/>
      <c r="AA740" s="36"/>
      <c r="AB740" s="36"/>
      <c r="AC740" s="36"/>
      <c r="AD740" s="36"/>
      <c r="AE740" s="36"/>
    </row>
    <row r="741" spans="1:31" ht="15.75" customHeight="1" x14ac:dyDescent="0.25">
      <c r="A741" s="37"/>
      <c r="B741" s="801"/>
      <c r="C741" s="37"/>
      <c r="D741" s="37"/>
      <c r="E741" s="37"/>
      <c r="F741" s="37"/>
      <c r="G741" s="37"/>
      <c r="H741" s="37"/>
      <c r="I741" s="37"/>
      <c r="J741" s="37"/>
      <c r="K741" s="37"/>
      <c r="L741" s="37"/>
      <c r="M741" s="37"/>
      <c r="N741" s="37"/>
      <c r="O741" s="37"/>
      <c r="P741" s="37"/>
      <c r="Q741" s="37"/>
      <c r="R741" s="37"/>
      <c r="S741" s="37"/>
      <c r="T741" s="37"/>
      <c r="U741" s="37"/>
      <c r="V741" s="37"/>
      <c r="W741" s="37"/>
      <c r="X741" s="36"/>
      <c r="Y741" s="36"/>
      <c r="Z741" s="36"/>
      <c r="AA741" s="36"/>
      <c r="AB741" s="36"/>
      <c r="AC741" s="36"/>
      <c r="AD741" s="36"/>
      <c r="AE741" s="36"/>
    </row>
    <row r="742" spans="1:31" ht="15.75" customHeight="1" x14ac:dyDescent="0.25">
      <c r="A742" s="37"/>
      <c r="B742" s="801"/>
      <c r="C742" s="37"/>
      <c r="D742" s="37"/>
      <c r="E742" s="37"/>
      <c r="F742" s="37"/>
      <c r="G742" s="37"/>
      <c r="H742" s="37"/>
      <c r="I742" s="37"/>
      <c r="J742" s="37"/>
      <c r="K742" s="37"/>
      <c r="L742" s="37"/>
      <c r="M742" s="37"/>
      <c r="N742" s="37"/>
      <c r="O742" s="37"/>
      <c r="P742" s="37"/>
      <c r="Q742" s="37"/>
      <c r="R742" s="37"/>
      <c r="S742" s="37"/>
      <c r="T742" s="37"/>
      <c r="U742" s="37"/>
      <c r="V742" s="37"/>
      <c r="W742" s="37"/>
      <c r="X742" s="36"/>
      <c r="Y742" s="36"/>
      <c r="Z742" s="36"/>
      <c r="AA742" s="36"/>
      <c r="AB742" s="36"/>
      <c r="AC742" s="36"/>
      <c r="AD742" s="36"/>
      <c r="AE742" s="36"/>
    </row>
    <row r="743" spans="1:31" ht="15.75" customHeight="1" x14ac:dyDescent="0.25">
      <c r="A743" s="37"/>
      <c r="B743" s="801"/>
      <c r="C743" s="37"/>
      <c r="D743" s="37"/>
      <c r="E743" s="37"/>
      <c r="F743" s="37"/>
      <c r="G743" s="37"/>
      <c r="H743" s="37"/>
      <c r="I743" s="37"/>
      <c r="J743" s="37"/>
      <c r="K743" s="37"/>
      <c r="L743" s="37"/>
      <c r="M743" s="37"/>
      <c r="N743" s="37"/>
      <c r="O743" s="37"/>
      <c r="P743" s="37"/>
      <c r="Q743" s="37"/>
      <c r="R743" s="37"/>
      <c r="S743" s="37"/>
      <c r="T743" s="37"/>
      <c r="U743" s="37"/>
      <c r="V743" s="37"/>
      <c r="W743" s="37"/>
      <c r="X743" s="36"/>
      <c r="Y743" s="36"/>
      <c r="Z743" s="36"/>
      <c r="AA743" s="36"/>
      <c r="AB743" s="36"/>
      <c r="AC743" s="36"/>
      <c r="AD743" s="36"/>
      <c r="AE743" s="36"/>
    </row>
    <row r="744" spans="1:31" ht="15.75" customHeight="1" x14ac:dyDescent="0.25">
      <c r="A744" s="37"/>
      <c r="B744" s="801"/>
      <c r="C744" s="37"/>
      <c r="D744" s="37"/>
      <c r="E744" s="37"/>
      <c r="F744" s="37"/>
      <c r="G744" s="37"/>
      <c r="H744" s="37"/>
      <c r="I744" s="37"/>
      <c r="J744" s="37"/>
      <c r="K744" s="37"/>
      <c r="L744" s="37"/>
      <c r="M744" s="37"/>
      <c r="N744" s="37"/>
      <c r="O744" s="37"/>
      <c r="P744" s="37"/>
      <c r="Q744" s="37"/>
      <c r="R744" s="37"/>
      <c r="S744" s="37"/>
      <c r="T744" s="37"/>
      <c r="U744" s="37"/>
      <c r="V744" s="37"/>
      <c r="W744" s="37"/>
      <c r="X744" s="36"/>
      <c r="Y744" s="36"/>
      <c r="Z744" s="36"/>
      <c r="AA744" s="36"/>
      <c r="AB744" s="36"/>
      <c r="AC744" s="36"/>
      <c r="AD744" s="36"/>
      <c r="AE744" s="36"/>
    </row>
    <row r="745" spans="1:31" ht="15.75" customHeight="1" x14ac:dyDescent="0.25">
      <c r="A745" s="37"/>
      <c r="B745" s="801"/>
      <c r="C745" s="37"/>
      <c r="D745" s="37"/>
      <c r="E745" s="37"/>
      <c r="F745" s="37"/>
      <c r="G745" s="37"/>
      <c r="H745" s="37"/>
      <c r="I745" s="37"/>
      <c r="J745" s="37"/>
      <c r="K745" s="37"/>
      <c r="L745" s="37"/>
      <c r="M745" s="37"/>
      <c r="N745" s="37"/>
      <c r="O745" s="37"/>
      <c r="P745" s="37"/>
      <c r="Q745" s="37"/>
      <c r="R745" s="37"/>
      <c r="S745" s="37"/>
      <c r="T745" s="37"/>
      <c r="U745" s="37"/>
      <c r="V745" s="37"/>
      <c r="W745" s="37"/>
      <c r="X745" s="36"/>
      <c r="Y745" s="36"/>
      <c r="Z745" s="36"/>
      <c r="AA745" s="36"/>
      <c r="AB745" s="36"/>
      <c r="AC745" s="36"/>
      <c r="AD745" s="36"/>
      <c r="AE745" s="36"/>
    </row>
    <row r="746" spans="1:31" ht="15.75" customHeight="1" x14ac:dyDescent="0.25">
      <c r="A746" s="37"/>
      <c r="B746" s="801"/>
      <c r="C746" s="37"/>
      <c r="D746" s="37"/>
      <c r="E746" s="37"/>
      <c r="F746" s="37"/>
      <c r="G746" s="37"/>
      <c r="H746" s="37"/>
      <c r="I746" s="37"/>
      <c r="J746" s="37"/>
      <c r="K746" s="37"/>
      <c r="L746" s="37"/>
      <c r="M746" s="37"/>
      <c r="N746" s="37"/>
      <c r="O746" s="37"/>
      <c r="P746" s="37"/>
      <c r="Q746" s="37"/>
      <c r="R746" s="37"/>
      <c r="S746" s="37"/>
      <c r="T746" s="37"/>
      <c r="U746" s="37"/>
      <c r="V746" s="37"/>
      <c r="W746" s="37"/>
      <c r="X746" s="36"/>
      <c r="Y746" s="36"/>
      <c r="Z746" s="36"/>
      <c r="AA746" s="36"/>
      <c r="AB746" s="36"/>
      <c r="AC746" s="36"/>
      <c r="AD746" s="36"/>
      <c r="AE746" s="36"/>
    </row>
    <row r="747" spans="1:31" ht="15.75" customHeight="1" x14ac:dyDescent="0.25">
      <c r="A747" s="37"/>
      <c r="B747" s="801"/>
      <c r="C747" s="37"/>
      <c r="D747" s="37"/>
      <c r="E747" s="37"/>
      <c r="F747" s="37"/>
      <c r="G747" s="37"/>
      <c r="H747" s="37"/>
      <c r="I747" s="37"/>
      <c r="J747" s="37"/>
      <c r="K747" s="37"/>
      <c r="L747" s="37"/>
      <c r="M747" s="37"/>
      <c r="N747" s="37"/>
      <c r="O747" s="37"/>
      <c r="P747" s="37"/>
      <c r="Q747" s="37"/>
      <c r="R747" s="37"/>
      <c r="S747" s="37"/>
      <c r="T747" s="37"/>
      <c r="U747" s="37"/>
      <c r="V747" s="37"/>
      <c r="W747" s="37"/>
      <c r="X747" s="36"/>
      <c r="Y747" s="36"/>
      <c r="Z747" s="36"/>
      <c r="AA747" s="36"/>
      <c r="AB747" s="36"/>
      <c r="AC747" s="36"/>
      <c r="AD747" s="36"/>
      <c r="AE747" s="36"/>
    </row>
    <row r="748" spans="1:31" ht="15.75" customHeight="1" x14ac:dyDescent="0.25">
      <c r="A748" s="37"/>
      <c r="B748" s="801"/>
      <c r="C748" s="37"/>
      <c r="D748" s="37"/>
      <c r="E748" s="37"/>
      <c r="F748" s="37"/>
      <c r="G748" s="37"/>
      <c r="H748" s="37"/>
      <c r="I748" s="37"/>
      <c r="J748" s="37"/>
      <c r="K748" s="37"/>
      <c r="L748" s="37"/>
      <c r="M748" s="37"/>
      <c r="N748" s="37"/>
      <c r="O748" s="37"/>
      <c r="P748" s="37"/>
      <c r="Q748" s="37"/>
      <c r="R748" s="37"/>
      <c r="S748" s="37"/>
      <c r="T748" s="37"/>
      <c r="U748" s="37"/>
      <c r="V748" s="37"/>
      <c r="W748" s="37"/>
      <c r="X748" s="36"/>
      <c r="Y748" s="36"/>
      <c r="Z748" s="36"/>
      <c r="AA748" s="36"/>
      <c r="AB748" s="36"/>
      <c r="AC748" s="36"/>
      <c r="AD748" s="36"/>
      <c r="AE748" s="36"/>
    </row>
    <row r="749" spans="1:31" ht="15.75" customHeight="1" x14ac:dyDescent="0.25">
      <c r="A749" s="37"/>
      <c r="B749" s="801"/>
      <c r="C749" s="37"/>
      <c r="D749" s="37"/>
      <c r="E749" s="37"/>
      <c r="F749" s="37"/>
      <c r="G749" s="37"/>
      <c r="H749" s="37"/>
      <c r="I749" s="37"/>
      <c r="J749" s="37"/>
      <c r="K749" s="37"/>
      <c r="L749" s="37"/>
      <c r="M749" s="37"/>
      <c r="N749" s="37"/>
      <c r="O749" s="37"/>
      <c r="P749" s="37"/>
      <c r="Q749" s="37"/>
      <c r="R749" s="37"/>
      <c r="S749" s="37"/>
      <c r="T749" s="37"/>
      <c r="U749" s="37"/>
      <c r="V749" s="37"/>
      <c r="W749" s="37"/>
      <c r="X749" s="36"/>
      <c r="Y749" s="36"/>
      <c r="Z749" s="36"/>
      <c r="AA749" s="36"/>
      <c r="AB749" s="36"/>
      <c r="AC749" s="36"/>
      <c r="AD749" s="36"/>
      <c r="AE749" s="36"/>
    </row>
    <row r="750" spans="1:31" ht="15.75" customHeight="1" x14ac:dyDescent="0.25">
      <c r="A750" s="37"/>
      <c r="B750" s="801"/>
      <c r="C750" s="37"/>
      <c r="D750" s="37"/>
      <c r="E750" s="37"/>
      <c r="F750" s="37"/>
      <c r="G750" s="37"/>
      <c r="H750" s="37"/>
      <c r="I750" s="37"/>
      <c r="J750" s="37"/>
      <c r="K750" s="37"/>
      <c r="L750" s="37"/>
      <c r="M750" s="37"/>
      <c r="N750" s="37"/>
      <c r="O750" s="37"/>
      <c r="P750" s="37"/>
      <c r="Q750" s="37"/>
      <c r="R750" s="37"/>
      <c r="S750" s="37"/>
      <c r="T750" s="37"/>
      <c r="U750" s="37"/>
      <c r="V750" s="37"/>
      <c r="W750" s="37"/>
      <c r="X750" s="36"/>
      <c r="Y750" s="36"/>
      <c r="Z750" s="36"/>
      <c r="AA750" s="36"/>
      <c r="AB750" s="36"/>
      <c r="AC750" s="36"/>
      <c r="AD750" s="36"/>
      <c r="AE750" s="36"/>
    </row>
    <row r="751" spans="1:31" ht="15.75" customHeight="1" x14ac:dyDescent="0.25">
      <c r="A751" s="37"/>
      <c r="B751" s="801"/>
      <c r="C751" s="37"/>
      <c r="D751" s="37"/>
      <c r="E751" s="37"/>
      <c r="F751" s="37"/>
      <c r="G751" s="37"/>
      <c r="H751" s="37"/>
      <c r="I751" s="37"/>
      <c r="J751" s="37"/>
      <c r="K751" s="37"/>
      <c r="L751" s="37"/>
      <c r="M751" s="37"/>
      <c r="N751" s="37"/>
      <c r="O751" s="37"/>
      <c r="P751" s="37"/>
      <c r="Q751" s="37"/>
      <c r="R751" s="37"/>
      <c r="S751" s="37"/>
      <c r="T751" s="37"/>
      <c r="U751" s="37"/>
      <c r="V751" s="37"/>
      <c r="W751" s="37"/>
      <c r="X751" s="36"/>
      <c r="Y751" s="36"/>
      <c r="Z751" s="36"/>
      <c r="AA751" s="36"/>
      <c r="AB751" s="36"/>
      <c r="AC751" s="36"/>
      <c r="AD751" s="36"/>
      <c r="AE751" s="36"/>
    </row>
    <row r="752" spans="1:31" ht="15.75" customHeight="1" x14ac:dyDescent="0.25">
      <c r="A752" s="37"/>
      <c r="B752" s="801"/>
      <c r="C752" s="37"/>
      <c r="D752" s="37"/>
      <c r="E752" s="37"/>
      <c r="F752" s="37"/>
      <c r="G752" s="37"/>
      <c r="H752" s="37"/>
      <c r="I752" s="37"/>
      <c r="J752" s="37"/>
      <c r="K752" s="37"/>
      <c r="L752" s="37"/>
      <c r="M752" s="37"/>
      <c r="N752" s="37"/>
      <c r="O752" s="37"/>
      <c r="P752" s="37"/>
      <c r="Q752" s="37"/>
      <c r="R752" s="37"/>
      <c r="S752" s="37"/>
      <c r="T752" s="37"/>
      <c r="U752" s="37"/>
      <c r="V752" s="37"/>
      <c r="W752" s="37"/>
      <c r="X752" s="36"/>
      <c r="Y752" s="36"/>
      <c r="Z752" s="36"/>
      <c r="AA752" s="36"/>
      <c r="AB752" s="36"/>
      <c r="AC752" s="36"/>
      <c r="AD752" s="36"/>
      <c r="AE752" s="36"/>
    </row>
    <row r="753" spans="1:31" ht="15.75" customHeight="1" x14ac:dyDescent="0.25">
      <c r="A753" s="37"/>
      <c r="B753" s="801"/>
      <c r="C753" s="37"/>
      <c r="D753" s="37"/>
      <c r="E753" s="37"/>
      <c r="F753" s="37"/>
      <c r="G753" s="37"/>
      <c r="H753" s="37"/>
      <c r="I753" s="37"/>
      <c r="J753" s="37"/>
      <c r="K753" s="37"/>
      <c r="L753" s="37"/>
      <c r="M753" s="37"/>
      <c r="N753" s="37"/>
      <c r="O753" s="37"/>
      <c r="P753" s="37"/>
      <c r="Q753" s="37"/>
      <c r="R753" s="37"/>
      <c r="S753" s="37"/>
      <c r="T753" s="37"/>
      <c r="U753" s="37"/>
      <c r="V753" s="37"/>
      <c r="W753" s="37"/>
      <c r="X753" s="36"/>
      <c r="Y753" s="36"/>
      <c r="Z753" s="36"/>
      <c r="AA753" s="36"/>
      <c r="AB753" s="36"/>
      <c r="AC753" s="36"/>
      <c r="AD753" s="36"/>
      <c r="AE753" s="36"/>
    </row>
    <row r="754" spans="1:31" ht="15.75" customHeight="1" x14ac:dyDescent="0.25">
      <c r="A754" s="37"/>
      <c r="B754" s="801"/>
      <c r="C754" s="37"/>
      <c r="D754" s="37"/>
      <c r="E754" s="37"/>
      <c r="F754" s="37"/>
      <c r="G754" s="37"/>
      <c r="H754" s="37"/>
      <c r="I754" s="37"/>
      <c r="J754" s="37"/>
      <c r="K754" s="37"/>
      <c r="L754" s="37"/>
      <c r="M754" s="37"/>
      <c r="N754" s="37"/>
      <c r="O754" s="37"/>
      <c r="P754" s="37"/>
      <c r="Q754" s="37"/>
      <c r="R754" s="37"/>
      <c r="S754" s="37"/>
      <c r="T754" s="37"/>
      <c r="U754" s="37"/>
      <c r="V754" s="37"/>
      <c r="W754" s="37"/>
      <c r="X754" s="36"/>
      <c r="Y754" s="36"/>
      <c r="Z754" s="36"/>
      <c r="AA754" s="36"/>
      <c r="AB754" s="36"/>
      <c r="AC754" s="36"/>
      <c r="AD754" s="36"/>
      <c r="AE754" s="36"/>
    </row>
    <row r="755" spans="1:31" ht="15.75" customHeight="1" x14ac:dyDescent="0.25">
      <c r="A755" s="37"/>
      <c r="B755" s="801"/>
      <c r="C755" s="37"/>
      <c r="D755" s="37"/>
      <c r="E755" s="37"/>
      <c r="F755" s="37"/>
      <c r="G755" s="37"/>
      <c r="H755" s="37"/>
      <c r="I755" s="37"/>
      <c r="J755" s="37"/>
      <c r="K755" s="37"/>
      <c r="L755" s="37"/>
      <c r="M755" s="37"/>
      <c r="N755" s="37"/>
      <c r="O755" s="37"/>
      <c r="P755" s="37"/>
      <c r="Q755" s="37"/>
      <c r="R755" s="37"/>
      <c r="S755" s="37"/>
      <c r="T755" s="37"/>
      <c r="U755" s="37"/>
      <c r="V755" s="37"/>
      <c r="W755" s="37"/>
      <c r="X755" s="36"/>
      <c r="Y755" s="36"/>
      <c r="Z755" s="36"/>
      <c r="AA755" s="36"/>
      <c r="AB755" s="36"/>
      <c r="AC755" s="36"/>
      <c r="AD755" s="36"/>
      <c r="AE755" s="36"/>
    </row>
    <row r="756" spans="1:31" ht="15.75" customHeight="1" x14ac:dyDescent="0.25">
      <c r="A756" s="37"/>
      <c r="B756" s="801"/>
      <c r="C756" s="37"/>
      <c r="D756" s="37"/>
      <c r="E756" s="37"/>
      <c r="F756" s="37"/>
      <c r="G756" s="37"/>
      <c r="H756" s="37"/>
      <c r="I756" s="37"/>
      <c r="J756" s="37"/>
      <c r="K756" s="37"/>
      <c r="L756" s="37"/>
      <c r="M756" s="37"/>
      <c r="N756" s="37"/>
      <c r="O756" s="37"/>
      <c r="P756" s="37"/>
      <c r="Q756" s="37"/>
      <c r="R756" s="37"/>
      <c r="S756" s="37"/>
      <c r="T756" s="37"/>
      <c r="U756" s="37"/>
      <c r="V756" s="37"/>
      <c r="W756" s="37"/>
      <c r="X756" s="36"/>
      <c r="Y756" s="36"/>
      <c r="Z756" s="36"/>
      <c r="AA756" s="36"/>
      <c r="AB756" s="36"/>
      <c r="AC756" s="36"/>
      <c r="AD756" s="36"/>
      <c r="AE756" s="36"/>
    </row>
    <row r="757" spans="1:31" ht="15.75" customHeight="1" x14ac:dyDescent="0.25">
      <c r="A757" s="37"/>
      <c r="B757" s="801"/>
      <c r="C757" s="37"/>
      <c r="D757" s="37"/>
      <c r="E757" s="37"/>
      <c r="F757" s="37"/>
      <c r="G757" s="37"/>
      <c r="H757" s="37"/>
      <c r="I757" s="37"/>
      <c r="J757" s="37"/>
      <c r="K757" s="37"/>
      <c r="L757" s="37"/>
      <c r="M757" s="37"/>
      <c r="N757" s="37"/>
      <c r="O757" s="37"/>
      <c r="P757" s="37"/>
      <c r="Q757" s="37"/>
      <c r="R757" s="37"/>
      <c r="S757" s="37"/>
      <c r="T757" s="37"/>
      <c r="U757" s="37"/>
      <c r="V757" s="37"/>
      <c r="W757" s="37"/>
      <c r="X757" s="36"/>
      <c r="Y757" s="36"/>
      <c r="Z757" s="36"/>
      <c r="AA757" s="36"/>
      <c r="AB757" s="36"/>
      <c r="AC757" s="36"/>
      <c r="AD757" s="36"/>
      <c r="AE757" s="36"/>
    </row>
    <row r="758" spans="1:31" ht="15.75" customHeight="1" x14ac:dyDescent="0.25">
      <c r="A758" s="37"/>
      <c r="B758" s="801"/>
      <c r="C758" s="37"/>
      <c r="D758" s="37"/>
      <c r="E758" s="37"/>
      <c r="F758" s="37"/>
      <c r="G758" s="37"/>
      <c r="H758" s="37"/>
      <c r="I758" s="37"/>
      <c r="J758" s="37"/>
      <c r="K758" s="37"/>
      <c r="L758" s="37"/>
      <c r="M758" s="37"/>
      <c r="N758" s="37"/>
      <c r="O758" s="37"/>
      <c r="P758" s="37"/>
      <c r="Q758" s="37"/>
      <c r="R758" s="37"/>
      <c r="S758" s="37"/>
      <c r="T758" s="37"/>
      <c r="U758" s="37"/>
      <c r="V758" s="37"/>
      <c r="W758" s="37"/>
      <c r="X758" s="36"/>
      <c r="Y758" s="36"/>
      <c r="Z758" s="36"/>
      <c r="AA758" s="36"/>
      <c r="AB758" s="36"/>
      <c r="AC758" s="36"/>
      <c r="AD758" s="36"/>
      <c r="AE758" s="36"/>
    </row>
    <row r="759" spans="1:31" ht="15.75" customHeight="1" x14ac:dyDescent="0.25">
      <c r="A759" s="37"/>
      <c r="B759" s="801"/>
      <c r="C759" s="37"/>
      <c r="D759" s="37"/>
      <c r="E759" s="37"/>
      <c r="F759" s="37"/>
      <c r="G759" s="37"/>
      <c r="H759" s="37"/>
      <c r="I759" s="37"/>
      <c r="J759" s="37"/>
      <c r="K759" s="37"/>
      <c r="L759" s="37"/>
      <c r="M759" s="37"/>
      <c r="N759" s="37"/>
      <c r="O759" s="37"/>
      <c r="P759" s="37"/>
      <c r="Q759" s="37"/>
      <c r="R759" s="37"/>
      <c r="S759" s="37"/>
      <c r="T759" s="37"/>
      <c r="U759" s="37"/>
      <c r="V759" s="37"/>
      <c r="W759" s="37"/>
      <c r="X759" s="36"/>
      <c r="Y759" s="36"/>
      <c r="Z759" s="36"/>
      <c r="AA759" s="36"/>
      <c r="AB759" s="36"/>
      <c r="AC759" s="36"/>
      <c r="AD759" s="36"/>
      <c r="AE759" s="36"/>
    </row>
    <row r="760" spans="1:31" ht="15.75" customHeight="1" x14ac:dyDescent="0.25">
      <c r="A760" s="37"/>
      <c r="B760" s="801"/>
      <c r="C760" s="37"/>
      <c r="D760" s="37"/>
      <c r="E760" s="37"/>
      <c r="F760" s="37"/>
      <c r="G760" s="37"/>
      <c r="H760" s="37"/>
      <c r="I760" s="37"/>
      <c r="J760" s="37"/>
      <c r="K760" s="37"/>
      <c r="L760" s="37"/>
      <c r="M760" s="37"/>
      <c r="N760" s="37"/>
      <c r="O760" s="37"/>
      <c r="P760" s="37"/>
      <c r="Q760" s="37"/>
      <c r="R760" s="37"/>
      <c r="S760" s="37"/>
      <c r="T760" s="37"/>
      <c r="U760" s="37"/>
      <c r="V760" s="37"/>
      <c r="W760" s="37"/>
      <c r="X760" s="36"/>
      <c r="Y760" s="36"/>
      <c r="Z760" s="36"/>
      <c r="AA760" s="36"/>
      <c r="AB760" s="36"/>
      <c r="AC760" s="36"/>
      <c r="AD760" s="36"/>
      <c r="AE760" s="36"/>
    </row>
    <row r="761" spans="1:31" ht="15.75" customHeight="1" x14ac:dyDescent="0.25">
      <c r="A761" s="37"/>
      <c r="B761" s="801"/>
      <c r="C761" s="37"/>
      <c r="D761" s="37"/>
      <c r="E761" s="37"/>
      <c r="F761" s="37"/>
      <c r="G761" s="37"/>
      <c r="H761" s="37"/>
      <c r="I761" s="37"/>
      <c r="J761" s="37"/>
      <c r="K761" s="37"/>
      <c r="L761" s="37"/>
      <c r="M761" s="37"/>
      <c r="N761" s="37"/>
      <c r="O761" s="37"/>
      <c r="P761" s="37"/>
      <c r="Q761" s="37"/>
      <c r="R761" s="37"/>
      <c r="S761" s="37"/>
      <c r="T761" s="37"/>
      <c r="U761" s="37"/>
      <c r="V761" s="37"/>
      <c r="W761" s="37"/>
      <c r="X761" s="36"/>
      <c r="Y761" s="36"/>
      <c r="Z761" s="36"/>
      <c r="AA761" s="36"/>
      <c r="AB761" s="36"/>
      <c r="AC761" s="36"/>
      <c r="AD761" s="36"/>
      <c r="AE761" s="36"/>
    </row>
    <row r="762" spans="1:31" ht="15.75" customHeight="1" x14ac:dyDescent="0.25">
      <c r="A762" s="37"/>
      <c r="B762" s="801"/>
      <c r="C762" s="37"/>
      <c r="D762" s="37"/>
      <c r="E762" s="37"/>
      <c r="F762" s="37"/>
      <c r="G762" s="37"/>
      <c r="H762" s="37"/>
      <c r="I762" s="37"/>
      <c r="J762" s="37"/>
      <c r="K762" s="37"/>
      <c r="L762" s="37"/>
      <c r="M762" s="37"/>
      <c r="N762" s="37"/>
      <c r="O762" s="37"/>
      <c r="P762" s="37"/>
      <c r="Q762" s="37"/>
      <c r="R762" s="37"/>
      <c r="S762" s="37"/>
      <c r="T762" s="37"/>
      <c r="U762" s="37"/>
      <c r="V762" s="37"/>
      <c r="W762" s="37"/>
      <c r="X762" s="36"/>
      <c r="Y762" s="36"/>
      <c r="Z762" s="36"/>
      <c r="AA762" s="36"/>
      <c r="AB762" s="36"/>
      <c r="AC762" s="36"/>
      <c r="AD762" s="36"/>
      <c r="AE762" s="36"/>
    </row>
    <row r="763" spans="1:31" ht="15.75" customHeight="1" x14ac:dyDescent="0.25">
      <c r="A763" s="37"/>
      <c r="B763" s="801"/>
      <c r="C763" s="37"/>
      <c r="D763" s="37"/>
      <c r="E763" s="37"/>
      <c r="F763" s="37"/>
      <c r="G763" s="37"/>
      <c r="H763" s="37"/>
      <c r="I763" s="37"/>
      <c r="J763" s="37"/>
      <c r="K763" s="37"/>
      <c r="L763" s="37"/>
      <c r="M763" s="37"/>
      <c r="N763" s="37"/>
      <c r="O763" s="37"/>
      <c r="P763" s="37"/>
      <c r="Q763" s="37"/>
      <c r="R763" s="37"/>
      <c r="S763" s="37"/>
      <c r="T763" s="37"/>
      <c r="U763" s="37"/>
      <c r="V763" s="37"/>
      <c r="W763" s="37"/>
      <c r="X763" s="36"/>
      <c r="Y763" s="36"/>
      <c r="Z763" s="36"/>
      <c r="AA763" s="36"/>
      <c r="AB763" s="36"/>
      <c r="AC763" s="36"/>
      <c r="AD763" s="36"/>
      <c r="AE763" s="36"/>
    </row>
    <row r="764" spans="1:31" ht="15.75" customHeight="1" x14ac:dyDescent="0.25">
      <c r="A764" s="37"/>
      <c r="B764" s="801"/>
      <c r="C764" s="37"/>
      <c r="D764" s="37"/>
      <c r="E764" s="37"/>
      <c r="F764" s="37"/>
      <c r="G764" s="37"/>
      <c r="H764" s="37"/>
      <c r="I764" s="37"/>
      <c r="J764" s="37"/>
      <c r="K764" s="37"/>
      <c r="L764" s="37"/>
      <c r="M764" s="37"/>
      <c r="N764" s="37"/>
      <c r="O764" s="37"/>
      <c r="P764" s="37"/>
      <c r="Q764" s="37"/>
      <c r="R764" s="37"/>
      <c r="S764" s="37"/>
      <c r="T764" s="37"/>
      <c r="U764" s="37"/>
      <c r="V764" s="37"/>
      <c r="W764" s="37"/>
      <c r="X764" s="36"/>
      <c r="Y764" s="36"/>
      <c r="Z764" s="36"/>
      <c r="AA764" s="36"/>
      <c r="AB764" s="36"/>
      <c r="AC764" s="36"/>
      <c r="AD764" s="36"/>
      <c r="AE764" s="36"/>
    </row>
    <row r="765" spans="1:31" ht="15.75" customHeight="1" x14ac:dyDescent="0.25">
      <c r="A765" s="37"/>
      <c r="B765" s="801"/>
      <c r="C765" s="37"/>
      <c r="D765" s="37"/>
      <c r="E765" s="37"/>
      <c r="F765" s="37"/>
      <c r="G765" s="37"/>
      <c r="H765" s="37"/>
      <c r="I765" s="37"/>
      <c r="J765" s="37"/>
      <c r="K765" s="37"/>
      <c r="L765" s="37"/>
      <c r="M765" s="37"/>
      <c r="N765" s="37"/>
      <c r="O765" s="37"/>
      <c r="P765" s="37"/>
      <c r="Q765" s="37"/>
      <c r="R765" s="37"/>
      <c r="S765" s="37"/>
      <c r="T765" s="37"/>
      <c r="U765" s="37"/>
      <c r="V765" s="37"/>
      <c r="W765" s="37"/>
      <c r="X765" s="36"/>
      <c r="Y765" s="36"/>
      <c r="Z765" s="36"/>
      <c r="AA765" s="36"/>
      <c r="AB765" s="36"/>
      <c r="AC765" s="36"/>
      <c r="AD765" s="36"/>
      <c r="AE765" s="36"/>
    </row>
    <row r="766" spans="1:31" ht="15.75" customHeight="1" x14ac:dyDescent="0.25">
      <c r="A766" s="37"/>
      <c r="B766" s="801"/>
      <c r="C766" s="37"/>
      <c r="D766" s="37"/>
      <c r="E766" s="37"/>
      <c r="F766" s="37"/>
      <c r="G766" s="37"/>
      <c r="H766" s="37"/>
      <c r="I766" s="37"/>
      <c r="J766" s="37"/>
      <c r="K766" s="37"/>
      <c r="L766" s="37"/>
      <c r="M766" s="37"/>
      <c r="N766" s="37"/>
      <c r="O766" s="37"/>
      <c r="P766" s="37"/>
      <c r="Q766" s="37"/>
      <c r="R766" s="37"/>
      <c r="S766" s="37"/>
      <c r="T766" s="37"/>
      <c r="U766" s="37"/>
      <c r="V766" s="37"/>
      <c r="W766" s="37"/>
      <c r="X766" s="36"/>
      <c r="Y766" s="36"/>
      <c r="Z766" s="36"/>
      <c r="AA766" s="36"/>
      <c r="AB766" s="36"/>
      <c r="AC766" s="36"/>
      <c r="AD766" s="36"/>
      <c r="AE766" s="36"/>
    </row>
    <row r="767" spans="1:31" ht="15.75" customHeight="1" x14ac:dyDescent="0.25">
      <c r="A767" s="37"/>
      <c r="B767" s="801"/>
      <c r="C767" s="37"/>
      <c r="D767" s="37"/>
      <c r="E767" s="37"/>
      <c r="F767" s="37"/>
      <c r="G767" s="37"/>
      <c r="H767" s="37"/>
      <c r="I767" s="37"/>
      <c r="J767" s="37"/>
      <c r="K767" s="37"/>
      <c r="L767" s="37"/>
      <c r="M767" s="37"/>
      <c r="N767" s="37"/>
      <c r="O767" s="37"/>
      <c r="P767" s="37"/>
      <c r="Q767" s="37"/>
      <c r="R767" s="37"/>
      <c r="S767" s="37"/>
      <c r="T767" s="37"/>
      <c r="U767" s="37"/>
      <c r="V767" s="37"/>
      <c r="W767" s="37"/>
      <c r="X767" s="36"/>
      <c r="Y767" s="36"/>
      <c r="Z767" s="36"/>
      <c r="AA767" s="36"/>
      <c r="AB767" s="36"/>
      <c r="AC767" s="36"/>
      <c r="AD767" s="36"/>
      <c r="AE767" s="36"/>
    </row>
    <row r="768" spans="1:31" ht="15.75" customHeight="1" x14ac:dyDescent="0.25">
      <c r="A768" s="37"/>
      <c r="B768" s="801"/>
      <c r="C768" s="37"/>
      <c r="D768" s="37"/>
      <c r="E768" s="37"/>
      <c r="F768" s="37"/>
      <c r="G768" s="37"/>
      <c r="H768" s="37"/>
      <c r="I768" s="37"/>
      <c r="J768" s="37"/>
      <c r="K768" s="37"/>
      <c r="L768" s="37"/>
      <c r="M768" s="37"/>
      <c r="N768" s="37"/>
      <c r="O768" s="37"/>
      <c r="P768" s="37"/>
      <c r="Q768" s="37"/>
      <c r="R768" s="37"/>
      <c r="S768" s="37"/>
      <c r="T768" s="37"/>
      <c r="U768" s="37"/>
      <c r="V768" s="37"/>
      <c r="W768" s="37"/>
      <c r="X768" s="36"/>
      <c r="Y768" s="36"/>
      <c r="Z768" s="36"/>
      <c r="AA768" s="36"/>
      <c r="AB768" s="36"/>
      <c r="AC768" s="36"/>
      <c r="AD768" s="36"/>
      <c r="AE768" s="36"/>
    </row>
    <row r="769" spans="1:31" ht="15.75" customHeight="1" x14ac:dyDescent="0.25">
      <c r="A769" s="37"/>
      <c r="B769" s="801"/>
      <c r="C769" s="37"/>
      <c r="D769" s="37"/>
      <c r="E769" s="37"/>
      <c r="F769" s="37"/>
      <c r="G769" s="37"/>
      <c r="H769" s="37"/>
      <c r="I769" s="37"/>
      <c r="J769" s="37"/>
      <c r="K769" s="37"/>
      <c r="L769" s="37"/>
      <c r="M769" s="37"/>
      <c r="N769" s="37"/>
      <c r="O769" s="37"/>
      <c r="P769" s="37"/>
      <c r="Q769" s="37"/>
      <c r="R769" s="37"/>
      <c r="S769" s="37"/>
      <c r="T769" s="37"/>
      <c r="U769" s="37"/>
      <c r="V769" s="37"/>
      <c r="W769" s="37"/>
      <c r="X769" s="36"/>
      <c r="Y769" s="36"/>
      <c r="Z769" s="36"/>
      <c r="AA769" s="36"/>
      <c r="AB769" s="36"/>
      <c r="AC769" s="36"/>
      <c r="AD769" s="36"/>
      <c r="AE769" s="36"/>
    </row>
    <row r="770" spans="1:31" ht="15.75" customHeight="1" x14ac:dyDescent="0.25">
      <c r="A770" s="37"/>
      <c r="B770" s="801"/>
      <c r="C770" s="37"/>
      <c r="D770" s="37"/>
      <c r="E770" s="37"/>
      <c r="F770" s="37"/>
      <c r="G770" s="37"/>
      <c r="H770" s="37"/>
      <c r="I770" s="37"/>
      <c r="J770" s="37"/>
      <c r="K770" s="37"/>
      <c r="L770" s="37"/>
      <c r="M770" s="37"/>
      <c r="N770" s="37"/>
      <c r="O770" s="37"/>
      <c r="P770" s="37"/>
      <c r="Q770" s="37"/>
      <c r="R770" s="37"/>
      <c r="S770" s="37"/>
      <c r="T770" s="37"/>
      <c r="U770" s="37"/>
      <c r="V770" s="37"/>
      <c r="W770" s="37"/>
      <c r="X770" s="36"/>
      <c r="Y770" s="36"/>
      <c r="Z770" s="36"/>
      <c r="AA770" s="36"/>
      <c r="AB770" s="36"/>
      <c r="AC770" s="36"/>
      <c r="AD770" s="36"/>
      <c r="AE770" s="36"/>
    </row>
    <row r="771" spans="1:31" ht="15.75" customHeight="1" x14ac:dyDescent="0.25">
      <c r="A771" s="37"/>
      <c r="B771" s="801"/>
      <c r="C771" s="37"/>
      <c r="D771" s="37"/>
      <c r="E771" s="37"/>
      <c r="F771" s="37"/>
      <c r="G771" s="37"/>
      <c r="H771" s="37"/>
      <c r="I771" s="37"/>
      <c r="J771" s="37"/>
      <c r="K771" s="37"/>
      <c r="L771" s="37"/>
      <c r="M771" s="37"/>
      <c r="N771" s="37"/>
      <c r="O771" s="37"/>
      <c r="P771" s="37"/>
      <c r="Q771" s="37"/>
      <c r="R771" s="37"/>
      <c r="S771" s="37"/>
      <c r="T771" s="37"/>
      <c r="U771" s="37"/>
      <c r="V771" s="37"/>
      <c r="W771" s="37"/>
      <c r="X771" s="36"/>
      <c r="Y771" s="36"/>
      <c r="Z771" s="36"/>
      <c r="AA771" s="36"/>
      <c r="AB771" s="36"/>
      <c r="AC771" s="36"/>
      <c r="AD771" s="36"/>
      <c r="AE771" s="36"/>
    </row>
    <row r="772" spans="1:31" ht="15.75" customHeight="1" x14ac:dyDescent="0.25">
      <c r="A772" s="37"/>
      <c r="B772" s="801"/>
      <c r="C772" s="37"/>
      <c r="D772" s="37"/>
      <c r="E772" s="37"/>
      <c r="F772" s="37"/>
      <c r="G772" s="37"/>
      <c r="H772" s="37"/>
      <c r="I772" s="37"/>
      <c r="J772" s="37"/>
      <c r="K772" s="37"/>
      <c r="L772" s="37"/>
      <c r="M772" s="37"/>
      <c r="N772" s="37"/>
      <c r="O772" s="37"/>
      <c r="P772" s="37"/>
      <c r="Q772" s="37"/>
      <c r="R772" s="37"/>
      <c r="S772" s="37"/>
      <c r="T772" s="37"/>
      <c r="U772" s="37"/>
      <c r="V772" s="37"/>
      <c r="W772" s="37"/>
      <c r="X772" s="36"/>
      <c r="Y772" s="36"/>
      <c r="Z772" s="36"/>
      <c r="AA772" s="36"/>
      <c r="AB772" s="36"/>
      <c r="AC772" s="36"/>
      <c r="AD772" s="36"/>
      <c r="AE772" s="36"/>
    </row>
    <row r="773" spans="1:31" ht="15.75" customHeight="1" x14ac:dyDescent="0.25">
      <c r="A773" s="37"/>
      <c r="B773" s="801"/>
      <c r="C773" s="37"/>
      <c r="D773" s="37"/>
      <c r="E773" s="37"/>
      <c r="F773" s="37"/>
      <c r="G773" s="37"/>
      <c r="H773" s="37"/>
      <c r="I773" s="37"/>
      <c r="J773" s="37"/>
      <c r="K773" s="37"/>
      <c r="L773" s="37"/>
      <c r="M773" s="37"/>
      <c r="N773" s="37"/>
      <c r="O773" s="37"/>
      <c r="P773" s="37"/>
      <c r="Q773" s="37"/>
      <c r="R773" s="37"/>
      <c r="S773" s="37"/>
      <c r="T773" s="37"/>
      <c r="U773" s="37"/>
      <c r="V773" s="37"/>
      <c r="W773" s="37"/>
      <c r="X773" s="36"/>
      <c r="Y773" s="36"/>
      <c r="Z773" s="36"/>
      <c r="AA773" s="36"/>
      <c r="AB773" s="36"/>
      <c r="AC773" s="36"/>
      <c r="AD773" s="36"/>
      <c r="AE773" s="36"/>
    </row>
    <row r="774" spans="1:31" ht="15.75" customHeight="1" x14ac:dyDescent="0.25">
      <c r="A774" s="37"/>
      <c r="B774" s="801"/>
      <c r="C774" s="37"/>
      <c r="D774" s="37"/>
      <c r="E774" s="37"/>
      <c r="F774" s="37"/>
      <c r="G774" s="37"/>
      <c r="H774" s="37"/>
      <c r="I774" s="37"/>
      <c r="J774" s="37"/>
      <c r="K774" s="37"/>
      <c r="L774" s="37"/>
      <c r="M774" s="37"/>
      <c r="N774" s="37"/>
      <c r="O774" s="37"/>
      <c r="P774" s="37"/>
      <c r="Q774" s="37"/>
      <c r="R774" s="37"/>
      <c r="S774" s="37"/>
      <c r="T774" s="37"/>
      <c r="U774" s="37"/>
      <c r="V774" s="37"/>
      <c r="W774" s="37"/>
      <c r="X774" s="36"/>
      <c r="Y774" s="36"/>
      <c r="Z774" s="36"/>
      <c r="AA774" s="36"/>
      <c r="AB774" s="36"/>
      <c r="AC774" s="36"/>
      <c r="AD774" s="36"/>
      <c r="AE774" s="36"/>
    </row>
    <row r="775" spans="1:31" ht="15.75" customHeight="1" x14ac:dyDescent="0.25">
      <c r="A775" s="37"/>
      <c r="B775" s="801"/>
      <c r="C775" s="37"/>
      <c r="D775" s="37"/>
      <c r="E775" s="37"/>
      <c r="F775" s="37"/>
      <c r="G775" s="37"/>
      <c r="H775" s="37"/>
      <c r="I775" s="37"/>
      <c r="J775" s="37"/>
      <c r="K775" s="37"/>
      <c r="L775" s="37"/>
      <c r="M775" s="37"/>
      <c r="N775" s="37"/>
      <c r="O775" s="37"/>
      <c r="P775" s="37"/>
      <c r="Q775" s="37"/>
      <c r="R775" s="37"/>
      <c r="S775" s="37"/>
      <c r="T775" s="37"/>
      <c r="U775" s="37"/>
      <c r="V775" s="37"/>
      <c r="W775" s="37"/>
      <c r="X775" s="36"/>
      <c r="Y775" s="36"/>
      <c r="Z775" s="36"/>
      <c r="AA775" s="36"/>
      <c r="AB775" s="36"/>
      <c r="AC775" s="36"/>
      <c r="AD775" s="36"/>
      <c r="AE775" s="36"/>
    </row>
    <row r="776" spans="1:31" ht="15.75" customHeight="1" x14ac:dyDescent="0.25">
      <c r="A776" s="37"/>
      <c r="B776" s="801"/>
      <c r="C776" s="37"/>
      <c r="D776" s="37"/>
      <c r="E776" s="37"/>
      <c r="F776" s="37"/>
      <c r="G776" s="37"/>
      <c r="H776" s="37"/>
      <c r="I776" s="37"/>
      <c r="J776" s="37"/>
      <c r="K776" s="37"/>
      <c r="L776" s="37"/>
      <c r="M776" s="37"/>
      <c r="N776" s="37"/>
      <c r="O776" s="37"/>
      <c r="P776" s="37"/>
      <c r="Q776" s="37"/>
      <c r="R776" s="37"/>
      <c r="S776" s="37"/>
      <c r="T776" s="37"/>
      <c r="U776" s="37"/>
      <c r="V776" s="37"/>
      <c r="W776" s="37"/>
      <c r="X776" s="36"/>
      <c r="Y776" s="36"/>
      <c r="Z776" s="36"/>
      <c r="AA776" s="36"/>
      <c r="AB776" s="36"/>
      <c r="AC776" s="36"/>
      <c r="AD776" s="36"/>
      <c r="AE776" s="36"/>
    </row>
    <row r="777" spans="1:31" ht="15.75" customHeight="1" x14ac:dyDescent="0.25">
      <c r="A777" s="37"/>
      <c r="B777" s="801"/>
      <c r="C777" s="37"/>
      <c r="D777" s="37"/>
      <c r="E777" s="37"/>
      <c r="F777" s="37"/>
      <c r="G777" s="37"/>
      <c r="H777" s="37"/>
      <c r="I777" s="37"/>
      <c r="J777" s="37"/>
      <c r="K777" s="37"/>
      <c r="L777" s="37"/>
      <c r="M777" s="37"/>
      <c r="N777" s="37"/>
      <c r="O777" s="37"/>
      <c r="P777" s="37"/>
      <c r="Q777" s="37"/>
      <c r="R777" s="37"/>
      <c r="S777" s="37"/>
      <c r="T777" s="37"/>
      <c r="U777" s="37"/>
      <c r="V777" s="37"/>
      <c r="W777" s="37"/>
      <c r="X777" s="36"/>
      <c r="Y777" s="36"/>
      <c r="Z777" s="36"/>
      <c r="AA777" s="36"/>
      <c r="AB777" s="36"/>
      <c r="AC777" s="36"/>
      <c r="AD777" s="36"/>
      <c r="AE777" s="36"/>
    </row>
    <row r="778" spans="1:31" ht="15.75" customHeight="1" x14ac:dyDescent="0.25">
      <c r="A778" s="37"/>
      <c r="B778" s="801"/>
      <c r="C778" s="37"/>
      <c r="D778" s="37"/>
      <c r="E778" s="37"/>
      <c r="F778" s="37"/>
      <c r="G778" s="37"/>
      <c r="H778" s="37"/>
      <c r="I778" s="37"/>
      <c r="J778" s="37"/>
      <c r="K778" s="37"/>
      <c r="L778" s="37"/>
      <c r="M778" s="37"/>
      <c r="N778" s="37"/>
      <c r="O778" s="37"/>
      <c r="P778" s="37"/>
      <c r="Q778" s="37"/>
      <c r="R778" s="37"/>
      <c r="S778" s="37"/>
      <c r="T778" s="37"/>
      <c r="U778" s="37"/>
      <c r="V778" s="37"/>
      <c r="W778" s="37"/>
      <c r="X778" s="36"/>
      <c r="Y778" s="36"/>
      <c r="Z778" s="36"/>
      <c r="AA778" s="36"/>
      <c r="AB778" s="36"/>
      <c r="AC778" s="36"/>
      <c r="AD778" s="36"/>
      <c r="AE778" s="36"/>
    </row>
    <row r="779" spans="1:31" ht="15.75" customHeight="1" x14ac:dyDescent="0.25">
      <c r="A779" s="37"/>
      <c r="B779" s="801"/>
      <c r="C779" s="37"/>
      <c r="D779" s="37"/>
      <c r="E779" s="37"/>
      <c r="F779" s="37"/>
      <c r="G779" s="37"/>
      <c r="H779" s="37"/>
      <c r="I779" s="37"/>
      <c r="J779" s="37"/>
      <c r="K779" s="37"/>
      <c r="L779" s="37"/>
      <c r="M779" s="37"/>
      <c r="N779" s="37"/>
      <c r="O779" s="37"/>
      <c r="P779" s="37"/>
      <c r="Q779" s="37"/>
      <c r="R779" s="37"/>
      <c r="S779" s="37"/>
      <c r="T779" s="37"/>
      <c r="U779" s="37"/>
      <c r="V779" s="37"/>
      <c r="W779" s="37"/>
      <c r="X779" s="36"/>
      <c r="Y779" s="36"/>
      <c r="Z779" s="36"/>
      <c r="AA779" s="36"/>
      <c r="AB779" s="36"/>
      <c r="AC779" s="36"/>
      <c r="AD779" s="36"/>
      <c r="AE779" s="36"/>
    </row>
    <row r="780" spans="1:31" ht="15.75" customHeight="1" x14ac:dyDescent="0.25">
      <c r="A780" s="37"/>
      <c r="B780" s="801"/>
      <c r="C780" s="37"/>
      <c r="D780" s="37"/>
      <c r="E780" s="37"/>
      <c r="F780" s="37"/>
      <c r="G780" s="37"/>
      <c r="H780" s="37"/>
      <c r="I780" s="37"/>
      <c r="J780" s="37"/>
      <c r="K780" s="37"/>
      <c r="L780" s="37"/>
      <c r="M780" s="37"/>
      <c r="N780" s="37"/>
      <c r="O780" s="37"/>
      <c r="P780" s="37"/>
      <c r="Q780" s="37"/>
      <c r="R780" s="37"/>
      <c r="S780" s="37"/>
      <c r="T780" s="37"/>
      <c r="U780" s="37"/>
      <c r="V780" s="37"/>
      <c r="W780" s="37"/>
      <c r="X780" s="36"/>
      <c r="Y780" s="36"/>
      <c r="Z780" s="36"/>
      <c r="AA780" s="36"/>
      <c r="AB780" s="36"/>
      <c r="AC780" s="36"/>
      <c r="AD780" s="36"/>
      <c r="AE780" s="36"/>
    </row>
    <row r="781" spans="1:31" ht="15.75" customHeight="1" x14ac:dyDescent="0.25">
      <c r="A781" s="37"/>
      <c r="B781" s="801"/>
      <c r="C781" s="37"/>
      <c r="D781" s="37"/>
      <c r="E781" s="37"/>
      <c r="F781" s="37"/>
      <c r="G781" s="37"/>
      <c r="H781" s="37"/>
      <c r="I781" s="37"/>
      <c r="J781" s="37"/>
      <c r="K781" s="37"/>
      <c r="L781" s="37"/>
      <c r="M781" s="37"/>
      <c r="N781" s="37"/>
      <c r="O781" s="37"/>
      <c r="P781" s="37"/>
      <c r="Q781" s="37"/>
      <c r="R781" s="37"/>
      <c r="S781" s="37"/>
      <c r="T781" s="37"/>
      <c r="U781" s="37"/>
      <c r="V781" s="37"/>
      <c r="W781" s="37"/>
      <c r="X781" s="36"/>
      <c r="Y781" s="36"/>
      <c r="Z781" s="36"/>
      <c r="AA781" s="36"/>
      <c r="AB781" s="36"/>
      <c r="AC781" s="36"/>
      <c r="AD781" s="36"/>
      <c r="AE781" s="36"/>
    </row>
    <row r="782" spans="1:31" ht="15.75" customHeight="1" x14ac:dyDescent="0.25">
      <c r="A782" s="37"/>
      <c r="B782" s="801"/>
      <c r="C782" s="37"/>
      <c r="D782" s="37"/>
      <c r="E782" s="37"/>
      <c r="F782" s="37"/>
      <c r="G782" s="37"/>
      <c r="H782" s="37"/>
      <c r="I782" s="37"/>
      <c r="J782" s="37"/>
      <c r="K782" s="37"/>
      <c r="L782" s="37"/>
      <c r="M782" s="37"/>
      <c r="N782" s="37"/>
      <c r="O782" s="37"/>
      <c r="P782" s="37"/>
      <c r="Q782" s="37"/>
      <c r="R782" s="37"/>
      <c r="S782" s="37"/>
      <c r="T782" s="37"/>
      <c r="U782" s="37"/>
      <c r="V782" s="37"/>
      <c r="W782" s="37"/>
      <c r="X782" s="36"/>
      <c r="Y782" s="36"/>
      <c r="Z782" s="36"/>
      <c r="AA782" s="36"/>
      <c r="AB782" s="36"/>
      <c r="AC782" s="36"/>
      <c r="AD782" s="36"/>
      <c r="AE782" s="36"/>
    </row>
    <row r="783" spans="1:31" ht="15.75" customHeight="1" x14ac:dyDescent="0.25">
      <c r="A783" s="37"/>
      <c r="B783" s="801"/>
      <c r="C783" s="37"/>
      <c r="D783" s="37"/>
      <c r="E783" s="37"/>
      <c r="F783" s="37"/>
      <c r="G783" s="37"/>
      <c r="H783" s="37"/>
      <c r="I783" s="37"/>
      <c r="J783" s="37"/>
      <c r="K783" s="37"/>
      <c r="L783" s="37"/>
      <c r="M783" s="37"/>
      <c r="N783" s="37"/>
      <c r="O783" s="37"/>
      <c r="P783" s="37"/>
      <c r="Q783" s="37"/>
      <c r="R783" s="37"/>
      <c r="S783" s="37"/>
      <c r="T783" s="37"/>
      <c r="U783" s="37"/>
      <c r="V783" s="37"/>
      <c r="W783" s="37"/>
      <c r="X783" s="36"/>
      <c r="Y783" s="36"/>
      <c r="Z783" s="36"/>
      <c r="AA783" s="36"/>
      <c r="AB783" s="36"/>
      <c r="AC783" s="36"/>
      <c r="AD783" s="36"/>
      <c r="AE783" s="36"/>
    </row>
    <row r="784" spans="1:31" ht="15.75" customHeight="1" x14ac:dyDescent="0.25">
      <c r="A784" s="37"/>
      <c r="B784" s="801"/>
      <c r="C784" s="37"/>
      <c r="D784" s="37"/>
      <c r="E784" s="37"/>
      <c r="F784" s="37"/>
      <c r="G784" s="37"/>
      <c r="H784" s="37"/>
      <c r="I784" s="37"/>
      <c r="J784" s="37"/>
      <c r="K784" s="37"/>
      <c r="L784" s="37"/>
      <c r="M784" s="37"/>
      <c r="N784" s="37"/>
      <c r="O784" s="37"/>
      <c r="P784" s="37"/>
      <c r="Q784" s="37"/>
      <c r="R784" s="37"/>
      <c r="S784" s="37"/>
      <c r="T784" s="37"/>
      <c r="U784" s="37"/>
      <c r="V784" s="37"/>
      <c r="W784" s="37"/>
      <c r="X784" s="36"/>
      <c r="Y784" s="36"/>
      <c r="Z784" s="36"/>
      <c r="AA784" s="36"/>
      <c r="AB784" s="36"/>
      <c r="AC784" s="36"/>
      <c r="AD784" s="36"/>
      <c r="AE784" s="36"/>
    </row>
    <row r="785" spans="1:31" ht="15.75" customHeight="1" x14ac:dyDescent="0.25">
      <c r="A785" s="37"/>
      <c r="B785" s="801"/>
      <c r="C785" s="37"/>
      <c r="D785" s="37"/>
      <c r="E785" s="37"/>
      <c r="F785" s="37"/>
      <c r="G785" s="37"/>
      <c r="H785" s="37"/>
      <c r="I785" s="37"/>
      <c r="J785" s="37"/>
      <c r="K785" s="37"/>
      <c r="L785" s="37"/>
      <c r="M785" s="37"/>
      <c r="N785" s="37"/>
      <c r="O785" s="37"/>
      <c r="P785" s="37"/>
      <c r="Q785" s="37"/>
      <c r="R785" s="37"/>
      <c r="S785" s="37"/>
      <c r="T785" s="37"/>
      <c r="U785" s="37"/>
      <c r="V785" s="37"/>
      <c r="W785" s="37"/>
      <c r="X785" s="36"/>
      <c r="Y785" s="36"/>
      <c r="Z785" s="36"/>
      <c r="AA785" s="36"/>
      <c r="AB785" s="36"/>
      <c r="AC785" s="36"/>
      <c r="AD785" s="36"/>
      <c r="AE785" s="36"/>
    </row>
    <row r="786" spans="1:31" ht="15.75" customHeight="1" x14ac:dyDescent="0.25">
      <c r="A786" s="37"/>
      <c r="B786" s="801"/>
      <c r="C786" s="37"/>
      <c r="D786" s="37"/>
      <c r="E786" s="37"/>
      <c r="F786" s="37"/>
      <c r="G786" s="37"/>
      <c r="H786" s="37"/>
      <c r="I786" s="37"/>
      <c r="J786" s="37"/>
      <c r="K786" s="37"/>
      <c r="L786" s="37"/>
      <c r="M786" s="37"/>
      <c r="N786" s="37"/>
      <c r="O786" s="37"/>
      <c r="P786" s="37"/>
      <c r="Q786" s="37"/>
      <c r="R786" s="37"/>
      <c r="S786" s="37"/>
      <c r="T786" s="37"/>
      <c r="U786" s="37"/>
      <c r="V786" s="37"/>
      <c r="W786" s="37"/>
      <c r="X786" s="36"/>
      <c r="Y786" s="36"/>
      <c r="Z786" s="36"/>
      <c r="AA786" s="36"/>
      <c r="AB786" s="36"/>
      <c r="AC786" s="36"/>
      <c r="AD786" s="36"/>
      <c r="AE786" s="36"/>
    </row>
    <row r="787" spans="1:31" ht="15.75" customHeight="1" x14ac:dyDescent="0.25">
      <c r="A787" s="37"/>
      <c r="B787" s="801"/>
      <c r="C787" s="37"/>
      <c r="D787" s="37"/>
      <c r="E787" s="37"/>
      <c r="F787" s="37"/>
      <c r="G787" s="37"/>
      <c r="H787" s="37"/>
      <c r="I787" s="37"/>
      <c r="J787" s="37"/>
      <c r="K787" s="37"/>
      <c r="L787" s="37"/>
      <c r="M787" s="37"/>
      <c r="N787" s="37"/>
      <c r="O787" s="37"/>
      <c r="P787" s="37"/>
      <c r="Q787" s="37"/>
      <c r="R787" s="37"/>
      <c r="S787" s="37"/>
      <c r="T787" s="37"/>
      <c r="U787" s="37"/>
      <c r="V787" s="37"/>
      <c r="W787" s="37"/>
      <c r="X787" s="36"/>
      <c r="Y787" s="36"/>
      <c r="Z787" s="36"/>
      <c r="AA787" s="36"/>
      <c r="AB787" s="36"/>
      <c r="AC787" s="36"/>
      <c r="AD787" s="36"/>
      <c r="AE787" s="36"/>
    </row>
    <row r="788" spans="1:31" ht="15.75" customHeight="1" x14ac:dyDescent="0.25">
      <c r="A788" s="37"/>
      <c r="B788" s="801"/>
      <c r="C788" s="37"/>
      <c r="D788" s="37"/>
      <c r="E788" s="37"/>
      <c r="F788" s="37"/>
      <c r="G788" s="37"/>
      <c r="H788" s="37"/>
      <c r="I788" s="37"/>
      <c r="J788" s="37"/>
      <c r="K788" s="37"/>
      <c r="L788" s="37"/>
      <c r="M788" s="37"/>
      <c r="N788" s="37"/>
      <c r="O788" s="37"/>
      <c r="P788" s="37"/>
      <c r="Q788" s="37"/>
      <c r="R788" s="37"/>
      <c r="S788" s="37"/>
      <c r="T788" s="37"/>
      <c r="U788" s="37"/>
      <c r="V788" s="37"/>
      <c r="W788" s="37"/>
      <c r="X788" s="36"/>
      <c r="Y788" s="36"/>
      <c r="Z788" s="36"/>
      <c r="AA788" s="36"/>
      <c r="AB788" s="36"/>
      <c r="AC788" s="36"/>
      <c r="AD788" s="36"/>
      <c r="AE788" s="36"/>
    </row>
    <row r="789" spans="1:31" ht="15.75" customHeight="1" x14ac:dyDescent="0.25">
      <c r="A789" s="37"/>
      <c r="B789" s="801"/>
      <c r="C789" s="37"/>
      <c r="D789" s="37"/>
      <c r="E789" s="37"/>
      <c r="F789" s="37"/>
      <c r="G789" s="37"/>
      <c r="H789" s="37"/>
      <c r="I789" s="37"/>
      <c r="J789" s="37"/>
      <c r="K789" s="37"/>
      <c r="L789" s="37"/>
      <c r="M789" s="37"/>
      <c r="N789" s="37"/>
      <c r="O789" s="37"/>
      <c r="P789" s="37"/>
      <c r="Q789" s="37"/>
      <c r="R789" s="37"/>
      <c r="S789" s="37"/>
      <c r="T789" s="37"/>
      <c r="U789" s="37"/>
      <c r="V789" s="37"/>
      <c r="W789" s="37"/>
      <c r="X789" s="36"/>
      <c r="Y789" s="36"/>
      <c r="Z789" s="36"/>
      <c r="AA789" s="36"/>
      <c r="AB789" s="36"/>
      <c r="AC789" s="36"/>
      <c r="AD789" s="36"/>
      <c r="AE789" s="36"/>
    </row>
    <row r="790" spans="1:31" ht="15.75" customHeight="1" x14ac:dyDescent="0.25">
      <c r="A790" s="37"/>
      <c r="B790" s="801"/>
      <c r="C790" s="37"/>
      <c r="D790" s="37"/>
      <c r="E790" s="37"/>
      <c r="F790" s="37"/>
      <c r="G790" s="37"/>
      <c r="H790" s="37"/>
      <c r="I790" s="37"/>
      <c r="J790" s="37"/>
      <c r="K790" s="37"/>
      <c r="L790" s="37"/>
      <c r="M790" s="37"/>
      <c r="N790" s="37"/>
      <c r="O790" s="37"/>
      <c r="P790" s="37"/>
      <c r="Q790" s="37"/>
      <c r="R790" s="37"/>
      <c r="S790" s="37"/>
      <c r="T790" s="37"/>
      <c r="U790" s="37"/>
      <c r="V790" s="37"/>
      <c r="W790" s="37"/>
      <c r="X790" s="36"/>
      <c r="Y790" s="36"/>
      <c r="Z790" s="36"/>
      <c r="AA790" s="36"/>
      <c r="AB790" s="36"/>
      <c r="AC790" s="36"/>
      <c r="AD790" s="36"/>
      <c r="AE790" s="36"/>
    </row>
    <row r="791" spans="1:31" ht="15.75" customHeight="1" x14ac:dyDescent="0.25">
      <c r="A791" s="37"/>
      <c r="B791" s="801"/>
      <c r="C791" s="37"/>
      <c r="D791" s="37"/>
      <c r="E791" s="37"/>
      <c r="F791" s="37"/>
      <c r="G791" s="37"/>
      <c r="H791" s="37"/>
      <c r="I791" s="37"/>
      <c r="J791" s="37"/>
      <c r="K791" s="37"/>
      <c r="L791" s="37"/>
      <c r="M791" s="37"/>
      <c r="N791" s="37"/>
      <c r="O791" s="37"/>
      <c r="P791" s="37"/>
      <c r="Q791" s="37"/>
      <c r="R791" s="37"/>
      <c r="S791" s="37"/>
      <c r="T791" s="37"/>
      <c r="U791" s="37"/>
      <c r="V791" s="37"/>
      <c r="W791" s="37"/>
      <c r="X791" s="36"/>
      <c r="Y791" s="36"/>
      <c r="Z791" s="36"/>
      <c r="AA791" s="36"/>
      <c r="AB791" s="36"/>
      <c r="AC791" s="36"/>
      <c r="AD791" s="36"/>
      <c r="AE791" s="36"/>
    </row>
    <row r="792" spans="1:31" ht="15.75" customHeight="1" x14ac:dyDescent="0.25">
      <c r="A792" s="37"/>
      <c r="B792" s="801"/>
      <c r="C792" s="37"/>
      <c r="D792" s="37"/>
      <c r="E792" s="37"/>
      <c r="F792" s="37"/>
      <c r="G792" s="37"/>
      <c r="H792" s="37"/>
      <c r="I792" s="37"/>
      <c r="J792" s="37"/>
      <c r="K792" s="37"/>
      <c r="L792" s="37"/>
      <c r="M792" s="37"/>
      <c r="N792" s="37"/>
      <c r="O792" s="37"/>
      <c r="P792" s="37"/>
      <c r="Q792" s="37"/>
      <c r="R792" s="37"/>
      <c r="S792" s="37"/>
      <c r="T792" s="37"/>
      <c r="U792" s="37"/>
      <c r="V792" s="37"/>
      <c r="W792" s="37"/>
      <c r="X792" s="36"/>
      <c r="Y792" s="36"/>
      <c r="Z792" s="36"/>
      <c r="AA792" s="36"/>
      <c r="AB792" s="36"/>
      <c r="AC792" s="36"/>
      <c r="AD792" s="36"/>
      <c r="AE792" s="36"/>
    </row>
    <row r="793" spans="1:31" ht="15.75" customHeight="1" x14ac:dyDescent="0.25">
      <c r="A793" s="37"/>
      <c r="B793" s="801"/>
      <c r="C793" s="37"/>
      <c r="D793" s="37"/>
      <c r="E793" s="37"/>
      <c r="F793" s="37"/>
      <c r="G793" s="37"/>
      <c r="H793" s="37"/>
      <c r="I793" s="37"/>
      <c r="J793" s="37"/>
      <c r="K793" s="37"/>
      <c r="L793" s="37"/>
      <c r="M793" s="37"/>
      <c r="N793" s="37"/>
      <c r="O793" s="37"/>
      <c r="P793" s="37"/>
      <c r="Q793" s="37"/>
      <c r="R793" s="37"/>
      <c r="S793" s="37"/>
      <c r="T793" s="37"/>
      <c r="U793" s="37"/>
      <c r="V793" s="37"/>
      <c r="W793" s="37"/>
      <c r="X793" s="36"/>
      <c r="Y793" s="36"/>
      <c r="Z793" s="36"/>
      <c r="AA793" s="36"/>
      <c r="AB793" s="36"/>
      <c r="AC793" s="36"/>
      <c r="AD793" s="36"/>
      <c r="AE793" s="36"/>
    </row>
    <row r="794" spans="1:31" ht="15.75" customHeight="1" x14ac:dyDescent="0.25">
      <c r="A794" s="37"/>
      <c r="B794" s="801"/>
      <c r="C794" s="37"/>
      <c r="D794" s="37"/>
      <c r="E794" s="37"/>
      <c r="F794" s="37"/>
      <c r="G794" s="37"/>
      <c r="H794" s="37"/>
      <c r="I794" s="37"/>
      <c r="J794" s="37"/>
      <c r="K794" s="37"/>
      <c r="L794" s="37"/>
      <c r="M794" s="37"/>
      <c r="N794" s="37"/>
      <c r="O794" s="37"/>
      <c r="P794" s="37"/>
      <c r="Q794" s="37"/>
      <c r="R794" s="37"/>
      <c r="S794" s="37"/>
      <c r="T794" s="37"/>
      <c r="U794" s="37"/>
      <c r="V794" s="37"/>
      <c r="W794" s="37"/>
      <c r="X794" s="36"/>
      <c r="Y794" s="36"/>
      <c r="Z794" s="36"/>
      <c r="AA794" s="36"/>
      <c r="AB794" s="36"/>
      <c r="AC794" s="36"/>
      <c r="AD794" s="36"/>
      <c r="AE794" s="36"/>
    </row>
    <row r="795" spans="1:31" ht="15.75" customHeight="1" x14ac:dyDescent="0.25">
      <c r="A795" s="37"/>
      <c r="B795" s="801"/>
      <c r="C795" s="37"/>
      <c r="D795" s="37"/>
      <c r="E795" s="37"/>
      <c r="F795" s="37"/>
      <c r="G795" s="37"/>
      <c r="H795" s="37"/>
      <c r="I795" s="37"/>
      <c r="J795" s="37"/>
      <c r="K795" s="37"/>
      <c r="L795" s="37"/>
      <c r="M795" s="37"/>
      <c r="N795" s="37"/>
      <c r="O795" s="37"/>
      <c r="P795" s="37"/>
      <c r="Q795" s="37"/>
      <c r="R795" s="37"/>
      <c r="S795" s="37"/>
      <c r="T795" s="37"/>
      <c r="U795" s="37"/>
      <c r="V795" s="37"/>
      <c r="W795" s="37"/>
      <c r="X795" s="36"/>
      <c r="Y795" s="36"/>
      <c r="Z795" s="36"/>
      <c r="AA795" s="36"/>
      <c r="AB795" s="36"/>
      <c r="AC795" s="36"/>
      <c r="AD795" s="36"/>
      <c r="AE795" s="36"/>
    </row>
    <row r="796" spans="1:31" ht="15.75" customHeight="1" x14ac:dyDescent="0.25">
      <c r="A796" s="37"/>
      <c r="B796" s="801"/>
      <c r="C796" s="37"/>
      <c r="D796" s="37"/>
      <c r="E796" s="37"/>
      <c r="F796" s="37"/>
      <c r="G796" s="37"/>
      <c r="H796" s="37"/>
      <c r="I796" s="37"/>
      <c r="J796" s="37"/>
      <c r="K796" s="37"/>
      <c r="L796" s="37"/>
      <c r="M796" s="37"/>
      <c r="N796" s="37"/>
      <c r="O796" s="37"/>
      <c r="P796" s="37"/>
      <c r="Q796" s="37"/>
      <c r="R796" s="37"/>
      <c r="S796" s="37"/>
      <c r="T796" s="37"/>
      <c r="U796" s="37"/>
      <c r="V796" s="37"/>
      <c r="W796" s="37"/>
      <c r="X796" s="36"/>
      <c r="Y796" s="36"/>
      <c r="Z796" s="36"/>
      <c r="AA796" s="36"/>
      <c r="AB796" s="36"/>
      <c r="AC796" s="36"/>
      <c r="AD796" s="36"/>
      <c r="AE796" s="36"/>
    </row>
    <row r="797" spans="1:31" ht="15.75" customHeight="1" x14ac:dyDescent="0.25">
      <c r="A797" s="37"/>
      <c r="B797" s="801"/>
      <c r="C797" s="37"/>
      <c r="D797" s="37"/>
      <c r="E797" s="37"/>
      <c r="F797" s="37"/>
      <c r="G797" s="37"/>
      <c r="H797" s="37"/>
      <c r="I797" s="37"/>
      <c r="J797" s="37"/>
      <c r="K797" s="37"/>
      <c r="L797" s="37"/>
      <c r="M797" s="37"/>
      <c r="N797" s="37"/>
      <c r="O797" s="37"/>
      <c r="P797" s="37"/>
      <c r="Q797" s="37"/>
      <c r="R797" s="37"/>
      <c r="S797" s="37"/>
      <c r="T797" s="37"/>
      <c r="U797" s="37"/>
      <c r="V797" s="37"/>
      <c r="W797" s="37"/>
      <c r="X797" s="36"/>
      <c r="Y797" s="36"/>
      <c r="Z797" s="36"/>
      <c r="AA797" s="36"/>
      <c r="AB797" s="36"/>
      <c r="AC797" s="36"/>
      <c r="AD797" s="36"/>
      <c r="AE797" s="36"/>
    </row>
    <row r="798" spans="1:31" ht="15.75" customHeight="1" x14ac:dyDescent="0.25">
      <c r="A798" s="37"/>
      <c r="B798" s="801"/>
      <c r="C798" s="37"/>
      <c r="D798" s="37"/>
      <c r="E798" s="37"/>
      <c r="F798" s="37"/>
      <c r="G798" s="37"/>
      <c r="H798" s="37"/>
      <c r="I798" s="37"/>
      <c r="J798" s="37"/>
      <c r="K798" s="37"/>
      <c r="L798" s="37"/>
      <c r="M798" s="37"/>
      <c r="N798" s="37"/>
      <c r="O798" s="37"/>
      <c r="P798" s="37"/>
      <c r="Q798" s="37"/>
      <c r="R798" s="37"/>
      <c r="S798" s="37"/>
      <c r="T798" s="37"/>
      <c r="U798" s="37"/>
      <c r="V798" s="37"/>
      <c r="W798" s="37"/>
      <c r="X798" s="36"/>
      <c r="Y798" s="36"/>
      <c r="Z798" s="36"/>
      <c r="AA798" s="36"/>
      <c r="AB798" s="36"/>
      <c r="AC798" s="36"/>
      <c r="AD798" s="36"/>
      <c r="AE798" s="36"/>
    </row>
    <row r="799" spans="1:31" ht="15.75" customHeight="1" x14ac:dyDescent="0.25">
      <c r="A799" s="37"/>
      <c r="B799" s="801"/>
      <c r="C799" s="37"/>
      <c r="D799" s="37"/>
      <c r="E799" s="37"/>
      <c r="F799" s="37"/>
      <c r="G799" s="37"/>
      <c r="H799" s="37"/>
      <c r="I799" s="37"/>
      <c r="J799" s="37"/>
      <c r="K799" s="37"/>
      <c r="L799" s="37"/>
      <c r="M799" s="37"/>
      <c r="N799" s="37"/>
      <c r="O799" s="37"/>
      <c r="P799" s="37"/>
      <c r="Q799" s="37"/>
      <c r="R799" s="37"/>
      <c r="S799" s="37"/>
      <c r="T799" s="37"/>
      <c r="U799" s="37"/>
      <c r="V799" s="37"/>
      <c r="W799" s="37"/>
      <c r="X799" s="36"/>
      <c r="Y799" s="36"/>
      <c r="Z799" s="36"/>
      <c r="AA799" s="36"/>
      <c r="AB799" s="36"/>
      <c r="AC799" s="36"/>
      <c r="AD799" s="36"/>
      <c r="AE799" s="36"/>
    </row>
    <row r="800" spans="1:31" ht="15.75" customHeight="1" x14ac:dyDescent="0.25">
      <c r="A800" s="37"/>
      <c r="B800" s="801"/>
      <c r="C800" s="37"/>
      <c r="D800" s="37"/>
      <c r="E800" s="37"/>
      <c r="F800" s="37"/>
      <c r="G800" s="37"/>
      <c r="H800" s="37"/>
      <c r="I800" s="37"/>
      <c r="J800" s="37"/>
      <c r="K800" s="37"/>
      <c r="L800" s="37"/>
      <c r="M800" s="37"/>
      <c r="N800" s="37"/>
      <c r="O800" s="37"/>
      <c r="P800" s="37"/>
      <c r="Q800" s="37"/>
      <c r="R800" s="37"/>
      <c r="S800" s="37"/>
      <c r="T800" s="37"/>
      <c r="U800" s="37"/>
      <c r="V800" s="37"/>
      <c r="W800" s="37"/>
      <c r="X800" s="36"/>
      <c r="Y800" s="36"/>
      <c r="Z800" s="36"/>
      <c r="AA800" s="36"/>
      <c r="AB800" s="36"/>
      <c r="AC800" s="36"/>
      <c r="AD800" s="36"/>
      <c r="AE800" s="36"/>
    </row>
    <row r="801" spans="1:31" ht="15.75" customHeight="1" x14ac:dyDescent="0.25">
      <c r="A801" s="37"/>
      <c r="B801" s="801"/>
      <c r="C801" s="37"/>
      <c r="D801" s="37"/>
      <c r="E801" s="37"/>
      <c r="F801" s="37"/>
      <c r="G801" s="37"/>
      <c r="H801" s="37"/>
      <c r="I801" s="37"/>
      <c r="J801" s="37"/>
      <c r="K801" s="37"/>
      <c r="L801" s="37"/>
      <c r="M801" s="37"/>
      <c r="N801" s="37"/>
      <c r="O801" s="37"/>
      <c r="P801" s="37"/>
      <c r="Q801" s="37"/>
      <c r="R801" s="37"/>
      <c r="S801" s="37"/>
      <c r="T801" s="37"/>
      <c r="U801" s="37"/>
      <c r="V801" s="37"/>
      <c r="W801" s="37"/>
      <c r="X801" s="36"/>
      <c r="Y801" s="36"/>
      <c r="Z801" s="36"/>
      <c r="AA801" s="36"/>
      <c r="AB801" s="36"/>
      <c r="AC801" s="36"/>
      <c r="AD801" s="36"/>
      <c r="AE801" s="36"/>
    </row>
    <row r="802" spans="1:31" ht="15.75" customHeight="1" x14ac:dyDescent="0.25">
      <c r="A802" s="37"/>
      <c r="B802" s="801"/>
      <c r="C802" s="37"/>
      <c r="D802" s="37"/>
      <c r="E802" s="37"/>
      <c r="F802" s="37"/>
      <c r="G802" s="37"/>
      <c r="H802" s="37"/>
      <c r="I802" s="37"/>
      <c r="J802" s="37"/>
      <c r="K802" s="37"/>
      <c r="L802" s="37"/>
      <c r="M802" s="37"/>
      <c r="N802" s="37"/>
      <c r="O802" s="37"/>
      <c r="P802" s="37"/>
      <c r="Q802" s="37"/>
      <c r="R802" s="37"/>
      <c r="S802" s="37"/>
      <c r="T802" s="37"/>
      <c r="U802" s="37"/>
      <c r="V802" s="37"/>
      <c r="W802" s="37"/>
      <c r="X802" s="36"/>
      <c r="Y802" s="36"/>
      <c r="Z802" s="36"/>
      <c r="AA802" s="36"/>
      <c r="AB802" s="36"/>
      <c r="AC802" s="36"/>
      <c r="AD802" s="36"/>
      <c r="AE802" s="36"/>
    </row>
    <row r="803" spans="1:31" ht="15.75" customHeight="1" x14ac:dyDescent="0.25">
      <c r="A803" s="37"/>
      <c r="B803" s="801"/>
      <c r="C803" s="37"/>
      <c r="D803" s="37"/>
      <c r="E803" s="37"/>
      <c r="F803" s="37"/>
      <c r="G803" s="37"/>
      <c r="H803" s="37"/>
      <c r="I803" s="37"/>
      <c r="J803" s="37"/>
      <c r="K803" s="37"/>
      <c r="L803" s="37"/>
      <c r="M803" s="37"/>
      <c r="N803" s="37"/>
      <c r="O803" s="37"/>
      <c r="P803" s="37"/>
      <c r="Q803" s="37"/>
      <c r="R803" s="37"/>
      <c r="S803" s="37"/>
      <c r="T803" s="37"/>
      <c r="U803" s="37"/>
      <c r="V803" s="37"/>
      <c r="W803" s="37"/>
      <c r="X803" s="36"/>
      <c r="Y803" s="36"/>
      <c r="Z803" s="36"/>
      <c r="AA803" s="36"/>
      <c r="AB803" s="36"/>
      <c r="AC803" s="36"/>
      <c r="AD803" s="36"/>
      <c r="AE803" s="36"/>
    </row>
    <row r="804" spans="1:31" ht="15.75" customHeight="1" x14ac:dyDescent="0.25">
      <c r="A804" s="37"/>
      <c r="B804" s="801"/>
      <c r="C804" s="37"/>
      <c r="D804" s="37"/>
      <c r="E804" s="37"/>
      <c r="F804" s="37"/>
      <c r="G804" s="37"/>
      <c r="H804" s="37"/>
      <c r="I804" s="37"/>
      <c r="J804" s="37"/>
      <c r="K804" s="37"/>
      <c r="L804" s="37"/>
      <c r="M804" s="37"/>
      <c r="N804" s="37"/>
      <c r="O804" s="37"/>
      <c r="P804" s="37"/>
      <c r="Q804" s="37"/>
      <c r="R804" s="37"/>
      <c r="S804" s="37"/>
      <c r="T804" s="37"/>
      <c r="U804" s="37"/>
      <c r="V804" s="37"/>
      <c r="W804" s="37"/>
      <c r="X804" s="36"/>
      <c r="Y804" s="36"/>
      <c r="Z804" s="36"/>
      <c r="AA804" s="36"/>
      <c r="AB804" s="36"/>
      <c r="AC804" s="36"/>
      <c r="AD804" s="36"/>
      <c r="AE804" s="36"/>
    </row>
    <row r="805" spans="1:31" ht="15.75" customHeight="1" x14ac:dyDescent="0.25">
      <c r="A805" s="37"/>
      <c r="B805" s="801"/>
      <c r="C805" s="37"/>
      <c r="D805" s="37"/>
      <c r="E805" s="37"/>
      <c r="F805" s="37"/>
      <c r="G805" s="37"/>
      <c r="H805" s="37"/>
      <c r="I805" s="37"/>
      <c r="J805" s="37"/>
      <c r="K805" s="37"/>
      <c r="L805" s="37"/>
      <c r="M805" s="37"/>
      <c r="N805" s="37"/>
      <c r="O805" s="37"/>
      <c r="P805" s="37"/>
      <c r="Q805" s="37"/>
      <c r="R805" s="37"/>
      <c r="S805" s="37"/>
      <c r="T805" s="37"/>
      <c r="U805" s="37"/>
      <c r="V805" s="37"/>
      <c r="W805" s="37"/>
      <c r="X805" s="36"/>
      <c r="Y805" s="36"/>
      <c r="Z805" s="36"/>
      <c r="AA805" s="36"/>
      <c r="AB805" s="36"/>
      <c r="AC805" s="36"/>
      <c r="AD805" s="36"/>
      <c r="AE805" s="36"/>
    </row>
    <row r="806" spans="1:31" ht="15.75" customHeight="1" x14ac:dyDescent="0.25">
      <c r="A806" s="37"/>
      <c r="B806" s="801"/>
      <c r="C806" s="37"/>
      <c r="D806" s="37"/>
      <c r="E806" s="37"/>
      <c r="F806" s="37"/>
      <c r="G806" s="37"/>
      <c r="H806" s="37"/>
      <c r="I806" s="37"/>
      <c r="J806" s="37"/>
      <c r="K806" s="37"/>
      <c r="L806" s="37"/>
      <c r="M806" s="37"/>
      <c r="N806" s="37"/>
      <c r="O806" s="37"/>
      <c r="P806" s="37"/>
      <c r="Q806" s="37"/>
      <c r="R806" s="37"/>
      <c r="S806" s="37"/>
      <c r="T806" s="37"/>
      <c r="U806" s="37"/>
      <c r="V806" s="37"/>
      <c r="W806" s="37"/>
      <c r="X806" s="36"/>
      <c r="Y806" s="36"/>
      <c r="Z806" s="36"/>
      <c r="AA806" s="36"/>
      <c r="AB806" s="36"/>
      <c r="AC806" s="36"/>
      <c r="AD806" s="36"/>
      <c r="AE806" s="36"/>
    </row>
    <row r="807" spans="1:31" ht="15.75" customHeight="1" x14ac:dyDescent="0.25">
      <c r="A807" s="37"/>
      <c r="B807" s="801"/>
      <c r="C807" s="37"/>
      <c r="D807" s="37"/>
      <c r="E807" s="37"/>
      <c r="F807" s="37"/>
      <c r="G807" s="37"/>
      <c r="H807" s="37"/>
      <c r="I807" s="37"/>
      <c r="J807" s="37"/>
      <c r="K807" s="37"/>
      <c r="L807" s="37"/>
      <c r="M807" s="37"/>
      <c r="N807" s="37"/>
      <c r="O807" s="37"/>
      <c r="P807" s="37"/>
      <c r="Q807" s="37"/>
      <c r="R807" s="37"/>
      <c r="S807" s="37"/>
      <c r="T807" s="37"/>
      <c r="U807" s="37"/>
      <c r="V807" s="37"/>
      <c r="W807" s="37"/>
      <c r="X807" s="36"/>
      <c r="Y807" s="36"/>
      <c r="Z807" s="36"/>
      <c r="AA807" s="36"/>
      <c r="AB807" s="36"/>
      <c r="AC807" s="36"/>
      <c r="AD807" s="36"/>
      <c r="AE807" s="36"/>
    </row>
    <row r="808" spans="1:31" ht="15.75" customHeight="1" x14ac:dyDescent="0.25">
      <c r="A808" s="37"/>
      <c r="B808" s="801"/>
      <c r="C808" s="37"/>
      <c r="D808" s="37"/>
      <c r="E808" s="37"/>
      <c r="F808" s="37"/>
      <c r="G808" s="37"/>
      <c r="H808" s="37"/>
      <c r="I808" s="37"/>
      <c r="J808" s="37"/>
      <c r="K808" s="37"/>
      <c r="L808" s="37"/>
      <c r="M808" s="37"/>
      <c r="N808" s="37"/>
      <c r="O808" s="37"/>
      <c r="P808" s="37"/>
      <c r="Q808" s="37"/>
      <c r="R808" s="37"/>
      <c r="S808" s="37"/>
      <c r="T808" s="37"/>
      <c r="U808" s="37"/>
      <c r="V808" s="37"/>
      <c r="W808" s="37"/>
      <c r="X808" s="36"/>
      <c r="Y808" s="36"/>
      <c r="Z808" s="36"/>
      <c r="AA808" s="36"/>
      <c r="AB808" s="36"/>
      <c r="AC808" s="36"/>
      <c r="AD808" s="36"/>
      <c r="AE808" s="36"/>
    </row>
    <row r="809" spans="1:31" ht="15.75" customHeight="1" x14ac:dyDescent="0.25">
      <c r="A809" s="37"/>
      <c r="B809" s="801"/>
      <c r="C809" s="37"/>
      <c r="D809" s="37"/>
      <c r="E809" s="37"/>
      <c r="F809" s="37"/>
      <c r="G809" s="37"/>
      <c r="H809" s="37"/>
      <c r="I809" s="37"/>
      <c r="J809" s="37"/>
      <c r="K809" s="37"/>
      <c r="L809" s="37"/>
      <c r="M809" s="37"/>
      <c r="N809" s="37"/>
      <c r="O809" s="37"/>
      <c r="P809" s="37"/>
      <c r="Q809" s="37"/>
      <c r="R809" s="37"/>
      <c r="S809" s="37"/>
      <c r="T809" s="37"/>
      <c r="U809" s="37"/>
      <c r="V809" s="37"/>
      <c r="W809" s="37"/>
      <c r="X809" s="36"/>
      <c r="Y809" s="36"/>
      <c r="Z809" s="36"/>
      <c r="AA809" s="36"/>
      <c r="AB809" s="36"/>
      <c r="AC809" s="36"/>
      <c r="AD809" s="36"/>
      <c r="AE809" s="36"/>
    </row>
    <row r="810" spans="1:31" ht="15.75" customHeight="1" x14ac:dyDescent="0.25">
      <c r="A810" s="37"/>
      <c r="B810" s="801"/>
      <c r="C810" s="37"/>
      <c r="D810" s="37"/>
      <c r="E810" s="37"/>
      <c r="F810" s="37"/>
      <c r="G810" s="37"/>
      <c r="H810" s="37"/>
      <c r="I810" s="37"/>
      <c r="J810" s="37"/>
      <c r="K810" s="37"/>
      <c r="L810" s="37"/>
      <c r="M810" s="37"/>
      <c r="N810" s="37"/>
      <c r="O810" s="37"/>
      <c r="P810" s="37"/>
      <c r="Q810" s="37"/>
      <c r="R810" s="37"/>
      <c r="S810" s="37"/>
      <c r="T810" s="37"/>
      <c r="U810" s="37"/>
      <c r="V810" s="37"/>
      <c r="W810" s="37"/>
      <c r="X810" s="36"/>
      <c r="Y810" s="36"/>
      <c r="Z810" s="36"/>
      <c r="AA810" s="36"/>
      <c r="AB810" s="36"/>
      <c r="AC810" s="36"/>
      <c r="AD810" s="36"/>
      <c r="AE810" s="36"/>
    </row>
    <row r="811" spans="1:31" ht="15.75" customHeight="1" x14ac:dyDescent="0.25">
      <c r="A811" s="37"/>
      <c r="B811" s="801"/>
      <c r="C811" s="37"/>
      <c r="D811" s="37"/>
      <c r="E811" s="37"/>
      <c r="F811" s="37"/>
      <c r="G811" s="37"/>
      <c r="H811" s="37"/>
      <c r="I811" s="37"/>
      <c r="J811" s="37"/>
      <c r="K811" s="37"/>
      <c r="L811" s="37"/>
      <c r="M811" s="37"/>
      <c r="N811" s="37"/>
      <c r="O811" s="37"/>
      <c r="P811" s="37"/>
      <c r="Q811" s="37"/>
      <c r="R811" s="37"/>
      <c r="S811" s="37"/>
      <c r="T811" s="37"/>
      <c r="U811" s="37"/>
      <c r="V811" s="37"/>
      <c r="W811" s="37"/>
      <c r="X811" s="36"/>
      <c r="Y811" s="36"/>
      <c r="Z811" s="36"/>
      <c r="AA811" s="36"/>
      <c r="AB811" s="36"/>
      <c r="AC811" s="36"/>
      <c r="AD811" s="36"/>
      <c r="AE811" s="36"/>
    </row>
    <row r="812" spans="1:31" ht="15.75" customHeight="1" x14ac:dyDescent="0.25">
      <c r="A812" s="37"/>
      <c r="B812" s="801"/>
      <c r="C812" s="37"/>
      <c r="D812" s="37"/>
      <c r="E812" s="37"/>
      <c r="F812" s="37"/>
      <c r="G812" s="37"/>
      <c r="H812" s="37"/>
      <c r="I812" s="37"/>
      <c r="J812" s="37"/>
      <c r="K812" s="37"/>
      <c r="L812" s="37"/>
      <c r="M812" s="37"/>
      <c r="N812" s="37"/>
      <c r="O812" s="37"/>
      <c r="P812" s="37"/>
      <c r="Q812" s="37"/>
      <c r="R812" s="37"/>
      <c r="S812" s="37"/>
      <c r="T812" s="37"/>
      <c r="U812" s="37"/>
      <c r="V812" s="37"/>
      <c r="W812" s="37"/>
      <c r="X812" s="36"/>
      <c r="Y812" s="36"/>
      <c r="Z812" s="36"/>
      <c r="AA812" s="36"/>
      <c r="AB812" s="36"/>
      <c r="AC812" s="36"/>
      <c r="AD812" s="36"/>
      <c r="AE812" s="36"/>
    </row>
    <row r="813" spans="1:31" ht="15.75" customHeight="1" x14ac:dyDescent="0.25">
      <c r="A813" s="37"/>
      <c r="B813" s="801"/>
      <c r="C813" s="37"/>
      <c r="D813" s="37"/>
      <c r="E813" s="37"/>
      <c r="F813" s="37"/>
      <c r="G813" s="37"/>
      <c r="H813" s="37"/>
      <c r="I813" s="37"/>
      <c r="J813" s="37"/>
      <c r="K813" s="37"/>
      <c r="L813" s="37"/>
      <c r="M813" s="37"/>
      <c r="N813" s="37"/>
      <c r="O813" s="37"/>
      <c r="P813" s="37"/>
      <c r="Q813" s="37"/>
      <c r="R813" s="37"/>
      <c r="S813" s="37"/>
      <c r="T813" s="37"/>
      <c r="U813" s="37"/>
      <c r="V813" s="37"/>
      <c r="W813" s="37"/>
      <c r="X813" s="36"/>
      <c r="Y813" s="36"/>
      <c r="Z813" s="36"/>
      <c r="AA813" s="36"/>
      <c r="AB813" s="36"/>
      <c r="AC813" s="36"/>
      <c r="AD813" s="36"/>
      <c r="AE813" s="36"/>
    </row>
    <row r="814" spans="1:31" ht="15.75" customHeight="1" x14ac:dyDescent="0.25">
      <c r="A814" s="37"/>
      <c r="B814" s="801"/>
      <c r="C814" s="37"/>
      <c r="D814" s="37"/>
      <c r="E814" s="37"/>
      <c r="F814" s="37"/>
      <c r="G814" s="37"/>
      <c r="H814" s="37"/>
      <c r="I814" s="37"/>
      <c r="J814" s="37"/>
      <c r="K814" s="37"/>
      <c r="L814" s="37"/>
      <c r="M814" s="37"/>
      <c r="N814" s="37"/>
      <c r="O814" s="37"/>
      <c r="P814" s="37"/>
      <c r="Q814" s="37"/>
      <c r="R814" s="37"/>
      <c r="S814" s="37"/>
      <c r="T814" s="37"/>
      <c r="U814" s="37"/>
      <c r="V814" s="37"/>
      <c r="W814" s="37"/>
      <c r="X814" s="36"/>
      <c r="Y814" s="36"/>
      <c r="Z814" s="36"/>
      <c r="AA814" s="36"/>
      <c r="AB814" s="36"/>
      <c r="AC814" s="36"/>
      <c r="AD814" s="36"/>
      <c r="AE814" s="36"/>
    </row>
    <row r="815" spans="1:31" ht="15.75" customHeight="1" x14ac:dyDescent="0.25">
      <c r="A815" s="37"/>
      <c r="B815" s="801"/>
      <c r="C815" s="37"/>
      <c r="D815" s="37"/>
      <c r="E815" s="37"/>
      <c r="F815" s="37"/>
      <c r="G815" s="37"/>
      <c r="H815" s="37"/>
      <c r="I815" s="37"/>
      <c r="J815" s="37"/>
      <c r="K815" s="37"/>
      <c r="L815" s="37"/>
      <c r="M815" s="37"/>
      <c r="N815" s="37"/>
      <c r="O815" s="37"/>
      <c r="P815" s="37"/>
      <c r="Q815" s="37"/>
      <c r="R815" s="37"/>
      <c r="S815" s="37"/>
      <c r="T815" s="37"/>
      <c r="U815" s="37"/>
      <c r="V815" s="37"/>
      <c r="W815" s="37"/>
      <c r="X815" s="36"/>
      <c r="Y815" s="36"/>
      <c r="Z815" s="36"/>
      <c r="AA815" s="36"/>
      <c r="AB815" s="36"/>
      <c r="AC815" s="36"/>
      <c r="AD815" s="36"/>
      <c r="AE815" s="36"/>
    </row>
    <row r="816" spans="1:31" ht="15.75" customHeight="1" x14ac:dyDescent="0.25">
      <c r="A816" s="37"/>
      <c r="B816" s="801"/>
      <c r="C816" s="37"/>
      <c r="D816" s="37"/>
      <c r="E816" s="37"/>
      <c r="F816" s="37"/>
      <c r="G816" s="37"/>
      <c r="H816" s="37"/>
      <c r="I816" s="37"/>
      <c r="J816" s="37"/>
      <c r="K816" s="37"/>
      <c r="L816" s="37"/>
      <c r="M816" s="37"/>
      <c r="N816" s="37"/>
      <c r="O816" s="37"/>
      <c r="P816" s="37"/>
      <c r="Q816" s="37"/>
      <c r="R816" s="37"/>
      <c r="S816" s="37"/>
      <c r="T816" s="37"/>
      <c r="U816" s="37"/>
      <c r="V816" s="37"/>
      <c r="W816" s="37"/>
      <c r="X816" s="36"/>
      <c r="Y816" s="36"/>
      <c r="Z816" s="36"/>
      <c r="AA816" s="36"/>
      <c r="AB816" s="36"/>
      <c r="AC816" s="36"/>
      <c r="AD816" s="36"/>
      <c r="AE816" s="36"/>
    </row>
    <row r="817" spans="1:31" ht="15.75" customHeight="1" x14ac:dyDescent="0.25">
      <c r="A817" s="37"/>
      <c r="B817" s="801"/>
      <c r="C817" s="37"/>
      <c r="D817" s="37"/>
      <c r="E817" s="37"/>
      <c r="F817" s="37"/>
      <c r="G817" s="37"/>
      <c r="H817" s="37"/>
      <c r="I817" s="37"/>
      <c r="J817" s="37"/>
      <c r="K817" s="37"/>
      <c r="L817" s="37"/>
      <c r="M817" s="37"/>
      <c r="N817" s="37"/>
      <c r="O817" s="37"/>
      <c r="P817" s="37"/>
      <c r="Q817" s="37"/>
      <c r="R817" s="37"/>
      <c r="S817" s="37"/>
      <c r="T817" s="37"/>
      <c r="U817" s="37"/>
      <c r="V817" s="37"/>
      <c r="W817" s="37"/>
      <c r="X817" s="36"/>
      <c r="Y817" s="36"/>
      <c r="Z817" s="36"/>
      <c r="AA817" s="36"/>
      <c r="AB817" s="36"/>
      <c r="AC817" s="36"/>
      <c r="AD817" s="36"/>
      <c r="AE817" s="36"/>
    </row>
    <row r="818" spans="1:31" ht="15.75" customHeight="1" x14ac:dyDescent="0.25">
      <c r="A818" s="37"/>
      <c r="B818" s="801"/>
      <c r="C818" s="37"/>
      <c r="D818" s="37"/>
      <c r="E818" s="37"/>
      <c r="F818" s="37"/>
      <c r="G818" s="37"/>
      <c r="H818" s="37"/>
      <c r="I818" s="37"/>
      <c r="J818" s="37"/>
      <c r="K818" s="37"/>
      <c r="L818" s="37"/>
      <c r="M818" s="37"/>
      <c r="N818" s="37"/>
      <c r="O818" s="37"/>
      <c r="P818" s="37"/>
      <c r="Q818" s="37"/>
      <c r="R818" s="37"/>
      <c r="S818" s="37"/>
      <c r="T818" s="37"/>
      <c r="U818" s="37"/>
      <c r="V818" s="37"/>
      <c r="W818" s="37"/>
      <c r="X818" s="36"/>
      <c r="Y818" s="36"/>
      <c r="Z818" s="36"/>
      <c r="AA818" s="36"/>
      <c r="AB818" s="36"/>
      <c r="AC818" s="36"/>
      <c r="AD818" s="36"/>
      <c r="AE818" s="36"/>
    </row>
    <row r="819" spans="1:31" ht="15.75" customHeight="1" x14ac:dyDescent="0.25">
      <c r="A819" s="37"/>
      <c r="B819" s="801"/>
      <c r="C819" s="37"/>
      <c r="D819" s="37"/>
      <c r="E819" s="37"/>
      <c r="F819" s="37"/>
      <c r="G819" s="37"/>
      <c r="H819" s="37"/>
      <c r="I819" s="37"/>
      <c r="J819" s="37"/>
      <c r="K819" s="37"/>
      <c r="L819" s="37"/>
      <c r="M819" s="37"/>
      <c r="N819" s="37"/>
      <c r="O819" s="37"/>
      <c r="P819" s="37"/>
      <c r="Q819" s="37"/>
      <c r="R819" s="37"/>
      <c r="S819" s="37"/>
      <c r="T819" s="37"/>
      <c r="U819" s="37"/>
      <c r="V819" s="37"/>
      <c r="W819" s="37"/>
      <c r="X819" s="36"/>
      <c r="Y819" s="36"/>
      <c r="Z819" s="36"/>
      <c r="AA819" s="36"/>
      <c r="AB819" s="36"/>
      <c r="AC819" s="36"/>
      <c r="AD819" s="36"/>
      <c r="AE819" s="36"/>
    </row>
    <row r="820" spans="1:31" ht="15.75" customHeight="1" x14ac:dyDescent="0.25">
      <c r="A820" s="37"/>
      <c r="B820" s="801"/>
      <c r="C820" s="37"/>
      <c r="D820" s="37"/>
      <c r="E820" s="37"/>
      <c r="F820" s="37"/>
      <c r="G820" s="37"/>
      <c r="H820" s="37"/>
      <c r="I820" s="37"/>
      <c r="J820" s="37"/>
      <c r="K820" s="37"/>
      <c r="L820" s="37"/>
      <c r="M820" s="37"/>
      <c r="N820" s="37"/>
      <c r="O820" s="37"/>
      <c r="P820" s="37"/>
      <c r="Q820" s="37"/>
      <c r="R820" s="37"/>
      <c r="S820" s="37"/>
      <c r="T820" s="37"/>
      <c r="U820" s="37"/>
      <c r="V820" s="37"/>
      <c r="W820" s="37"/>
      <c r="X820" s="36"/>
      <c r="Y820" s="36"/>
      <c r="Z820" s="36"/>
      <c r="AA820" s="36"/>
      <c r="AB820" s="36"/>
      <c r="AC820" s="36"/>
      <c r="AD820" s="36"/>
      <c r="AE820" s="36"/>
    </row>
    <row r="821" spans="1:31" ht="15.75" customHeight="1" x14ac:dyDescent="0.25">
      <c r="A821" s="37"/>
      <c r="B821" s="801"/>
      <c r="C821" s="37"/>
      <c r="D821" s="37"/>
      <c r="E821" s="37"/>
      <c r="F821" s="37"/>
      <c r="G821" s="37"/>
      <c r="H821" s="37"/>
      <c r="I821" s="37"/>
      <c r="J821" s="37"/>
      <c r="K821" s="37"/>
      <c r="L821" s="37"/>
      <c r="M821" s="37"/>
      <c r="N821" s="37"/>
      <c r="O821" s="37"/>
      <c r="P821" s="37"/>
      <c r="Q821" s="37"/>
      <c r="R821" s="37"/>
      <c r="S821" s="37"/>
      <c r="T821" s="37"/>
      <c r="U821" s="37"/>
      <c r="V821" s="37"/>
      <c r="W821" s="37"/>
      <c r="X821" s="36"/>
      <c r="Y821" s="36"/>
      <c r="Z821" s="36"/>
      <c r="AA821" s="36"/>
      <c r="AB821" s="36"/>
      <c r="AC821" s="36"/>
      <c r="AD821" s="36"/>
      <c r="AE821" s="36"/>
    </row>
    <row r="822" spans="1:31" ht="15.75" customHeight="1" x14ac:dyDescent="0.25">
      <c r="A822" s="37"/>
      <c r="B822" s="801"/>
      <c r="C822" s="37"/>
      <c r="D822" s="37"/>
      <c r="E822" s="37"/>
      <c r="F822" s="37"/>
      <c r="G822" s="37"/>
      <c r="H822" s="37"/>
      <c r="I822" s="37"/>
      <c r="J822" s="37"/>
      <c r="K822" s="37"/>
      <c r="L822" s="37"/>
      <c r="M822" s="37"/>
      <c r="N822" s="37"/>
      <c r="O822" s="37"/>
      <c r="P822" s="37"/>
      <c r="Q822" s="37"/>
      <c r="R822" s="37"/>
      <c r="S822" s="37"/>
      <c r="T822" s="37"/>
      <c r="U822" s="37"/>
      <c r="V822" s="37"/>
      <c r="W822" s="37"/>
      <c r="X822" s="36"/>
      <c r="Y822" s="36"/>
      <c r="Z822" s="36"/>
      <c r="AA822" s="36"/>
      <c r="AB822" s="36"/>
      <c r="AC822" s="36"/>
      <c r="AD822" s="36"/>
      <c r="AE822" s="36"/>
    </row>
    <row r="823" spans="1:31" ht="15.75" customHeight="1" x14ac:dyDescent="0.25">
      <c r="A823" s="37"/>
      <c r="B823" s="801"/>
      <c r="C823" s="37"/>
      <c r="D823" s="37"/>
      <c r="E823" s="37"/>
      <c r="F823" s="37"/>
      <c r="G823" s="37"/>
      <c r="H823" s="37"/>
      <c r="I823" s="37"/>
      <c r="J823" s="37"/>
      <c r="K823" s="37"/>
      <c r="L823" s="37"/>
      <c r="M823" s="37"/>
      <c r="N823" s="37"/>
      <c r="O823" s="37"/>
      <c r="P823" s="37"/>
      <c r="Q823" s="37"/>
      <c r="R823" s="37"/>
      <c r="S823" s="37"/>
      <c r="T823" s="37"/>
      <c r="U823" s="37"/>
      <c r="V823" s="37"/>
      <c r="W823" s="37"/>
      <c r="X823" s="36"/>
      <c r="Y823" s="36"/>
      <c r="Z823" s="36"/>
      <c r="AA823" s="36"/>
      <c r="AB823" s="36"/>
      <c r="AC823" s="36"/>
      <c r="AD823" s="36"/>
      <c r="AE823" s="36"/>
    </row>
    <row r="824" spans="1:31" ht="15.75" customHeight="1" x14ac:dyDescent="0.25">
      <c r="A824" s="37"/>
      <c r="B824" s="801"/>
      <c r="C824" s="37"/>
      <c r="D824" s="37"/>
      <c r="E824" s="37"/>
      <c r="F824" s="37"/>
      <c r="G824" s="37"/>
      <c r="H824" s="37"/>
      <c r="I824" s="37"/>
      <c r="J824" s="37"/>
      <c r="K824" s="37"/>
      <c r="L824" s="37"/>
      <c r="M824" s="37"/>
      <c r="N824" s="37"/>
      <c r="O824" s="37"/>
      <c r="P824" s="37"/>
      <c r="Q824" s="37"/>
      <c r="R824" s="37"/>
      <c r="S824" s="37"/>
      <c r="T824" s="37"/>
      <c r="U824" s="37"/>
      <c r="V824" s="37"/>
      <c r="W824" s="37"/>
      <c r="X824" s="36"/>
      <c r="Y824" s="36"/>
      <c r="Z824" s="36"/>
      <c r="AA824" s="36"/>
      <c r="AB824" s="36"/>
      <c r="AC824" s="36"/>
      <c r="AD824" s="36"/>
      <c r="AE824" s="36"/>
    </row>
    <row r="825" spans="1:31" ht="15.75" customHeight="1" x14ac:dyDescent="0.25">
      <c r="A825" s="37"/>
      <c r="B825" s="801"/>
      <c r="C825" s="37"/>
      <c r="D825" s="37"/>
      <c r="E825" s="37"/>
      <c r="F825" s="37"/>
      <c r="G825" s="37"/>
      <c r="H825" s="37"/>
      <c r="I825" s="37"/>
      <c r="J825" s="37"/>
      <c r="K825" s="37"/>
      <c r="L825" s="37"/>
      <c r="M825" s="37"/>
      <c r="N825" s="37"/>
      <c r="O825" s="37"/>
      <c r="P825" s="37"/>
      <c r="Q825" s="37"/>
      <c r="R825" s="37"/>
      <c r="S825" s="37"/>
      <c r="T825" s="37"/>
      <c r="U825" s="37"/>
      <c r="V825" s="37"/>
      <c r="W825" s="37"/>
      <c r="X825" s="36"/>
      <c r="Y825" s="36"/>
      <c r="Z825" s="36"/>
      <c r="AA825" s="36"/>
      <c r="AB825" s="36"/>
      <c r="AC825" s="36"/>
      <c r="AD825" s="36"/>
      <c r="AE825" s="36"/>
    </row>
    <row r="826" spans="1:31" ht="15.75" customHeight="1" x14ac:dyDescent="0.25">
      <c r="A826" s="37"/>
      <c r="B826" s="801"/>
      <c r="C826" s="37"/>
      <c r="D826" s="37"/>
      <c r="E826" s="37"/>
      <c r="F826" s="37"/>
      <c r="G826" s="37"/>
      <c r="H826" s="37"/>
      <c r="I826" s="37"/>
      <c r="J826" s="37"/>
      <c r="K826" s="37"/>
      <c r="L826" s="37"/>
      <c r="M826" s="37"/>
      <c r="N826" s="37"/>
      <c r="O826" s="37"/>
      <c r="P826" s="37"/>
      <c r="Q826" s="37"/>
      <c r="R826" s="37"/>
      <c r="S826" s="37"/>
      <c r="T826" s="37"/>
      <c r="U826" s="37"/>
      <c r="V826" s="37"/>
      <c r="W826" s="37"/>
      <c r="X826" s="36"/>
      <c r="Y826" s="36"/>
      <c r="Z826" s="36"/>
      <c r="AA826" s="36"/>
      <c r="AB826" s="36"/>
      <c r="AC826" s="36"/>
      <c r="AD826" s="36"/>
      <c r="AE826" s="36"/>
    </row>
    <row r="827" spans="1:31" ht="15.75" customHeight="1" x14ac:dyDescent="0.25">
      <c r="A827" s="37"/>
      <c r="B827" s="801"/>
      <c r="C827" s="37"/>
      <c r="D827" s="37"/>
      <c r="E827" s="37"/>
      <c r="F827" s="37"/>
      <c r="G827" s="37"/>
      <c r="H827" s="37"/>
      <c r="I827" s="37"/>
      <c r="J827" s="37"/>
      <c r="K827" s="37"/>
      <c r="L827" s="37"/>
      <c r="M827" s="37"/>
      <c r="N827" s="37"/>
      <c r="O827" s="37"/>
      <c r="P827" s="37"/>
      <c r="Q827" s="37"/>
      <c r="R827" s="37"/>
      <c r="S827" s="37"/>
      <c r="T827" s="37"/>
      <c r="U827" s="37"/>
      <c r="V827" s="37"/>
      <c r="W827" s="37"/>
      <c r="X827" s="36"/>
      <c r="Y827" s="36"/>
      <c r="Z827" s="36"/>
      <c r="AA827" s="36"/>
      <c r="AB827" s="36"/>
      <c r="AC827" s="36"/>
      <c r="AD827" s="36"/>
      <c r="AE827" s="36"/>
    </row>
    <row r="828" spans="1:31" ht="15.75" customHeight="1" x14ac:dyDescent="0.25">
      <c r="A828" s="37"/>
      <c r="B828" s="801"/>
      <c r="C828" s="37"/>
      <c r="D828" s="37"/>
      <c r="E828" s="37"/>
      <c r="F828" s="37"/>
      <c r="G828" s="37"/>
      <c r="H828" s="37"/>
      <c r="I828" s="37"/>
      <c r="J828" s="37"/>
      <c r="K828" s="37"/>
      <c r="L828" s="37"/>
      <c r="M828" s="37"/>
      <c r="N828" s="37"/>
      <c r="O828" s="37"/>
      <c r="P828" s="37"/>
      <c r="Q828" s="37"/>
      <c r="R828" s="37"/>
      <c r="S828" s="37"/>
      <c r="T828" s="37"/>
      <c r="U828" s="37"/>
      <c r="V828" s="37"/>
      <c r="W828" s="37"/>
      <c r="X828" s="36"/>
      <c r="Y828" s="36"/>
      <c r="Z828" s="36"/>
      <c r="AA828" s="36"/>
      <c r="AB828" s="36"/>
      <c r="AC828" s="36"/>
      <c r="AD828" s="36"/>
      <c r="AE828" s="36"/>
    </row>
    <row r="829" spans="1:31" ht="15.75" customHeight="1" x14ac:dyDescent="0.25">
      <c r="A829" s="37"/>
      <c r="B829" s="801"/>
      <c r="C829" s="37"/>
      <c r="D829" s="37"/>
      <c r="E829" s="37"/>
      <c r="F829" s="37"/>
      <c r="G829" s="37"/>
      <c r="H829" s="37"/>
      <c r="I829" s="37"/>
      <c r="J829" s="37"/>
      <c r="K829" s="37"/>
      <c r="L829" s="37"/>
      <c r="M829" s="37"/>
      <c r="N829" s="37"/>
      <c r="O829" s="37"/>
      <c r="P829" s="37"/>
      <c r="Q829" s="37"/>
      <c r="R829" s="37"/>
      <c r="S829" s="37"/>
      <c r="T829" s="37"/>
      <c r="U829" s="37"/>
      <c r="V829" s="37"/>
      <c r="W829" s="37"/>
      <c r="X829" s="36"/>
      <c r="Y829" s="36"/>
      <c r="Z829" s="36"/>
      <c r="AA829" s="36"/>
      <c r="AB829" s="36"/>
      <c r="AC829" s="36"/>
      <c r="AD829" s="36"/>
      <c r="AE829" s="36"/>
    </row>
    <row r="830" spans="1:31" ht="15.75" customHeight="1" x14ac:dyDescent="0.25">
      <c r="A830" s="37"/>
      <c r="B830" s="801"/>
      <c r="C830" s="37"/>
      <c r="D830" s="37"/>
      <c r="E830" s="37"/>
      <c r="F830" s="37"/>
      <c r="G830" s="37"/>
      <c r="H830" s="37"/>
      <c r="I830" s="37"/>
      <c r="J830" s="37"/>
      <c r="K830" s="37"/>
      <c r="L830" s="37"/>
      <c r="M830" s="37"/>
      <c r="N830" s="37"/>
      <c r="O830" s="37"/>
      <c r="P830" s="37"/>
      <c r="Q830" s="37"/>
      <c r="R830" s="37"/>
      <c r="S830" s="37"/>
      <c r="T830" s="37"/>
      <c r="U830" s="37"/>
      <c r="V830" s="37"/>
      <c r="W830" s="37"/>
      <c r="X830" s="36"/>
      <c r="Y830" s="36"/>
      <c r="Z830" s="36"/>
      <c r="AA830" s="36"/>
      <c r="AB830" s="36"/>
      <c r="AC830" s="36"/>
      <c r="AD830" s="36"/>
      <c r="AE830" s="36"/>
    </row>
    <row r="831" spans="1:31" ht="15.75" customHeight="1" x14ac:dyDescent="0.25">
      <c r="A831" s="37"/>
      <c r="B831" s="801"/>
      <c r="C831" s="37"/>
      <c r="D831" s="37"/>
      <c r="E831" s="37"/>
      <c r="F831" s="37"/>
      <c r="G831" s="37"/>
      <c r="H831" s="37"/>
      <c r="I831" s="37"/>
      <c r="J831" s="37"/>
      <c r="K831" s="37"/>
      <c r="L831" s="37"/>
      <c r="M831" s="37"/>
      <c r="N831" s="37"/>
      <c r="O831" s="37"/>
      <c r="P831" s="37"/>
      <c r="Q831" s="37"/>
      <c r="R831" s="37"/>
      <c r="S831" s="37"/>
      <c r="T831" s="37"/>
      <c r="U831" s="37"/>
      <c r="V831" s="37"/>
      <c r="W831" s="37"/>
      <c r="X831" s="36"/>
      <c r="Y831" s="36"/>
      <c r="Z831" s="36"/>
      <c r="AA831" s="36"/>
      <c r="AB831" s="36"/>
      <c r="AC831" s="36"/>
      <c r="AD831" s="36"/>
      <c r="AE831" s="36"/>
    </row>
    <row r="832" spans="1:31" ht="15.75" customHeight="1" x14ac:dyDescent="0.25">
      <c r="A832" s="37"/>
      <c r="B832" s="801"/>
      <c r="C832" s="37"/>
      <c r="D832" s="37"/>
      <c r="E832" s="37"/>
      <c r="F832" s="37"/>
      <c r="G832" s="37"/>
      <c r="H832" s="37"/>
      <c r="I832" s="37"/>
      <c r="J832" s="37"/>
      <c r="K832" s="37"/>
      <c r="L832" s="37"/>
      <c r="M832" s="37"/>
      <c r="N832" s="37"/>
      <c r="O832" s="37"/>
      <c r="P832" s="37"/>
      <c r="Q832" s="37"/>
      <c r="R832" s="37"/>
      <c r="S832" s="37"/>
      <c r="T832" s="37"/>
      <c r="U832" s="37"/>
      <c r="V832" s="37"/>
      <c r="W832" s="37"/>
      <c r="X832" s="36"/>
      <c r="Y832" s="36"/>
      <c r="Z832" s="36"/>
      <c r="AA832" s="36"/>
      <c r="AB832" s="36"/>
      <c r="AC832" s="36"/>
      <c r="AD832" s="36"/>
      <c r="AE832" s="36"/>
    </row>
    <row r="833" spans="1:31" ht="15.75" customHeight="1" x14ac:dyDescent="0.25">
      <c r="A833" s="37"/>
      <c r="B833" s="801"/>
      <c r="C833" s="37"/>
      <c r="D833" s="37"/>
      <c r="E833" s="37"/>
      <c r="F833" s="37"/>
      <c r="G833" s="37"/>
      <c r="H833" s="37"/>
      <c r="I833" s="37"/>
      <c r="J833" s="37"/>
      <c r="K833" s="37"/>
      <c r="L833" s="37"/>
      <c r="M833" s="37"/>
      <c r="N833" s="37"/>
      <c r="O833" s="37"/>
      <c r="P833" s="37"/>
      <c r="Q833" s="37"/>
      <c r="R833" s="37"/>
      <c r="S833" s="37"/>
      <c r="T833" s="37"/>
      <c r="U833" s="37"/>
      <c r="V833" s="37"/>
      <c r="W833" s="37"/>
      <c r="X833" s="36"/>
      <c r="Y833" s="36"/>
      <c r="Z833" s="36"/>
      <c r="AA833" s="36"/>
      <c r="AB833" s="36"/>
      <c r="AC833" s="36"/>
      <c r="AD833" s="36"/>
      <c r="AE833" s="36"/>
    </row>
    <row r="834" spans="1:31" ht="15.75" customHeight="1" x14ac:dyDescent="0.25">
      <c r="A834" s="37"/>
      <c r="B834" s="801"/>
      <c r="C834" s="37"/>
      <c r="D834" s="37"/>
      <c r="E834" s="37"/>
      <c r="F834" s="37"/>
      <c r="G834" s="37"/>
      <c r="H834" s="37"/>
      <c r="I834" s="37"/>
      <c r="J834" s="37"/>
      <c r="K834" s="37"/>
      <c r="L834" s="37"/>
      <c r="M834" s="37"/>
      <c r="N834" s="37"/>
      <c r="O834" s="37"/>
      <c r="P834" s="37"/>
      <c r="Q834" s="37"/>
      <c r="R834" s="37"/>
      <c r="S834" s="37"/>
      <c r="T834" s="37"/>
      <c r="U834" s="37"/>
      <c r="V834" s="37"/>
      <c r="W834" s="37"/>
      <c r="X834" s="36"/>
      <c r="Y834" s="36"/>
      <c r="Z834" s="36"/>
      <c r="AA834" s="36"/>
      <c r="AB834" s="36"/>
      <c r="AC834" s="36"/>
      <c r="AD834" s="36"/>
      <c r="AE834" s="36"/>
    </row>
    <row r="835" spans="1:31" ht="15.75" customHeight="1" x14ac:dyDescent="0.25">
      <c r="A835" s="37"/>
      <c r="B835" s="801"/>
      <c r="C835" s="37"/>
      <c r="D835" s="37"/>
      <c r="E835" s="37"/>
      <c r="F835" s="37"/>
      <c r="G835" s="37"/>
      <c r="H835" s="37"/>
      <c r="I835" s="37"/>
      <c r="J835" s="37"/>
      <c r="K835" s="37"/>
      <c r="L835" s="37"/>
      <c r="M835" s="37"/>
      <c r="N835" s="37"/>
      <c r="O835" s="37"/>
      <c r="P835" s="37"/>
      <c r="Q835" s="37"/>
      <c r="R835" s="37"/>
      <c r="S835" s="37"/>
      <c r="T835" s="37"/>
      <c r="U835" s="37"/>
      <c r="V835" s="37"/>
      <c r="W835" s="37"/>
      <c r="X835" s="36"/>
      <c r="Y835" s="36"/>
      <c r="Z835" s="36"/>
      <c r="AA835" s="36"/>
      <c r="AB835" s="36"/>
      <c r="AC835" s="36"/>
      <c r="AD835" s="36"/>
      <c r="AE835" s="36"/>
    </row>
    <row r="836" spans="1:31" ht="15.75" customHeight="1" x14ac:dyDescent="0.25">
      <c r="A836" s="37"/>
      <c r="B836" s="801"/>
      <c r="C836" s="37"/>
      <c r="D836" s="37"/>
      <c r="E836" s="37"/>
      <c r="F836" s="37"/>
      <c r="G836" s="37"/>
      <c r="H836" s="37"/>
      <c r="I836" s="37"/>
      <c r="J836" s="37"/>
      <c r="K836" s="37"/>
      <c r="L836" s="37"/>
      <c r="M836" s="37"/>
      <c r="N836" s="37"/>
      <c r="O836" s="37"/>
      <c r="P836" s="37"/>
      <c r="Q836" s="37"/>
      <c r="R836" s="37"/>
      <c r="S836" s="37"/>
      <c r="T836" s="37"/>
      <c r="U836" s="37"/>
      <c r="V836" s="37"/>
      <c r="W836" s="37"/>
      <c r="X836" s="36"/>
      <c r="Y836" s="36"/>
      <c r="Z836" s="36"/>
      <c r="AA836" s="36"/>
      <c r="AB836" s="36"/>
      <c r="AC836" s="36"/>
      <c r="AD836" s="36"/>
      <c r="AE836" s="36"/>
    </row>
    <row r="837" spans="1:31" ht="15.75" customHeight="1" x14ac:dyDescent="0.25">
      <c r="A837" s="37"/>
      <c r="B837" s="801"/>
      <c r="C837" s="37"/>
      <c r="D837" s="37"/>
      <c r="E837" s="37"/>
      <c r="F837" s="37"/>
      <c r="G837" s="37"/>
      <c r="H837" s="37"/>
      <c r="I837" s="37"/>
      <c r="J837" s="37"/>
      <c r="K837" s="37"/>
      <c r="L837" s="37"/>
      <c r="M837" s="37"/>
      <c r="N837" s="37"/>
      <c r="O837" s="37"/>
      <c r="P837" s="37"/>
      <c r="Q837" s="37"/>
      <c r="R837" s="37"/>
      <c r="S837" s="37"/>
      <c r="T837" s="37"/>
      <c r="U837" s="37"/>
      <c r="V837" s="37"/>
      <c r="W837" s="37"/>
      <c r="X837" s="36"/>
      <c r="Y837" s="36"/>
      <c r="Z837" s="36"/>
      <c r="AA837" s="36"/>
      <c r="AB837" s="36"/>
      <c r="AC837" s="36"/>
      <c r="AD837" s="36"/>
      <c r="AE837" s="36"/>
    </row>
    <row r="838" spans="1:31" ht="15.75" customHeight="1" x14ac:dyDescent="0.25">
      <c r="A838" s="37"/>
      <c r="B838" s="801"/>
      <c r="C838" s="37"/>
      <c r="D838" s="37"/>
      <c r="E838" s="37"/>
      <c r="F838" s="37"/>
      <c r="G838" s="37"/>
      <c r="H838" s="37"/>
      <c r="I838" s="37"/>
      <c r="J838" s="37"/>
      <c r="K838" s="37"/>
      <c r="L838" s="37"/>
      <c r="M838" s="37"/>
      <c r="N838" s="37"/>
      <c r="O838" s="37"/>
      <c r="P838" s="37"/>
      <c r="Q838" s="37"/>
      <c r="R838" s="37"/>
      <c r="S838" s="37"/>
      <c r="T838" s="37"/>
      <c r="U838" s="37"/>
      <c r="V838" s="37"/>
      <c r="W838" s="37"/>
      <c r="X838" s="36"/>
      <c r="Y838" s="36"/>
      <c r="Z838" s="36"/>
      <c r="AA838" s="36"/>
      <c r="AB838" s="36"/>
      <c r="AC838" s="36"/>
      <c r="AD838" s="36"/>
      <c r="AE838" s="36"/>
    </row>
    <row r="839" spans="1:31" ht="15.75" customHeight="1" x14ac:dyDescent="0.25">
      <c r="A839" s="37"/>
      <c r="B839" s="801"/>
      <c r="C839" s="37"/>
      <c r="D839" s="37"/>
      <c r="E839" s="37"/>
      <c r="F839" s="37"/>
      <c r="G839" s="37"/>
      <c r="H839" s="37"/>
      <c r="I839" s="37"/>
      <c r="J839" s="37"/>
      <c r="K839" s="37"/>
      <c r="L839" s="37"/>
      <c r="M839" s="37"/>
      <c r="N839" s="37"/>
      <c r="O839" s="37"/>
      <c r="P839" s="37"/>
      <c r="Q839" s="37"/>
      <c r="R839" s="37"/>
      <c r="S839" s="37"/>
      <c r="T839" s="37"/>
      <c r="U839" s="37"/>
      <c r="V839" s="37"/>
      <c r="W839" s="37"/>
      <c r="X839" s="36"/>
      <c r="Y839" s="36"/>
      <c r="Z839" s="36"/>
      <c r="AA839" s="36"/>
      <c r="AB839" s="36"/>
      <c r="AC839" s="36"/>
      <c r="AD839" s="36"/>
      <c r="AE839" s="36"/>
    </row>
    <row r="840" spans="1:31" ht="15.75" customHeight="1" x14ac:dyDescent="0.25">
      <c r="A840" s="37"/>
      <c r="B840" s="801"/>
      <c r="C840" s="37"/>
      <c r="D840" s="37"/>
      <c r="E840" s="37"/>
      <c r="F840" s="37"/>
      <c r="G840" s="37"/>
      <c r="H840" s="37"/>
      <c r="I840" s="37"/>
      <c r="J840" s="37"/>
      <c r="K840" s="37"/>
      <c r="L840" s="37"/>
      <c r="M840" s="37"/>
      <c r="N840" s="37"/>
      <c r="O840" s="37"/>
      <c r="P840" s="37"/>
      <c r="Q840" s="37"/>
      <c r="R840" s="37"/>
      <c r="S840" s="37"/>
      <c r="T840" s="37"/>
      <c r="U840" s="37"/>
      <c r="V840" s="37"/>
      <c r="W840" s="37"/>
      <c r="X840" s="36"/>
      <c r="Y840" s="36"/>
      <c r="Z840" s="36"/>
      <c r="AA840" s="36"/>
      <c r="AB840" s="36"/>
      <c r="AC840" s="36"/>
      <c r="AD840" s="36"/>
      <c r="AE840" s="36"/>
    </row>
    <row r="841" spans="1:31" ht="15.75" customHeight="1" x14ac:dyDescent="0.25">
      <c r="A841" s="37"/>
      <c r="B841" s="801"/>
      <c r="C841" s="37"/>
      <c r="D841" s="37"/>
      <c r="E841" s="37"/>
      <c r="F841" s="37"/>
      <c r="G841" s="37"/>
      <c r="H841" s="37"/>
      <c r="I841" s="37"/>
      <c r="J841" s="37"/>
      <c r="K841" s="37"/>
      <c r="L841" s="37"/>
      <c r="M841" s="37"/>
      <c r="N841" s="37"/>
      <c r="O841" s="37"/>
      <c r="P841" s="37"/>
      <c r="Q841" s="37"/>
      <c r="R841" s="37"/>
      <c r="S841" s="37"/>
      <c r="T841" s="37"/>
      <c r="U841" s="37"/>
      <c r="V841" s="37"/>
      <c r="W841" s="37"/>
      <c r="X841" s="36"/>
      <c r="Y841" s="36"/>
      <c r="Z841" s="36"/>
      <c r="AA841" s="36"/>
      <c r="AB841" s="36"/>
      <c r="AC841" s="36"/>
      <c r="AD841" s="36"/>
      <c r="AE841" s="36"/>
    </row>
    <row r="842" spans="1:31" ht="15.75" customHeight="1" x14ac:dyDescent="0.25">
      <c r="A842" s="37"/>
      <c r="B842" s="801"/>
      <c r="C842" s="37"/>
      <c r="D842" s="37"/>
      <c r="E842" s="37"/>
      <c r="F842" s="37"/>
      <c r="G842" s="37"/>
      <c r="H842" s="37"/>
      <c r="I842" s="37"/>
      <c r="J842" s="37"/>
      <c r="K842" s="37"/>
      <c r="L842" s="37"/>
      <c r="M842" s="37"/>
      <c r="N842" s="37"/>
      <c r="O842" s="37"/>
      <c r="P842" s="37"/>
      <c r="Q842" s="37"/>
      <c r="R842" s="37"/>
      <c r="S842" s="37"/>
      <c r="T842" s="37"/>
      <c r="U842" s="37"/>
      <c r="V842" s="37"/>
      <c r="W842" s="37"/>
      <c r="X842" s="36"/>
      <c r="Y842" s="36"/>
      <c r="Z842" s="36"/>
      <c r="AA842" s="36"/>
      <c r="AB842" s="36"/>
      <c r="AC842" s="36"/>
      <c r="AD842" s="36"/>
      <c r="AE842" s="36"/>
    </row>
    <row r="843" spans="1:31" ht="15.75" customHeight="1" x14ac:dyDescent="0.25">
      <c r="A843" s="37"/>
      <c r="B843" s="801"/>
      <c r="C843" s="37"/>
      <c r="D843" s="37"/>
      <c r="E843" s="37"/>
      <c r="F843" s="37"/>
      <c r="G843" s="37"/>
      <c r="H843" s="37"/>
      <c r="I843" s="37"/>
      <c r="J843" s="37"/>
      <c r="K843" s="37"/>
      <c r="L843" s="37"/>
      <c r="M843" s="37"/>
      <c r="N843" s="37"/>
      <c r="O843" s="37"/>
      <c r="P843" s="37"/>
      <c r="Q843" s="37"/>
      <c r="R843" s="37"/>
      <c r="S843" s="37"/>
      <c r="T843" s="37"/>
      <c r="U843" s="37"/>
      <c r="V843" s="37"/>
      <c r="W843" s="37"/>
      <c r="X843" s="36"/>
      <c r="Y843" s="36"/>
      <c r="Z843" s="36"/>
      <c r="AA843" s="36"/>
      <c r="AB843" s="36"/>
      <c r="AC843" s="36"/>
      <c r="AD843" s="36"/>
      <c r="AE843" s="36"/>
    </row>
    <row r="844" spans="1:31" ht="15.75" customHeight="1" x14ac:dyDescent="0.25">
      <c r="A844" s="37"/>
      <c r="B844" s="801"/>
      <c r="C844" s="37"/>
      <c r="D844" s="37"/>
      <c r="E844" s="37"/>
      <c r="F844" s="37"/>
      <c r="G844" s="37"/>
      <c r="H844" s="37"/>
      <c r="I844" s="37"/>
      <c r="J844" s="37"/>
      <c r="K844" s="37"/>
      <c r="L844" s="37"/>
      <c r="M844" s="37"/>
      <c r="N844" s="37"/>
      <c r="O844" s="37"/>
      <c r="P844" s="37"/>
      <c r="Q844" s="37"/>
      <c r="R844" s="37"/>
      <c r="S844" s="37"/>
      <c r="T844" s="37"/>
      <c r="U844" s="37"/>
      <c r="V844" s="37"/>
      <c r="W844" s="37"/>
      <c r="X844" s="36"/>
      <c r="Y844" s="36"/>
      <c r="Z844" s="36"/>
      <c r="AA844" s="36"/>
      <c r="AB844" s="36"/>
      <c r="AC844" s="36"/>
      <c r="AD844" s="36"/>
      <c r="AE844" s="36"/>
    </row>
    <row r="845" spans="1:31" ht="15.75" customHeight="1" x14ac:dyDescent="0.25">
      <c r="A845" s="37"/>
      <c r="B845" s="801"/>
      <c r="C845" s="37"/>
      <c r="D845" s="37"/>
      <c r="E845" s="37"/>
      <c r="F845" s="37"/>
      <c r="G845" s="37"/>
      <c r="H845" s="37"/>
      <c r="I845" s="37"/>
      <c r="J845" s="37"/>
      <c r="K845" s="37"/>
      <c r="L845" s="37"/>
      <c r="M845" s="37"/>
      <c r="N845" s="37"/>
      <c r="O845" s="37"/>
      <c r="P845" s="37"/>
      <c r="Q845" s="37"/>
      <c r="R845" s="37"/>
      <c r="S845" s="37"/>
      <c r="T845" s="37"/>
      <c r="U845" s="37"/>
      <c r="V845" s="37"/>
      <c r="W845" s="37"/>
      <c r="X845" s="36"/>
      <c r="Y845" s="36"/>
      <c r="Z845" s="36"/>
      <c r="AA845" s="36"/>
      <c r="AB845" s="36"/>
      <c r="AC845" s="36"/>
      <c r="AD845" s="36"/>
      <c r="AE845" s="36"/>
    </row>
    <row r="846" spans="1:31" ht="15.75" customHeight="1" x14ac:dyDescent="0.25">
      <c r="A846" s="37"/>
      <c r="B846" s="801"/>
      <c r="C846" s="37"/>
      <c r="D846" s="37"/>
      <c r="E846" s="37"/>
      <c r="F846" s="37"/>
      <c r="G846" s="37"/>
      <c r="H846" s="37"/>
      <c r="I846" s="37"/>
      <c r="J846" s="37"/>
      <c r="K846" s="37"/>
      <c r="L846" s="37"/>
      <c r="M846" s="37"/>
      <c r="N846" s="37"/>
      <c r="O846" s="37"/>
      <c r="P846" s="37"/>
      <c r="Q846" s="37"/>
      <c r="R846" s="37"/>
      <c r="S846" s="37"/>
      <c r="T846" s="37"/>
      <c r="U846" s="37"/>
      <c r="V846" s="37"/>
      <c r="W846" s="37"/>
      <c r="X846" s="36"/>
      <c r="Y846" s="36"/>
      <c r="Z846" s="36"/>
      <c r="AA846" s="36"/>
      <c r="AB846" s="36"/>
      <c r="AC846" s="36"/>
      <c r="AD846" s="36"/>
      <c r="AE846" s="36"/>
    </row>
    <row r="847" spans="1:31" ht="15.75" customHeight="1" x14ac:dyDescent="0.25">
      <c r="A847" s="37"/>
      <c r="B847" s="801"/>
      <c r="C847" s="37"/>
      <c r="D847" s="37"/>
      <c r="E847" s="37"/>
      <c r="F847" s="37"/>
      <c r="G847" s="37"/>
      <c r="H847" s="37"/>
      <c r="I847" s="37"/>
      <c r="J847" s="37"/>
      <c r="K847" s="37"/>
      <c r="L847" s="37"/>
      <c r="M847" s="37"/>
      <c r="N847" s="37"/>
      <c r="O847" s="37"/>
      <c r="P847" s="37"/>
      <c r="Q847" s="37"/>
      <c r="R847" s="37"/>
      <c r="S847" s="37"/>
      <c r="T847" s="37"/>
      <c r="U847" s="37"/>
      <c r="V847" s="37"/>
      <c r="W847" s="37"/>
      <c r="X847" s="36"/>
      <c r="Y847" s="36"/>
      <c r="Z847" s="36"/>
      <c r="AA847" s="36"/>
      <c r="AB847" s="36"/>
      <c r="AC847" s="36"/>
      <c r="AD847" s="36"/>
      <c r="AE847" s="36"/>
    </row>
    <row r="848" spans="1:31" ht="15.75" customHeight="1" x14ac:dyDescent="0.25">
      <c r="A848" s="37"/>
      <c r="B848" s="801"/>
      <c r="C848" s="37"/>
      <c r="D848" s="37"/>
      <c r="E848" s="37"/>
      <c r="F848" s="37"/>
      <c r="G848" s="37"/>
      <c r="H848" s="37"/>
      <c r="I848" s="37"/>
      <c r="J848" s="37"/>
      <c r="K848" s="37"/>
      <c r="L848" s="37"/>
      <c r="M848" s="37"/>
      <c r="N848" s="37"/>
      <c r="O848" s="37"/>
      <c r="P848" s="37"/>
      <c r="Q848" s="37"/>
      <c r="R848" s="37"/>
      <c r="S848" s="37"/>
      <c r="T848" s="37"/>
      <c r="U848" s="37"/>
      <c r="V848" s="37"/>
      <c r="W848" s="37"/>
      <c r="X848" s="36"/>
      <c r="Y848" s="36"/>
      <c r="Z848" s="36"/>
      <c r="AA848" s="36"/>
      <c r="AB848" s="36"/>
      <c r="AC848" s="36"/>
      <c r="AD848" s="36"/>
      <c r="AE848" s="36"/>
    </row>
    <row r="849" spans="1:31" ht="15.75" customHeight="1" x14ac:dyDescent="0.25">
      <c r="A849" s="37"/>
      <c r="B849" s="801"/>
      <c r="C849" s="37"/>
      <c r="D849" s="37"/>
      <c r="E849" s="37"/>
      <c r="F849" s="37"/>
      <c r="G849" s="37"/>
      <c r="H849" s="37"/>
      <c r="I849" s="37"/>
      <c r="J849" s="37"/>
      <c r="K849" s="37"/>
      <c r="L849" s="37"/>
      <c r="M849" s="37"/>
      <c r="N849" s="37"/>
      <c r="O849" s="37"/>
      <c r="P849" s="37"/>
      <c r="Q849" s="37"/>
      <c r="R849" s="37"/>
      <c r="S849" s="37"/>
      <c r="T849" s="37"/>
      <c r="U849" s="37"/>
      <c r="V849" s="37"/>
      <c r="W849" s="37"/>
      <c r="X849" s="36"/>
      <c r="Y849" s="36"/>
      <c r="Z849" s="36"/>
      <c r="AA849" s="36"/>
      <c r="AB849" s="36"/>
      <c r="AC849" s="36"/>
      <c r="AD849" s="36"/>
      <c r="AE849" s="36"/>
    </row>
    <row r="850" spans="1:31" ht="15.75" customHeight="1" x14ac:dyDescent="0.25">
      <c r="A850" s="37"/>
      <c r="B850" s="801"/>
      <c r="C850" s="37"/>
      <c r="D850" s="37"/>
      <c r="E850" s="37"/>
      <c r="F850" s="37"/>
      <c r="G850" s="37"/>
      <c r="H850" s="37"/>
      <c r="I850" s="37"/>
      <c r="J850" s="37"/>
      <c r="K850" s="37"/>
      <c r="L850" s="37"/>
      <c r="M850" s="37"/>
      <c r="N850" s="37"/>
      <c r="O850" s="37"/>
      <c r="P850" s="37"/>
      <c r="Q850" s="37"/>
      <c r="R850" s="37"/>
      <c r="S850" s="37"/>
      <c r="T850" s="37"/>
      <c r="U850" s="37"/>
      <c r="V850" s="37"/>
      <c r="W850" s="37"/>
      <c r="X850" s="36"/>
      <c r="Y850" s="36"/>
      <c r="Z850" s="36"/>
      <c r="AA850" s="36"/>
      <c r="AB850" s="36"/>
      <c r="AC850" s="36"/>
      <c r="AD850" s="36"/>
      <c r="AE850" s="36"/>
    </row>
    <row r="851" spans="1:31" ht="15.75" customHeight="1" x14ac:dyDescent="0.25">
      <c r="A851" s="37"/>
      <c r="B851" s="801"/>
      <c r="C851" s="37"/>
      <c r="D851" s="37"/>
      <c r="E851" s="37"/>
      <c r="F851" s="37"/>
      <c r="G851" s="37"/>
      <c r="H851" s="37"/>
      <c r="I851" s="37"/>
      <c r="J851" s="37"/>
      <c r="K851" s="37"/>
      <c r="L851" s="37"/>
      <c r="M851" s="37"/>
      <c r="N851" s="37"/>
      <c r="O851" s="37"/>
      <c r="P851" s="37"/>
      <c r="Q851" s="37"/>
      <c r="R851" s="37"/>
      <c r="S851" s="37"/>
      <c r="T851" s="37"/>
      <c r="U851" s="37"/>
      <c r="V851" s="37"/>
      <c r="W851" s="37"/>
      <c r="X851" s="36"/>
      <c r="Y851" s="36"/>
      <c r="Z851" s="36"/>
      <c r="AA851" s="36"/>
      <c r="AB851" s="36"/>
      <c r="AC851" s="36"/>
      <c r="AD851" s="36"/>
      <c r="AE851" s="36"/>
    </row>
    <row r="852" spans="1:31" ht="15.75" customHeight="1" x14ac:dyDescent="0.25">
      <c r="A852" s="37"/>
      <c r="B852" s="801"/>
      <c r="C852" s="37"/>
      <c r="D852" s="37"/>
      <c r="E852" s="37"/>
      <c r="F852" s="37"/>
      <c r="G852" s="37"/>
      <c r="H852" s="37"/>
      <c r="I852" s="37"/>
      <c r="J852" s="37"/>
      <c r="K852" s="37"/>
      <c r="L852" s="37"/>
      <c r="M852" s="37"/>
      <c r="N852" s="37"/>
      <c r="O852" s="37"/>
      <c r="P852" s="37"/>
      <c r="Q852" s="37"/>
      <c r="R852" s="37"/>
      <c r="S852" s="37"/>
      <c r="T852" s="37"/>
      <c r="U852" s="37"/>
      <c r="V852" s="37"/>
      <c r="W852" s="37"/>
      <c r="X852" s="36"/>
      <c r="Y852" s="36"/>
      <c r="Z852" s="36"/>
      <c r="AA852" s="36"/>
      <c r="AB852" s="36"/>
      <c r="AC852" s="36"/>
      <c r="AD852" s="36"/>
      <c r="AE852" s="36"/>
    </row>
    <row r="853" spans="1:31" ht="15.75" customHeight="1" x14ac:dyDescent="0.25">
      <c r="A853" s="37"/>
      <c r="B853" s="801"/>
      <c r="C853" s="37"/>
      <c r="D853" s="37"/>
      <c r="E853" s="37"/>
      <c r="F853" s="37"/>
      <c r="G853" s="37"/>
      <c r="H853" s="37"/>
      <c r="I853" s="37"/>
      <c r="J853" s="37"/>
      <c r="K853" s="37"/>
      <c r="L853" s="37"/>
      <c r="M853" s="37"/>
      <c r="N853" s="37"/>
      <c r="O853" s="37"/>
      <c r="P853" s="37"/>
      <c r="Q853" s="37"/>
      <c r="R853" s="37"/>
      <c r="S853" s="37"/>
      <c r="T853" s="37"/>
      <c r="U853" s="37"/>
      <c r="V853" s="37"/>
      <c r="W853" s="37"/>
      <c r="X853" s="36"/>
      <c r="Y853" s="36"/>
      <c r="Z853" s="36"/>
      <c r="AA853" s="36"/>
      <c r="AB853" s="36"/>
      <c r="AC853" s="36"/>
      <c r="AD853" s="36"/>
      <c r="AE853" s="36"/>
    </row>
    <row r="854" spans="1:31" ht="15.75" customHeight="1" x14ac:dyDescent="0.25">
      <c r="A854" s="37"/>
      <c r="B854" s="801"/>
      <c r="C854" s="37"/>
      <c r="D854" s="37"/>
      <c r="E854" s="37"/>
      <c r="F854" s="37"/>
      <c r="G854" s="37"/>
      <c r="H854" s="37"/>
      <c r="I854" s="37"/>
      <c r="J854" s="37"/>
      <c r="K854" s="37"/>
      <c r="L854" s="37"/>
      <c r="M854" s="37"/>
      <c r="N854" s="37"/>
      <c r="O854" s="37"/>
      <c r="P854" s="37"/>
      <c r="Q854" s="37"/>
      <c r="R854" s="37"/>
      <c r="S854" s="37"/>
      <c r="T854" s="37"/>
      <c r="U854" s="37"/>
      <c r="V854" s="37"/>
      <c r="W854" s="37"/>
      <c r="X854" s="36"/>
      <c r="Y854" s="36"/>
      <c r="Z854" s="36"/>
      <c r="AA854" s="36"/>
      <c r="AB854" s="36"/>
      <c r="AC854" s="36"/>
      <c r="AD854" s="36"/>
      <c r="AE854" s="36"/>
    </row>
    <row r="855" spans="1:31" ht="15.75" customHeight="1" x14ac:dyDescent="0.25">
      <c r="A855" s="37"/>
      <c r="B855" s="801"/>
      <c r="C855" s="37"/>
      <c r="D855" s="37"/>
      <c r="E855" s="37"/>
      <c r="F855" s="37"/>
      <c r="G855" s="37"/>
      <c r="H855" s="37"/>
      <c r="I855" s="37"/>
      <c r="J855" s="37"/>
      <c r="K855" s="37"/>
      <c r="L855" s="37"/>
      <c r="M855" s="37"/>
      <c r="N855" s="37"/>
      <c r="O855" s="37"/>
      <c r="P855" s="37"/>
      <c r="Q855" s="37"/>
      <c r="R855" s="37"/>
      <c r="S855" s="37"/>
      <c r="T855" s="37"/>
      <c r="U855" s="37"/>
      <c r="V855" s="37"/>
      <c r="W855" s="37"/>
      <c r="X855" s="36"/>
      <c r="Y855" s="36"/>
      <c r="Z855" s="36"/>
      <c r="AA855" s="36"/>
      <c r="AB855" s="36"/>
      <c r="AC855" s="36"/>
      <c r="AD855" s="36"/>
      <c r="AE855" s="36"/>
    </row>
    <row r="856" spans="1:31" ht="15.75" customHeight="1" x14ac:dyDescent="0.25">
      <c r="A856" s="37"/>
      <c r="B856" s="801"/>
      <c r="C856" s="37"/>
      <c r="D856" s="37"/>
      <c r="E856" s="37"/>
      <c r="F856" s="37"/>
      <c r="G856" s="37"/>
      <c r="H856" s="37"/>
      <c r="I856" s="37"/>
      <c r="J856" s="37"/>
      <c r="K856" s="37"/>
      <c r="L856" s="37"/>
      <c r="M856" s="37"/>
      <c r="N856" s="37"/>
      <c r="O856" s="37"/>
      <c r="P856" s="37"/>
      <c r="Q856" s="37"/>
      <c r="R856" s="37"/>
      <c r="S856" s="37"/>
      <c r="T856" s="37"/>
      <c r="U856" s="37"/>
      <c r="V856" s="37"/>
      <c r="W856" s="37"/>
      <c r="X856" s="36"/>
      <c r="Y856" s="36"/>
      <c r="Z856" s="36"/>
      <c r="AA856" s="36"/>
      <c r="AB856" s="36"/>
      <c r="AC856" s="36"/>
      <c r="AD856" s="36"/>
      <c r="AE856" s="36"/>
    </row>
    <row r="857" spans="1:31" ht="15.75" customHeight="1" x14ac:dyDescent="0.25">
      <c r="A857" s="37"/>
      <c r="B857" s="801"/>
      <c r="C857" s="37"/>
      <c r="D857" s="37"/>
      <c r="E857" s="37"/>
      <c r="F857" s="37"/>
      <c r="G857" s="37"/>
      <c r="H857" s="37"/>
      <c r="I857" s="37"/>
      <c r="J857" s="37"/>
      <c r="K857" s="37"/>
      <c r="L857" s="37"/>
      <c r="M857" s="37"/>
      <c r="N857" s="37"/>
      <c r="O857" s="37"/>
      <c r="P857" s="37"/>
      <c r="Q857" s="37"/>
      <c r="R857" s="37"/>
      <c r="S857" s="37"/>
      <c r="T857" s="37"/>
      <c r="U857" s="37"/>
      <c r="V857" s="37"/>
      <c r="W857" s="37"/>
      <c r="X857" s="36"/>
      <c r="Y857" s="36"/>
      <c r="Z857" s="36"/>
      <c r="AA857" s="36"/>
      <c r="AB857" s="36"/>
      <c r="AC857" s="36"/>
      <c r="AD857" s="36"/>
      <c r="AE857" s="36"/>
    </row>
    <row r="858" spans="1:31" ht="15.75" customHeight="1" x14ac:dyDescent="0.25">
      <c r="A858" s="37"/>
      <c r="B858" s="801"/>
      <c r="C858" s="37"/>
      <c r="D858" s="37"/>
      <c r="E858" s="37"/>
      <c r="F858" s="37"/>
      <c r="G858" s="37"/>
      <c r="H858" s="37"/>
      <c r="I858" s="37"/>
      <c r="J858" s="37"/>
      <c r="K858" s="37"/>
      <c r="L858" s="37"/>
      <c r="M858" s="37"/>
      <c r="N858" s="37"/>
      <c r="O858" s="37"/>
      <c r="P858" s="37"/>
      <c r="Q858" s="37"/>
      <c r="R858" s="37"/>
      <c r="S858" s="37"/>
      <c r="T858" s="37"/>
      <c r="U858" s="37"/>
      <c r="V858" s="37"/>
      <c r="W858" s="37"/>
      <c r="X858" s="36"/>
      <c r="Y858" s="36"/>
      <c r="Z858" s="36"/>
      <c r="AA858" s="36"/>
      <c r="AB858" s="36"/>
      <c r="AC858" s="36"/>
      <c r="AD858" s="36"/>
      <c r="AE858" s="36"/>
    </row>
    <row r="859" spans="1:31" ht="15.75" customHeight="1" x14ac:dyDescent="0.25">
      <c r="A859" s="37"/>
      <c r="B859" s="801"/>
      <c r="C859" s="37"/>
      <c r="D859" s="37"/>
      <c r="E859" s="37"/>
      <c r="F859" s="37"/>
      <c r="G859" s="37"/>
      <c r="H859" s="37"/>
      <c r="I859" s="37"/>
      <c r="J859" s="37"/>
      <c r="K859" s="37"/>
      <c r="L859" s="37"/>
      <c r="M859" s="37"/>
      <c r="N859" s="37"/>
      <c r="O859" s="37"/>
      <c r="P859" s="37"/>
      <c r="Q859" s="37"/>
      <c r="R859" s="37"/>
      <c r="S859" s="37"/>
      <c r="T859" s="37"/>
      <c r="U859" s="37"/>
      <c r="V859" s="37"/>
      <c r="W859" s="37"/>
      <c r="X859" s="36"/>
      <c r="Y859" s="36"/>
      <c r="Z859" s="36"/>
      <c r="AA859" s="36"/>
      <c r="AB859" s="36"/>
      <c r="AC859" s="36"/>
      <c r="AD859" s="36"/>
      <c r="AE859" s="36"/>
    </row>
    <row r="860" spans="1:31" ht="15.75" customHeight="1" x14ac:dyDescent="0.25">
      <c r="A860" s="37"/>
      <c r="B860" s="801"/>
      <c r="C860" s="37"/>
      <c r="D860" s="37"/>
      <c r="E860" s="37"/>
      <c r="F860" s="37"/>
      <c r="G860" s="37"/>
      <c r="H860" s="37"/>
      <c r="I860" s="37"/>
      <c r="J860" s="37"/>
      <c r="K860" s="37"/>
      <c r="L860" s="37"/>
      <c r="M860" s="37"/>
      <c r="N860" s="37"/>
      <c r="O860" s="37"/>
      <c r="P860" s="37"/>
      <c r="Q860" s="37"/>
      <c r="R860" s="37"/>
      <c r="S860" s="37"/>
      <c r="T860" s="37"/>
      <c r="U860" s="37"/>
      <c r="V860" s="37"/>
      <c r="W860" s="37"/>
      <c r="X860" s="36"/>
      <c r="Y860" s="36"/>
      <c r="Z860" s="36"/>
      <c r="AA860" s="36"/>
      <c r="AB860" s="36"/>
      <c r="AC860" s="36"/>
      <c r="AD860" s="36"/>
      <c r="AE860" s="36"/>
    </row>
    <row r="861" spans="1:31" ht="15.75" customHeight="1" x14ac:dyDescent="0.25">
      <c r="A861" s="37"/>
      <c r="B861" s="801"/>
      <c r="C861" s="37"/>
      <c r="D861" s="37"/>
      <c r="E861" s="37"/>
      <c r="F861" s="37"/>
      <c r="G861" s="37"/>
      <c r="H861" s="37"/>
      <c r="I861" s="37"/>
      <c r="J861" s="37"/>
      <c r="K861" s="37"/>
      <c r="L861" s="37"/>
      <c r="M861" s="37"/>
      <c r="N861" s="37"/>
      <c r="O861" s="37"/>
      <c r="P861" s="37"/>
      <c r="Q861" s="37"/>
      <c r="R861" s="37"/>
      <c r="S861" s="37"/>
      <c r="T861" s="37"/>
      <c r="U861" s="37"/>
      <c r="V861" s="37"/>
      <c r="W861" s="37"/>
      <c r="X861" s="36"/>
      <c r="Y861" s="36"/>
      <c r="Z861" s="36"/>
      <c r="AA861" s="36"/>
      <c r="AB861" s="36"/>
      <c r="AC861" s="36"/>
      <c r="AD861" s="36"/>
      <c r="AE861" s="36"/>
    </row>
    <row r="862" spans="1:31" ht="15.75" customHeight="1" x14ac:dyDescent="0.25">
      <c r="A862" s="37"/>
      <c r="B862" s="801"/>
      <c r="C862" s="37"/>
      <c r="D862" s="37"/>
      <c r="E862" s="37"/>
      <c r="F862" s="37"/>
      <c r="G862" s="37"/>
      <c r="H862" s="37"/>
      <c r="I862" s="37"/>
      <c r="J862" s="37"/>
      <c r="K862" s="37"/>
      <c r="L862" s="37"/>
      <c r="M862" s="37"/>
      <c r="N862" s="37"/>
      <c r="O862" s="37"/>
      <c r="P862" s="37"/>
      <c r="Q862" s="37"/>
      <c r="R862" s="37"/>
      <c r="S862" s="37"/>
      <c r="T862" s="37"/>
      <c r="U862" s="37"/>
      <c r="V862" s="37"/>
      <c r="W862" s="37"/>
      <c r="X862" s="36"/>
      <c r="Y862" s="36"/>
      <c r="Z862" s="36"/>
      <c r="AA862" s="36"/>
      <c r="AB862" s="36"/>
      <c r="AC862" s="36"/>
      <c r="AD862" s="36"/>
      <c r="AE862" s="36"/>
    </row>
    <row r="863" spans="1:31" ht="15.75" customHeight="1" x14ac:dyDescent="0.25">
      <c r="A863" s="37"/>
      <c r="B863" s="801"/>
      <c r="C863" s="37"/>
      <c r="D863" s="37"/>
      <c r="E863" s="37"/>
      <c r="F863" s="37"/>
      <c r="G863" s="37"/>
      <c r="H863" s="37"/>
      <c r="I863" s="37"/>
      <c r="J863" s="37"/>
      <c r="K863" s="37"/>
      <c r="L863" s="37"/>
      <c r="M863" s="37"/>
      <c r="N863" s="37"/>
      <c r="O863" s="37"/>
      <c r="P863" s="37"/>
      <c r="Q863" s="37"/>
      <c r="R863" s="37"/>
      <c r="S863" s="37"/>
      <c r="T863" s="37"/>
      <c r="U863" s="37"/>
      <c r="V863" s="37"/>
      <c r="W863" s="37"/>
      <c r="X863" s="36"/>
      <c r="Y863" s="36"/>
      <c r="Z863" s="36"/>
      <c r="AA863" s="36"/>
      <c r="AB863" s="36"/>
      <c r="AC863" s="36"/>
      <c r="AD863" s="36"/>
      <c r="AE863" s="36"/>
    </row>
    <row r="864" spans="1:31" ht="15.75" customHeight="1" x14ac:dyDescent="0.25">
      <c r="A864" s="37"/>
      <c r="B864" s="801"/>
      <c r="C864" s="37"/>
      <c r="D864" s="37"/>
      <c r="E864" s="37"/>
      <c r="F864" s="37"/>
      <c r="G864" s="37"/>
      <c r="H864" s="37"/>
      <c r="I864" s="37"/>
      <c r="J864" s="37"/>
      <c r="K864" s="37"/>
      <c r="L864" s="37"/>
      <c r="M864" s="37"/>
      <c r="N864" s="37"/>
      <c r="O864" s="37"/>
      <c r="P864" s="37"/>
      <c r="Q864" s="37"/>
      <c r="R864" s="37"/>
      <c r="S864" s="37"/>
      <c r="T864" s="37"/>
      <c r="U864" s="37"/>
      <c r="V864" s="37"/>
      <c r="W864" s="37"/>
      <c r="X864" s="36"/>
      <c r="Y864" s="36"/>
      <c r="Z864" s="36"/>
      <c r="AA864" s="36"/>
      <c r="AB864" s="36"/>
      <c r="AC864" s="36"/>
      <c r="AD864" s="36"/>
      <c r="AE864" s="36"/>
    </row>
    <row r="865" spans="1:31" ht="15.75" customHeight="1" x14ac:dyDescent="0.25">
      <c r="A865" s="37"/>
      <c r="B865" s="801"/>
      <c r="C865" s="37"/>
      <c r="D865" s="37"/>
      <c r="E865" s="37"/>
      <c r="F865" s="37"/>
      <c r="G865" s="37"/>
      <c r="H865" s="37"/>
      <c r="I865" s="37"/>
      <c r="J865" s="37"/>
      <c r="K865" s="37"/>
      <c r="L865" s="37"/>
      <c r="M865" s="37"/>
      <c r="N865" s="37"/>
      <c r="O865" s="37"/>
      <c r="P865" s="37"/>
      <c r="Q865" s="37"/>
      <c r="R865" s="37"/>
      <c r="S865" s="37"/>
      <c r="T865" s="37"/>
      <c r="U865" s="37"/>
      <c r="V865" s="37"/>
      <c r="W865" s="37"/>
      <c r="X865" s="36"/>
      <c r="Y865" s="36"/>
      <c r="Z865" s="36"/>
      <c r="AA865" s="36"/>
      <c r="AB865" s="36"/>
      <c r="AC865" s="36"/>
      <c r="AD865" s="36"/>
      <c r="AE865" s="36"/>
    </row>
    <row r="866" spans="1:31" ht="15.75" customHeight="1" x14ac:dyDescent="0.25">
      <c r="A866" s="37"/>
      <c r="B866" s="801"/>
      <c r="C866" s="37"/>
      <c r="D866" s="37"/>
      <c r="E866" s="37"/>
      <c r="F866" s="37"/>
      <c r="G866" s="37"/>
      <c r="H866" s="37"/>
      <c r="I866" s="37"/>
      <c r="J866" s="37"/>
      <c r="K866" s="37"/>
      <c r="L866" s="37"/>
      <c r="M866" s="37"/>
      <c r="N866" s="37"/>
      <c r="O866" s="37"/>
      <c r="P866" s="37"/>
      <c r="Q866" s="37"/>
      <c r="R866" s="37"/>
      <c r="S866" s="37"/>
      <c r="T866" s="37"/>
      <c r="U866" s="37"/>
      <c r="V866" s="37"/>
      <c r="W866" s="37"/>
      <c r="X866" s="36"/>
      <c r="Y866" s="36"/>
      <c r="Z866" s="36"/>
      <c r="AA866" s="36"/>
      <c r="AB866" s="36"/>
      <c r="AC866" s="36"/>
      <c r="AD866" s="36"/>
      <c r="AE866" s="36"/>
    </row>
    <row r="867" spans="1:31" ht="15.75" customHeight="1" x14ac:dyDescent="0.25">
      <c r="A867" s="37"/>
      <c r="B867" s="801"/>
      <c r="C867" s="37"/>
      <c r="D867" s="37"/>
      <c r="E867" s="37"/>
      <c r="F867" s="37"/>
      <c r="G867" s="37"/>
      <c r="H867" s="37"/>
      <c r="I867" s="37"/>
      <c r="J867" s="37"/>
      <c r="K867" s="37"/>
      <c r="L867" s="37"/>
      <c r="M867" s="37"/>
      <c r="N867" s="37"/>
      <c r="O867" s="37"/>
      <c r="P867" s="37"/>
      <c r="Q867" s="37"/>
      <c r="R867" s="37"/>
      <c r="S867" s="37"/>
      <c r="T867" s="37"/>
      <c r="U867" s="37"/>
      <c r="V867" s="37"/>
      <c r="W867" s="37"/>
      <c r="X867" s="36"/>
      <c r="Y867" s="36"/>
      <c r="Z867" s="36"/>
      <c r="AA867" s="36"/>
      <c r="AB867" s="36"/>
      <c r="AC867" s="36"/>
      <c r="AD867" s="36"/>
      <c r="AE867" s="36"/>
    </row>
    <row r="868" spans="1:31" ht="15.75" customHeight="1" x14ac:dyDescent="0.25">
      <c r="A868" s="37"/>
      <c r="B868" s="801"/>
      <c r="C868" s="37"/>
      <c r="D868" s="37"/>
      <c r="E868" s="37"/>
      <c r="F868" s="37"/>
      <c r="G868" s="37"/>
      <c r="H868" s="37"/>
      <c r="I868" s="37"/>
      <c r="J868" s="37"/>
      <c r="K868" s="37"/>
      <c r="L868" s="37"/>
      <c r="M868" s="37"/>
      <c r="N868" s="37"/>
      <c r="O868" s="37"/>
      <c r="P868" s="37"/>
      <c r="Q868" s="37"/>
      <c r="R868" s="37"/>
      <c r="S868" s="37"/>
      <c r="T868" s="37"/>
      <c r="U868" s="37"/>
      <c r="V868" s="37"/>
      <c r="W868" s="37"/>
      <c r="X868" s="36"/>
      <c r="Y868" s="36"/>
      <c r="Z868" s="36"/>
      <c r="AA868" s="36"/>
      <c r="AB868" s="36"/>
      <c r="AC868" s="36"/>
      <c r="AD868" s="36"/>
      <c r="AE868" s="36"/>
    </row>
    <row r="869" spans="1:31" ht="15.75" customHeight="1" x14ac:dyDescent="0.25">
      <c r="A869" s="37"/>
      <c r="B869" s="801"/>
      <c r="C869" s="37"/>
      <c r="D869" s="37"/>
      <c r="E869" s="37"/>
      <c r="F869" s="37"/>
      <c r="G869" s="37"/>
      <c r="H869" s="37"/>
      <c r="I869" s="37"/>
      <c r="J869" s="37"/>
      <c r="K869" s="37"/>
      <c r="L869" s="37"/>
      <c r="M869" s="37"/>
      <c r="N869" s="37"/>
      <c r="O869" s="37"/>
      <c r="P869" s="37"/>
      <c r="Q869" s="37"/>
      <c r="R869" s="37"/>
      <c r="S869" s="37"/>
      <c r="T869" s="37"/>
      <c r="U869" s="37"/>
      <c r="V869" s="37"/>
      <c r="W869" s="37"/>
      <c r="X869" s="36"/>
      <c r="Y869" s="36"/>
      <c r="Z869" s="36"/>
      <c r="AA869" s="36"/>
      <c r="AB869" s="36"/>
      <c r="AC869" s="36"/>
      <c r="AD869" s="36"/>
      <c r="AE869" s="36"/>
    </row>
    <row r="870" spans="1:31" ht="15.75" customHeight="1" x14ac:dyDescent="0.25">
      <c r="A870" s="37"/>
      <c r="B870" s="801"/>
      <c r="C870" s="37"/>
      <c r="D870" s="37"/>
      <c r="E870" s="37"/>
      <c r="F870" s="37"/>
      <c r="G870" s="37"/>
      <c r="H870" s="37"/>
      <c r="I870" s="37"/>
      <c r="J870" s="37"/>
      <c r="K870" s="37"/>
      <c r="L870" s="37"/>
      <c r="M870" s="37"/>
      <c r="N870" s="37"/>
      <c r="O870" s="37"/>
      <c r="P870" s="37"/>
      <c r="Q870" s="37"/>
      <c r="R870" s="37"/>
      <c r="S870" s="37"/>
      <c r="T870" s="37"/>
      <c r="U870" s="37"/>
      <c r="V870" s="37"/>
      <c r="W870" s="37"/>
      <c r="X870" s="36"/>
      <c r="Y870" s="36"/>
      <c r="Z870" s="36"/>
      <c r="AA870" s="36"/>
      <c r="AB870" s="36"/>
      <c r="AC870" s="36"/>
      <c r="AD870" s="36"/>
      <c r="AE870" s="36"/>
    </row>
    <row r="871" spans="1:31" ht="15.75" customHeight="1" x14ac:dyDescent="0.25">
      <c r="A871" s="37"/>
      <c r="B871" s="801"/>
      <c r="C871" s="37"/>
      <c r="D871" s="37"/>
      <c r="E871" s="37"/>
      <c r="F871" s="37"/>
      <c r="G871" s="37"/>
      <c r="H871" s="37"/>
      <c r="I871" s="37"/>
      <c r="J871" s="37"/>
      <c r="K871" s="37"/>
      <c r="L871" s="37"/>
      <c r="M871" s="37"/>
      <c r="N871" s="37"/>
      <c r="O871" s="37"/>
      <c r="P871" s="37"/>
      <c r="Q871" s="37"/>
      <c r="R871" s="37"/>
      <c r="S871" s="37"/>
      <c r="T871" s="37"/>
      <c r="U871" s="37"/>
      <c r="V871" s="37"/>
      <c r="W871" s="37"/>
      <c r="X871" s="36"/>
      <c r="Y871" s="36"/>
      <c r="Z871" s="36"/>
      <c r="AA871" s="36"/>
      <c r="AB871" s="36"/>
      <c r="AC871" s="36"/>
      <c r="AD871" s="36"/>
      <c r="AE871" s="36"/>
    </row>
    <row r="872" spans="1:31" ht="15.75" customHeight="1" x14ac:dyDescent="0.25">
      <c r="A872" s="37"/>
      <c r="B872" s="801"/>
      <c r="C872" s="37"/>
      <c r="D872" s="37"/>
      <c r="E872" s="37"/>
      <c r="F872" s="37"/>
      <c r="G872" s="37"/>
      <c r="H872" s="37"/>
      <c r="I872" s="37"/>
      <c r="J872" s="37"/>
      <c r="K872" s="37"/>
      <c r="L872" s="37"/>
      <c r="M872" s="37"/>
      <c r="N872" s="37"/>
      <c r="O872" s="37"/>
      <c r="P872" s="37"/>
      <c r="Q872" s="37"/>
      <c r="R872" s="37"/>
      <c r="S872" s="37"/>
      <c r="T872" s="37"/>
      <c r="U872" s="37"/>
      <c r="V872" s="37"/>
      <c r="W872" s="37"/>
      <c r="X872" s="36"/>
      <c r="Y872" s="36"/>
      <c r="Z872" s="36"/>
      <c r="AA872" s="36"/>
      <c r="AB872" s="36"/>
      <c r="AC872" s="36"/>
      <c r="AD872" s="36"/>
      <c r="AE872" s="36"/>
    </row>
    <row r="873" spans="1:31" ht="15.75" customHeight="1" x14ac:dyDescent="0.25">
      <c r="A873" s="37"/>
      <c r="B873" s="801"/>
      <c r="C873" s="37"/>
      <c r="D873" s="37"/>
      <c r="E873" s="37"/>
      <c r="F873" s="37"/>
      <c r="G873" s="37"/>
      <c r="H873" s="37"/>
      <c r="I873" s="37"/>
      <c r="J873" s="37"/>
      <c r="K873" s="37"/>
      <c r="L873" s="37"/>
      <c r="M873" s="37"/>
      <c r="N873" s="37"/>
      <c r="O873" s="37"/>
      <c r="P873" s="37"/>
      <c r="Q873" s="37"/>
      <c r="R873" s="37"/>
      <c r="S873" s="37"/>
      <c r="T873" s="37"/>
      <c r="U873" s="37"/>
      <c r="V873" s="37"/>
      <c r="W873" s="37"/>
      <c r="X873" s="36"/>
      <c r="Y873" s="36"/>
      <c r="Z873" s="36"/>
      <c r="AA873" s="36"/>
      <c r="AB873" s="36"/>
      <c r="AC873" s="36"/>
      <c r="AD873" s="36"/>
      <c r="AE873" s="36"/>
    </row>
    <row r="874" spans="1:31" ht="15.75" customHeight="1" x14ac:dyDescent="0.25">
      <c r="A874" s="37"/>
      <c r="B874" s="801"/>
      <c r="C874" s="37"/>
      <c r="D874" s="37"/>
      <c r="E874" s="37"/>
      <c r="F874" s="37"/>
      <c r="G874" s="37"/>
      <c r="H874" s="37"/>
      <c r="I874" s="37"/>
      <c r="J874" s="37"/>
      <c r="K874" s="37"/>
      <c r="L874" s="37"/>
      <c r="M874" s="37"/>
      <c r="N874" s="37"/>
      <c r="O874" s="37"/>
      <c r="P874" s="37"/>
      <c r="Q874" s="37"/>
      <c r="R874" s="37"/>
      <c r="S874" s="37"/>
      <c r="T874" s="37"/>
      <c r="U874" s="37"/>
      <c r="V874" s="37"/>
      <c r="W874" s="37"/>
      <c r="X874" s="36"/>
      <c r="Y874" s="36"/>
      <c r="Z874" s="36"/>
      <c r="AA874" s="36"/>
      <c r="AB874" s="36"/>
      <c r="AC874" s="36"/>
      <c r="AD874" s="36"/>
      <c r="AE874" s="36"/>
    </row>
    <row r="875" spans="1:31" ht="15.75" customHeight="1" x14ac:dyDescent="0.25">
      <c r="A875" s="37"/>
      <c r="B875" s="801"/>
      <c r="C875" s="37"/>
      <c r="D875" s="37"/>
      <c r="E875" s="37"/>
      <c r="F875" s="37"/>
      <c r="G875" s="37"/>
      <c r="H875" s="37"/>
      <c r="I875" s="37"/>
      <c r="J875" s="37"/>
      <c r="K875" s="37"/>
      <c r="L875" s="37"/>
      <c r="M875" s="37"/>
      <c r="N875" s="37"/>
      <c r="O875" s="37"/>
      <c r="P875" s="37"/>
      <c r="Q875" s="37"/>
      <c r="R875" s="37"/>
      <c r="S875" s="37"/>
      <c r="T875" s="37"/>
      <c r="U875" s="37"/>
      <c r="V875" s="37"/>
      <c r="W875" s="37"/>
      <c r="X875" s="36"/>
      <c r="Y875" s="36"/>
      <c r="Z875" s="36"/>
      <c r="AA875" s="36"/>
      <c r="AB875" s="36"/>
      <c r="AC875" s="36"/>
      <c r="AD875" s="36"/>
      <c r="AE875" s="36"/>
    </row>
    <row r="876" spans="1:31" ht="15.75" customHeight="1" x14ac:dyDescent="0.25">
      <c r="A876" s="37"/>
      <c r="B876" s="801"/>
      <c r="C876" s="37"/>
      <c r="D876" s="37"/>
      <c r="E876" s="37"/>
      <c r="F876" s="37"/>
      <c r="G876" s="37"/>
      <c r="H876" s="37"/>
      <c r="I876" s="37"/>
      <c r="J876" s="37"/>
      <c r="K876" s="37"/>
      <c r="L876" s="37"/>
      <c r="M876" s="37"/>
      <c r="N876" s="37"/>
      <c r="O876" s="37"/>
      <c r="P876" s="37"/>
      <c r="Q876" s="37"/>
      <c r="R876" s="37"/>
      <c r="S876" s="37"/>
      <c r="T876" s="37"/>
      <c r="U876" s="37"/>
      <c r="V876" s="37"/>
      <c r="W876" s="37"/>
      <c r="X876" s="36"/>
      <c r="Y876" s="36"/>
      <c r="Z876" s="36"/>
      <c r="AA876" s="36"/>
      <c r="AB876" s="36"/>
      <c r="AC876" s="36"/>
      <c r="AD876" s="36"/>
      <c r="AE876" s="36"/>
    </row>
    <row r="877" spans="1:31" ht="15.75" customHeight="1" x14ac:dyDescent="0.25">
      <c r="A877" s="37"/>
      <c r="B877" s="801"/>
      <c r="C877" s="37"/>
      <c r="D877" s="37"/>
      <c r="E877" s="37"/>
      <c r="F877" s="37"/>
      <c r="G877" s="37"/>
      <c r="H877" s="37"/>
      <c r="I877" s="37"/>
      <c r="J877" s="37"/>
      <c r="K877" s="37"/>
      <c r="L877" s="37"/>
      <c r="M877" s="37"/>
      <c r="N877" s="37"/>
      <c r="O877" s="37"/>
      <c r="P877" s="37"/>
      <c r="Q877" s="37"/>
      <c r="R877" s="37"/>
      <c r="S877" s="37"/>
      <c r="T877" s="37"/>
      <c r="U877" s="37"/>
      <c r="V877" s="37"/>
      <c r="W877" s="37"/>
      <c r="X877" s="36"/>
      <c r="Y877" s="36"/>
      <c r="Z877" s="36"/>
      <c r="AA877" s="36"/>
      <c r="AB877" s="36"/>
      <c r="AC877" s="36"/>
      <c r="AD877" s="36"/>
      <c r="AE877" s="36"/>
    </row>
    <row r="878" spans="1:31" ht="15.75" customHeight="1" x14ac:dyDescent="0.25">
      <c r="A878" s="37"/>
      <c r="B878" s="801"/>
      <c r="C878" s="37"/>
      <c r="D878" s="37"/>
      <c r="E878" s="37"/>
      <c r="F878" s="37"/>
      <c r="G878" s="37"/>
      <c r="H878" s="37"/>
      <c r="I878" s="37"/>
      <c r="J878" s="37"/>
      <c r="K878" s="37"/>
      <c r="L878" s="37"/>
      <c r="M878" s="37"/>
      <c r="N878" s="37"/>
      <c r="O878" s="37"/>
      <c r="P878" s="37"/>
      <c r="Q878" s="37"/>
      <c r="R878" s="37"/>
      <c r="S878" s="37"/>
      <c r="T878" s="37"/>
      <c r="U878" s="37"/>
      <c r="V878" s="37"/>
      <c r="W878" s="37"/>
      <c r="X878" s="36"/>
      <c r="Y878" s="36"/>
      <c r="Z878" s="36"/>
      <c r="AA878" s="36"/>
      <c r="AB878" s="36"/>
      <c r="AC878" s="36"/>
      <c r="AD878" s="36"/>
      <c r="AE878" s="36"/>
    </row>
    <row r="879" spans="1:31" ht="15.75" customHeight="1" x14ac:dyDescent="0.25">
      <c r="A879" s="37"/>
      <c r="B879" s="801"/>
      <c r="C879" s="37"/>
      <c r="D879" s="37"/>
      <c r="E879" s="37"/>
      <c r="F879" s="37"/>
      <c r="G879" s="37"/>
      <c r="H879" s="37"/>
      <c r="I879" s="37"/>
      <c r="J879" s="37"/>
      <c r="K879" s="37"/>
      <c r="L879" s="37"/>
      <c r="M879" s="37"/>
      <c r="N879" s="37"/>
      <c r="O879" s="37"/>
      <c r="P879" s="37"/>
      <c r="Q879" s="37"/>
      <c r="R879" s="37"/>
      <c r="S879" s="37"/>
      <c r="T879" s="37"/>
      <c r="U879" s="37"/>
      <c r="V879" s="37"/>
      <c r="W879" s="37"/>
      <c r="X879" s="36"/>
      <c r="Y879" s="36"/>
      <c r="Z879" s="36"/>
      <c r="AA879" s="36"/>
      <c r="AB879" s="36"/>
      <c r="AC879" s="36"/>
      <c r="AD879" s="36"/>
      <c r="AE879" s="36"/>
    </row>
    <row r="880" spans="1:31" ht="15.75" customHeight="1" x14ac:dyDescent="0.25">
      <c r="A880" s="37"/>
      <c r="B880" s="801"/>
      <c r="C880" s="37"/>
      <c r="D880" s="37"/>
      <c r="E880" s="37"/>
      <c r="F880" s="37"/>
      <c r="G880" s="37"/>
      <c r="H880" s="37"/>
      <c r="I880" s="37"/>
      <c r="J880" s="37"/>
      <c r="K880" s="37"/>
      <c r="L880" s="37"/>
      <c r="M880" s="37"/>
      <c r="N880" s="37"/>
      <c r="O880" s="37"/>
      <c r="P880" s="37"/>
      <c r="Q880" s="37"/>
      <c r="R880" s="37"/>
      <c r="S880" s="37"/>
      <c r="T880" s="37"/>
      <c r="U880" s="37"/>
      <c r="V880" s="37"/>
      <c r="W880" s="37"/>
      <c r="X880" s="36"/>
      <c r="Y880" s="36"/>
      <c r="Z880" s="36"/>
      <c r="AA880" s="36"/>
      <c r="AB880" s="36"/>
      <c r="AC880" s="36"/>
      <c r="AD880" s="36"/>
      <c r="AE880" s="36"/>
    </row>
    <row r="881" spans="1:31" ht="15.75" customHeight="1" x14ac:dyDescent="0.25">
      <c r="A881" s="37"/>
      <c r="B881" s="801"/>
      <c r="C881" s="37"/>
      <c r="D881" s="37"/>
      <c r="E881" s="37"/>
      <c r="F881" s="37"/>
      <c r="G881" s="37"/>
      <c r="H881" s="37"/>
      <c r="I881" s="37"/>
      <c r="J881" s="37"/>
      <c r="K881" s="37"/>
      <c r="L881" s="37"/>
      <c r="M881" s="37"/>
      <c r="N881" s="37"/>
      <c r="O881" s="37"/>
      <c r="P881" s="37"/>
      <c r="Q881" s="37"/>
      <c r="R881" s="37"/>
      <c r="S881" s="37"/>
      <c r="T881" s="37"/>
      <c r="U881" s="37"/>
      <c r="V881" s="37"/>
      <c r="W881" s="37"/>
      <c r="X881" s="36"/>
      <c r="Y881" s="36"/>
      <c r="Z881" s="36"/>
      <c r="AA881" s="36"/>
      <c r="AB881" s="36"/>
      <c r="AC881" s="36"/>
      <c r="AD881" s="36"/>
      <c r="AE881" s="36"/>
    </row>
    <row r="882" spans="1:31" ht="15.75" customHeight="1" x14ac:dyDescent="0.25">
      <c r="A882" s="37"/>
      <c r="B882" s="801"/>
      <c r="C882" s="37"/>
      <c r="D882" s="37"/>
      <c r="E882" s="37"/>
      <c r="F882" s="37"/>
      <c r="G882" s="37"/>
      <c r="H882" s="37"/>
      <c r="I882" s="37"/>
      <c r="J882" s="37"/>
      <c r="K882" s="37"/>
      <c r="L882" s="37"/>
      <c r="M882" s="37"/>
      <c r="N882" s="37"/>
      <c r="O882" s="37"/>
      <c r="P882" s="37"/>
      <c r="Q882" s="37"/>
      <c r="R882" s="37"/>
      <c r="S882" s="37"/>
      <c r="T882" s="37"/>
      <c r="U882" s="37"/>
      <c r="V882" s="37"/>
      <c r="W882" s="37"/>
      <c r="X882" s="36"/>
      <c r="Y882" s="36"/>
      <c r="Z882" s="36"/>
      <c r="AA882" s="36"/>
      <c r="AB882" s="36"/>
      <c r="AC882" s="36"/>
      <c r="AD882" s="36"/>
      <c r="AE882" s="36"/>
    </row>
    <row r="883" spans="1:31" ht="15.75" customHeight="1" x14ac:dyDescent="0.25">
      <c r="A883" s="37"/>
      <c r="B883" s="801"/>
      <c r="C883" s="37"/>
      <c r="D883" s="37"/>
      <c r="E883" s="37"/>
      <c r="F883" s="37"/>
      <c r="G883" s="37"/>
      <c r="H883" s="37"/>
      <c r="I883" s="37"/>
      <c r="J883" s="37"/>
      <c r="K883" s="37"/>
      <c r="L883" s="37"/>
      <c r="M883" s="37"/>
      <c r="N883" s="37"/>
      <c r="O883" s="37"/>
      <c r="P883" s="37"/>
      <c r="Q883" s="37"/>
      <c r="R883" s="37"/>
      <c r="S883" s="37"/>
      <c r="T883" s="37"/>
      <c r="U883" s="37"/>
      <c r="V883" s="37"/>
      <c r="W883" s="37"/>
      <c r="X883" s="36"/>
      <c r="Y883" s="36"/>
      <c r="Z883" s="36"/>
      <c r="AA883" s="36"/>
      <c r="AB883" s="36"/>
      <c r="AC883" s="36"/>
      <c r="AD883" s="36"/>
      <c r="AE883" s="36"/>
    </row>
    <row r="884" spans="1:31" ht="15.75" customHeight="1" x14ac:dyDescent="0.25">
      <c r="A884" s="37"/>
      <c r="B884" s="801"/>
      <c r="C884" s="37"/>
      <c r="D884" s="37"/>
      <c r="E884" s="37"/>
      <c r="F884" s="37"/>
      <c r="G884" s="37"/>
      <c r="H884" s="37"/>
      <c r="I884" s="37"/>
      <c r="J884" s="37"/>
      <c r="K884" s="37"/>
      <c r="L884" s="37"/>
      <c r="M884" s="37"/>
      <c r="N884" s="37"/>
      <c r="O884" s="37"/>
      <c r="P884" s="37"/>
      <c r="Q884" s="37"/>
      <c r="R884" s="37"/>
      <c r="S884" s="37"/>
      <c r="T884" s="37"/>
      <c r="U884" s="37"/>
      <c r="V884" s="37"/>
      <c r="W884" s="37"/>
      <c r="X884" s="36"/>
      <c r="Y884" s="36"/>
      <c r="Z884" s="36"/>
      <c r="AA884" s="36"/>
      <c r="AB884" s="36"/>
      <c r="AC884" s="36"/>
      <c r="AD884" s="36"/>
      <c r="AE884" s="36"/>
    </row>
    <row r="885" spans="1:31" ht="15.75" customHeight="1" x14ac:dyDescent="0.25">
      <c r="A885" s="37"/>
      <c r="B885" s="801"/>
      <c r="C885" s="37"/>
      <c r="D885" s="37"/>
      <c r="E885" s="37"/>
      <c r="F885" s="37"/>
      <c r="G885" s="37"/>
      <c r="H885" s="37"/>
      <c r="I885" s="37"/>
      <c r="J885" s="37"/>
      <c r="K885" s="37"/>
      <c r="L885" s="37"/>
      <c r="M885" s="37"/>
      <c r="N885" s="37"/>
      <c r="O885" s="37"/>
      <c r="P885" s="37"/>
      <c r="Q885" s="37"/>
      <c r="R885" s="37"/>
      <c r="S885" s="37"/>
      <c r="T885" s="37"/>
      <c r="U885" s="37"/>
      <c r="V885" s="37"/>
      <c r="W885" s="37"/>
      <c r="X885" s="36"/>
      <c r="Y885" s="36"/>
      <c r="Z885" s="36"/>
      <c r="AA885" s="36"/>
      <c r="AB885" s="36"/>
      <c r="AC885" s="36"/>
      <c r="AD885" s="36"/>
      <c r="AE885" s="36"/>
    </row>
    <row r="886" spans="1:31" ht="15.75" customHeight="1" x14ac:dyDescent="0.25">
      <c r="A886" s="37"/>
      <c r="B886" s="801"/>
      <c r="C886" s="37"/>
      <c r="D886" s="37"/>
      <c r="E886" s="37"/>
      <c r="F886" s="37"/>
      <c r="G886" s="37"/>
      <c r="H886" s="37"/>
      <c r="I886" s="37"/>
      <c r="J886" s="37"/>
      <c r="K886" s="37"/>
      <c r="L886" s="37"/>
      <c r="M886" s="37"/>
      <c r="N886" s="37"/>
      <c r="O886" s="37"/>
      <c r="P886" s="37"/>
      <c r="Q886" s="37"/>
      <c r="R886" s="37"/>
      <c r="S886" s="37"/>
      <c r="T886" s="37"/>
      <c r="U886" s="37"/>
      <c r="V886" s="37"/>
      <c r="W886" s="37"/>
      <c r="X886" s="36"/>
      <c r="Y886" s="36"/>
      <c r="Z886" s="36"/>
      <c r="AA886" s="36"/>
      <c r="AB886" s="36"/>
      <c r="AC886" s="36"/>
      <c r="AD886" s="36"/>
      <c r="AE886" s="36"/>
    </row>
    <row r="887" spans="1:31" ht="15.75" customHeight="1" x14ac:dyDescent="0.25">
      <c r="A887" s="37"/>
      <c r="B887" s="801"/>
      <c r="C887" s="37"/>
      <c r="D887" s="37"/>
      <c r="E887" s="37"/>
      <c r="F887" s="37"/>
      <c r="G887" s="37"/>
      <c r="H887" s="37"/>
      <c r="I887" s="37"/>
      <c r="J887" s="37"/>
      <c r="K887" s="37"/>
      <c r="L887" s="37"/>
      <c r="M887" s="37"/>
      <c r="N887" s="37"/>
      <c r="O887" s="37"/>
      <c r="P887" s="37"/>
      <c r="Q887" s="37"/>
      <c r="R887" s="37"/>
      <c r="S887" s="37"/>
      <c r="T887" s="37"/>
      <c r="U887" s="37"/>
      <c r="V887" s="37"/>
      <c r="W887" s="37"/>
      <c r="X887" s="36"/>
      <c r="Y887" s="36"/>
      <c r="Z887" s="36"/>
      <c r="AA887" s="36"/>
      <c r="AB887" s="36"/>
      <c r="AC887" s="36"/>
      <c r="AD887" s="36"/>
      <c r="AE887" s="36"/>
    </row>
    <row r="888" spans="1:31" ht="15.75" customHeight="1" x14ac:dyDescent="0.25">
      <c r="A888" s="37"/>
      <c r="B888" s="801"/>
      <c r="C888" s="37"/>
      <c r="D888" s="37"/>
      <c r="E888" s="37"/>
      <c r="F888" s="37"/>
      <c r="G888" s="37"/>
      <c r="H888" s="37"/>
      <c r="I888" s="37"/>
      <c r="J888" s="37"/>
      <c r="K888" s="37"/>
      <c r="L888" s="37"/>
      <c r="M888" s="37"/>
      <c r="N888" s="37"/>
      <c r="O888" s="37"/>
      <c r="P888" s="37"/>
      <c r="Q888" s="37"/>
      <c r="R888" s="37"/>
      <c r="S888" s="37"/>
      <c r="T888" s="37"/>
      <c r="U888" s="37"/>
      <c r="V888" s="37"/>
      <c r="W888" s="37"/>
      <c r="X888" s="36"/>
      <c r="Y888" s="36"/>
      <c r="Z888" s="36"/>
      <c r="AA888" s="36"/>
      <c r="AB888" s="36"/>
      <c r="AC888" s="36"/>
      <c r="AD888" s="36"/>
      <c r="AE888" s="36"/>
    </row>
    <row r="889" spans="1:31" ht="15.75" customHeight="1" x14ac:dyDescent="0.25">
      <c r="A889" s="37"/>
      <c r="B889" s="801"/>
      <c r="C889" s="37"/>
      <c r="D889" s="37"/>
      <c r="E889" s="37"/>
      <c r="F889" s="37"/>
      <c r="G889" s="37"/>
      <c r="H889" s="37"/>
      <c r="I889" s="37"/>
      <c r="J889" s="37"/>
      <c r="K889" s="37"/>
      <c r="L889" s="37"/>
      <c r="M889" s="37"/>
      <c r="N889" s="37"/>
      <c r="O889" s="37"/>
      <c r="P889" s="37"/>
      <c r="Q889" s="37"/>
      <c r="R889" s="37"/>
      <c r="S889" s="37"/>
      <c r="T889" s="37"/>
      <c r="U889" s="37"/>
      <c r="V889" s="37"/>
      <c r="W889" s="37"/>
      <c r="X889" s="36"/>
      <c r="Y889" s="36"/>
      <c r="Z889" s="36"/>
      <c r="AA889" s="36"/>
      <c r="AB889" s="36"/>
      <c r="AC889" s="36"/>
      <c r="AD889" s="36"/>
      <c r="AE889" s="36"/>
    </row>
    <row r="890" spans="1:31" ht="15.75" customHeight="1" x14ac:dyDescent="0.25">
      <c r="A890" s="37"/>
      <c r="B890" s="801"/>
      <c r="C890" s="37"/>
      <c r="D890" s="37"/>
      <c r="E890" s="37"/>
      <c r="F890" s="37"/>
      <c r="G890" s="37"/>
      <c r="H890" s="37"/>
      <c r="I890" s="37"/>
      <c r="J890" s="37"/>
      <c r="K890" s="37"/>
      <c r="L890" s="37"/>
      <c r="M890" s="37"/>
      <c r="N890" s="37"/>
      <c r="O890" s="37"/>
      <c r="P890" s="37"/>
      <c r="Q890" s="37"/>
      <c r="R890" s="37"/>
      <c r="S890" s="37"/>
      <c r="T890" s="37"/>
      <c r="U890" s="37"/>
      <c r="V890" s="37"/>
      <c r="W890" s="37"/>
      <c r="X890" s="36"/>
      <c r="Y890" s="36"/>
      <c r="Z890" s="36"/>
      <c r="AA890" s="36"/>
      <c r="AB890" s="36"/>
      <c r="AC890" s="36"/>
      <c r="AD890" s="36"/>
      <c r="AE890" s="36"/>
    </row>
    <row r="891" spans="1:31" ht="15.75" customHeight="1" x14ac:dyDescent="0.25">
      <c r="A891" s="37"/>
      <c r="B891" s="801"/>
      <c r="C891" s="37"/>
      <c r="D891" s="37"/>
      <c r="E891" s="37"/>
      <c r="F891" s="37"/>
      <c r="G891" s="37"/>
      <c r="H891" s="37"/>
      <c r="I891" s="37"/>
      <c r="J891" s="37"/>
      <c r="K891" s="37"/>
      <c r="L891" s="37"/>
      <c r="M891" s="37"/>
      <c r="N891" s="37"/>
      <c r="O891" s="37"/>
      <c r="P891" s="37"/>
      <c r="Q891" s="37"/>
      <c r="R891" s="37"/>
      <c r="S891" s="37"/>
      <c r="T891" s="37"/>
      <c r="U891" s="37"/>
      <c r="V891" s="37"/>
      <c r="W891" s="37"/>
      <c r="X891" s="36"/>
      <c r="Y891" s="36"/>
      <c r="Z891" s="36"/>
      <c r="AA891" s="36"/>
      <c r="AB891" s="36"/>
      <c r="AC891" s="36"/>
      <c r="AD891" s="36"/>
      <c r="AE891" s="36"/>
    </row>
    <row r="892" spans="1:31" ht="15.75" customHeight="1" x14ac:dyDescent="0.25">
      <c r="A892" s="37"/>
      <c r="B892" s="801"/>
      <c r="C892" s="37"/>
      <c r="D892" s="37"/>
      <c r="E892" s="37"/>
      <c r="F892" s="37"/>
      <c r="G892" s="37"/>
      <c r="H892" s="37"/>
      <c r="I892" s="37"/>
      <c r="J892" s="37"/>
      <c r="K892" s="37"/>
      <c r="L892" s="37"/>
      <c r="M892" s="37"/>
      <c r="N892" s="37"/>
      <c r="O892" s="37"/>
      <c r="P892" s="37"/>
      <c r="Q892" s="37"/>
      <c r="R892" s="37"/>
      <c r="S892" s="37"/>
      <c r="T892" s="37"/>
      <c r="U892" s="37"/>
      <c r="V892" s="37"/>
      <c r="W892" s="37"/>
      <c r="X892" s="36"/>
      <c r="Y892" s="36"/>
      <c r="Z892" s="36"/>
      <c r="AA892" s="36"/>
      <c r="AB892" s="36"/>
      <c r="AC892" s="36"/>
      <c r="AD892" s="36"/>
      <c r="AE892" s="36"/>
    </row>
    <row r="893" spans="1:31" ht="15.75" customHeight="1" x14ac:dyDescent="0.25">
      <c r="A893" s="37"/>
      <c r="B893" s="801"/>
      <c r="C893" s="37"/>
      <c r="D893" s="37"/>
      <c r="E893" s="37"/>
      <c r="F893" s="37"/>
      <c r="G893" s="37"/>
      <c r="H893" s="37"/>
      <c r="I893" s="37"/>
      <c r="J893" s="37"/>
      <c r="K893" s="37"/>
      <c r="L893" s="37"/>
      <c r="M893" s="37"/>
      <c r="N893" s="37"/>
      <c r="O893" s="37"/>
      <c r="P893" s="37"/>
      <c r="Q893" s="37"/>
      <c r="R893" s="37"/>
      <c r="S893" s="37"/>
      <c r="T893" s="37"/>
      <c r="U893" s="37"/>
      <c r="V893" s="37"/>
      <c r="W893" s="37"/>
      <c r="X893" s="36"/>
      <c r="Y893" s="36"/>
      <c r="Z893" s="36"/>
      <c r="AA893" s="36"/>
      <c r="AB893" s="36"/>
      <c r="AC893" s="36"/>
      <c r="AD893" s="36"/>
      <c r="AE893" s="36"/>
    </row>
    <row r="894" spans="1:31" ht="15.75" customHeight="1" x14ac:dyDescent="0.25">
      <c r="A894" s="37"/>
      <c r="B894" s="801"/>
      <c r="C894" s="37"/>
      <c r="D894" s="37"/>
      <c r="E894" s="37"/>
      <c r="F894" s="37"/>
      <c r="G894" s="37"/>
      <c r="H894" s="37"/>
      <c r="I894" s="37"/>
      <c r="J894" s="37"/>
      <c r="K894" s="37"/>
      <c r="L894" s="37"/>
      <c r="M894" s="37"/>
      <c r="N894" s="37"/>
      <c r="O894" s="37"/>
      <c r="P894" s="37"/>
      <c r="Q894" s="37"/>
      <c r="R894" s="37"/>
      <c r="S894" s="37"/>
      <c r="T894" s="37"/>
      <c r="U894" s="37"/>
      <c r="V894" s="37"/>
      <c r="W894" s="37"/>
      <c r="X894" s="36"/>
      <c r="Y894" s="36"/>
      <c r="Z894" s="36"/>
      <c r="AA894" s="36"/>
      <c r="AB894" s="36"/>
      <c r="AC894" s="36"/>
      <c r="AD894" s="36"/>
      <c r="AE894" s="36"/>
    </row>
    <row r="895" spans="1:31" ht="15.75" customHeight="1" x14ac:dyDescent="0.25">
      <c r="A895" s="37"/>
      <c r="B895" s="801"/>
      <c r="C895" s="37"/>
      <c r="D895" s="37"/>
      <c r="E895" s="37"/>
      <c r="F895" s="37"/>
      <c r="G895" s="37"/>
      <c r="H895" s="37"/>
      <c r="I895" s="37"/>
      <c r="J895" s="37"/>
      <c r="K895" s="37"/>
      <c r="L895" s="37"/>
      <c r="M895" s="37"/>
      <c r="N895" s="37"/>
      <c r="O895" s="37"/>
      <c r="P895" s="37"/>
      <c r="Q895" s="37"/>
      <c r="R895" s="37"/>
      <c r="S895" s="37"/>
      <c r="T895" s="37"/>
      <c r="U895" s="37"/>
      <c r="V895" s="37"/>
      <c r="W895" s="37"/>
      <c r="X895" s="36"/>
      <c r="Y895" s="36"/>
      <c r="Z895" s="36"/>
      <c r="AA895" s="36"/>
      <c r="AB895" s="36"/>
      <c r="AC895" s="36"/>
      <c r="AD895" s="36"/>
      <c r="AE895" s="36"/>
    </row>
    <row r="896" spans="1:31" ht="15.75" customHeight="1" x14ac:dyDescent="0.25">
      <c r="A896" s="37"/>
      <c r="B896" s="801"/>
      <c r="C896" s="37"/>
      <c r="D896" s="37"/>
      <c r="E896" s="37"/>
      <c r="F896" s="37"/>
      <c r="G896" s="37"/>
      <c r="H896" s="37"/>
      <c r="I896" s="37"/>
      <c r="J896" s="37"/>
      <c r="K896" s="37"/>
      <c r="L896" s="37"/>
      <c r="M896" s="37"/>
      <c r="N896" s="37"/>
      <c r="O896" s="37"/>
      <c r="P896" s="37"/>
      <c r="Q896" s="37"/>
      <c r="R896" s="37"/>
      <c r="S896" s="37"/>
      <c r="T896" s="37"/>
      <c r="U896" s="37"/>
      <c r="V896" s="37"/>
      <c r="W896" s="37"/>
      <c r="X896" s="36"/>
      <c r="Y896" s="36"/>
      <c r="Z896" s="36"/>
      <c r="AA896" s="36"/>
      <c r="AB896" s="36"/>
      <c r="AC896" s="36"/>
      <c r="AD896" s="36"/>
      <c r="AE896" s="36"/>
    </row>
    <row r="897" spans="1:31" ht="15.75" customHeight="1" x14ac:dyDescent="0.25">
      <c r="A897" s="37"/>
      <c r="B897" s="801"/>
      <c r="C897" s="37"/>
      <c r="D897" s="37"/>
      <c r="E897" s="37"/>
      <c r="F897" s="37"/>
      <c r="G897" s="37"/>
      <c r="H897" s="37"/>
      <c r="I897" s="37"/>
      <c r="J897" s="37"/>
      <c r="K897" s="37"/>
      <c r="L897" s="37"/>
      <c r="M897" s="37"/>
      <c r="N897" s="37"/>
      <c r="O897" s="37"/>
      <c r="P897" s="37"/>
      <c r="Q897" s="37"/>
      <c r="R897" s="37"/>
      <c r="S897" s="37"/>
      <c r="T897" s="37"/>
      <c r="U897" s="37"/>
      <c r="V897" s="37"/>
      <c r="W897" s="37"/>
      <c r="X897" s="36"/>
      <c r="Y897" s="36"/>
      <c r="Z897" s="36"/>
      <c r="AA897" s="36"/>
      <c r="AB897" s="36"/>
      <c r="AC897" s="36"/>
      <c r="AD897" s="36"/>
      <c r="AE897" s="36"/>
    </row>
    <row r="898" spans="1:31" ht="15.75" customHeight="1" x14ac:dyDescent="0.25">
      <c r="A898" s="37"/>
      <c r="B898" s="801"/>
      <c r="C898" s="37"/>
      <c r="D898" s="37"/>
      <c r="E898" s="37"/>
      <c r="F898" s="37"/>
      <c r="G898" s="37"/>
      <c r="H898" s="37"/>
      <c r="I898" s="37"/>
      <c r="J898" s="37"/>
      <c r="K898" s="37"/>
      <c r="L898" s="37"/>
      <c r="M898" s="37"/>
      <c r="N898" s="37"/>
      <c r="O898" s="37"/>
      <c r="P898" s="37"/>
      <c r="Q898" s="37"/>
      <c r="R898" s="37"/>
      <c r="S898" s="37"/>
      <c r="T898" s="37"/>
      <c r="U898" s="37"/>
      <c r="V898" s="37"/>
      <c r="W898" s="37"/>
      <c r="X898" s="36"/>
      <c r="Y898" s="36"/>
      <c r="Z898" s="36"/>
      <c r="AA898" s="36"/>
      <c r="AB898" s="36"/>
      <c r="AC898" s="36"/>
      <c r="AD898" s="36"/>
      <c r="AE898" s="36"/>
    </row>
    <row r="899" spans="1:31" ht="15.75" customHeight="1" x14ac:dyDescent="0.25">
      <c r="A899" s="37"/>
      <c r="B899" s="801"/>
      <c r="C899" s="37"/>
      <c r="D899" s="37"/>
      <c r="E899" s="37"/>
      <c r="F899" s="37"/>
      <c r="G899" s="37"/>
      <c r="H899" s="37"/>
      <c r="I899" s="37"/>
      <c r="J899" s="37"/>
      <c r="K899" s="37"/>
      <c r="L899" s="37"/>
      <c r="M899" s="37"/>
      <c r="N899" s="37"/>
      <c r="O899" s="37"/>
      <c r="P899" s="37"/>
      <c r="Q899" s="37"/>
      <c r="R899" s="37"/>
      <c r="S899" s="37"/>
      <c r="T899" s="37"/>
      <c r="U899" s="37"/>
      <c r="V899" s="37"/>
      <c r="W899" s="37"/>
      <c r="X899" s="36"/>
      <c r="Y899" s="36"/>
      <c r="Z899" s="36"/>
      <c r="AA899" s="36"/>
      <c r="AB899" s="36"/>
      <c r="AC899" s="36"/>
      <c r="AD899" s="36"/>
      <c r="AE899" s="36"/>
    </row>
    <row r="900" spans="1:31" ht="15.75" customHeight="1" x14ac:dyDescent="0.25">
      <c r="A900" s="37"/>
      <c r="B900" s="801"/>
      <c r="C900" s="37"/>
      <c r="D900" s="37"/>
      <c r="E900" s="37"/>
      <c r="F900" s="37"/>
      <c r="G900" s="37"/>
      <c r="H900" s="37"/>
      <c r="I900" s="37"/>
      <c r="J900" s="37"/>
      <c r="K900" s="37"/>
      <c r="L900" s="37"/>
      <c r="M900" s="37"/>
      <c r="N900" s="37"/>
      <c r="O900" s="37"/>
      <c r="P900" s="37"/>
      <c r="Q900" s="37"/>
      <c r="R900" s="37"/>
      <c r="S900" s="37"/>
      <c r="T900" s="37"/>
      <c r="U900" s="37"/>
      <c r="V900" s="37"/>
      <c r="W900" s="37"/>
      <c r="X900" s="36"/>
      <c r="Y900" s="36"/>
      <c r="Z900" s="36"/>
      <c r="AA900" s="36"/>
      <c r="AB900" s="36"/>
      <c r="AC900" s="36"/>
      <c r="AD900" s="36"/>
      <c r="AE900" s="36"/>
    </row>
    <row r="901" spans="1:31" ht="15.75" customHeight="1" x14ac:dyDescent="0.25">
      <c r="A901" s="37"/>
      <c r="B901" s="801"/>
      <c r="C901" s="37"/>
      <c r="D901" s="37"/>
      <c r="E901" s="37"/>
      <c r="F901" s="37"/>
      <c r="G901" s="37"/>
      <c r="H901" s="37"/>
      <c r="I901" s="37"/>
      <c r="J901" s="37"/>
      <c r="K901" s="37"/>
      <c r="L901" s="37"/>
      <c r="M901" s="37"/>
      <c r="N901" s="37"/>
      <c r="O901" s="37"/>
      <c r="P901" s="37"/>
      <c r="Q901" s="37"/>
      <c r="R901" s="37"/>
      <c r="S901" s="37"/>
      <c r="T901" s="37"/>
      <c r="U901" s="37"/>
      <c r="V901" s="37"/>
      <c r="W901" s="37"/>
      <c r="X901" s="36"/>
      <c r="Y901" s="36"/>
      <c r="Z901" s="36"/>
      <c r="AA901" s="36"/>
      <c r="AB901" s="36"/>
      <c r="AC901" s="36"/>
      <c r="AD901" s="36"/>
      <c r="AE901" s="36"/>
    </row>
    <row r="902" spans="1:31" ht="15.75" customHeight="1" x14ac:dyDescent="0.25">
      <c r="A902" s="37"/>
      <c r="B902" s="801"/>
      <c r="C902" s="37"/>
      <c r="D902" s="37"/>
      <c r="E902" s="37"/>
      <c r="F902" s="37"/>
      <c r="G902" s="37"/>
      <c r="H902" s="37"/>
      <c r="I902" s="37"/>
      <c r="J902" s="37"/>
      <c r="K902" s="37"/>
      <c r="L902" s="37"/>
      <c r="M902" s="37"/>
      <c r="N902" s="37"/>
      <c r="O902" s="37"/>
      <c r="P902" s="37"/>
      <c r="Q902" s="37"/>
      <c r="R902" s="37"/>
      <c r="S902" s="37"/>
      <c r="T902" s="37"/>
      <c r="U902" s="37"/>
      <c r="V902" s="37"/>
      <c r="W902" s="37"/>
      <c r="X902" s="36"/>
      <c r="Y902" s="36"/>
      <c r="Z902" s="36"/>
      <c r="AA902" s="36"/>
      <c r="AB902" s="36"/>
      <c r="AC902" s="36"/>
      <c r="AD902" s="36"/>
      <c r="AE902" s="36"/>
    </row>
    <row r="903" spans="1:31" ht="15.75" customHeight="1" x14ac:dyDescent="0.25">
      <c r="A903" s="37"/>
      <c r="B903" s="801"/>
      <c r="C903" s="37"/>
      <c r="D903" s="37"/>
      <c r="E903" s="37"/>
      <c r="F903" s="37"/>
      <c r="G903" s="37"/>
      <c r="H903" s="37"/>
      <c r="I903" s="37"/>
      <c r="J903" s="37"/>
      <c r="K903" s="37"/>
      <c r="L903" s="37"/>
      <c r="M903" s="37"/>
      <c r="N903" s="37"/>
      <c r="O903" s="37"/>
      <c r="P903" s="37"/>
      <c r="Q903" s="37"/>
      <c r="R903" s="37"/>
      <c r="S903" s="37"/>
      <c r="T903" s="37"/>
      <c r="U903" s="37"/>
      <c r="V903" s="37"/>
      <c r="W903" s="37"/>
      <c r="X903" s="36"/>
      <c r="Y903" s="36"/>
      <c r="Z903" s="36"/>
      <c r="AA903" s="36"/>
      <c r="AB903" s="36"/>
      <c r="AC903" s="36"/>
      <c r="AD903" s="36"/>
      <c r="AE903" s="36"/>
    </row>
    <row r="904" spans="1:31" ht="15.75" customHeight="1" x14ac:dyDescent="0.25">
      <c r="A904" s="37"/>
      <c r="B904" s="801"/>
      <c r="C904" s="37"/>
      <c r="D904" s="37"/>
      <c r="E904" s="37"/>
      <c r="F904" s="37"/>
      <c r="G904" s="37"/>
      <c r="H904" s="37"/>
      <c r="I904" s="37"/>
      <c r="J904" s="37"/>
      <c r="K904" s="37"/>
      <c r="L904" s="37"/>
      <c r="M904" s="37"/>
      <c r="N904" s="37"/>
      <c r="O904" s="37"/>
      <c r="P904" s="37"/>
      <c r="Q904" s="37"/>
      <c r="R904" s="37"/>
      <c r="S904" s="37"/>
      <c r="T904" s="37"/>
      <c r="U904" s="37"/>
      <c r="V904" s="37"/>
      <c r="W904" s="37"/>
      <c r="X904" s="36"/>
      <c r="Y904" s="36"/>
      <c r="Z904" s="36"/>
      <c r="AA904" s="36"/>
      <c r="AB904" s="36"/>
      <c r="AC904" s="36"/>
      <c r="AD904" s="36"/>
      <c r="AE904" s="36"/>
    </row>
    <row r="905" spans="1:31" ht="15.75" customHeight="1" x14ac:dyDescent="0.25">
      <c r="A905" s="37"/>
      <c r="B905" s="801"/>
      <c r="C905" s="37"/>
      <c r="D905" s="37"/>
      <c r="E905" s="37"/>
      <c r="F905" s="37"/>
      <c r="G905" s="37"/>
      <c r="H905" s="37"/>
      <c r="I905" s="37"/>
      <c r="J905" s="37"/>
      <c r="K905" s="37"/>
      <c r="L905" s="37"/>
      <c r="M905" s="37"/>
      <c r="N905" s="37"/>
      <c r="O905" s="37"/>
      <c r="P905" s="37"/>
      <c r="Q905" s="37"/>
      <c r="R905" s="37"/>
      <c r="S905" s="37"/>
      <c r="T905" s="37"/>
      <c r="U905" s="37"/>
      <c r="V905" s="37"/>
      <c r="W905" s="37"/>
      <c r="X905" s="36"/>
      <c r="Y905" s="36"/>
      <c r="Z905" s="36"/>
      <c r="AA905" s="36"/>
      <c r="AB905" s="36"/>
      <c r="AC905" s="36"/>
      <c r="AD905" s="36"/>
      <c r="AE905" s="36"/>
    </row>
    <row r="906" spans="1:31" ht="15.75" customHeight="1" x14ac:dyDescent="0.25">
      <c r="A906" s="37"/>
      <c r="B906" s="801"/>
      <c r="C906" s="37"/>
      <c r="D906" s="37"/>
      <c r="E906" s="37"/>
      <c r="F906" s="37"/>
      <c r="G906" s="37"/>
      <c r="H906" s="37"/>
      <c r="I906" s="37"/>
      <c r="J906" s="37"/>
      <c r="K906" s="37"/>
      <c r="L906" s="37"/>
      <c r="M906" s="37"/>
      <c r="N906" s="37"/>
      <c r="O906" s="37"/>
      <c r="P906" s="37"/>
      <c r="Q906" s="37"/>
      <c r="R906" s="37"/>
      <c r="S906" s="37"/>
      <c r="T906" s="37"/>
      <c r="U906" s="37"/>
      <c r="V906" s="37"/>
      <c r="W906" s="37"/>
      <c r="X906" s="36"/>
      <c r="Y906" s="36"/>
      <c r="Z906" s="36"/>
      <c r="AA906" s="36"/>
      <c r="AB906" s="36"/>
      <c r="AC906" s="36"/>
      <c r="AD906" s="36"/>
      <c r="AE906" s="36"/>
    </row>
    <row r="907" spans="1:31" ht="15.75" customHeight="1" x14ac:dyDescent="0.25">
      <c r="A907" s="37"/>
      <c r="B907" s="801"/>
      <c r="C907" s="37"/>
      <c r="D907" s="37"/>
      <c r="E907" s="37"/>
      <c r="F907" s="37"/>
      <c r="G907" s="37"/>
      <c r="H907" s="37"/>
      <c r="I907" s="37"/>
      <c r="J907" s="37"/>
      <c r="K907" s="37"/>
      <c r="L907" s="37"/>
      <c r="M907" s="37"/>
      <c r="N907" s="37"/>
      <c r="O907" s="37"/>
      <c r="P907" s="37"/>
      <c r="Q907" s="37"/>
      <c r="R907" s="37"/>
      <c r="S907" s="37"/>
      <c r="T907" s="37"/>
      <c r="U907" s="37"/>
      <c r="V907" s="37"/>
      <c r="W907" s="37"/>
      <c r="X907" s="36"/>
      <c r="Y907" s="36"/>
      <c r="Z907" s="36"/>
      <c r="AA907" s="36"/>
      <c r="AB907" s="36"/>
      <c r="AC907" s="36"/>
      <c r="AD907" s="36"/>
      <c r="AE907" s="36"/>
    </row>
    <row r="908" spans="1:31" ht="15.75" customHeight="1" x14ac:dyDescent="0.25">
      <c r="A908" s="37"/>
      <c r="B908" s="801"/>
      <c r="C908" s="37"/>
      <c r="D908" s="37"/>
      <c r="E908" s="37"/>
      <c r="F908" s="37"/>
      <c r="G908" s="37"/>
      <c r="H908" s="37"/>
      <c r="I908" s="37"/>
      <c r="J908" s="37"/>
      <c r="K908" s="37"/>
      <c r="L908" s="37"/>
      <c r="M908" s="37"/>
      <c r="N908" s="37"/>
      <c r="O908" s="37"/>
      <c r="P908" s="37"/>
      <c r="Q908" s="37"/>
      <c r="R908" s="37"/>
      <c r="S908" s="37"/>
      <c r="T908" s="37"/>
      <c r="U908" s="37"/>
      <c r="V908" s="37"/>
      <c r="W908" s="37"/>
      <c r="X908" s="36"/>
      <c r="Y908" s="36"/>
      <c r="Z908" s="36"/>
      <c r="AA908" s="36"/>
      <c r="AB908" s="36"/>
      <c r="AC908" s="36"/>
      <c r="AD908" s="36"/>
      <c r="AE908" s="36"/>
    </row>
    <row r="909" spans="1:31" ht="15.75" customHeight="1" x14ac:dyDescent="0.25">
      <c r="A909" s="37"/>
      <c r="B909" s="801"/>
      <c r="C909" s="37"/>
      <c r="D909" s="37"/>
      <c r="E909" s="37"/>
      <c r="F909" s="37"/>
      <c r="G909" s="37"/>
      <c r="H909" s="37"/>
      <c r="I909" s="37"/>
      <c r="J909" s="37"/>
      <c r="K909" s="37"/>
      <c r="L909" s="37"/>
      <c r="M909" s="37"/>
      <c r="N909" s="37"/>
      <c r="O909" s="37"/>
      <c r="P909" s="37"/>
      <c r="Q909" s="37"/>
      <c r="R909" s="37"/>
      <c r="S909" s="37"/>
      <c r="T909" s="37"/>
      <c r="U909" s="37"/>
      <c r="V909" s="37"/>
      <c r="W909" s="37"/>
      <c r="X909" s="36"/>
      <c r="Y909" s="36"/>
      <c r="Z909" s="36"/>
      <c r="AA909" s="36"/>
      <c r="AB909" s="36"/>
      <c r="AC909" s="36"/>
      <c r="AD909" s="36"/>
      <c r="AE909" s="36"/>
    </row>
    <row r="910" spans="1:31" ht="15.75" customHeight="1" x14ac:dyDescent="0.25">
      <c r="A910" s="37"/>
      <c r="B910" s="801"/>
      <c r="C910" s="37"/>
      <c r="D910" s="37"/>
      <c r="E910" s="37"/>
      <c r="F910" s="37"/>
      <c r="G910" s="37"/>
      <c r="H910" s="37"/>
      <c r="I910" s="37"/>
      <c r="J910" s="37"/>
      <c r="K910" s="37"/>
      <c r="L910" s="37"/>
      <c r="M910" s="37"/>
      <c r="N910" s="37"/>
      <c r="O910" s="37"/>
      <c r="P910" s="37"/>
      <c r="Q910" s="37"/>
      <c r="R910" s="37"/>
      <c r="S910" s="37"/>
      <c r="T910" s="37"/>
      <c r="U910" s="37"/>
      <c r="V910" s="37"/>
      <c r="W910" s="37"/>
      <c r="X910" s="36"/>
      <c r="Y910" s="36"/>
      <c r="Z910" s="36"/>
      <c r="AA910" s="36"/>
      <c r="AB910" s="36"/>
      <c r="AC910" s="36"/>
      <c r="AD910" s="36"/>
      <c r="AE910" s="36"/>
    </row>
    <row r="911" spans="1:31" ht="15.75" customHeight="1" x14ac:dyDescent="0.25">
      <c r="A911" s="37"/>
      <c r="B911" s="801"/>
      <c r="C911" s="37"/>
      <c r="D911" s="37"/>
      <c r="E911" s="37"/>
      <c r="F911" s="37"/>
      <c r="G911" s="37"/>
      <c r="H911" s="37"/>
      <c r="I911" s="37"/>
      <c r="J911" s="37"/>
      <c r="K911" s="37"/>
      <c r="L911" s="37"/>
      <c r="M911" s="37"/>
      <c r="N911" s="37"/>
      <c r="O911" s="37"/>
      <c r="P911" s="37"/>
      <c r="Q911" s="37"/>
      <c r="R911" s="37"/>
      <c r="S911" s="37"/>
      <c r="T911" s="37"/>
      <c r="U911" s="37"/>
      <c r="V911" s="37"/>
      <c r="W911" s="37"/>
      <c r="X911" s="36"/>
      <c r="Y911" s="36"/>
      <c r="Z911" s="36"/>
      <c r="AA911" s="36"/>
      <c r="AB911" s="36"/>
      <c r="AC911" s="36"/>
      <c r="AD911" s="36"/>
      <c r="AE911" s="36"/>
    </row>
    <row r="912" spans="1:31" ht="15.75" customHeight="1" x14ac:dyDescent="0.25">
      <c r="A912" s="37"/>
      <c r="B912" s="801"/>
      <c r="C912" s="37"/>
      <c r="D912" s="37"/>
      <c r="E912" s="37"/>
      <c r="F912" s="37"/>
      <c r="G912" s="37"/>
      <c r="H912" s="37"/>
      <c r="I912" s="37"/>
      <c r="J912" s="37"/>
      <c r="K912" s="37"/>
      <c r="L912" s="37"/>
      <c r="M912" s="37"/>
      <c r="N912" s="37"/>
      <c r="O912" s="37"/>
      <c r="P912" s="37"/>
      <c r="Q912" s="37"/>
      <c r="R912" s="37"/>
      <c r="S912" s="37"/>
      <c r="T912" s="37"/>
      <c r="U912" s="37"/>
      <c r="V912" s="37"/>
      <c r="W912" s="37"/>
      <c r="X912" s="36"/>
      <c r="Y912" s="36"/>
      <c r="Z912" s="36"/>
      <c r="AA912" s="36"/>
      <c r="AB912" s="36"/>
      <c r="AC912" s="36"/>
      <c r="AD912" s="36"/>
      <c r="AE912" s="36"/>
    </row>
    <row r="913" spans="1:31" ht="15.75" customHeight="1" x14ac:dyDescent="0.25">
      <c r="A913" s="37"/>
      <c r="B913" s="801"/>
      <c r="C913" s="37"/>
      <c r="D913" s="37"/>
      <c r="E913" s="37"/>
      <c r="F913" s="37"/>
      <c r="G913" s="37"/>
      <c r="H913" s="37"/>
      <c r="I913" s="37"/>
      <c r="J913" s="37"/>
      <c r="K913" s="37"/>
      <c r="L913" s="37"/>
      <c r="M913" s="37"/>
      <c r="N913" s="37"/>
      <c r="O913" s="37"/>
      <c r="P913" s="37"/>
      <c r="Q913" s="37"/>
      <c r="R913" s="37"/>
      <c r="S913" s="37"/>
      <c r="T913" s="37"/>
      <c r="U913" s="37"/>
      <c r="V913" s="37"/>
      <c r="W913" s="37"/>
      <c r="X913" s="36"/>
      <c r="Y913" s="36"/>
      <c r="Z913" s="36"/>
      <c r="AA913" s="36"/>
      <c r="AB913" s="36"/>
      <c r="AC913" s="36"/>
      <c r="AD913" s="36"/>
      <c r="AE913" s="36"/>
    </row>
    <row r="914" spans="1:31" ht="15.75" customHeight="1" x14ac:dyDescent="0.25">
      <c r="A914" s="37"/>
      <c r="B914" s="801"/>
      <c r="C914" s="37"/>
      <c r="D914" s="37"/>
      <c r="E914" s="37"/>
      <c r="F914" s="37"/>
      <c r="G914" s="37"/>
      <c r="H914" s="37"/>
      <c r="I914" s="37"/>
      <c r="J914" s="37"/>
      <c r="K914" s="37"/>
      <c r="L914" s="37"/>
      <c r="M914" s="37"/>
      <c r="N914" s="37"/>
      <c r="O914" s="37"/>
      <c r="P914" s="37"/>
      <c r="Q914" s="37"/>
      <c r="R914" s="37"/>
      <c r="S914" s="37"/>
      <c r="T914" s="37"/>
      <c r="U914" s="37"/>
      <c r="V914" s="37"/>
      <c r="W914" s="37"/>
      <c r="X914" s="36"/>
      <c r="Y914" s="36"/>
      <c r="Z914" s="36"/>
      <c r="AA914" s="36"/>
      <c r="AB914" s="36"/>
      <c r="AC914" s="36"/>
      <c r="AD914" s="36"/>
      <c r="AE914" s="36"/>
    </row>
    <row r="915" spans="1:31" ht="15.75" customHeight="1" x14ac:dyDescent="0.25">
      <c r="A915" s="37"/>
      <c r="B915" s="801"/>
      <c r="C915" s="37"/>
      <c r="D915" s="37"/>
      <c r="E915" s="37"/>
      <c r="F915" s="37"/>
      <c r="G915" s="37"/>
      <c r="H915" s="37"/>
      <c r="I915" s="37"/>
      <c r="J915" s="37"/>
      <c r="K915" s="37"/>
      <c r="L915" s="37"/>
      <c r="M915" s="37"/>
      <c r="N915" s="37"/>
      <c r="O915" s="37"/>
      <c r="P915" s="37"/>
      <c r="Q915" s="37"/>
      <c r="R915" s="37"/>
      <c r="S915" s="37"/>
      <c r="T915" s="37"/>
      <c r="U915" s="37"/>
      <c r="V915" s="37"/>
      <c r="W915" s="37"/>
      <c r="X915" s="36"/>
      <c r="Y915" s="36"/>
      <c r="Z915" s="36"/>
      <c r="AA915" s="36"/>
      <c r="AB915" s="36"/>
      <c r="AC915" s="36"/>
      <c r="AD915" s="36"/>
      <c r="AE915" s="36"/>
    </row>
    <row r="916" spans="1:31" ht="15.75" customHeight="1" x14ac:dyDescent="0.25">
      <c r="A916" s="37"/>
      <c r="B916" s="801"/>
      <c r="C916" s="37"/>
      <c r="D916" s="37"/>
      <c r="E916" s="37"/>
      <c r="F916" s="37"/>
      <c r="G916" s="37"/>
      <c r="H916" s="37"/>
      <c r="I916" s="37"/>
      <c r="J916" s="37"/>
      <c r="K916" s="37"/>
      <c r="L916" s="37"/>
      <c r="M916" s="37"/>
      <c r="N916" s="37"/>
      <c r="O916" s="37"/>
      <c r="P916" s="37"/>
      <c r="Q916" s="37"/>
      <c r="R916" s="37"/>
      <c r="S916" s="37"/>
      <c r="T916" s="37"/>
      <c r="U916" s="37"/>
      <c r="V916" s="37"/>
      <c r="W916" s="37"/>
      <c r="X916" s="36"/>
      <c r="Y916" s="36"/>
      <c r="Z916" s="36"/>
      <c r="AA916" s="36"/>
      <c r="AB916" s="36"/>
      <c r="AC916" s="36"/>
      <c r="AD916" s="36"/>
      <c r="AE916" s="36"/>
    </row>
    <row r="917" spans="1:31" ht="15.75" customHeight="1" x14ac:dyDescent="0.25">
      <c r="A917" s="37"/>
      <c r="B917" s="801"/>
      <c r="C917" s="37"/>
      <c r="D917" s="37"/>
      <c r="E917" s="37"/>
      <c r="F917" s="37"/>
      <c r="G917" s="37"/>
      <c r="H917" s="37"/>
      <c r="I917" s="37"/>
      <c r="J917" s="37"/>
      <c r="K917" s="37"/>
      <c r="L917" s="37"/>
      <c r="M917" s="37"/>
      <c r="N917" s="37"/>
      <c r="O917" s="37"/>
      <c r="P917" s="37"/>
      <c r="Q917" s="37"/>
      <c r="R917" s="37"/>
      <c r="S917" s="37"/>
      <c r="T917" s="37"/>
      <c r="U917" s="37"/>
      <c r="V917" s="37"/>
      <c r="W917" s="37"/>
      <c r="X917" s="36"/>
      <c r="Y917" s="36"/>
      <c r="Z917" s="36"/>
      <c r="AA917" s="36"/>
      <c r="AB917" s="36"/>
      <c r="AC917" s="36"/>
      <c r="AD917" s="36"/>
      <c r="AE917" s="36"/>
    </row>
    <row r="918" spans="1:31" ht="15.75" customHeight="1" x14ac:dyDescent="0.25">
      <c r="A918" s="37"/>
      <c r="B918" s="801"/>
      <c r="C918" s="37"/>
      <c r="D918" s="37"/>
      <c r="E918" s="37"/>
      <c r="F918" s="37"/>
      <c r="G918" s="37"/>
      <c r="H918" s="37"/>
      <c r="I918" s="37"/>
      <c r="J918" s="37"/>
      <c r="K918" s="37"/>
      <c r="L918" s="37"/>
      <c r="M918" s="37"/>
      <c r="N918" s="37"/>
      <c r="O918" s="37"/>
      <c r="P918" s="37"/>
      <c r="Q918" s="37"/>
      <c r="R918" s="37"/>
      <c r="S918" s="37"/>
      <c r="T918" s="37"/>
      <c r="U918" s="37"/>
      <c r="V918" s="37"/>
      <c r="W918" s="37"/>
      <c r="X918" s="36"/>
      <c r="Y918" s="36"/>
      <c r="Z918" s="36"/>
      <c r="AA918" s="36"/>
      <c r="AB918" s="36"/>
      <c r="AC918" s="36"/>
      <c r="AD918" s="36"/>
      <c r="AE918" s="36"/>
    </row>
    <row r="919" spans="1:31" ht="15.75" customHeight="1" x14ac:dyDescent="0.25">
      <c r="A919" s="37"/>
      <c r="B919" s="801"/>
      <c r="C919" s="37"/>
      <c r="D919" s="37"/>
      <c r="E919" s="37"/>
      <c r="F919" s="37"/>
      <c r="G919" s="37"/>
      <c r="H919" s="37"/>
      <c r="I919" s="37"/>
      <c r="J919" s="37"/>
      <c r="K919" s="37"/>
      <c r="L919" s="37"/>
      <c r="M919" s="37"/>
      <c r="N919" s="37"/>
      <c r="O919" s="37"/>
      <c r="P919" s="37"/>
      <c r="Q919" s="37"/>
      <c r="R919" s="37"/>
      <c r="S919" s="37"/>
      <c r="T919" s="37"/>
      <c r="U919" s="37"/>
      <c r="V919" s="37"/>
      <c r="W919" s="37"/>
      <c r="X919" s="36"/>
      <c r="Y919" s="36"/>
      <c r="Z919" s="36"/>
      <c r="AA919" s="36"/>
      <c r="AB919" s="36"/>
      <c r="AC919" s="36"/>
      <c r="AD919" s="36"/>
      <c r="AE919" s="36"/>
    </row>
    <row r="920" spans="1:31" ht="15.75" customHeight="1" x14ac:dyDescent="0.25">
      <c r="A920" s="37"/>
      <c r="B920" s="801"/>
      <c r="C920" s="37"/>
      <c r="D920" s="37"/>
      <c r="E920" s="37"/>
      <c r="F920" s="37"/>
      <c r="G920" s="37"/>
      <c r="H920" s="37"/>
      <c r="I920" s="37"/>
      <c r="J920" s="37"/>
      <c r="K920" s="37"/>
      <c r="L920" s="37"/>
      <c r="M920" s="37"/>
      <c r="N920" s="37"/>
      <c r="O920" s="37"/>
      <c r="P920" s="37"/>
      <c r="Q920" s="37"/>
      <c r="R920" s="37"/>
      <c r="S920" s="37"/>
      <c r="T920" s="37"/>
      <c r="U920" s="37"/>
      <c r="V920" s="37"/>
      <c r="W920" s="37"/>
      <c r="X920" s="36"/>
      <c r="Y920" s="36"/>
      <c r="Z920" s="36"/>
      <c r="AA920" s="36"/>
      <c r="AB920" s="36"/>
      <c r="AC920" s="36"/>
      <c r="AD920" s="36"/>
      <c r="AE920" s="36"/>
    </row>
    <row r="921" spans="1:31" ht="15.75" customHeight="1" x14ac:dyDescent="0.25">
      <c r="A921" s="37"/>
      <c r="B921" s="801"/>
      <c r="C921" s="37"/>
      <c r="D921" s="37"/>
      <c r="E921" s="37"/>
      <c r="F921" s="37"/>
      <c r="G921" s="37"/>
      <c r="H921" s="37"/>
      <c r="I921" s="37"/>
      <c r="J921" s="37"/>
      <c r="K921" s="37"/>
      <c r="L921" s="37"/>
      <c r="M921" s="37"/>
      <c r="N921" s="37"/>
      <c r="O921" s="37"/>
      <c r="P921" s="37"/>
      <c r="Q921" s="37"/>
      <c r="R921" s="37"/>
      <c r="S921" s="37"/>
      <c r="T921" s="37"/>
      <c r="U921" s="37"/>
      <c r="V921" s="37"/>
      <c r="W921" s="37"/>
      <c r="X921" s="36"/>
      <c r="Y921" s="36"/>
      <c r="Z921" s="36"/>
      <c r="AA921" s="36"/>
      <c r="AB921" s="36"/>
      <c r="AC921" s="36"/>
      <c r="AD921" s="36"/>
      <c r="AE921" s="36"/>
    </row>
    <row r="922" spans="1:31" ht="15.75" customHeight="1" x14ac:dyDescent="0.25">
      <c r="A922" s="37"/>
      <c r="B922" s="801"/>
      <c r="C922" s="37"/>
      <c r="D922" s="37"/>
      <c r="E922" s="37"/>
      <c r="F922" s="37"/>
      <c r="G922" s="37"/>
      <c r="H922" s="37"/>
      <c r="I922" s="37"/>
      <c r="J922" s="37"/>
      <c r="K922" s="37"/>
      <c r="L922" s="37"/>
      <c r="M922" s="37"/>
      <c r="N922" s="37"/>
      <c r="O922" s="37"/>
      <c r="P922" s="37"/>
      <c r="Q922" s="37"/>
      <c r="R922" s="37"/>
      <c r="S922" s="37"/>
      <c r="T922" s="37"/>
      <c r="U922" s="37"/>
      <c r="V922" s="37"/>
      <c r="W922" s="37"/>
      <c r="X922" s="36"/>
      <c r="Y922" s="36"/>
      <c r="Z922" s="36"/>
      <c r="AA922" s="36"/>
      <c r="AB922" s="36"/>
      <c r="AC922" s="36"/>
      <c r="AD922" s="36"/>
      <c r="AE922" s="36"/>
    </row>
    <row r="923" spans="1:31" ht="15.75" customHeight="1" x14ac:dyDescent="0.25">
      <c r="A923" s="37"/>
      <c r="B923" s="801"/>
      <c r="C923" s="37"/>
      <c r="D923" s="37"/>
      <c r="E923" s="37"/>
      <c r="F923" s="37"/>
      <c r="G923" s="37"/>
      <c r="H923" s="37"/>
      <c r="I923" s="37"/>
      <c r="J923" s="37"/>
      <c r="K923" s="37"/>
      <c r="L923" s="37"/>
      <c r="M923" s="37"/>
      <c r="N923" s="37"/>
      <c r="O923" s="37"/>
      <c r="P923" s="37"/>
      <c r="Q923" s="37"/>
      <c r="R923" s="37"/>
      <c r="S923" s="37"/>
      <c r="T923" s="37"/>
      <c r="U923" s="37"/>
      <c r="V923" s="37"/>
      <c r="W923" s="37"/>
      <c r="X923" s="36"/>
      <c r="Y923" s="36"/>
      <c r="Z923" s="36"/>
      <c r="AA923" s="36"/>
      <c r="AB923" s="36"/>
      <c r="AC923" s="36"/>
      <c r="AD923" s="36"/>
      <c r="AE923" s="36"/>
    </row>
    <row r="924" spans="1:31" ht="15.75" customHeight="1" x14ac:dyDescent="0.25">
      <c r="A924" s="37"/>
      <c r="B924" s="801"/>
      <c r="C924" s="37"/>
      <c r="D924" s="37"/>
      <c r="E924" s="37"/>
      <c r="F924" s="37"/>
      <c r="G924" s="37"/>
      <c r="H924" s="37"/>
      <c r="I924" s="37"/>
      <c r="J924" s="37"/>
      <c r="K924" s="37"/>
      <c r="L924" s="37"/>
      <c r="M924" s="37"/>
      <c r="N924" s="37"/>
      <c r="O924" s="37"/>
      <c r="P924" s="37"/>
      <c r="Q924" s="37"/>
      <c r="R924" s="37"/>
      <c r="S924" s="37"/>
      <c r="T924" s="37"/>
      <c r="U924" s="37"/>
      <c r="V924" s="37"/>
      <c r="W924" s="37"/>
      <c r="X924" s="36"/>
      <c r="Y924" s="36"/>
      <c r="Z924" s="36"/>
      <c r="AA924" s="36"/>
      <c r="AB924" s="36"/>
      <c r="AC924" s="36"/>
      <c r="AD924" s="36"/>
      <c r="AE924" s="36"/>
    </row>
    <row r="925" spans="1:31" ht="15.75" customHeight="1" x14ac:dyDescent="0.25">
      <c r="A925" s="37"/>
      <c r="B925" s="801"/>
      <c r="C925" s="37"/>
      <c r="D925" s="37"/>
      <c r="E925" s="37"/>
      <c r="F925" s="37"/>
      <c r="G925" s="37"/>
      <c r="H925" s="37"/>
      <c r="I925" s="37"/>
      <c r="J925" s="37"/>
      <c r="K925" s="37"/>
      <c r="L925" s="37"/>
      <c r="M925" s="37"/>
      <c r="N925" s="37"/>
      <c r="O925" s="37"/>
      <c r="P925" s="37"/>
      <c r="Q925" s="37"/>
      <c r="R925" s="37"/>
      <c r="S925" s="37"/>
      <c r="T925" s="37"/>
      <c r="U925" s="37"/>
      <c r="V925" s="37"/>
      <c r="W925" s="37"/>
      <c r="X925" s="36"/>
      <c r="Y925" s="36"/>
      <c r="Z925" s="36"/>
      <c r="AA925" s="36"/>
      <c r="AB925" s="36"/>
      <c r="AC925" s="36"/>
      <c r="AD925" s="36"/>
      <c r="AE925" s="36"/>
    </row>
    <row r="926" spans="1:31" ht="15.75" customHeight="1" x14ac:dyDescent="0.25">
      <c r="A926" s="37"/>
      <c r="B926" s="801"/>
      <c r="C926" s="37"/>
      <c r="D926" s="37"/>
      <c r="E926" s="37"/>
      <c r="F926" s="37"/>
      <c r="G926" s="37"/>
      <c r="H926" s="37"/>
      <c r="I926" s="37"/>
      <c r="J926" s="37"/>
      <c r="K926" s="37"/>
      <c r="L926" s="37"/>
      <c r="M926" s="37"/>
      <c r="N926" s="37"/>
      <c r="O926" s="37"/>
      <c r="P926" s="37"/>
      <c r="Q926" s="37"/>
      <c r="R926" s="37"/>
      <c r="S926" s="37"/>
      <c r="T926" s="37"/>
      <c r="U926" s="37"/>
      <c r="V926" s="37"/>
      <c r="W926" s="37"/>
      <c r="X926" s="36"/>
      <c r="Y926" s="36"/>
      <c r="Z926" s="36"/>
      <c r="AA926" s="36"/>
      <c r="AB926" s="36"/>
      <c r="AC926" s="36"/>
      <c r="AD926" s="36"/>
      <c r="AE926" s="36"/>
    </row>
    <row r="927" spans="1:31" ht="15.75" customHeight="1" x14ac:dyDescent="0.25">
      <c r="A927" s="37"/>
      <c r="B927" s="801"/>
      <c r="C927" s="37"/>
      <c r="D927" s="37"/>
      <c r="E927" s="37"/>
      <c r="F927" s="37"/>
      <c r="G927" s="37"/>
      <c r="H927" s="37"/>
      <c r="I927" s="37"/>
      <c r="J927" s="37"/>
      <c r="K927" s="37"/>
      <c r="L927" s="37"/>
      <c r="M927" s="37"/>
      <c r="N927" s="37"/>
      <c r="O927" s="37"/>
      <c r="P927" s="37"/>
      <c r="Q927" s="37"/>
      <c r="R927" s="37"/>
      <c r="S927" s="37"/>
      <c r="T927" s="37"/>
      <c r="U927" s="37"/>
      <c r="V927" s="37"/>
      <c r="W927" s="37"/>
      <c r="X927" s="36"/>
      <c r="Y927" s="36"/>
      <c r="Z927" s="36"/>
      <c r="AA927" s="36"/>
      <c r="AB927" s="36"/>
      <c r="AC927" s="36"/>
      <c r="AD927" s="36"/>
      <c r="AE927" s="36"/>
    </row>
    <row r="928" spans="1:31" ht="15.75" customHeight="1" x14ac:dyDescent="0.25">
      <c r="A928" s="37"/>
      <c r="B928" s="801"/>
      <c r="C928" s="37"/>
      <c r="D928" s="37"/>
      <c r="E928" s="37"/>
      <c r="F928" s="37"/>
      <c r="G928" s="37"/>
      <c r="H928" s="37"/>
      <c r="I928" s="37"/>
      <c r="J928" s="37"/>
      <c r="K928" s="37"/>
      <c r="L928" s="37"/>
      <c r="M928" s="37"/>
      <c r="N928" s="37"/>
      <c r="O928" s="37"/>
      <c r="P928" s="37"/>
      <c r="Q928" s="37"/>
      <c r="R928" s="37"/>
      <c r="S928" s="37"/>
      <c r="T928" s="37"/>
      <c r="U928" s="37"/>
      <c r="V928" s="37"/>
      <c r="W928" s="37"/>
      <c r="X928" s="36"/>
      <c r="Y928" s="36"/>
      <c r="Z928" s="36"/>
      <c r="AA928" s="36"/>
      <c r="AB928" s="36"/>
      <c r="AC928" s="36"/>
      <c r="AD928" s="36"/>
      <c r="AE928" s="36"/>
    </row>
    <row r="929" spans="1:31" ht="15.75" customHeight="1" x14ac:dyDescent="0.25">
      <c r="A929" s="37"/>
      <c r="B929" s="801"/>
      <c r="C929" s="37"/>
      <c r="D929" s="37"/>
      <c r="E929" s="37"/>
      <c r="F929" s="37"/>
      <c r="G929" s="37"/>
      <c r="H929" s="37"/>
      <c r="I929" s="37"/>
      <c r="J929" s="37"/>
      <c r="K929" s="37"/>
      <c r="L929" s="37"/>
      <c r="M929" s="37"/>
      <c r="N929" s="37"/>
      <c r="O929" s="37"/>
      <c r="P929" s="37"/>
      <c r="Q929" s="37"/>
      <c r="R929" s="37"/>
      <c r="S929" s="37"/>
      <c r="T929" s="37"/>
      <c r="U929" s="37"/>
      <c r="V929" s="37"/>
      <c r="W929" s="37"/>
      <c r="X929" s="36"/>
      <c r="Y929" s="36"/>
      <c r="Z929" s="36"/>
      <c r="AA929" s="36"/>
      <c r="AB929" s="36"/>
      <c r="AC929" s="36"/>
      <c r="AD929" s="36"/>
      <c r="AE929" s="36"/>
    </row>
    <row r="930" spans="1:31" ht="15.75" customHeight="1" x14ac:dyDescent="0.25">
      <c r="A930" s="37"/>
      <c r="B930" s="801"/>
      <c r="C930" s="37"/>
      <c r="D930" s="37"/>
      <c r="E930" s="37"/>
      <c r="F930" s="37"/>
      <c r="G930" s="37"/>
      <c r="H930" s="37"/>
      <c r="I930" s="37"/>
      <c r="J930" s="37"/>
      <c r="K930" s="37"/>
      <c r="L930" s="37"/>
      <c r="M930" s="37"/>
      <c r="N930" s="37"/>
      <c r="O930" s="37"/>
      <c r="P930" s="37"/>
      <c r="Q930" s="37"/>
      <c r="R930" s="37"/>
      <c r="S930" s="37"/>
      <c r="T930" s="37"/>
      <c r="U930" s="37"/>
      <c r="V930" s="37"/>
      <c r="W930" s="37"/>
      <c r="X930" s="36"/>
      <c r="Y930" s="36"/>
      <c r="Z930" s="36"/>
      <c r="AA930" s="36"/>
      <c r="AB930" s="36"/>
      <c r="AC930" s="36"/>
      <c r="AD930" s="36"/>
      <c r="AE930" s="36"/>
    </row>
    <row r="931" spans="1:31" ht="15.75" customHeight="1" x14ac:dyDescent="0.25">
      <c r="A931" s="37"/>
      <c r="B931" s="801"/>
      <c r="C931" s="37"/>
      <c r="D931" s="37"/>
      <c r="E931" s="37"/>
      <c r="F931" s="37"/>
      <c r="G931" s="37"/>
      <c r="H931" s="37"/>
      <c r="I931" s="37"/>
      <c r="J931" s="37"/>
      <c r="K931" s="37"/>
      <c r="L931" s="37"/>
      <c r="M931" s="37"/>
      <c r="N931" s="37"/>
      <c r="O931" s="37"/>
      <c r="P931" s="37"/>
      <c r="Q931" s="37"/>
      <c r="R931" s="37"/>
      <c r="S931" s="37"/>
      <c r="T931" s="37"/>
      <c r="U931" s="37"/>
      <c r="V931" s="37"/>
      <c r="W931" s="37"/>
      <c r="X931" s="36"/>
      <c r="Y931" s="36"/>
      <c r="Z931" s="36"/>
      <c r="AA931" s="36"/>
      <c r="AB931" s="36"/>
      <c r="AC931" s="36"/>
      <c r="AD931" s="36"/>
      <c r="AE931" s="36"/>
    </row>
    <row r="932" spans="1:31" ht="15.75" customHeight="1" x14ac:dyDescent="0.25">
      <c r="A932" s="37"/>
      <c r="B932" s="801"/>
      <c r="C932" s="37"/>
      <c r="D932" s="37"/>
      <c r="E932" s="37"/>
      <c r="F932" s="37"/>
      <c r="G932" s="37"/>
      <c r="H932" s="37"/>
      <c r="I932" s="37"/>
      <c r="J932" s="37"/>
      <c r="K932" s="37"/>
      <c r="L932" s="37"/>
      <c r="M932" s="37"/>
      <c r="N932" s="37"/>
      <c r="O932" s="37"/>
      <c r="P932" s="37"/>
      <c r="Q932" s="37"/>
      <c r="R932" s="37"/>
      <c r="S932" s="37"/>
      <c r="T932" s="37"/>
      <c r="U932" s="37"/>
      <c r="V932" s="37"/>
      <c r="W932" s="37"/>
      <c r="X932" s="36"/>
      <c r="Y932" s="36"/>
      <c r="Z932" s="36"/>
      <c r="AA932" s="36"/>
      <c r="AB932" s="36"/>
      <c r="AC932" s="36"/>
      <c r="AD932" s="36"/>
      <c r="AE932" s="36"/>
    </row>
    <row r="933" spans="1:31" ht="15.75" customHeight="1" x14ac:dyDescent="0.25">
      <c r="A933" s="37"/>
      <c r="B933" s="801"/>
      <c r="C933" s="37"/>
      <c r="D933" s="37"/>
      <c r="E933" s="37"/>
      <c r="F933" s="37"/>
      <c r="G933" s="37"/>
      <c r="H933" s="37"/>
      <c r="I933" s="37"/>
      <c r="J933" s="37"/>
      <c r="K933" s="37"/>
      <c r="L933" s="37"/>
      <c r="M933" s="37"/>
      <c r="N933" s="37"/>
      <c r="O933" s="37"/>
      <c r="P933" s="37"/>
      <c r="Q933" s="37"/>
      <c r="R933" s="37"/>
      <c r="S933" s="37"/>
      <c r="T933" s="37"/>
      <c r="U933" s="37"/>
      <c r="V933" s="37"/>
      <c r="W933" s="37"/>
      <c r="X933" s="36"/>
      <c r="Y933" s="36"/>
      <c r="Z933" s="36"/>
      <c r="AA933" s="36"/>
      <c r="AB933" s="36"/>
      <c r="AC933" s="36"/>
      <c r="AD933" s="36"/>
      <c r="AE933" s="36"/>
    </row>
    <row r="934" spans="1:31" ht="15.75" customHeight="1" x14ac:dyDescent="0.25">
      <c r="A934" s="37"/>
      <c r="B934" s="801"/>
      <c r="C934" s="37"/>
      <c r="D934" s="37"/>
      <c r="E934" s="37"/>
      <c r="F934" s="37"/>
      <c r="G934" s="37"/>
      <c r="H934" s="37"/>
      <c r="I934" s="37"/>
      <c r="J934" s="37"/>
      <c r="K934" s="37"/>
      <c r="L934" s="37"/>
      <c r="M934" s="37"/>
      <c r="N934" s="37"/>
      <c r="O934" s="37"/>
      <c r="P934" s="37"/>
      <c r="Q934" s="37"/>
      <c r="R934" s="37"/>
      <c r="S934" s="37"/>
      <c r="T934" s="37"/>
      <c r="U934" s="37"/>
      <c r="V934" s="37"/>
      <c r="W934" s="37"/>
      <c r="X934" s="36"/>
      <c r="Y934" s="36"/>
      <c r="Z934" s="36"/>
      <c r="AA934" s="36"/>
      <c r="AB934" s="36"/>
      <c r="AC934" s="36"/>
      <c r="AD934" s="36"/>
      <c r="AE934" s="36"/>
    </row>
    <row r="935" spans="1:31" ht="15.75" customHeight="1" x14ac:dyDescent="0.25">
      <c r="A935" s="37"/>
      <c r="B935" s="801"/>
      <c r="C935" s="37"/>
      <c r="D935" s="37"/>
      <c r="E935" s="37"/>
      <c r="F935" s="37"/>
      <c r="G935" s="37"/>
      <c r="H935" s="37"/>
      <c r="I935" s="37"/>
      <c r="J935" s="37"/>
      <c r="K935" s="37"/>
      <c r="L935" s="37"/>
      <c r="M935" s="37"/>
      <c r="N935" s="37"/>
      <c r="O935" s="37"/>
      <c r="P935" s="37"/>
      <c r="Q935" s="37"/>
      <c r="R935" s="37"/>
      <c r="S935" s="37"/>
      <c r="T935" s="37"/>
      <c r="U935" s="37"/>
      <c r="V935" s="37"/>
      <c r="W935" s="37"/>
      <c r="X935" s="36"/>
      <c r="Y935" s="36"/>
      <c r="Z935" s="36"/>
      <c r="AA935" s="36"/>
      <c r="AB935" s="36"/>
      <c r="AC935" s="36"/>
      <c r="AD935" s="36"/>
      <c r="AE935" s="36"/>
    </row>
    <row r="936" spans="1:31" ht="15.75" customHeight="1" x14ac:dyDescent="0.25">
      <c r="A936" s="37"/>
      <c r="B936" s="801"/>
      <c r="C936" s="37"/>
      <c r="D936" s="37"/>
      <c r="E936" s="37"/>
      <c r="F936" s="37"/>
      <c r="G936" s="37"/>
      <c r="H936" s="37"/>
      <c r="I936" s="37"/>
      <c r="J936" s="37"/>
      <c r="K936" s="37"/>
      <c r="L936" s="37"/>
      <c r="M936" s="37"/>
      <c r="N936" s="37"/>
      <c r="O936" s="37"/>
      <c r="P936" s="37"/>
      <c r="Q936" s="37"/>
      <c r="R936" s="37"/>
      <c r="S936" s="37"/>
      <c r="T936" s="37"/>
      <c r="U936" s="37"/>
      <c r="V936" s="37"/>
      <c r="W936" s="37"/>
      <c r="X936" s="36"/>
      <c r="Y936" s="36"/>
      <c r="Z936" s="36"/>
      <c r="AA936" s="36"/>
      <c r="AB936" s="36"/>
      <c r="AC936" s="36"/>
      <c r="AD936" s="36"/>
      <c r="AE936" s="36"/>
    </row>
    <row r="937" spans="1:31" ht="15.75" customHeight="1" x14ac:dyDescent="0.25">
      <c r="A937" s="37"/>
      <c r="B937" s="801"/>
      <c r="C937" s="37"/>
      <c r="D937" s="37"/>
      <c r="E937" s="37"/>
      <c r="F937" s="37"/>
      <c r="G937" s="37"/>
      <c r="H937" s="37"/>
      <c r="I937" s="37"/>
      <c r="J937" s="37"/>
      <c r="K937" s="37"/>
      <c r="L937" s="37"/>
      <c r="M937" s="37"/>
      <c r="N937" s="37"/>
      <c r="O937" s="37"/>
      <c r="P937" s="37"/>
      <c r="Q937" s="37"/>
      <c r="R937" s="37"/>
      <c r="S937" s="37"/>
      <c r="T937" s="37"/>
      <c r="U937" s="37"/>
      <c r="V937" s="37"/>
      <c r="W937" s="37"/>
      <c r="X937" s="36"/>
      <c r="Y937" s="36"/>
      <c r="Z937" s="36"/>
      <c r="AA937" s="36"/>
      <c r="AB937" s="36"/>
      <c r="AC937" s="36"/>
      <c r="AD937" s="36"/>
      <c r="AE937" s="36"/>
    </row>
    <row r="938" spans="1:31" ht="15.75" customHeight="1" x14ac:dyDescent="0.25">
      <c r="A938" s="37"/>
      <c r="B938" s="801"/>
      <c r="C938" s="37"/>
      <c r="D938" s="37"/>
      <c r="E938" s="37"/>
      <c r="F938" s="37"/>
      <c r="G938" s="37"/>
      <c r="H938" s="37"/>
      <c r="I938" s="37"/>
      <c r="J938" s="37"/>
      <c r="K938" s="37"/>
      <c r="L938" s="37"/>
      <c r="M938" s="37"/>
      <c r="N938" s="37"/>
      <c r="O938" s="37"/>
      <c r="P938" s="37"/>
      <c r="Q938" s="37"/>
      <c r="R938" s="37"/>
      <c r="S938" s="37"/>
      <c r="T938" s="37"/>
      <c r="U938" s="37"/>
      <c r="V938" s="37"/>
      <c r="W938" s="37"/>
      <c r="X938" s="36"/>
      <c r="Y938" s="36"/>
      <c r="Z938" s="36"/>
      <c r="AA938" s="36"/>
      <c r="AB938" s="36"/>
      <c r="AC938" s="36"/>
      <c r="AD938" s="36"/>
      <c r="AE938" s="36"/>
    </row>
    <row r="939" spans="1:31" ht="15.75" customHeight="1" x14ac:dyDescent="0.25">
      <c r="A939" s="37"/>
      <c r="B939" s="801"/>
      <c r="C939" s="37"/>
      <c r="D939" s="37"/>
      <c r="E939" s="37"/>
      <c r="F939" s="37"/>
      <c r="G939" s="37"/>
      <c r="H939" s="37"/>
      <c r="I939" s="37"/>
      <c r="J939" s="37"/>
      <c r="K939" s="37"/>
      <c r="L939" s="37"/>
      <c r="M939" s="37"/>
      <c r="N939" s="37"/>
      <c r="O939" s="37"/>
      <c r="P939" s="37"/>
      <c r="Q939" s="37"/>
      <c r="R939" s="37"/>
      <c r="S939" s="37"/>
      <c r="T939" s="37"/>
      <c r="U939" s="37"/>
      <c r="V939" s="37"/>
      <c r="W939" s="37"/>
      <c r="X939" s="36"/>
      <c r="Y939" s="36"/>
      <c r="Z939" s="36"/>
      <c r="AA939" s="36"/>
      <c r="AB939" s="36"/>
      <c r="AC939" s="36"/>
      <c r="AD939" s="36"/>
      <c r="AE939" s="36"/>
    </row>
    <row r="940" spans="1:31" ht="15.75" customHeight="1" x14ac:dyDescent="0.25">
      <c r="A940" s="37"/>
      <c r="B940" s="801"/>
      <c r="C940" s="37"/>
      <c r="D940" s="37"/>
      <c r="E940" s="37"/>
      <c r="F940" s="37"/>
      <c r="G940" s="37"/>
      <c r="H940" s="37"/>
      <c r="I940" s="37"/>
      <c r="J940" s="37"/>
      <c r="K940" s="37"/>
      <c r="L940" s="37"/>
      <c r="M940" s="37"/>
      <c r="N940" s="37"/>
      <c r="O940" s="37"/>
      <c r="P940" s="37"/>
      <c r="Q940" s="37"/>
      <c r="R940" s="37"/>
      <c r="S940" s="37"/>
      <c r="T940" s="37"/>
      <c r="U940" s="37"/>
      <c r="V940" s="37"/>
      <c r="W940" s="37"/>
      <c r="X940" s="36"/>
      <c r="Y940" s="36"/>
      <c r="Z940" s="36"/>
      <c r="AA940" s="36"/>
      <c r="AB940" s="36"/>
      <c r="AC940" s="36"/>
      <c r="AD940" s="36"/>
      <c r="AE940" s="36"/>
    </row>
    <row r="941" spans="1:31" ht="15.75" customHeight="1" x14ac:dyDescent="0.25">
      <c r="A941" s="37"/>
      <c r="B941" s="801"/>
      <c r="C941" s="37"/>
      <c r="D941" s="37"/>
      <c r="E941" s="37"/>
      <c r="F941" s="37"/>
      <c r="G941" s="37"/>
      <c r="H941" s="37"/>
      <c r="I941" s="37"/>
      <c r="J941" s="37"/>
      <c r="K941" s="37"/>
      <c r="L941" s="37"/>
      <c r="M941" s="37"/>
      <c r="N941" s="37"/>
      <c r="O941" s="37"/>
      <c r="P941" s="37"/>
      <c r="Q941" s="37"/>
      <c r="R941" s="37"/>
      <c r="S941" s="37"/>
      <c r="T941" s="37"/>
      <c r="U941" s="37"/>
      <c r="V941" s="37"/>
      <c r="W941" s="37"/>
      <c r="X941" s="36"/>
      <c r="Y941" s="36"/>
      <c r="Z941" s="36"/>
      <c r="AA941" s="36"/>
      <c r="AB941" s="36"/>
      <c r="AC941" s="36"/>
      <c r="AD941" s="36"/>
      <c r="AE941" s="36"/>
    </row>
    <row r="942" spans="1:31" ht="15.75" customHeight="1" x14ac:dyDescent="0.25">
      <c r="A942" s="37"/>
      <c r="B942" s="801"/>
      <c r="C942" s="37"/>
      <c r="D942" s="37"/>
      <c r="E942" s="37"/>
      <c r="F942" s="37"/>
      <c r="G942" s="37"/>
      <c r="H942" s="37"/>
      <c r="I942" s="37"/>
      <c r="J942" s="37"/>
      <c r="K942" s="37"/>
      <c r="L942" s="37"/>
      <c r="M942" s="37"/>
      <c r="N942" s="37"/>
      <c r="O942" s="37"/>
      <c r="P942" s="37"/>
      <c r="Q942" s="37"/>
      <c r="R942" s="37"/>
      <c r="S942" s="37"/>
      <c r="T942" s="37"/>
      <c r="U942" s="37"/>
      <c r="V942" s="37"/>
      <c r="W942" s="37"/>
      <c r="X942" s="36"/>
      <c r="Y942" s="36"/>
      <c r="Z942" s="36"/>
      <c r="AA942" s="36"/>
      <c r="AB942" s="36"/>
      <c r="AC942" s="36"/>
      <c r="AD942" s="36"/>
      <c r="AE942" s="36"/>
    </row>
    <row r="943" spans="1:31" ht="15.75" customHeight="1" x14ac:dyDescent="0.25">
      <c r="A943" s="37"/>
      <c r="B943" s="801"/>
      <c r="C943" s="37"/>
      <c r="D943" s="37"/>
      <c r="E943" s="37"/>
      <c r="F943" s="37"/>
      <c r="G943" s="37"/>
      <c r="H943" s="37"/>
      <c r="I943" s="37"/>
      <c r="J943" s="37"/>
      <c r="K943" s="37"/>
      <c r="L943" s="37"/>
      <c r="M943" s="37"/>
      <c r="N943" s="37"/>
      <c r="O943" s="37"/>
      <c r="P943" s="37"/>
      <c r="Q943" s="37"/>
      <c r="R943" s="37"/>
      <c r="S943" s="37"/>
      <c r="T943" s="37"/>
      <c r="U943" s="37"/>
      <c r="V943" s="37"/>
      <c r="W943" s="37"/>
      <c r="X943" s="36"/>
      <c r="Y943" s="36"/>
      <c r="Z943" s="36"/>
      <c r="AA943" s="36"/>
      <c r="AB943" s="36"/>
      <c r="AC943" s="36"/>
      <c r="AD943" s="36"/>
      <c r="AE943" s="36"/>
    </row>
    <row r="944" spans="1:31" ht="15.75" customHeight="1" x14ac:dyDescent="0.25">
      <c r="A944" s="37"/>
      <c r="B944" s="801"/>
      <c r="C944" s="37"/>
      <c r="D944" s="37"/>
      <c r="E944" s="37"/>
      <c r="F944" s="37"/>
      <c r="G944" s="37"/>
      <c r="H944" s="37"/>
      <c r="I944" s="37"/>
      <c r="J944" s="37"/>
      <c r="K944" s="37"/>
      <c r="L944" s="37"/>
      <c r="M944" s="37"/>
      <c r="N944" s="37"/>
      <c r="O944" s="37"/>
      <c r="P944" s="37"/>
      <c r="Q944" s="37"/>
      <c r="R944" s="37"/>
      <c r="S944" s="37"/>
      <c r="T944" s="37"/>
      <c r="U944" s="37"/>
      <c r="V944" s="37"/>
      <c r="W944" s="37"/>
      <c r="X944" s="36"/>
      <c r="Y944" s="36"/>
      <c r="Z944" s="36"/>
      <c r="AA944" s="36"/>
      <c r="AB944" s="36"/>
      <c r="AC944" s="36"/>
      <c r="AD944" s="36"/>
      <c r="AE944" s="36"/>
    </row>
    <row r="945" spans="1:31" ht="15.75" customHeight="1" x14ac:dyDescent="0.25">
      <c r="A945" s="37"/>
      <c r="B945" s="801"/>
      <c r="C945" s="37"/>
      <c r="D945" s="37"/>
      <c r="E945" s="37"/>
      <c r="F945" s="37"/>
      <c r="G945" s="37"/>
      <c r="H945" s="37"/>
      <c r="I945" s="37"/>
      <c r="J945" s="37"/>
      <c r="K945" s="37"/>
      <c r="L945" s="37"/>
      <c r="M945" s="37"/>
      <c r="N945" s="37"/>
      <c r="O945" s="37"/>
      <c r="P945" s="37"/>
      <c r="Q945" s="37"/>
      <c r="R945" s="37"/>
      <c r="S945" s="37"/>
      <c r="T945" s="37"/>
      <c r="U945" s="37"/>
      <c r="V945" s="37"/>
      <c r="W945" s="37"/>
      <c r="X945" s="36"/>
      <c r="Y945" s="36"/>
      <c r="Z945" s="36"/>
      <c r="AA945" s="36"/>
      <c r="AB945" s="36"/>
      <c r="AC945" s="36"/>
      <c r="AD945" s="36"/>
      <c r="AE945" s="36"/>
    </row>
    <row r="946" spans="1:31" ht="15.75" customHeight="1" x14ac:dyDescent="0.25">
      <c r="A946" s="37"/>
      <c r="B946" s="801"/>
      <c r="C946" s="37"/>
      <c r="D946" s="37"/>
      <c r="E946" s="37"/>
      <c r="F946" s="37"/>
      <c r="G946" s="37"/>
      <c r="H946" s="37"/>
      <c r="I946" s="37"/>
      <c r="J946" s="37"/>
      <c r="K946" s="37"/>
      <c r="L946" s="37"/>
      <c r="M946" s="37"/>
      <c r="N946" s="37"/>
      <c r="O946" s="37"/>
      <c r="P946" s="37"/>
      <c r="Q946" s="37"/>
      <c r="R946" s="37"/>
      <c r="S946" s="37"/>
      <c r="T946" s="37"/>
      <c r="U946" s="37"/>
      <c r="V946" s="37"/>
      <c r="W946" s="37"/>
      <c r="X946" s="36"/>
      <c r="Y946" s="36"/>
      <c r="Z946" s="36"/>
      <c r="AA946" s="36"/>
      <c r="AB946" s="36"/>
      <c r="AC946" s="36"/>
      <c r="AD946" s="36"/>
      <c r="AE946" s="36"/>
    </row>
    <row r="947" spans="1:31" ht="15.75" customHeight="1" x14ac:dyDescent="0.25">
      <c r="A947" s="37"/>
      <c r="B947" s="801"/>
      <c r="C947" s="37"/>
      <c r="D947" s="37"/>
      <c r="E947" s="37"/>
      <c r="F947" s="37"/>
      <c r="G947" s="37"/>
      <c r="H947" s="37"/>
      <c r="I947" s="37"/>
      <c r="J947" s="37"/>
      <c r="K947" s="37"/>
      <c r="L947" s="37"/>
      <c r="M947" s="37"/>
      <c r="N947" s="37"/>
      <c r="O947" s="37"/>
      <c r="P947" s="37"/>
      <c r="Q947" s="37"/>
      <c r="R947" s="37"/>
      <c r="S947" s="37"/>
      <c r="T947" s="37"/>
      <c r="U947" s="37"/>
      <c r="V947" s="37"/>
      <c r="W947" s="37"/>
      <c r="X947" s="36"/>
      <c r="Y947" s="36"/>
      <c r="Z947" s="36"/>
      <c r="AA947" s="36"/>
      <c r="AB947" s="36"/>
      <c r="AC947" s="36"/>
      <c r="AD947" s="36"/>
      <c r="AE947" s="36"/>
    </row>
    <row r="948" spans="1:31" ht="15.75" customHeight="1" x14ac:dyDescent="0.25">
      <c r="A948" s="37"/>
      <c r="B948" s="801"/>
      <c r="C948" s="37"/>
      <c r="D948" s="37"/>
      <c r="E948" s="37"/>
      <c r="F948" s="37"/>
      <c r="G948" s="37"/>
      <c r="H948" s="37"/>
      <c r="I948" s="37"/>
      <c r="J948" s="37"/>
      <c r="K948" s="37"/>
      <c r="L948" s="37"/>
      <c r="M948" s="37"/>
      <c r="N948" s="37"/>
      <c r="O948" s="37"/>
      <c r="P948" s="37"/>
      <c r="Q948" s="37"/>
      <c r="R948" s="37"/>
      <c r="S948" s="37"/>
      <c r="T948" s="37"/>
      <c r="U948" s="37"/>
      <c r="V948" s="37"/>
      <c r="W948" s="37"/>
      <c r="X948" s="36"/>
      <c r="Y948" s="36"/>
      <c r="Z948" s="36"/>
      <c r="AA948" s="36"/>
      <c r="AB948" s="36"/>
      <c r="AC948" s="36"/>
      <c r="AD948" s="36"/>
      <c r="AE948" s="36"/>
    </row>
    <row r="949" spans="1:31" ht="15.75" customHeight="1" x14ac:dyDescent="0.25">
      <c r="A949" s="37"/>
      <c r="B949" s="801"/>
      <c r="C949" s="37"/>
      <c r="D949" s="37"/>
      <c r="E949" s="37"/>
      <c r="F949" s="37"/>
      <c r="G949" s="37"/>
      <c r="H949" s="37"/>
      <c r="I949" s="37"/>
      <c r="J949" s="37"/>
      <c r="K949" s="37"/>
      <c r="L949" s="37"/>
      <c r="M949" s="37"/>
      <c r="N949" s="37"/>
      <c r="O949" s="37"/>
      <c r="P949" s="37"/>
      <c r="Q949" s="37"/>
      <c r="R949" s="37"/>
      <c r="S949" s="37"/>
      <c r="T949" s="37"/>
      <c r="U949" s="37"/>
      <c r="V949" s="37"/>
      <c r="W949" s="37"/>
      <c r="X949" s="36"/>
      <c r="Y949" s="36"/>
      <c r="Z949" s="36"/>
      <c r="AA949" s="36"/>
      <c r="AB949" s="36"/>
      <c r="AC949" s="36"/>
      <c r="AD949" s="36"/>
      <c r="AE949" s="36"/>
    </row>
    <row r="950" spans="1:31" ht="15.75" customHeight="1" x14ac:dyDescent="0.25">
      <c r="A950" s="37"/>
      <c r="B950" s="801"/>
      <c r="C950" s="37"/>
      <c r="D950" s="37"/>
      <c r="E950" s="37"/>
      <c r="F950" s="37"/>
      <c r="G950" s="37"/>
      <c r="H950" s="37"/>
      <c r="I950" s="37"/>
      <c r="J950" s="37"/>
      <c r="K950" s="37"/>
      <c r="L950" s="37"/>
      <c r="M950" s="37"/>
      <c r="N950" s="37"/>
      <c r="O950" s="37"/>
      <c r="P950" s="37"/>
      <c r="Q950" s="37"/>
      <c r="R950" s="37"/>
      <c r="S950" s="37"/>
      <c r="T950" s="37"/>
      <c r="U950" s="37"/>
      <c r="V950" s="37"/>
      <c r="W950" s="37"/>
      <c r="X950" s="36"/>
      <c r="Y950" s="36"/>
      <c r="Z950" s="36"/>
      <c r="AA950" s="36"/>
      <c r="AB950" s="36"/>
      <c r="AC950" s="36"/>
      <c r="AD950" s="36"/>
      <c r="AE950" s="36"/>
    </row>
    <row r="951" spans="1:31" ht="15.75" customHeight="1" x14ac:dyDescent="0.25">
      <c r="A951" s="37"/>
      <c r="B951" s="801"/>
      <c r="C951" s="37"/>
      <c r="D951" s="37"/>
      <c r="E951" s="37"/>
      <c r="F951" s="37"/>
      <c r="G951" s="37"/>
      <c r="H951" s="37"/>
      <c r="I951" s="37"/>
      <c r="J951" s="37"/>
      <c r="K951" s="37"/>
      <c r="L951" s="37"/>
      <c r="M951" s="37"/>
      <c r="N951" s="37"/>
      <c r="O951" s="37"/>
      <c r="P951" s="37"/>
      <c r="Q951" s="37"/>
      <c r="R951" s="37"/>
      <c r="S951" s="37"/>
      <c r="T951" s="37"/>
      <c r="U951" s="37"/>
      <c r="V951" s="37"/>
      <c r="W951" s="37"/>
      <c r="X951" s="36"/>
      <c r="Y951" s="36"/>
      <c r="Z951" s="36"/>
      <c r="AA951" s="36"/>
      <c r="AB951" s="36"/>
      <c r="AC951" s="36"/>
      <c r="AD951" s="36"/>
      <c r="AE951" s="36"/>
    </row>
    <row r="952" spans="1:31" ht="15.75" customHeight="1" x14ac:dyDescent="0.25">
      <c r="A952" s="37"/>
      <c r="B952" s="801"/>
      <c r="C952" s="37"/>
      <c r="D952" s="37"/>
      <c r="E952" s="37"/>
      <c r="F952" s="37"/>
      <c r="G952" s="37"/>
      <c r="H952" s="37"/>
      <c r="I952" s="37"/>
      <c r="J952" s="37"/>
      <c r="K952" s="37"/>
      <c r="L952" s="37"/>
      <c r="M952" s="37"/>
      <c r="N952" s="37"/>
      <c r="O952" s="37"/>
      <c r="P952" s="37"/>
      <c r="Q952" s="37"/>
      <c r="R952" s="37"/>
      <c r="S952" s="37"/>
      <c r="T952" s="37"/>
      <c r="U952" s="37"/>
      <c r="V952" s="37"/>
      <c r="W952" s="37"/>
      <c r="X952" s="36"/>
      <c r="Y952" s="36"/>
      <c r="Z952" s="36"/>
      <c r="AA952" s="36"/>
      <c r="AB952" s="36"/>
      <c r="AC952" s="36"/>
      <c r="AD952" s="36"/>
      <c r="AE952" s="36"/>
    </row>
    <row r="953" spans="1:31" ht="15.75" customHeight="1" x14ac:dyDescent="0.25">
      <c r="A953" s="37"/>
      <c r="B953" s="801"/>
      <c r="C953" s="37"/>
      <c r="D953" s="37"/>
      <c r="E953" s="37"/>
      <c r="F953" s="37"/>
      <c r="G953" s="37"/>
      <c r="H953" s="37"/>
      <c r="I953" s="37"/>
      <c r="J953" s="37"/>
      <c r="K953" s="37"/>
      <c r="L953" s="37"/>
      <c r="M953" s="37"/>
      <c r="N953" s="37"/>
      <c r="O953" s="37"/>
      <c r="P953" s="37"/>
      <c r="Q953" s="37"/>
      <c r="R953" s="37"/>
      <c r="S953" s="37"/>
      <c r="T953" s="37"/>
      <c r="U953" s="37"/>
      <c r="V953" s="37"/>
      <c r="W953" s="37"/>
      <c r="X953" s="36"/>
      <c r="Y953" s="36"/>
      <c r="Z953" s="36"/>
      <c r="AA953" s="36"/>
      <c r="AB953" s="36"/>
      <c r="AC953" s="36"/>
      <c r="AD953" s="36"/>
      <c r="AE953" s="36"/>
    </row>
    <row r="954" spans="1:31" ht="15.75" customHeight="1" x14ac:dyDescent="0.25">
      <c r="A954" s="37"/>
      <c r="B954" s="801"/>
      <c r="C954" s="37"/>
      <c r="D954" s="37"/>
      <c r="E954" s="37"/>
      <c r="F954" s="37"/>
      <c r="G954" s="37"/>
      <c r="H954" s="37"/>
      <c r="I954" s="37"/>
      <c r="J954" s="37"/>
      <c r="K954" s="37"/>
      <c r="L954" s="37"/>
      <c r="M954" s="37"/>
      <c r="N954" s="37"/>
      <c r="O954" s="37"/>
      <c r="P954" s="37"/>
      <c r="Q954" s="37"/>
      <c r="R954" s="37"/>
      <c r="S954" s="37"/>
      <c r="T954" s="37"/>
      <c r="U954" s="37"/>
      <c r="V954" s="37"/>
      <c r="W954" s="37"/>
      <c r="X954" s="36"/>
      <c r="Y954" s="36"/>
      <c r="Z954" s="36"/>
      <c r="AA954" s="36"/>
      <c r="AB954" s="36"/>
      <c r="AC954" s="36"/>
      <c r="AD954" s="36"/>
      <c r="AE954" s="36"/>
    </row>
    <row r="955" spans="1:31" ht="15.75" customHeight="1" x14ac:dyDescent="0.25">
      <c r="A955" s="37"/>
      <c r="B955" s="801"/>
      <c r="C955" s="37"/>
      <c r="D955" s="37"/>
      <c r="E955" s="37"/>
      <c r="F955" s="37"/>
      <c r="G955" s="37"/>
      <c r="H955" s="37"/>
      <c r="I955" s="37"/>
      <c r="J955" s="37"/>
      <c r="K955" s="37"/>
      <c r="L955" s="37"/>
      <c r="M955" s="37"/>
      <c r="N955" s="37"/>
      <c r="O955" s="37"/>
      <c r="P955" s="37"/>
      <c r="Q955" s="37"/>
      <c r="R955" s="37"/>
      <c r="S955" s="37"/>
      <c r="T955" s="37"/>
      <c r="U955" s="37"/>
      <c r="V955" s="37"/>
      <c r="W955" s="37"/>
      <c r="X955" s="36"/>
      <c r="Y955" s="36"/>
      <c r="Z955" s="36"/>
      <c r="AA955" s="36"/>
      <c r="AB955" s="36"/>
      <c r="AC955" s="36"/>
      <c r="AD955" s="36"/>
      <c r="AE955" s="36"/>
    </row>
    <row r="956" spans="1:31" ht="15.75" customHeight="1" x14ac:dyDescent="0.25">
      <c r="A956" s="37"/>
      <c r="B956" s="801"/>
      <c r="C956" s="37"/>
      <c r="D956" s="37"/>
      <c r="E956" s="37"/>
      <c r="F956" s="37"/>
      <c r="G956" s="37"/>
      <c r="H956" s="37"/>
      <c r="I956" s="37"/>
      <c r="J956" s="37"/>
      <c r="K956" s="37"/>
      <c r="L956" s="37"/>
      <c r="M956" s="37"/>
      <c r="N956" s="37"/>
      <c r="O956" s="37"/>
      <c r="P956" s="37"/>
      <c r="Q956" s="37"/>
      <c r="R956" s="37"/>
      <c r="S956" s="37"/>
      <c r="T956" s="37"/>
      <c r="U956" s="37"/>
      <c r="V956" s="37"/>
      <c r="W956" s="37"/>
      <c r="X956" s="36"/>
      <c r="Y956" s="36"/>
      <c r="Z956" s="36"/>
      <c r="AA956" s="36"/>
      <c r="AB956" s="36"/>
      <c r="AC956" s="36"/>
      <c r="AD956" s="36"/>
      <c r="AE956" s="36"/>
    </row>
    <row r="957" spans="1:31" ht="15.75" customHeight="1" x14ac:dyDescent="0.25">
      <c r="A957" s="37"/>
      <c r="B957" s="801"/>
      <c r="C957" s="37"/>
      <c r="D957" s="37"/>
      <c r="E957" s="37"/>
      <c r="F957" s="37"/>
      <c r="G957" s="37"/>
      <c r="H957" s="37"/>
      <c r="I957" s="37"/>
      <c r="J957" s="37"/>
      <c r="K957" s="37"/>
      <c r="L957" s="37"/>
      <c r="M957" s="37"/>
      <c r="N957" s="37"/>
      <c r="O957" s="37"/>
      <c r="P957" s="37"/>
      <c r="Q957" s="37"/>
      <c r="R957" s="37"/>
      <c r="S957" s="37"/>
      <c r="T957" s="37"/>
      <c r="U957" s="37"/>
      <c r="V957" s="37"/>
      <c r="W957" s="37"/>
      <c r="X957" s="36"/>
      <c r="Y957" s="36"/>
      <c r="Z957" s="36"/>
      <c r="AA957" s="36"/>
      <c r="AB957" s="36"/>
      <c r="AC957" s="36"/>
      <c r="AD957" s="36"/>
      <c r="AE957" s="36"/>
    </row>
    <row r="958" spans="1:31" ht="15.75" customHeight="1" x14ac:dyDescent="0.25">
      <c r="A958" s="37"/>
      <c r="B958" s="801"/>
      <c r="C958" s="37"/>
      <c r="D958" s="37"/>
      <c r="E958" s="37"/>
      <c r="F958" s="37"/>
      <c r="G958" s="37"/>
      <c r="H958" s="37"/>
      <c r="I958" s="37"/>
      <c r="J958" s="37"/>
      <c r="K958" s="37"/>
      <c r="L958" s="37"/>
      <c r="M958" s="37"/>
      <c r="N958" s="37"/>
      <c r="O958" s="37"/>
      <c r="P958" s="37"/>
      <c r="Q958" s="37"/>
      <c r="R958" s="37"/>
      <c r="S958" s="37"/>
      <c r="T958" s="37"/>
      <c r="U958" s="37"/>
      <c r="V958" s="37"/>
      <c r="W958" s="37"/>
      <c r="X958" s="36"/>
      <c r="Y958" s="36"/>
      <c r="Z958" s="36"/>
      <c r="AA958" s="36"/>
      <c r="AB958" s="36"/>
      <c r="AC958" s="36"/>
      <c r="AD958" s="36"/>
      <c r="AE958" s="36"/>
    </row>
    <row r="959" spans="1:31" ht="15.75" customHeight="1" x14ac:dyDescent="0.25">
      <c r="A959" s="37"/>
      <c r="B959" s="801"/>
      <c r="C959" s="37"/>
      <c r="D959" s="37"/>
      <c r="E959" s="37"/>
      <c r="F959" s="37"/>
      <c r="G959" s="37"/>
      <c r="H959" s="37"/>
      <c r="I959" s="37"/>
      <c r="J959" s="37"/>
      <c r="K959" s="37"/>
      <c r="L959" s="37"/>
      <c r="M959" s="37"/>
      <c r="N959" s="37"/>
      <c r="O959" s="37"/>
      <c r="P959" s="37"/>
      <c r="Q959" s="37"/>
      <c r="R959" s="37"/>
      <c r="S959" s="37"/>
      <c r="T959" s="37"/>
      <c r="U959" s="37"/>
      <c r="V959" s="37"/>
      <c r="W959" s="37"/>
      <c r="X959" s="36"/>
      <c r="Y959" s="36"/>
      <c r="Z959" s="36"/>
      <c r="AA959" s="36"/>
      <c r="AB959" s="36"/>
      <c r="AC959" s="36"/>
      <c r="AD959" s="36"/>
      <c r="AE959" s="36"/>
    </row>
    <row r="960" spans="1:31" ht="15.75" customHeight="1" x14ac:dyDescent="0.25">
      <c r="A960" s="37"/>
      <c r="B960" s="801"/>
      <c r="C960" s="37"/>
      <c r="D960" s="37"/>
      <c r="E960" s="37"/>
      <c r="F960" s="37"/>
      <c r="G960" s="37"/>
      <c r="H960" s="37"/>
      <c r="I960" s="37"/>
      <c r="J960" s="37"/>
      <c r="K960" s="37"/>
      <c r="L960" s="37"/>
      <c r="M960" s="37"/>
      <c r="N960" s="37"/>
      <c r="O960" s="37"/>
      <c r="P960" s="37"/>
      <c r="Q960" s="37"/>
      <c r="R960" s="37"/>
      <c r="S960" s="37"/>
      <c r="T960" s="37"/>
      <c r="U960" s="37"/>
      <c r="V960" s="37"/>
      <c r="W960" s="37"/>
      <c r="X960" s="36"/>
      <c r="Y960" s="36"/>
      <c r="Z960" s="36"/>
      <c r="AA960" s="36"/>
      <c r="AB960" s="36"/>
      <c r="AC960" s="36"/>
      <c r="AD960" s="36"/>
      <c r="AE960" s="36"/>
    </row>
    <row r="961" spans="1:31" ht="15.75" customHeight="1" x14ac:dyDescent="0.25">
      <c r="A961" s="37"/>
      <c r="B961" s="801"/>
      <c r="C961" s="37"/>
      <c r="D961" s="37"/>
      <c r="E961" s="37"/>
      <c r="F961" s="37"/>
      <c r="G961" s="37"/>
      <c r="H961" s="37"/>
      <c r="I961" s="37"/>
      <c r="J961" s="37"/>
      <c r="K961" s="37"/>
      <c r="L961" s="37"/>
      <c r="M961" s="37"/>
      <c r="N961" s="37"/>
      <c r="O961" s="37"/>
      <c r="P961" s="37"/>
      <c r="Q961" s="37"/>
      <c r="R961" s="37"/>
      <c r="S961" s="37"/>
      <c r="T961" s="37"/>
      <c r="U961" s="37"/>
      <c r="V961" s="37"/>
      <c r="W961" s="37"/>
      <c r="X961" s="36"/>
      <c r="Y961" s="36"/>
      <c r="Z961" s="36"/>
      <c r="AA961" s="36"/>
      <c r="AB961" s="36"/>
      <c r="AC961" s="36"/>
      <c r="AD961" s="36"/>
      <c r="AE961" s="36"/>
    </row>
    <row r="962" spans="1:31" ht="15.75" customHeight="1" x14ac:dyDescent="0.25">
      <c r="A962" s="37"/>
      <c r="B962" s="801"/>
      <c r="C962" s="37"/>
      <c r="D962" s="37"/>
      <c r="E962" s="37"/>
      <c r="F962" s="37"/>
      <c r="G962" s="37"/>
      <c r="H962" s="37"/>
      <c r="I962" s="37"/>
      <c r="J962" s="37"/>
      <c r="K962" s="37"/>
      <c r="L962" s="37"/>
      <c r="M962" s="37"/>
      <c r="N962" s="37"/>
      <c r="O962" s="37"/>
      <c r="P962" s="37"/>
      <c r="Q962" s="37"/>
      <c r="R962" s="37"/>
      <c r="S962" s="37"/>
      <c r="T962" s="37"/>
      <c r="U962" s="37"/>
      <c r="V962" s="37"/>
      <c r="W962" s="37"/>
      <c r="X962" s="36"/>
      <c r="Y962" s="36"/>
      <c r="Z962" s="36"/>
      <c r="AA962" s="36"/>
      <c r="AB962" s="36"/>
      <c r="AC962" s="36"/>
      <c r="AD962" s="36"/>
      <c r="AE962" s="36"/>
    </row>
    <row r="963" spans="1:31" ht="15.75" customHeight="1" x14ac:dyDescent="0.25">
      <c r="A963" s="37"/>
      <c r="B963" s="801"/>
      <c r="C963" s="37"/>
      <c r="D963" s="37"/>
      <c r="E963" s="37"/>
      <c r="F963" s="37"/>
      <c r="G963" s="37"/>
      <c r="H963" s="37"/>
      <c r="I963" s="37"/>
      <c r="J963" s="37"/>
      <c r="K963" s="37"/>
      <c r="L963" s="37"/>
      <c r="M963" s="37"/>
      <c r="N963" s="37"/>
      <c r="O963" s="37"/>
      <c r="P963" s="37"/>
      <c r="Q963" s="37"/>
      <c r="R963" s="37"/>
      <c r="S963" s="37"/>
      <c r="T963" s="37"/>
      <c r="U963" s="37"/>
      <c r="V963" s="37"/>
      <c r="W963" s="37"/>
      <c r="X963" s="36"/>
      <c r="Y963" s="36"/>
      <c r="Z963" s="36"/>
      <c r="AA963" s="36"/>
      <c r="AB963" s="36"/>
      <c r="AC963" s="36"/>
      <c r="AD963" s="36"/>
      <c r="AE963" s="36"/>
    </row>
    <row r="964" spans="1:31" ht="15.75" customHeight="1" x14ac:dyDescent="0.25">
      <c r="A964" s="37"/>
      <c r="B964" s="801"/>
      <c r="C964" s="37"/>
      <c r="D964" s="37"/>
      <c r="E964" s="37"/>
      <c r="F964" s="37"/>
      <c r="G964" s="37"/>
      <c r="H964" s="37"/>
      <c r="I964" s="37"/>
      <c r="J964" s="37"/>
      <c r="K964" s="37"/>
      <c r="L964" s="37"/>
      <c r="M964" s="37"/>
      <c r="N964" s="37"/>
      <c r="O964" s="37"/>
      <c r="P964" s="37"/>
      <c r="Q964" s="37"/>
      <c r="R964" s="37"/>
      <c r="S964" s="37"/>
      <c r="T964" s="37"/>
      <c r="U964" s="37"/>
      <c r="V964" s="37"/>
      <c r="W964" s="37"/>
      <c r="X964" s="36"/>
      <c r="Y964" s="36"/>
      <c r="Z964" s="36"/>
      <c r="AA964" s="36"/>
      <c r="AB964" s="36"/>
      <c r="AC964" s="36"/>
      <c r="AD964" s="36"/>
      <c r="AE964" s="36"/>
    </row>
    <row r="965" spans="1:31" ht="15.75" customHeight="1" x14ac:dyDescent="0.25">
      <c r="A965" s="37"/>
      <c r="B965" s="801"/>
      <c r="C965" s="37"/>
      <c r="D965" s="37"/>
      <c r="E965" s="37"/>
      <c r="F965" s="37"/>
      <c r="G965" s="37"/>
      <c r="H965" s="37"/>
      <c r="I965" s="37"/>
      <c r="J965" s="37"/>
      <c r="K965" s="37"/>
      <c r="L965" s="37"/>
      <c r="M965" s="37"/>
      <c r="N965" s="37"/>
      <c r="O965" s="37"/>
      <c r="P965" s="37"/>
      <c r="Q965" s="37"/>
      <c r="R965" s="37"/>
      <c r="S965" s="37"/>
      <c r="T965" s="37"/>
      <c r="U965" s="37"/>
      <c r="V965" s="37"/>
      <c r="W965" s="37"/>
      <c r="X965" s="36"/>
      <c r="Y965" s="36"/>
      <c r="Z965" s="36"/>
      <c r="AA965" s="36"/>
      <c r="AB965" s="36"/>
      <c r="AC965" s="36"/>
      <c r="AD965" s="36"/>
      <c r="AE965" s="36"/>
    </row>
    <row r="966" spans="1:31" ht="15.75" customHeight="1" x14ac:dyDescent="0.25">
      <c r="A966" s="37"/>
      <c r="B966" s="801"/>
      <c r="C966" s="37"/>
      <c r="D966" s="37"/>
      <c r="E966" s="37"/>
      <c r="F966" s="37"/>
      <c r="G966" s="37"/>
      <c r="H966" s="37"/>
      <c r="I966" s="37"/>
      <c r="J966" s="37"/>
      <c r="K966" s="37"/>
      <c r="L966" s="37"/>
      <c r="M966" s="37"/>
      <c r="N966" s="37"/>
      <c r="O966" s="37"/>
      <c r="P966" s="37"/>
      <c r="Q966" s="37"/>
      <c r="R966" s="37"/>
      <c r="S966" s="37"/>
      <c r="T966" s="37"/>
      <c r="U966" s="37"/>
      <c r="V966" s="37"/>
      <c r="W966" s="37"/>
      <c r="X966" s="36"/>
      <c r="Y966" s="36"/>
      <c r="Z966" s="36"/>
      <c r="AA966" s="36"/>
      <c r="AB966" s="36"/>
      <c r="AC966" s="36"/>
      <c r="AD966" s="36"/>
      <c r="AE966" s="36"/>
    </row>
    <row r="967" spans="1:31" ht="15.75" customHeight="1" x14ac:dyDescent="0.25">
      <c r="A967" s="37"/>
      <c r="B967" s="801"/>
      <c r="C967" s="37"/>
      <c r="D967" s="37"/>
      <c r="E967" s="37"/>
      <c r="F967" s="37"/>
      <c r="G967" s="37"/>
      <c r="H967" s="37"/>
      <c r="I967" s="37"/>
      <c r="J967" s="37"/>
      <c r="K967" s="37"/>
      <c r="L967" s="37"/>
      <c r="M967" s="37"/>
      <c r="N967" s="37"/>
      <c r="O967" s="37"/>
      <c r="P967" s="37"/>
      <c r="Q967" s="37"/>
      <c r="R967" s="37"/>
      <c r="S967" s="37"/>
      <c r="T967" s="37"/>
      <c r="U967" s="37"/>
      <c r="V967" s="37"/>
      <c r="W967" s="37"/>
      <c r="X967" s="36"/>
      <c r="Y967" s="36"/>
      <c r="Z967" s="36"/>
      <c r="AA967" s="36"/>
      <c r="AB967" s="36"/>
      <c r="AC967" s="36"/>
      <c r="AD967" s="36"/>
      <c r="AE967" s="36"/>
    </row>
    <row r="968" spans="1:31" ht="15.75" customHeight="1" x14ac:dyDescent="0.25">
      <c r="A968" s="37"/>
      <c r="B968" s="801"/>
      <c r="C968" s="37"/>
      <c r="D968" s="37"/>
      <c r="E968" s="37"/>
      <c r="F968" s="37"/>
      <c r="G968" s="37"/>
      <c r="H968" s="37"/>
      <c r="I968" s="37"/>
      <c r="J968" s="37"/>
      <c r="K968" s="37"/>
      <c r="L968" s="37"/>
      <c r="M968" s="37"/>
      <c r="N968" s="37"/>
      <c r="O968" s="37"/>
      <c r="P968" s="37"/>
      <c r="Q968" s="37"/>
      <c r="R968" s="37"/>
      <c r="S968" s="37"/>
      <c r="T968" s="37"/>
      <c r="U968" s="37"/>
      <c r="V968" s="37"/>
      <c r="W968" s="37"/>
      <c r="X968" s="36"/>
      <c r="Y968" s="36"/>
      <c r="Z968" s="36"/>
      <c r="AA968" s="36"/>
      <c r="AB968" s="36"/>
      <c r="AC968" s="36"/>
      <c r="AD968" s="36"/>
      <c r="AE968" s="36"/>
    </row>
    <row r="969" spans="1:31" ht="15.75" customHeight="1" x14ac:dyDescent="0.25">
      <c r="A969" s="37"/>
      <c r="B969" s="801"/>
      <c r="C969" s="37"/>
      <c r="D969" s="37"/>
      <c r="E969" s="37"/>
      <c r="F969" s="37"/>
      <c r="G969" s="37"/>
      <c r="H969" s="37"/>
      <c r="I969" s="37"/>
      <c r="J969" s="37"/>
      <c r="K969" s="37"/>
      <c r="L969" s="37"/>
      <c r="M969" s="37"/>
      <c r="N969" s="37"/>
      <c r="O969" s="37"/>
      <c r="P969" s="37"/>
      <c r="Q969" s="37"/>
      <c r="R969" s="37"/>
      <c r="S969" s="37"/>
      <c r="T969" s="37"/>
      <c r="U969" s="37"/>
      <c r="V969" s="37"/>
      <c r="W969" s="37"/>
      <c r="X969" s="36"/>
      <c r="Y969" s="36"/>
      <c r="Z969" s="36"/>
      <c r="AA969" s="36"/>
      <c r="AB969" s="36"/>
      <c r="AC969" s="36"/>
      <c r="AD969" s="36"/>
      <c r="AE969" s="36"/>
    </row>
    <row r="970" spans="1:31" ht="15.75" customHeight="1" x14ac:dyDescent="0.25">
      <c r="A970" s="37"/>
      <c r="B970" s="801"/>
      <c r="C970" s="37"/>
      <c r="D970" s="37"/>
      <c r="E970" s="37"/>
      <c r="F970" s="37"/>
      <c r="G970" s="37"/>
      <c r="H970" s="37"/>
      <c r="I970" s="37"/>
      <c r="J970" s="37"/>
      <c r="K970" s="37"/>
      <c r="L970" s="37"/>
      <c r="M970" s="37"/>
      <c r="N970" s="37"/>
      <c r="O970" s="37"/>
      <c r="P970" s="37"/>
      <c r="Q970" s="37"/>
      <c r="R970" s="37"/>
      <c r="S970" s="37"/>
      <c r="T970" s="37"/>
      <c r="U970" s="37"/>
      <c r="V970" s="37"/>
      <c r="W970" s="37"/>
      <c r="X970" s="36"/>
      <c r="Y970" s="36"/>
      <c r="Z970" s="36"/>
      <c r="AA970" s="36"/>
      <c r="AB970" s="36"/>
      <c r="AC970" s="36"/>
      <c r="AD970" s="36"/>
      <c r="AE970" s="36"/>
    </row>
    <row r="971" spans="1:31" ht="15.75" customHeight="1" x14ac:dyDescent="0.25">
      <c r="A971" s="37"/>
      <c r="B971" s="801"/>
      <c r="C971" s="37"/>
      <c r="D971" s="37"/>
      <c r="E971" s="37"/>
      <c r="F971" s="37"/>
      <c r="G971" s="37"/>
      <c r="H971" s="37"/>
      <c r="I971" s="37"/>
      <c r="J971" s="37"/>
      <c r="K971" s="37"/>
      <c r="L971" s="37"/>
      <c r="M971" s="37"/>
      <c r="N971" s="37"/>
      <c r="O971" s="37"/>
      <c r="P971" s="37"/>
      <c r="Q971" s="37"/>
      <c r="R971" s="37"/>
      <c r="S971" s="37"/>
      <c r="T971" s="37"/>
      <c r="U971" s="37"/>
      <c r="V971" s="37"/>
      <c r="W971" s="37"/>
      <c r="X971" s="36"/>
      <c r="Y971" s="36"/>
      <c r="Z971" s="36"/>
      <c r="AA971" s="36"/>
      <c r="AB971" s="36"/>
      <c r="AC971" s="36"/>
      <c r="AD971" s="36"/>
      <c r="AE971" s="36"/>
    </row>
    <row r="972" spans="1:31" ht="15.75" customHeight="1" x14ac:dyDescent="0.25">
      <c r="A972" s="37"/>
      <c r="B972" s="801"/>
      <c r="C972" s="37"/>
      <c r="D972" s="37"/>
      <c r="E972" s="37"/>
      <c r="F972" s="37"/>
      <c r="G972" s="37"/>
      <c r="H972" s="37"/>
      <c r="I972" s="37"/>
      <c r="J972" s="37"/>
      <c r="K972" s="37"/>
      <c r="L972" s="37"/>
      <c r="M972" s="37"/>
      <c r="N972" s="37"/>
      <c r="O972" s="37"/>
      <c r="P972" s="37"/>
      <c r="Q972" s="37"/>
      <c r="R972" s="37"/>
      <c r="S972" s="37"/>
      <c r="T972" s="37"/>
      <c r="U972" s="37"/>
      <c r="V972" s="37"/>
      <c r="W972" s="37"/>
      <c r="X972" s="36"/>
      <c r="Y972" s="36"/>
      <c r="Z972" s="36"/>
      <c r="AA972" s="36"/>
      <c r="AB972" s="36"/>
      <c r="AC972" s="36"/>
      <c r="AD972" s="36"/>
      <c r="AE972" s="36"/>
    </row>
    <row r="973" spans="1:31" ht="15.75" customHeight="1" x14ac:dyDescent="0.25">
      <c r="A973" s="37"/>
      <c r="B973" s="801"/>
      <c r="C973" s="37"/>
      <c r="D973" s="37"/>
      <c r="E973" s="37"/>
      <c r="F973" s="37"/>
      <c r="G973" s="37"/>
      <c r="H973" s="37"/>
      <c r="I973" s="37"/>
      <c r="J973" s="37"/>
      <c r="K973" s="37"/>
      <c r="L973" s="37"/>
      <c r="M973" s="37"/>
      <c r="N973" s="37"/>
      <c r="O973" s="37"/>
      <c r="P973" s="37"/>
      <c r="Q973" s="37"/>
      <c r="R973" s="37"/>
      <c r="S973" s="37"/>
      <c r="T973" s="37"/>
      <c r="U973" s="37"/>
      <c r="V973" s="37"/>
      <c r="W973" s="37"/>
      <c r="X973" s="36"/>
      <c r="Y973" s="36"/>
      <c r="Z973" s="36"/>
      <c r="AA973" s="36"/>
      <c r="AB973" s="36"/>
      <c r="AC973" s="36"/>
      <c r="AD973" s="36"/>
      <c r="AE973" s="36"/>
    </row>
    <row r="974" spans="1:31" ht="15.75" customHeight="1" x14ac:dyDescent="0.25">
      <c r="A974" s="37"/>
      <c r="B974" s="801"/>
      <c r="C974" s="37"/>
      <c r="D974" s="37"/>
      <c r="E974" s="37"/>
      <c r="F974" s="37"/>
      <c r="G974" s="37"/>
      <c r="H974" s="37"/>
      <c r="I974" s="37"/>
      <c r="J974" s="37"/>
      <c r="K974" s="37"/>
      <c r="L974" s="37"/>
      <c r="M974" s="37"/>
      <c r="N974" s="37"/>
      <c r="O974" s="37"/>
      <c r="P974" s="37"/>
      <c r="Q974" s="37"/>
      <c r="R974" s="37"/>
      <c r="S974" s="37"/>
      <c r="T974" s="37"/>
      <c r="U974" s="37"/>
      <c r="V974" s="37"/>
      <c r="W974" s="37"/>
      <c r="X974" s="36"/>
      <c r="Y974" s="36"/>
      <c r="Z974" s="36"/>
      <c r="AA974" s="36"/>
      <c r="AB974" s="36"/>
      <c r="AC974" s="36"/>
      <c r="AD974" s="36"/>
      <c r="AE974" s="36"/>
    </row>
    <row r="975" spans="1:31" ht="15.75" customHeight="1" x14ac:dyDescent="0.25">
      <c r="A975" s="37"/>
      <c r="B975" s="801"/>
      <c r="C975" s="37"/>
      <c r="D975" s="37"/>
      <c r="E975" s="37"/>
      <c r="F975" s="37"/>
      <c r="G975" s="37"/>
      <c r="H975" s="37"/>
      <c r="I975" s="37"/>
      <c r="J975" s="37"/>
      <c r="K975" s="37"/>
      <c r="L975" s="37"/>
      <c r="M975" s="37"/>
      <c r="N975" s="37"/>
      <c r="O975" s="37"/>
      <c r="P975" s="37"/>
      <c r="Q975" s="37"/>
      <c r="R975" s="37"/>
      <c r="S975" s="37"/>
      <c r="T975" s="37"/>
      <c r="U975" s="37"/>
      <c r="V975" s="37"/>
      <c r="W975" s="37"/>
      <c r="X975" s="36"/>
      <c r="Y975" s="36"/>
      <c r="Z975" s="36"/>
      <c r="AA975" s="36"/>
      <c r="AB975" s="36"/>
      <c r="AC975" s="36"/>
      <c r="AD975" s="36"/>
      <c r="AE975" s="36"/>
    </row>
    <row r="976" spans="1:31" ht="15.75" customHeight="1" x14ac:dyDescent="0.25">
      <c r="A976" s="37"/>
      <c r="B976" s="801"/>
      <c r="C976" s="37"/>
      <c r="D976" s="37"/>
      <c r="E976" s="37"/>
      <c r="F976" s="37"/>
      <c r="G976" s="37"/>
      <c r="H976" s="37"/>
      <c r="I976" s="37"/>
      <c r="J976" s="37"/>
      <c r="K976" s="37"/>
      <c r="L976" s="37"/>
      <c r="M976" s="37"/>
      <c r="N976" s="37"/>
      <c r="O976" s="37"/>
      <c r="P976" s="37"/>
      <c r="Q976" s="37"/>
      <c r="R976" s="37"/>
      <c r="S976" s="37"/>
      <c r="T976" s="37"/>
      <c r="U976" s="37"/>
      <c r="V976" s="37"/>
      <c r="W976" s="37"/>
      <c r="X976" s="36"/>
      <c r="Y976" s="36"/>
      <c r="Z976" s="36"/>
      <c r="AA976" s="36"/>
      <c r="AB976" s="36"/>
      <c r="AC976" s="36"/>
      <c r="AD976" s="36"/>
      <c r="AE976" s="36"/>
    </row>
    <row r="977" spans="1:31" ht="15.75" customHeight="1" x14ac:dyDescent="0.25">
      <c r="A977" s="37"/>
      <c r="B977" s="801"/>
      <c r="C977" s="37"/>
      <c r="D977" s="37"/>
      <c r="E977" s="37"/>
      <c r="F977" s="37"/>
      <c r="G977" s="37"/>
      <c r="H977" s="37"/>
      <c r="I977" s="37"/>
      <c r="J977" s="37"/>
      <c r="K977" s="37"/>
      <c r="L977" s="37"/>
      <c r="M977" s="37"/>
      <c r="N977" s="37"/>
      <c r="O977" s="37"/>
      <c r="P977" s="37"/>
      <c r="Q977" s="37"/>
      <c r="R977" s="37"/>
      <c r="S977" s="37"/>
      <c r="T977" s="37"/>
      <c r="U977" s="37"/>
      <c r="V977" s="37"/>
      <c r="W977" s="37"/>
      <c r="X977" s="36"/>
      <c r="Y977" s="36"/>
      <c r="Z977" s="36"/>
      <c r="AA977" s="36"/>
      <c r="AB977" s="36"/>
      <c r="AC977" s="36"/>
      <c r="AD977" s="36"/>
      <c r="AE977" s="36"/>
    </row>
    <row r="978" spans="1:31" ht="15.75" customHeight="1" x14ac:dyDescent="0.25">
      <c r="A978" s="37"/>
      <c r="B978" s="801"/>
      <c r="C978" s="37"/>
      <c r="D978" s="37"/>
      <c r="E978" s="37"/>
      <c r="F978" s="37"/>
      <c r="G978" s="37"/>
      <c r="H978" s="37"/>
      <c r="I978" s="37"/>
      <c r="J978" s="37"/>
      <c r="K978" s="37"/>
      <c r="L978" s="37"/>
      <c r="M978" s="37"/>
      <c r="N978" s="37"/>
      <c r="O978" s="37"/>
      <c r="P978" s="37"/>
      <c r="Q978" s="37"/>
      <c r="R978" s="37"/>
      <c r="S978" s="37"/>
      <c r="T978" s="37"/>
      <c r="U978" s="37"/>
      <c r="V978" s="37"/>
      <c r="W978" s="37"/>
      <c r="X978" s="36"/>
      <c r="Y978" s="36"/>
      <c r="Z978" s="36"/>
      <c r="AA978" s="36"/>
      <c r="AB978" s="36"/>
      <c r="AC978" s="36"/>
      <c r="AD978" s="36"/>
      <c r="AE978" s="36"/>
    </row>
    <row r="979" spans="1:31" ht="15.75" customHeight="1" x14ac:dyDescent="0.25">
      <c r="A979" s="37"/>
      <c r="B979" s="801"/>
      <c r="C979" s="37"/>
      <c r="D979" s="37"/>
      <c r="E979" s="37"/>
      <c r="F979" s="37"/>
      <c r="G979" s="37"/>
      <c r="H979" s="37"/>
      <c r="I979" s="37"/>
      <c r="J979" s="37"/>
      <c r="K979" s="37"/>
      <c r="L979" s="37"/>
      <c r="M979" s="37"/>
      <c r="N979" s="37"/>
      <c r="O979" s="37"/>
      <c r="P979" s="37"/>
      <c r="Q979" s="37"/>
      <c r="R979" s="37"/>
      <c r="S979" s="37"/>
      <c r="T979" s="37"/>
      <c r="U979" s="37"/>
      <c r="V979" s="37"/>
      <c r="W979" s="37"/>
      <c r="X979" s="36"/>
      <c r="Y979" s="36"/>
      <c r="Z979" s="36"/>
      <c r="AA979" s="36"/>
      <c r="AB979" s="36"/>
      <c r="AC979" s="36"/>
      <c r="AD979" s="36"/>
      <c r="AE979" s="36"/>
    </row>
    <row r="980" spans="1:31" ht="15.75" customHeight="1" x14ac:dyDescent="0.25">
      <c r="A980" s="37"/>
      <c r="B980" s="801"/>
      <c r="C980" s="37"/>
      <c r="D980" s="37"/>
      <c r="E980" s="37"/>
      <c r="F980" s="37"/>
      <c r="G980" s="37"/>
      <c r="H980" s="37"/>
      <c r="I980" s="37"/>
      <c r="J980" s="37"/>
      <c r="K980" s="37"/>
      <c r="L980" s="37"/>
      <c r="M980" s="37"/>
      <c r="N980" s="37"/>
      <c r="O980" s="37"/>
      <c r="P980" s="37"/>
      <c r="Q980" s="37"/>
      <c r="R980" s="37"/>
      <c r="S980" s="37"/>
      <c r="T980" s="37"/>
      <c r="U980" s="37"/>
      <c r="V980" s="37"/>
      <c r="W980" s="37"/>
      <c r="X980" s="36"/>
      <c r="Y980" s="36"/>
      <c r="Z980" s="36"/>
      <c r="AA980" s="36"/>
      <c r="AB980" s="36"/>
      <c r="AC980" s="36"/>
      <c r="AD980" s="36"/>
      <c r="AE980" s="36"/>
    </row>
    <row r="981" spans="1:31" ht="15.75" customHeight="1" x14ac:dyDescent="0.25">
      <c r="A981" s="37"/>
      <c r="B981" s="801"/>
      <c r="C981" s="37"/>
      <c r="D981" s="37"/>
      <c r="E981" s="37"/>
      <c r="F981" s="37"/>
      <c r="G981" s="37"/>
      <c r="H981" s="37"/>
      <c r="I981" s="37"/>
      <c r="J981" s="37"/>
      <c r="K981" s="37"/>
      <c r="L981" s="37"/>
      <c r="M981" s="37"/>
      <c r="N981" s="37"/>
      <c r="O981" s="37"/>
      <c r="P981" s="37"/>
      <c r="Q981" s="37"/>
      <c r="R981" s="37"/>
      <c r="S981" s="37"/>
      <c r="T981" s="37"/>
      <c r="U981" s="37"/>
      <c r="V981" s="37"/>
      <c r="W981" s="37"/>
      <c r="X981" s="36"/>
      <c r="Y981" s="36"/>
      <c r="Z981" s="36"/>
      <c r="AA981" s="36"/>
      <c r="AB981" s="36"/>
      <c r="AC981" s="36"/>
      <c r="AD981" s="36"/>
      <c r="AE981" s="36"/>
    </row>
    <row r="982" spans="1:31" ht="15.75" customHeight="1" x14ac:dyDescent="0.25">
      <c r="A982" s="37"/>
      <c r="B982" s="801"/>
      <c r="C982" s="37"/>
      <c r="D982" s="37"/>
      <c r="E982" s="37"/>
      <c r="F982" s="37"/>
      <c r="G982" s="37"/>
      <c r="H982" s="37"/>
      <c r="I982" s="37"/>
      <c r="J982" s="37"/>
      <c r="K982" s="37"/>
      <c r="L982" s="37"/>
      <c r="M982" s="37"/>
      <c r="N982" s="37"/>
      <c r="O982" s="37"/>
      <c r="P982" s="37"/>
      <c r="Q982" s="37"/>
      <c r="R982" s="37"/>
      <c r="S982" s="37"/>
      <c r="T982" s="37"/>
      <c r="U982" s="37"/>
      <c r="V982" s="37"/>
      <c r="W982" s="37"/>
      <c r="X982" s="36"/>
      <c r="Y982" s="36"/>
      <c r="Z982" s="36"/>
      <c r="AA982" s="36"/>
      <c r="AB982" s="36"/>
      <c r="AC982" s="36"/>
      <c r="AD982" s="36"/>
      <c r="AE982" s="36"/>
    </row>
    <row r="983" spans="1:31" ht="15.75" customHeight="1" x14ac:dyDescent="0.25">
      <c r="A983" s="37"/>
      <c r="B983" s="801"/>
      <c r="C983" s="37"/>
      <c r="D983" s="37"/>
      <c r="E983" s="37"/>
      <c r="F983" s="37"/>
      <c r="G983" s="37"/>
      <c r="H983" s="37"/>
      <c r="I983" s="37"/>
      <c r="J983" s="37"/>
      <c r="K983" s="37"/>
      <c r="L983" s="37"/>
      <c r="M983" s="37"/>
      <c r="N983" s="37"/>
      <c r="O983" s="37"/>
      <c r="P983" s="37"/>
      <c r="Q983" s="37"/>
      <c r="R983" s="37"/>
      <c r="S983" s="37"/>
      <c r="T983" s="37"/>
      <c r="U983" s="37"/>
      <c r="V983" s="37"/>
      <c r="W983" s="37"/>
      <c r="X983" s="36"/>
      <c r="Y983" s="36"/>
      <c r="Z983" s="36"/>
      <c r="AA983" s="36"/>
      <c r="AB983" s="36"/>
      <c r="AC983" s="36"/>
      <c r="AD983" s="36"/>
      <c r="AE983" s="36"/>
    </row>
    <row r="984" spans="1:31" ht="15.75" customHeight="1" x14ac:dyDescent="0.25">
      <c r="A984" s="37"/>
      <c r="B984" s="801"/>
      <c r="C984" s="37"/>
      <c r="D984" s="37"/>
      <c r="E984" s="37"/>
      <c r="F984" s="37"/>
      <c r="G984" s="37"/>
      <c r="H984" s="37"/>
      <c r="I984" s="37"/>
      <c r="J984" s="37"/>
      <c r="K984" s="37"/>
      <c r="L984" s="37"/>
      <c r="M984" s="37"/>
      <c r="N984" s="37"/>
      <c r="O984" s="37"/>
      <c r="P984" s="37"/>
      <c r="Q984" s="37"/>
      <c r="R984" s="37"/>
      <c r="S984" s="37"/>
      <c r="T984" s="37"/>
      <c r="U984" s="37"/>
      <c r="V984" s="37"/>
      <c r="W984" s="37"/>
      <c r="X984" s="36"/>
      <c r="Y984" s="36"/>
      <c r="Z984" s="36"/>
      <c r="AA984" s="36"/>
      <c r="AB984" s="36"/>
      <c r="AC984" s="36"/>
      <c r="AD984" s="36"/>
      <c r="AE984" s="36"/>
    </row>
    <row r="985" spans="1:31" ht="15.75" customHeight="1" x14ac:dyDescent="0.25">
      <c r="A985" s="37"/>
      <c r="B985" s="801"/>
      <c r="C985" s="37"/>
      <c r="D985" s="37"/>
      <c r="E985" s="37"/>
      <c r="F985" s="37"/>
      <c r="G985" s="37"/>
      <c r="H985" s="37"/>
      <c r="I985" s="37"/>
      <c r="J985" s="37"/>
      <c r="K985" s="37"/>
      <c r="L985" s="37"/>
      <c r="M985" s="37"/>
      <c r="N985" s="37"/>
      <c r="O985" s="37"/>
      <c r="P985" s="37"/>
      <c r="Q985" s="37"/>
      <c r="R985" s="37"/>
      <c r="S985" s="37"/>
      <c r="T985" s="37"/>
      <c r="U985" s="37"/>
      <c r="V985" s="37"/>
      <c r="W985" s="37"/>
      <c r="X985" s="36"/>
      <c r="Y985" s="36"/>
      <c r="Z985" s="36"/>
      <c r="AA985" s="36"/>
      <c r="AB985" s="36"/>
      <c r="AC985" s="36"/>
      <c r="AD985" s="36"/>
      <c r="AE985" s="36"/>
    </row>
    <row r="986" spans="1:31" ht="15.75" customHeight="1" x14ac:dyDescent="0.25">
      <c r="A986" s="37"/>
      <c r="B986" s="801"/>
      <c r="C986" s="37"/>
      <c r="D986" s="37"/>
      <c r="E986" s="37"/>
      <c r="F986" s="37"/>
      <c r="G986" s="37"/>
      <c r="H986" s="37"/>
      <c r="I986" s="37"/>
      <c r="J986" s="37"/>
      <c r="K986" s="37"/>
      <c r="L986" s="37"/>
      <c r="M986" s="37"/>
      <c r="N986" s="37"/>
      <c r="O986" s="37"/>
      <c r="P986" s="37"/>
      <c r="Q986" s="37"/>
      <c r="R986" s="37"/>
      <c r="S986" s="37"/>
      <c r="T986" s="37"/>
      <c r="U986" s="37"/>
      <c r="V986" s="37"/>
      <c r="W986" s="37"/>
      <c r="X986" s="36"/>
      <c r="Y986" s="36"/>
      <c r="Z986" s="36"/>
      <c r="AA986" s="36"/>
      <c r="AB986" s="36"/>
      <c r="AC986" s="36"/>
      <c r="AD986" s="36"/>
      <c r="AE986" s="36"/>
    </row>
    <row r="987" spans="1:31" ht="15.75" customHeight="1" x14ac:dyDescent="0.25">
      <c r="A987" s="37"/>
      <c r="B987" s="801"/>
      <c r="C987" s="37"/>
      <c r="D987" s="37"/>
      <c r="E987" s="37"/>
      <c r="F987" s="37"/>
      <c r="G987" s="37"/>
      <c r="H987" s="37"/>
      <c r="I987" s="37"/>
      <c r="J987" s="37"/>
      <c r="K987" s="37"/>
      <c r="L987" s="37"/>
      <c r="M987" s="37"/>
      <c r="N987" s="37"/>
      <c r="O987" s="37"/>
      <c r="P987" s="37"/>
      <c r="Q987" s="37"/>
      <c r="R987" s="37"/>
      <c r="S987" s="37"/>
      <c r="T987" s="37"/>
      <c r="U987" s="37"/>
      <c r="V987" s="37"/>
      <c r="W987" s="37"/>
      <c r="X987" s="36"/>
      <c r="Y987" s="36"/>
      <c r="Z987" s="36"/>
      <c r="AA987" s="36"/>
      <c r="AB987" s="36"/>
      <c r="AC987" s="36"/>
      <c r="AD987" s="36"/>
      <c r="AE987" s="36"/>
    </row>
    <row r="988" spans="1:31" ht="15.75" customHeight="1" x14ac:dyDescent="0.25">
      <c r="A988" s="37"/>
      <c r="B988" s="801"/>
      <c r="C988" s="37"/>
      <c r="D988" s="37"/>
      <c r="E988" s="37"/>
      <c r="F988" s="37"/>
      <c r="G988" s="37"/>
      <c r="H988" s="37"/>
      <c r="I988" s="37"/>
      <c r="J988" s="37"/>
      <c r="K988" s="37"/>
      <c r="L988" s="37"/>
      <c r="M988" s="37"/>
      <c r="N988" s="37"/>
      <c r="O988" s="37"/>
      <c r="P988" s="37"/>
      <c r="Q988" s="37"/>
      <c r="R988" s="37"/>
      <c r="S988" s="37"/>
      <c r="T988" s="37"/>
      <c r="U988" s="37"/>
      <c r="V988" s="37"/>
      <c r="W988" s="37"/>
      <c r="X988" s="36"/>
      <c r="Y988" s="36"/>
      <c r="Z988" s="36"/>
      <c r="AA988" s="36"/>
      <c r="AB988" s="36"/>
      <c r="AC988" s="36"/>
      <c r="AD988" s="36"/>
      <c r="AE988" s="36"/>
    </row>
    <row r="989" spans="1:31" ht="15.75" customHeight="1" x14ac:dyDescent="0.25">
      <c r="A989" s="37"/>
      <c r="B989" s="801"/>
      <c r="C989" s="37"/>
      <c r="D989" s="37"/>
      <c r="E989" s="37"/>
      <c r="F989" s="37"/>
      <c r="G989" s="37"/>
      <c r="H989" s="37"/>
      <c r="I989" s="37"/>
      <c r="J989" s="37"/>
      <c r="K989" s="37"/>
      <c r="L989" s="37"/>
      <c r="M989" s="37"/>
      <c r="N989" s="37"/>
      <c r="O989" s="37"/>
      <c r="P989" s="37"/>
      <c r="Q989" s="37"/>
      <c r="R989" s="37"/>
      <c r="S989" s="37"/>
      <c r="T989" s="37"/>
      <c r="U989" s="37"/>
      <c r="V989" s="37"/>
      <c r="W989" s="37"/>
      <c r="X989" s="36"/>
      <c r="Y989" s="36"/>
      <c r="Z989" s="36"/>
      <c r="AA989" s="36"/>
      <c r="AB989" s="36"/>
      <c r="AC989" s="36"/>
      <c r="AD989" s="36"/>
      <c r="AE989" s="36"/>
    </row>
    <row r="990" spans="1:31" ht="15.75" customHeight="1" x14ac:dyDescent="0.25">
      <c r="A990" s="37"/>
      <c r="B990" s="801"/>
      <c r="C990" s="37"/>
      <c r="D990" s="37"/>
      <c r="E990" s="37"/>
      <c r="F990" s="37"/>
      <c r="G990" s="37"/>
      <c r="H990" s="37"/>
      <c r="I990" s="37"/>
      <c r="J990" s="37"/>
      <c r="K990" s="37"/>
      <c r="L990" s="37"/>
      <c r="M990" s="37"/>
      <c r="N990" s="37"/>
      <c r="O990" s="37"/>
      <c r="P990" s="37"/>
      <c r="Q990" s="37"/>
      <c r="R990" s="37"/>
      <c r="S990" s="37"/>
      <c r="T990" s="37"/>
      <c r="U990" s="37"/>
      <c r="V990" s="37"/>
      <c r="W990" s="37"/>
      <c r="X990" s="36"/>
      <c r="Y990" s="36"/>
      <c r="Z990" s="36"/>
      <c r="AA990" s="36"/>
      <c r="AB990" s="36"/>
      <c r="AC990" s="36"/>
      <c r="AD990" s="36"/>
      <c r="AE990" s="36"/>
    </row>
    <row r="991" spans="1:31" ht="15.75" customHeight="1" x14ac:dyDescent="0.25">
      <c r="A991" s="37"/>
      <c r="B991" s="801"/>
      <c r="C991" s="37"/>
      <c r="D991" s="37"/>
      <c r="E991" s="37"/>
      <c r="F991" s="37"/>
      <c r="G991" s="37"/>
      <c r="H991" s="37"/>
      <c r="I991" s="37"/>
      <c r="J991" s="37"/>
      <c r="K991" s="37"/>
      <c r="L991" s="37"/>
      <c r="M991" s="37"/>
      <c r="N991" s="37"/>
      <c r="O991" s="37"/>
      <c r="P991" s="37"/>
      <c r="Q991" s="37"/>
      <c r="R991" s="37"/>
      <c r="S991" s="37"/>
      <c r="T991" s="37"/>
      <c r="U991" s="37"/>
      <c r="V991" s="37"/>
      <c r="W991" s="37"/>
      <c r="X991" s="36"/>
      <c r="Y991" s="36"/>
      <c r="Z991" s="36"/>
      <c r="AA991" s="36"/>
      <c r="AB991" s="36"/>
      <c r="AC991" s="36"/>
      <c r="AD991" s="36"/>
      <c r="AE991" s="36"/>
    </row>
    <row r="992" spans="1:31" ht="15.75" customHeight="1" x14ac:dyDescent="0.25">
      <c r="A992" s="37"/>
      <c r="B992" s="801"/>
      <c r="C992" s="37"/>
      <c r="D992" s="37"/>
      <c r="E992" s="37"/>
      <c r="F992" s="37"/>
      <c r="G992" s="37"/>
      <c r="H992" s="37"/>
      <c r="I992" s="37"/>
      <c r="J992" s="37"/>
      <c r="K992" s="37"/>
      <c r="L992" s="37"/>
      <c r="M992" s="37"/>
      <c r="N992" s="37"/>
      <c r="O992" s="37"/>
      <c r="P992" s="37"/>
      <c r="Q992" s="37"/>
      <c r="R992" s="37"/>
      <c r="S992" s="37"/>
      <c r="T992" s="37"/>
      <c r="U992" s="37"/>
      <c r="V992" s="37"/>
      <c r="W992" s="37"/>
      <c r="X992" s="36"/>
      <c r="Y992" s="36"/>
      <c r="Z992" s="36"/>
      <c r="AA992" s="36"/>
      <c r="AB992" s="36"/>
      <c r="AC992" s="36"/>
      <c r="AD992" s="36"/>
      <c r="AE992" s="36"/>
    </row>
    <row r="993" spans="1:31" ht="15.75" customHeight="1" x14ac:dyDescent="0.25">
      <c r="A993" s="37"/>
      <c r="B993" s="801"/>
      <c r="C993" s="37"/>
      <c r="D993" s="37"/>
      <c r="E993" s="37"/>
      <c r="F993" s="37"/>
      <c r="G993" s="37"/>
      <c r="H993" s="37"/>
      <c r="I993" s="37"/>
      <c r="J993" s="37"/>
      <c r="K993" s="37"/>
      <c r="L993" s="37"/>
      <c r="M993" s="37"/>
      <c r="N993" s="37"/>
      <c r="O993" s="37"/>
      <c r="P993" s="37"/>
      <c r="Q993" s="37"/>
      <c r="R993" s="37"/>
      <c r="S993" s="37"/>
      <c r="T993" s="37"/>
      <c r="U993" s="37"/>
      <c r="V993" s="37"/>
      <c r="W993" s="37"/>
      <c r="X993" s="36"/>
      <c r="Y993" s="36"/>
      <c r="Z993" s="36"/>
      <c r="AA993" s="36"/>
      <c r="AB993" s="36"/>
      <c r="AC993" s="36"/>
      <c r="AD993" s="36"/>
      <c r="AE993" s="36"/>
    </row>
    <row r="994" spans="1:31" ht="15.75" customHeight="1" x14ac:dyDescent="0.25">
      <c r="A994" s="37"/>
      <c r="B994" s="801"/>
      <c r="C994" s="37"/>
      <c r="D994" s="37"/>
      <c r="E994" s="37"/>
      <c r="F994" s="37"/>
      <c r="G994" s="37"/>
      <c r="H994" s="37"/>
      <c r="I994" s="37"/>
      <c r="J994" s="37"/>
      <c r="K994" s="37"/>
      <c r="L994" s="37"/>
      <c r="M994" s="37"/>
      <c r="N994" s="37"/>
      <c r="O994" s="37"/>
      <c r="P994" s="37"/>
      <c r="Q994" s="37"/>
      <c r="R994" s="37"/>
      <c r="S994" s="37"/>
      <c r="T994" s="37"/>
      <c r="U994" s="37"/>
      <c r="V994" s="37"/>
      <c r="W994" s="37"/>
      <c r="X994" s="36"/>
      <c r="Y994" s="36"/>
      <c r="Z994" s="36"/>
      <c r="AA994" s="36"/>
      <c r="AB994" s="36"/>
      <c r="AC994" s="36"/>
      <c r="AD994" s="36"/>
      <c r="AE994" s="36"/>
    </row>
    <row r="995" spans="1:31" ht="15.75" customHeight="1" x14ac:dyDescent="0.25">
      <c r="A995" s="37"/>
      <c r="B995" s="801"/>
      <c r="C995" s="37"/>
      <c r="D995" s="37"/>
      <c r="E995" s="37"/>
      <c r="F995" s="37"/>
      <c r="G995" s="37"/>
      <c r="H995" s="37"/>
      <c r="I995" s="37"/>
      <c r="J995" s="37"/>
      <c r="K995" s="37"/>
      <c r="L995" s="37"/>
      <c r="M995" s="37"/>
      <c r="N995" s="37"/>
      <c r="O995" s="37"/>
      <c r="P995" s="37"/>
      <c r="Q995" s="37"/>
      <c r="R995" s="37"/>
      <c r="S995" s="37"/>
      <c r="T995" s="37"/>
      <c r="U995" s="37"/>
      <c r="V995" s="37"/>
      <c r="W995" s="37"/>
      <c r="X995" s="36"/>
      <c r="Y995" s="36"/>
      <c r="Z995" s="36"/>
      <c r="AA995" s="36"/>
      <c r="AB995" s="36"/>
      <c r="AC995" s="36"/>
      <c r="AD995" s="36"/>
      <c r="AE995" s="36"/>
    </row>
    <row r="996" spans="1:31" ht="15.75" customHeight="1" x14ac:dyDescent="0.25">
      <c r="A996" s="37"/>
      <c r="B996" s="801"/>
      <c r="C996" s="37"/>
      <c r="D996" s="37"/>
      <c r="E996" s="37"/>
      <c r="F996" s="37"/>
      <c r="G996" s="37"/>
      <c r="H996" s="37"/>
      <c r="I996" s="37"/>
      <c r="J996" s="37"/>
      <c r="K996" s="37"/>
      <c r="L996" s="37"/>
      <c r="M996" s="37"/>
      <c r="N996" s="37"/>
      <c r="O996" s="37"/>
      <c r="P996" s="37"/>
      <c r="Q996" s="37"/>
      <c r="R996" s="37"/>
      <c r="S996" s="37"/>
      <c r="T996" s="37"/>
      <c r="U996" s="37"/>
      <c r="V996" s="37"/>
      <c r="W996" s="37"/>
      <c r="X996" s="36"/>
      <c r="Y996" s="36"/>
      <c r="Z996" s="36"/>
      <c r="AA996" s="36"/>
      <c r="AB996" s="36"/>
      <c r="AC996" s="36"/>
      <c r="AD996" s="36"/>
      <c r="AE996" s="36"/>
    </row>
    <row r="997" spans="1:31" ht="15.75" customHeight="1" x14ac:dyDescent="0.25">
      <c r="A997" s="37"/>
      <c r="B997" s="801"/>
      <c r="C997" s="37"/>
      <c r="D997" s="37"/>
      <c r="E997" s="37"/>
      <c r="F997" s="37"/>
      <c r="G997" s="37"/>
      <c r="H997" s="37"/>
      <c r="I997" s="37"/>
      <c r="J997" s="37"/>
      <c r="K997" s="37"/>
      <c r="L997" s="37"/>
      <c r="M997" s="37"/>
      <c r="N997" s="37"/>
      <c r="O997" s="37"/>
      <c r="P997" s="37"/>
      <c r="Q997" s="37"/>
      <c r="R997" s="37"/>
      <c r="S997" s="37"/>
      <c r="T997" s="37"/>
      <c r="U997" s="37"/>
      <c r="V997" s="37"/>
      <c r="W997" s="37"/>
      <c r="X997" s="36"/>
      <c r="Y997" s="36"/>
      <c r="Z997" s="36"/>
      <c r="AA997" s="36"/>
      <c r="AB997" s="36"/>
      <c r="AC997" s="36"/>
      <c r="AD997" s="36"/>
      <c r="AE997" s="36"/>
    </row>
    <row r="998" spans="1:31" ht="15.75" customHeight="1" x14ac:dyDescent="0.25">
      <c r="A998" s="37"/>
      <c r="B998" s="801"/>
      <c r="C998" s="37"/>
      <c r="D998" s="37"/>
      <c r="E998" s="37"/>
      <c r="F998" s="37"/>
      <c r="G998" s="37"/>
      <c r="H998" s="37"/>
      <c r="I998" s="37"/>
      <c r="J998" s="37"/>
      <c r="K998" s="37"/>
      <c r="L998" s="37"/>
      <c r="M998" s="37"/>
      <c r="N998" s="37"/>
      <c r="O998" s="37"/>
      <c r="P998" s="37"/>
      <c r="Q998" s="37"/>
      <c r="R998" s="37"/>
      <c r="S998" s="37"/>
      <c r="T998" s="37"/>
      <c r="U998" s="37"/>
      <c r="V998" s="37"/>
      <c r="W998" s="37"/>
      <c r="X998" s="36"/>
      <c r="Y998" s="36"/>
      <c r="Z998" s="36"/>
      <c r="AA998" s="36"/>
      <c r="AB998" s="36"/>
      <c r="AC998" s="36"/>
      <c r="AD998" s="36"/>
      <c r="AE998" s="36"/>
    </row>
    <row r="999" spans="1:31" ht="15.75" customHeight="1" x14ac:dyDescent="0.25">
      <c r="A999" s="37"/>
      <c r="B999" s="801"/>
      <c r="C999" s="37"/>
      <c r="D999" s="37"/>
      <c r="E999" s="37"/>
      <c r="F999" s="37"/>
      <c r="G999" s="37"/>
      <c r="H999" s="37"/>
      <c r="I999" s="37"/>
      <c r="J999" s="37"/>
      <c r="K999" s="37"/>
      <c r="L999" s="37"/>
      <c r="M999" s="37"/>
      <c r="N999" s="37"/>
      <c r="O999" s="37"/>
      <c r="P999" s="37"/>
      <c r="Q999" s="37"/>
      <c r="R999" s="37"/>
      <c r="S999" s="37"/>
      <c r="T999" s="37"/>
      <c r="U999" s="37"/>
      <c r="V999" s="37"/>
      <c r="W999" s="37"/>
      <c r="X999" s="36"/>
      <c r="Y999" s="36"/>
      <c r="Z999" s="36"/>
      <c r="AA999" s="36"/>
      <c r="AB999" s="36"/>
      <c r="AC999" s="36"/>
      <c r="AD999" s="36"/>
      <c r="AE999" s="36"/>
    </row>
    <row r="1000" spans="1:31" ht="15.75" customHeight="1" x14ac:dyDescent="0.25">
      <c r="A1000" s="37"/>
      <c r="B1000" s="801"/>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6"/>
      <c r="Y1000" s="36"/>
      <c r="Z1000" s="36"/>
      <c r="AA1000" s="36"/>
      <c r="AB1000" s="36"/>
      <c r="AC1000" s="36"/>
      <c r="AD1000" s="36"/>
      <c r="AE1000" s="36"/>
    </row>
    <row r="1001" spans="1:31" ht="15.75" customHeight="1" x14ac:dyDescent="0.25">
      <c r="A1001" s="37"/>
      <c r="B1001" s="801"/>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6"/>
      <c r="Y1001" s="36"/>
      <c r="Z1001" s="36"/>
      <c r="AA1001" s="36"/>
      <c r="AB1001" s="36"/>
      <c r="AC1001" s="36"/>
      <c r="AD1001" s="36"/>
      <c r="AE1001" s="36"/>
    </row>
    <row r="1002" spans="1:31" ht="15.75" customHeight="1" x14ac:dyDescent="0.25">
      <c r="A1002" s="37"/>
      <c r="B1002" s="801"/>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6"/>
      <c r="Y1002" s="36"/>
      <c r="Z1002" s="36"/>
      <c r="AA1002" s="36"/>
      <c r="AB1002" s="36"/>
      <c r="AC1002" s="36"/>
      <c r="AD1002" s="36"/>
      <c r="AE1002" s="36"/>
    </row>
    <row r="1003" spans="1:31" ht="15.75" customHeight="1" x14ac:dyDescent="0.25">
      <c r="A1003" s="37"/>
      <c r="B1003" s="801"/>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6"/>
      <c r="Y1003" s="36"/>
      <c r="Z1003" s="36"/>
      <c r="AA1003" s="36"/>
      <c r="AB1003" s="36"/>
      <c r="AC1003" s="36"/>
      <c r="AD1003" s="36"/>
      <c r="AE1003" s="36"/>
    </row>
    <row r="1004" spans="1:31" ht="15.75" customHeight="1" x14ac:dyDescent="0.25">
      <c r="A1004" s="37"/>
      <c r="B1004" s="801"/>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6"/>
      <c r="Y1004" s="36"/>
      <c r="Z1004" s="36"/>
      <c r="AA1004" s="36"/>
      <c r="AB1004" s="36"/>
      <c r="AC1004" s="36"/>
      <c r="AD1004" s="36"/>
      <c r="AE1004" s="36"/>
    </row>
    <row r="1005" spans="1:31" ht="15.75" customHeight="1" x14ac:dyDescent="0.25">
      <c r="A1005" s="37"/>
      <c r="B1005" s="801"/>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6"/>
      <c r="Y1005" s="36"/>
      <c r="Z1005" s="36"/>
      <c r="AA1005" s="36"/>
      <c r="AB1005" s="36"/>
      <c r="AC1005" s="36"/>
      <c r="AD1005" s="36"/>
      <c r="AE1005" s="36"/>
    </row>
    <row r="1006" spans="1:31" ht="15.75" customHeight="1" x14ac:dyDescent="0.25">
      <c r="A1006" s="37"/>
      <c r="B1006" s="801"/>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6"/>
      <c r="Y1006" s="36"/>
      <c r="Z1006" s="36"/>
      <c r="AA1006" s="36"/>
      <c r="AB1006" s="36"/>
      <c r="AC1006" s="36"/>
      <c r="AD1006" s="36"/>
      <c r="AE1006" s="36"/>
    </row>
    <row r="1007" spans="1:31" ht="15.75" customHeight="1" x14ac:dyDescent="0.25">
      <c r="A1007" s="37"/>
      <c r="B1007" s="801"/>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6"/>
      <c r="Y1007" s="36"/>
      <c r="Z1007" s="36"/>
      <c r="AA1007" s="36"/>
      <c r="AB1007" s="36"/>
      <c r="AC1007" s="36"/>
      <c r="AD1007" s="36"/>
      <c r="AE1007" s="36"/>
    </row>
    <row r="1008" spans="1:31" ht="15.75" customHeight="1" x14ac:dyDescent="0.25">
      <c r="A1008" s="37"/>
      <c r="B1008" s="801"/>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6"/>
      <c r="Y1008" s="36"/>
      <c r="Z1008" s="36"/>
      <c r="AA1008" s="36"/>
      <c r="AB1008" s="36"/>
      <c r="AC1008" s="36"/>
      <c r="AD1008" s="36"/>
      <c r="AE1008" s="36"/>
    </row>
    <row r="1009" spans="1:31" ht="15.75" customHeight="1" x14ac:dyDescent="0.25">
      <c r="A1009" s="37"/>
      <c r="B1009" s="801"/>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6"/>
      <c r="Y1009" s="36"/>
      <c r="Z1009" s="36"/>
      <c r="AA1009" s="36"/>
      <c r="AB1009" s="36"/>
      <c r="AC1009" s="36"/>
      <c r="AD1009" s="36"/>
      <c r="AE1009" s="36"/>
    </row>
    <row r="1010" spans="1:31" ht="15.75" customHeight="1" x14ac:dyDescent="0.25">
      <c r="A1010" s="37"/>
      <c r="B1010" s="801"/>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6"/>
      <c r="Y1010" s="36"/>
      <c r="Z1010" s="36"/>
      <c r="AA1010" s="36"/>
      <c r="AB1010" s="36"/>
      <c r="AC1010" s="36"/>
      <c r="AD1010" s="36"/>
      <c r="AE1010" s="36"/>
    </row>
    <row r="1011" spans="1:31" ht="15.75" customHeight="1" x14ac:dyDescent="0.25">
      <c r="A1011" s="37"/>
      <c r="B1011" s="801"/>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6"/>
      <c r="Y1011" s="36"/>
      <c r="Z1011" s="36"/>
      <c r="AA1011" s="36"/>
      <c r="AB1011" s="36"/>
      <c r="AC1011" s="36"/>
      <c r="AD1011" s="36"/>
      <c r="AE1011" s="36"/>
    </row>
    <row r="1012" spans="1:31" ht="15.75" customHeight="1" x14ac:dyDescent="0.25">
      <c r="A1012" s="37"/>
      <c r="B1012" s="801"/>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6"/>
      <c r="Y1012" s="36"/>
      <c r="Z1012" s="36"/>
      <c r="AA1012" s="36"/>
      <c r="AB1012" s="36"/>
      <c r="AC1012" s="36"/>
      <c r="AD1012" s="36"/>
      <c r="AE1012" s="36"/>
    </row>
    <row r="1013" spans="1:31" ht="15.75" customHeight="1" x14ac:dyDescent="0.25">
      <c r="A1013" s="37"/>
      <c r="B1013" s="801"/>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6"/>
      <c r="Y1013" s="36"/>
      <c r="Z1013" s="36"/>
      <c r="AA1013" s="36"/>
      <c r="AB1013" s="36"/>
      <c r="AC1013" s="36"/>
      <c r="AD1013" s="36"/>
      <c r="AE1013" s="36"/>
    </row>
    <row r="1014" spans="1:31" ht="15.75" customHeight="1" x14ac:dyDescent="0.25">
      <c r="A1014" s="37"/>
      <c r="B1014" s="801"/>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6"/>
      <c r="Y1014" s="36"/>
      <c r="Z1014" s="36"/>
      <c r="AA1014" s="36"/>
      <c r="AB1014" s="36"/>
      <c r="AC1014" s="36"/>
      <c r="AD1014" s="36"/>
      <c r="AE1014" s="36"/>
    </row>
    <row r="1015" spans="1:31" ht="15.75" customHeight="1" x14ac:dyDescent="0.25">
      <c r="A1015" s="37"/>
      <c r="B1015" s="801"/>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6"/>
      <c r="Y1015" s="36"/>
      <c r="Z1015" s="36"/>
      <c r="AA1015" s="36"/>
      <c r="AB1015" s="36"/>
      <c r="AC1015" s="36"/>
      <c r="AD1015" s="36"/>
      <c r="AE1015" s="36"/>
    </row>
    <row r="1016" spans="1:31" ht="15.75" customHeight="1" x14ac:dyDescent="0.25">
      <c r="A1016" s="37"/>
      <c r="B1016" s="801"/>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6"/>
      <c r="Y1016" s="36"/>
      <c r="Z1016" s="36"/>
      <c r="AA1016" s="36"/>
      <c r="AB1016" s="36"/>
      <c r="AC1016" s="36"/>
      <c r="AD1016" s="36"/>
      <c r="AE1016" s="36"/>
    </row>
    <row r="1017" spans="1:31" ht="15.75" customHeight="1" x14ac:dyDescent="0.25">
      <c r="A1017" s="37"/>
      <c r="B1017" s="801"/>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6"/>
      <c r="Y1017" s="36"/>
      <c r="Z1017" s="36"/>
      <c r="AA1017" s="36"/>
      <c r="AB1017" s="36"/>
      <c r="AC1017" s="36"/>
      <c r="AD1017" s="36"/>
      <c r="AE1017" s="36"/>
    </row>
    <row r="1018" spans="1:31" ht="15.75" customHeight="1" x14ac:dyDescent="0.25">
      <c r="A1018" s="37"/>
      <c r="B1018" s="801"/>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6"/>
      <c r="Y1018" s="36"/>
      <c r="Z1018" s="36"/>
      <c r="AA1018" s="36"/>
      <c r="AB1018" s="36"/>
      <c r="AC1018" s="36"/>
      <c r="AD1018" s="36"/>
      <c r="AE1018" s="36"/>
    </row>
    <row r="1019" spans="1:31" ht="15.75" customHeight="1" x14ac:dyDescent="0.25">
      <c r="A1019" s="37"/>
      <c r="B1019" s="801"/>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6"/>
      <c r="Y1019" s="36"/>
      <c r="Z1019" s="36"/>
      <c r="AA1019" s="36"/>
      <c r="AB1019" s="36"/>
      <c r="AC1019" s="36"/>
      <c r="AD1019" s="36"/>
      <c r="AE1019" s="36"/>
    </row>
    <row r="1020" spans="1:31" ht="15.75" customHeight="1" x14ac:dyDescent="0.25">
      <c r="A1020" s="37"/>
      <c r="B1020" s="801"/>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6"/>
      <c r="Y1020" s="36"/>
      <c r="Z1020" s="36"/>
      <c r="AA1020" s="36"/>
      <c r="AB1020" s="36"/>
      <c r="AC1020" s="36"/>
      <c r="AD1020" s="36"/>
      <c r="AE1020" s="36"/>
    </row>
    <row r="1021" spans="1:31" ht="15.75" customHeight="1" x14ac:dyDescent="0.25">
      <c r="A1021" s="37"/>
      <c r="B1021" s="801"/>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6"/>
      <c r="Y1021" s="36"/>
      <c r="Z1021" s="36"/>
      <c r="AA1021" s="36"/>
      <c r="AB1021" s="36"/>
      <c r="AC1021" s="36"/>
      <c r="AD1021" s="36"/>
      <c r="AE1021" s="36"/>
    </row>
    <row r="1022" spans="1:31" ht="15.75" customHeight="1" x14ac:dyDescent="0.25">
      <c r="A1022" s="37"/>
      <c r="B1022" s="801"/>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6"/>
      <c r="Y1022" s="36"/>
      <c r="Z1022" s="36"/>
      <c r="AA1022" s="36"/>
      <c r="AB1022" s="36"/>
      <c r="AC1022" s="36"/>
      <c r="AD1022" s="36"/>
      <c r="AE1022" s="36"/>
    </row>
    <row r="1023" spans="1:31" ht="15.75" customHeight="1" x14ac:dyDescent="0.25">
      <c r="A1023" s="37"/>
      <c r="B1023" s="801"/>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6"/>
      <c r="Y1023" s="36"/>
      <c r="Z1023" s="36"/>
      <c r="AA1023" s="36"/>
      <c r="AB1023" s="36"/>
      <c r="AC1023" s="36"/>
      <c r="AD1023" s="36"/>
      <c r="AE1023" s="36"/>
    </row>
    <row r="1024" spans="1:31" ht="15.75" customHeight="1" x14ac:dyDescent="0.25">
      <c r="A1024" s="37"/>
      <c r="B1024" s="801"/>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6"/>
      <c r="Y1024" s="36"/>
      <c r="Z1024" s="36"/>
      <c r="AA1024" s="36"/>
      <c r="AB1024" s="36"/>
      <c r="AC1024" s="36"/>
      <c r="AD1024" s="36"/>
      <c r="AE1024" s="36"/>
    </row>
    <row r="1025" spans="1:31" ht="15.75" customHeight="1" x14ac:dyDescent="0.25">
      <c r="A1025" s="37"/>
      <c r="B1025" s="801"/>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6"/>
      <c r="Y1025" s="36"/>
      <c r="Z1025" s="36"/>
      <c r="AA1025" s="36"/>
      <c r="AB1025" s="36"/>
      <c r="AC1025" s="36"/>
      <c r="AD1025" s="36"/>
      <c r="AE1025" s="36"/>
    </row>
    <row r="1026" spans="1:31" ht="15.75" customHeight="1" x14ac:dyDescent="0.25">
      <c r="A1026" s="37"/>
      <c r="B1026" s="801"/>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6"/>
      <c r="Y1026" s="36"/>
      <c r="Z1026" s="36"/>
      <c r="AA1026" s="36"/>
      <c r="AB1026" s="36"/>
      <c r="AC1026" s="36"/>
      <c r="AD1026" s="36"/>
      <c r="AE1026" s="36"/>
    </row>
    <row r="1027" spans="1:31" ht="15.75" customHeight="1" x14ac:dyDescent="0.25">
      <c r="A1027" s="37"/>
      <c r="B1027" s="801"/>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6"/>
      <c r="Y1027" s="36"/>
      <c r="Z1027" s="36"/>
      <c r="AA1027" s="36"/>
      <c r="AB1027" s="36"/>
      <c r="AC1027" s="36"/>
      <c r="AD1027" s="36"/>
      <c r="AE1027" s="36"/>
    </row>
    <row r="1028" spans="1:31" ht="15.75" customHeight="1" x14ac:dyDescent="0.25">
      <c r="A1028" s="37"/>
      <c r="B1028" s="801"/>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6"/>
      <c r="Y1028" s="36"/>
      <c r="Z1028" s="36"/>
      <c r="AA1028" s="36"/>
      <c r="AB1028" s="36"/>
      <c r="AC1028" s="36"/>
      <c r="AD1028" s="36"/>
      <c r="AE1028" s="36"/>
    </row>
    <row r="1029" spans="1:31" ht="15.75" customHeight="1" x14ac:dyDescent="0.25">
      <c r="A1029" s="37"/>
      <c r="B1029" s="801"/>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6"/>
      <c r="Y1029" s="36"/>
      <c r="Z1029" s="36"/>
      <c r="AA1029" s="36"/>
      <c r="AB1029" s="36"/>
      <c r="AC1029" s="36"/>
      <c r="AD1029" s="36"/>
      <c r="AE1029" s="36"/>
    </row>
    <row r="1030" spans="1:31" ht="15.75" customHeight="1" x14ac:dyDescent="0.25">
      <c r="A1030" s="37"/>
      <c r="B1030" s="801"/>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6"/>
      <c r="Y1030" s="36"/>
      <c r="Z1030" s="36"/>
      <c r="AA1030" s="36"/>
      <c r="AB1030" s="36"/>
      <c r="AC1030" s="36"/>
      <c r="AD1030" s="36"/>
      <c r="AE1030" s="36"/>
    </row>
    <row r="1031" spans="1:31" ht="15.75" customHeight="1" x14ac:dyDescent="0.25">
      <c r="A1031" s="37"/>
      <c r="B1031" s="801"/>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6"/>
      <c r="Y1031" s="36"/>
      <c r="Z1031" s="36"/>
      <c r="AA1031" s="36"/>
      <c r="AB1031" s="36"/>
      <c r="AC1031" s="36"/>
      <c r="AD1031" s="36"/>
      <c r="AE1031" s="36"/>
    </row>
    <row r="1032" spans="1:31" ht="15.75" customHeight="1" x14ac:dyDescent="0.25">
      <c r="A1032" s="37"/>
      <c r="B1032" s="801"/>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6"/>
      <c r="Y1032" s="36"/>
      <c r="Z1032" s="36"/>
      <c r="AA1032" s="36"/>
      <c r="AB1032" s="36"/>
      <c r="AC1032" s="36"/>
      <c r="AD1032" s="36"/>
      <c r="AE1032" s="36"/>
    </row>
    <row r="1033" spans="1:31" ht="15.75" customHeight="1" x14ac:dyDescent="0.25">
      <c r="A1033" s="37"/>
      <c r="B1033" s="801"/>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6"/>
      <c r="Y1033" s="36"/>
      <c r="Z1033" s="36"/>
      <c r="AA1033" s="36"/>
      <c r="AB1033" s="36"/>
      <c r="AC1033" s="36"/>
      <c r="AD1033" s="36"/>
      <c r="AE1033" s="36"/>
    </row>
    <row r="1034" spans="1:31" ht="15.75" customHeight="1" x14ac:dyDescent="0.25">
      <c r="A1034" s="37"/>
      <c r="B1034" s="801"/>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6"/>
      <c r="Y1034" s="36"/>
      <c r="Z1034" s="36"/>
      <c r="AA1034" s="36"/>
      <c r="AB1034" s="36"/>
      <c r="AC1034" s="36"/>
      <c r="AD1034" s="36"/>
      <c r="AE1034" s="36"/>
    </row>
    <row r="1035" spans="1:31" ht="15.75" customHeight="1" x14ac:dyDescent="0.25">
      <c r="A1035" s="37"/>
      <c r="B1035" s="801"/>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6"/>
      <c r="Y1035" s="36"/>
      <c r="Z1035" s="36"/>
      <c r="AA1035" s="36"/>
      <c r="AB1035" s="36"/>
      <c r="AC1035" s="36"/>
      <c r="AD1035" s="36"/>
      <c r="AE1035" s="36"/>
    </row>
    <row r="1036" spans="1:31" ht="15.75" customHeight="1" x14ac:dyDescent="0.25">
      <c r="A1036" s="37"/>
      <c r="B1036" s="801"/>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6"/>
      <c r="Y1036" s="36"/>
      <c r="Z1036" s="36"/>
      <c r="AA1036" s="36"/>
      <c r="AB1036" s="36"/>
      <c r="AC1036" s="36"/>
      <c r="AD1036" s="36"/>
      <c r="AE1036" s="36"/>
    </row>
    <row r="1037" spans="1:31" ht="15.75" customHeight="1" x14ac:dyDescent="0.25">
      <c r="A1037" s="37"/>
      <c r="B1037" s="801"/>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6"/>
      <c r="Y1037" s="36"/>
      <c r="Z1037" s="36"/>
      <c r="AA1037" s="36"/>
      <c r="AB1037" s="36"/>
      <c r="AC1037" s="36"/>
      <c r="AD1037" s="36"/>
      <c r="AE1037" s="36"/>
    </row>
    <row r="1038" spans="1:31" ht="15.75" customHeight="1" x14ac:dyDescent="0.25">
      <c r="A1038" s="37"/>
      <c r="B1038" s="801"/>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6"/>
      <c r="Y1038" s="36"/>
      <c r="Z1038" s="36"/>
      <c r="AA1038" s="36"/>
      <c r="AB1038" s="36"/>
      <c r="AC1038" s="36"/>
      <c r="AD1038" s="36"/>
      <c r="AE1038" s="36"/>
    </row>
    <row r="1039" spans="1:31" ht="15.75" customHeight="1" x14ac:dyDescent="0.25">
      <c r="A1039" s="37"/>
      <c r="B1039" s="801"/>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6"/>
      <c r="Y1039" s="36"/>
      <c r="Z1039" s="36"/>
      <c r="AA1039" s="36"/>
      <c r="AB1039" s="36"/>
      <c r="AC1039" s="36"/>
      <c r="AD1039" s="36"/>
      <c r="AE1039" s="36"/>
    </row>
    <row r="1040" spans="1:31" ht="15.75" customHeight="1" x14ac:dyDescent="0.25">
      <c r="A1040" s="37"/>
      <c r="B1040" s="801"/>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6"/>
      <c r="Y1040" s="36"/>
      <c r="Z1040" s="36"/>
      <c r="AA1040" s="36"/>
      <c r="AB1040" s="36"/>
      <c r="AC1040" s="36"/>
      <c r="AD1040" s="36"/>
      <c r="AE1040" s="36"/>
    </row>
    <row r="1041" spans="1:31" ht="15.75" customHeight="1" x14ac:dyDescent="0.25">
      <c r="A1041" s="37"/>
      <c r="B1041" s="801"/>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6"/>
      <c r="Y1041" s="36"/>
      <c r="Z1041" s="36"/>
      <c r="AA1041" s="36"/>
      <c r="AB1041" s="36"/>
      <c r="AC1041" s="36"/>
      <c r="AD1041" s="36"/>
      <c r="AE1041" s="36"/>
    </row>
    <row r="1042" spans="1:31" ht="15.75" customHeight="1" x14ac:dyDescent="0.25">
      <c r="A1042" s="37"/>
      <c r="B1042" s="801"/>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6"/>
      <c r="Y1042" s="36"/>
      <c r="Z1042" s="36"/>
      <c r="AA1042" s="36"/>
      <c r="AB1042" s="36"/>
      <c r="AC1042" s="36"/>
      <c r="AD1042" s="36"/>
      <c r="AE1042" s="36"/>
    </row>
    <row r="1043" spans="1:31" ht="15.75" customHeight="1" x14ac:dyDescent="0.25">
      <c r="A1043" s="37"/>
      <c r="B1043" s="801"/>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6"/>
      <c r="Y1043" s="36"/>
      <c r="Z1043" s="36"/>
      <c r="AA1043" s="36"/>
      <c r="AB1043" s="36"/>
      <c r="AC1043" s="36"/>
      <c r="AD1043" s="36"/>
      <c r="AE1043" s="36"/>
    </row>
    <row r="1044" spans="1:31" ht="15.75" customHeight="1" x14ac:dyDescent="0.25">
      <c r="A1044" s="37"/>
      <c r="B1044" s="801"/>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6"/>
      <c r="Y1044" s="36"/>
      <c r="Z1044" s="36"/>
      <c r="AA1044" s="36"/>
      <c r="AB1044" s="36"/>
      <c r="AC1044" s="36"/>
      <c r="AD1044" s="36"/>
      <c r="AE1044" s="36"/>
    </row>
    <row r="1045" spans="1:31" ht="15.75" customHeight="1" x14ac:dyDescent="0.25">
      <c r="A1045" s="37"/>
      <c r="B1045" s="801"/>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6"/>
      <c r="Y1045" s="36"/>
      <c r="Z1045" s="36"/>
      <c r="AA1045" s="36"/>
      <c r="AB1045" s="36"/>
      <c r="AC1045" s="36"/>
      <c r="AD1045" s="36"/>
      <c r="AE1045" s="36"/>
    </row>
    <row r="1046" spans="1:31" ht="15.75" customHeight="1" x14ac:dyDescent="0.25">
      <c r="A1046" s="37"/>
      <c r="B1046" s="801"/>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6"/>
      <c r="Y1046" s="36"/>
      <c r="Z1046" s="36"/>
      <c r="AA1046" s="36"/>
      <c r="AB1046" s="36"/>
      <c r="AC1046" s="36"/>
      <c r="AD1046" s="36"/>
      <c r="AE1046" s="36"/>
    </row>
    <row r="1047" spans="1:31" ht="15.75" customHeight="1" x14ac:dyDescent="0.25">
      <c r="A1047" s="37"/>
      <c r="B1047" s="801"/>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6"/>
      <c r="Y1047" s="36"/>
      <c r="Z1047" s="36"/>
      <c r="AA1047" s="36"/>
      <c r="AB1047" s="36"/>
      <c r="AC1047" s="36"/>
      <c r="AD1047" s="36"/>
      <c r="AE1047" s="36"/>
    </row>
    <row r="1048" spans="1:31" ht="15.75" customHeight="1" x14ac:dyDescent="0.25">
      <c r="A1048" s="37"/>
      <c r="B1048" s="801"/>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6"/>
      <c r="Y1048" s="36"/>
      <c r="Z1048" s="36"/>
      <c r="AA1048" s="36"/>
      <c r="AB1048" s="36"/>
      <c r="AC1048" s="36"/>
      <c r="AD1048" s="36"/>
      <c r="AE1048" s="36"/>
    </row>
    <row r="1049" spans="1:31" ht="15.75" customHeight="1" x14ac:dyDescent="0.25">
      <c r="A1049" s="37"/>
      <c r="B1049" s="801"/>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6"/>
      <c r="Y1049" s="36"/>
      <c r="Z1049" s="36"/>
      <c r="AA1049" s="36"/>
      <c r="AB1049" s="36"/>
      <c r="AC1049" s="36"/>
      <c r="AD1049" s="36"/>
      <c r="AE1049" s="36"/>
    </row>
    <row r="1050" spans="1:31" ht="15.75" customHeight="1" x14ac:dyDescent="0.25">
      <c r="A1050" s="37"/>
      <c r="B1050" s="801"/>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6"/>
      <c r="Y1050" s="36"/>
      <c r="Z1050" s="36"/>
      <c r="AA1050" s="36"/>
      <c r="AB1050" s="36"/>
      <c r="AC1050" s="36"/>
      <c r="AD1050" s="36"/>
      <c r="AE1050" s="36"/>
    </row>
    <row r="1051" spans="1:31" ht="15.75" customHeight="1" x14ac:dyDescent="0.25">
      <c r="A1051" s="37"/>
      <c r="B1051" s="801"/>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6"/>
      <c r="Y1051" s="36"/>
      <c r="Z1051" s="36"/>
      <c r="AA1051" s="36"/>
      <c r="AB1051" s="36"/>
      <c r="AC1051" s="36"/>
      <c r="AD1051" s="36"/>
      <c r="AE1051" s="36"/>
    </row>
    <row r="1052" spans="1:31" ht="15.75" customHeight="1" x14ac:dyDescent="0.25">
      <c r="A1052" s="37"/>
      <c r="B1052" s="801"/>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6"/>
      <c r="Y1052" s="36"/>
      <c r="Z1052" s="36"/>
      <c r="AA1052" s="36"/>
      <c r="AB1052" s="36"/>
      <c r="AC1052" s="36"/>
      <c r="AD1052" s="36"/>
      <c r="AE1052" s="36"/>
    </row>
    <row r="1053" spans="1:31" ht="15.75" customHeight="1" x14ac:dyDescent="0.25">
      <c r="A1053" s="37"/>
      <c r="B1053" s="801"/>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6"/>
      <c r="Y1053" s="36"/>
      <c r="Z1053" s="36"/>
      <c r="AA1053" s="36"/>
      <c r="AB1053" s="36"/>
      <c r="AC1053" s="36"/>
      <c r="AD1053" s="36"/>
      <c r="AE1053" s="36"/>
    </row>
    <row r="1054" spans="1:31" ht="15.75" customHeight="1" x14ac:dyDescent="0.25">
      <c r="A1054" s="37"/>
      <c r="B1054" s="801"/>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6"/>
      <c r="Y1054" s="36"/>
      <c r="Z1054" s="36"/>
      <c r="AA1054" s="36"/>
      <c r="AB1054" s="36"/>
      <c r="AC1054" s="36"/>
      <c r="AD1054" s="36"/>
      <c r="AE1054" s="36"/>
    </row>
    <row r="1055" spans="1:31" ht="15.75" customHeight="1" x14ac:dyDescent="0.25">
      <c r="A1055" s="37"/>
      <c r="B1055" s="801"/>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6"/>
      <c r="Y1055" s="36"/>
      <c r="Z1055" s="36"/>
      <c r="AA1055" s="36"/>
      <c r="AB1055" s="36"/>
      <c r="AC1055" s="36"/>
      <c r="AD1055" s="36"/>
      <c r="AE1055" s="36"/>
    </row>
    <row r="1056" spans="1:31" ht="15.75" customHeight="1" x14ac:dyDescent="0.25">
      <c r="A1056" s="37"/>
      <c r="B1056" s="801"/>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6"/>
      <c r="Y1056" s="36"/>
      <c r="Z1056" s="36"/>
      <c r="AA1056" s="36"/>
      <c r="AB1056" s="36"/>
      <c r="AC1056" s="36"/>
      <c r="AD1056" s="36"/>
      <c r="AE1056" s="36"/>
    </row>
    <row r="1057" spans="1:31" ht="15.75" customHeight="1" x14ac:dyDescent="0.25">
      <c r="A1057" s="37"/>
      <c r="B1057" s="801"/>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6"/>
      <c r="Y1057" s="36"/>
      <c r="Z1057" s="36"/>
      <c r="AA1057" s="36"/>
      <c r="AB1057" s="36"/>
      <c r="AC1057" s="36"/>
      <c r="AD1057" s="36"/>
      <c r="AE1057" s="36"/>
    </row>
    <row r="1058" spans="1:31" ht="15.75" customHeight="1" x14ac:dyDescent="0.25">
      <c r="A1058" s="37"/>
      <c r="B1058" s="801"/>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6"/>
      <c r="Y1058" s="36"/>
      <c r="Z1058" s="36"/>
      <c r="AA1058" s="36"/>
      <c r="AB1058" s="36"/>
      <c r="AC1058" s="36"/>
      <c r="AD1058" s="36"/>
      <c r="AE1058" s="36"/>
    </row>
    <row r="1059" spans="1:31" ht="15.75" customHeight="1" x14ac:dyDescent="0.25">
      <c r="A1059" s="37"/>
      <c r="B1059" s="801"/>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6"/>
      <c r="Y1059" s="36"/>
      <c r="Z1059" s="36"/>
      <c r="AA1059" s="36"/>
      <c r="AB1059" s="36"/>
      <c r="AC1059" s="36"/>
      <c r="AD1059" s="36"/>
      <c r="AE1059" s="36"/>
    </row>
    <row r="1060" spans="1:31" ht="15.75" customHeight="1" x14ac:dyDescent="0.25">
      <c r="A1060" s="37"/>
      <c r="B1060" s="801"/>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6"/>
      <c r="Y1060" s="36"/>
      <c r="Z1060" s="36"/>
      <c r="AA1060" s="36"/>
      <c r="AB1060" s="36"/>
      <c r="AC1060" s="36"/>
      <c r="AD1060" s="36"/>
      <c r="AE1060" s="36"/>
    </row>
    <row r="1061" spans="1:31" ht="15.75" customHeight="1" x14ac:dyDescent="0.25">
      <c r="A1061" s="37"/>
      <c r="B1061" s="801"/>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6"/>
      <c r="Y1061" s="36"/>
      <c r="Z1061" s="36"/>
      <c r="AA1061" s="36"/>
      <c r="AB1061" s="36"/>
      <c r="AC1061" s="36"/>
      <c r="AD1061" s="36"/>
      <c r="AE1061" s="36"/>
    </row>
    <row r="1062" spans="1:31" ht="15.75" customHeight="1" x14ac:dyDescent="0.25">
      <c r="A1062" s="37"/>
      <c r="B1062" s="801"/>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6"/>
      <c r="Y1062" s="36"/>
      <c r="Z1062" s="36"/>
      <c r="AA1062" s="36"/>
      <c r="AB1062" s="36"/>
      <c r="AC1062" s="36"/>
      <c r="AD1062" s="36"/>
      <c r="AE1062" s="36"/>
    </row>
  </sheetData>
  <mergeCells count="40">
    <mergeCell ref="A6:X6"/>
    <mergeCell ref="A1:B1"/>
    <mergeCell ref="C1:X1"/>
    <mergeCell ref="A2:B2"/>
    <mergeCell ref="C2:X2"/>
    <mergeCell ref="A3:B3"/>
    <mergeCell ref="A7:X7"/>
    <mergeCell ref="A8:X8"/>
    <mergeCell ref="A9:A10"/>
    <mergeCell ref="B9:B10"/>
    <mergeCell ref="C9:C10"/>
    <mergeCell ref="E9:U9"/>
    <mergeCell ref="X9:X10"/>
    <mergeCell ref="B139:X139"/>
    <mergeCell ref="A33:A34"/>
    <mergeCell ref="B129:X129"/>
    <mergeCell ref="B130:X130"/>
    <mergeCell ref="B131:X131"/>
    <mergeCell ref="B132:X132"/>
    <mergeCell ref="B133:X133"/>
    <mergeCell ref="B134:X134"/>
    <mergeCell ref="B135:X135"/>
    <mergeCell ref="B136:X136"/>
    <mergeCell ref="B137:X137"/>
    <mergeCell ref="B138:X138"/>
    <mergeCell ref="A151:B151"/>
    <mergeCell ref="C151:G151"/>
    <mergeCell ref="I151:K151"/>
    <mergeCell ref="S151:X151"/>
    <mergeCell ref="B140:X140"/>
    <mergeCell ref="B141:X141"/>
    <mergeCell ref="B142:X142"/>
    <mergeCell ref="B143:X143"/>
    <mergeCell ref="B144:X144"/>
    <mergeCell ref="B145:X145"/>
    <mergeCell ref="A146:B146"/>
    <mergeCell ref="C146:G146"/>
    <mergeCell ref="I146:K146"/>
    <mergeCell ref="S146:X146"/>
    <mergeCell ref="L149:R149"/>
  </mergeCells>
  <pageMargins left="0.43307086614173229" right="0.35433070866141736" top="0.43307086614173229" bottom="0.51181102362204722" header="0.39370078740157483" footer="0.43307086614173229"/>
  <pageSetup paperSize="9" scale="50" orientation="landscape" blackAndWhite="1" r:id="rId1"/>
  <ignoredErrors>
    <ignoredError sqref="M24 K29:K30 L29:L30" evalErro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7A5B9-5EF0-440D-AF89-BED9E459D771}">
  <sheetPr>
    <tabColor rgb="FF00B050"/>
  </sheetPr>
  <dimension ref="A1:J24"/>
  <sheetViews>
    <sheetView workbookViewId="0">
      <pane ySplit="3" topLeftCell="A4" activePane="bottomLeft" state="frozen"/>
      <selection pane="bottomLeft" activeCell="C10" sqref="C10"/>
    </sheetView>
  </sheetViews>
  <sheetFormatPr defaultRowHeight="18.75" x14ac:dyDescent="0.3"/>
  <cols>
    <col min="1" max="1" width="9.140625" style="232"/>
    <col min="2" max="2" width="24.42578125" style="231" customWidth="1"/>
    <col min="3" max="5" width="13" style="231" customWidth="1"/>
    <col min="6" max="9" width="14.7109375" style="231" customWidth="1"/>
    <col min="10" max="10" width="22.28515625" style="231" customWidth="1"/>
    <col min="11" max="16384" width="9.140625" style="231"/>
  </cols>
  <sheetData>
    <row r="1" spans="1:10" x14ac:dyDescent="0.3">
      <c r="A1" s="232" t="s">
        <v>888</v>
      </c>
    </row>
    <row r="2" spans="1:10" x14ac:dyDescent="0.3">
      <c r="A2" s="571"/>
      <c r="B2" s="570" t="s">
        <v>890</v>
      </c>
      <c r="C2" s="570" t="s">
        <v>895</v>
      </c>
      <c r="D2" s="570" t="s">
        <v>896</v>
      </c>
      <c r="E2" s="571" t="s">
        <v>897</v>
      </c>
      <c r="F2" s="990" t="s">
        <v>889</v>
      </c>
      <c r="G2" s="990"/>
      <c r="H2" s="990"/>
      <c r="I2" s="990"/>
      <c r="J2" s="570" t="s">
        <v>101</v>
      </c>
    </row>
    <row r="3" spans="1:10" ht="37.5" x14ac:dyDescent="0.3">
      <c r="A3" s="571"/>
      <c r="B3" s="570"/>
      <c r="C3" s="570"/>
      <c r="D3" s="570"/>
      <c r="E3" s="804" t="s">
        <v>898</v>
      </c>
      <c r="F3" s="805" t="s">
        <v>258</v>
      </c>
      <c r="G3" s="805" t="s">
        <v>259</v>
      </c>
      <c r="H3" s="805" t="s">
        <v>260</v>
      </c>
      <c r="I3" s="805" t="s">
        <v>261</v>
      </c>
      <c r="J3" s="570"/>
    </row>
    <row r="4" spans="1:10" x14ac:dyDescent="0.3">
      <c r="A4" s="806" t="s">
        <v>893</v>
      </c>
      <c r="B4" s="570" t="s">
        <v>900</v>
      </c>
      <c r="C4" s="570"/>
      <c r="D4" s="572">
        <f>SUM(D5:D10)</f>
        <v>430000</v>
      </c>
      <c r="E4" s="572">
        <f>SUM(E5:E11)</f>
        <v>1145300</v>
      </c>
      <c r="F4" s="570"/>
      <c r="G4" s="570"/>
      <c r="H4" s="570"/>
      <c r="I4" s="570"/>
      <c r="J4" s="570"/>
    </row>
    <row r="5" spans="1:10" x14ac:dyDescent="0.3">
      <c r="A5" s="571">
        <v>1</v>
      </c>
      <c r="B5" s="125" t="s">
        <v>468</v>
      </c>
      <c r="C5" s="573">
        <f>KH_LC!T110</f>
        <v>103800</v>
      </c>
      <c r="D5" s="573">
        <f>KH_LC!V110</f>
        <v>103800</v>
      </c>
      <c r="E5" s="573">
        <f>C5-D5</f>
        <v>0</v>
      </c>
      <c r="F5" s="572">
        <f>KH_LC!AA110</f>
        <v>103800</v>
      </c>
      <c r="G5" s="570"/>
      <c r="H5" s="570"/>
      <c r="I5" s="570"/>
      <c r="J5" s="570"/>
    </row>
    <row r="6" spans="1:10" x14ac:dyDescent="0.3">
      <c r="A6" s="571">
        <v>2</v>
      </c>
      <c r="B6" s="125" t="s">
        <v>607</v>
      </c>
      <c r="C6" s="573">
        <f>KH_LC!J111</f>
        <v>150200</v>
      </c>
      <c r="D6" s="573">
        <f>KH_LC!V111</f>
        <v>150200</v>
      </c>
      <c r="E6" s="573">
        <f t="shared" ref="E6:E11" si="0">C6-D6</f>
        <v>0</v>
      </c>
      <c r="F6" s="570"/>
      <c r="G6" s="572">
        <f>KH_LC!AE111</f>
        <v>129600</v>
      </c>
      <c r="H6" s="572">
        <f>KH_LC!AI111</f>
        <v>20600</v>
      </c>
      <c r="I6" s="570"/>
      <c r="J6" s="570"/>
    </row>
    <row r="7" spans="1:10" x14ac:dyDescent="0.3">
      <c r="A7" s="571">
        <v>3</v>
      </c>
      <c r="B7" s="125" t="s">
        <v>608</v>
      </c>
      <c r="C7" s="573">
        <f>KH_LC!J112</f>
        <v>249000</v>
      </c>
      <c r="D7" s="573">
        <f>KH_LC!V112</f>
        <v>176000</v>
      </c>
      <c r="E7" s="573">
        <f t="shared" si="0"/>
        <v>73000</v>
      </c>
      <c r="F7" s="570"/>
      <c r="G7" s="570"/>
      <c r="H7" s="572">
        <f>KH_LC!AI112</f>
        <v>53000</v>
      </c>
      <c r="I7" s="572">
        <f>KH_LC!AM112</f>
        <v>123000</v>
      </c>
      <c r="J7" s="570"/>
    </row>
    <row r="8" spans="1:10" ht="19.5" x14ac:dyDescent="0.35">
      <c r="A8" s="807" t="s">
        <v>492</v>
      </c>
      <c r="B8" s="125" t="s">
        <v>892</v>
      </c>
      <c r="C8" s="125">
        <v>223100</v>
      </c>
      <c r="D8" s="125">
        <v>0</v>
      </c>
      <c r="E8" s="573">
        <f t="shared" si="0"/>
        <v>223100</v>
      </c>
      <c r="F8" s="570"/>
      <c r="G8" s="570"/>
      <c r="H8" s="570"/>
      <c r="I8" s="570"/>
      <c r="J8" s="570"/>
    </row>
    <row r="9" spans="1:10" x14ac:dyDescent="0.3">
      <c r="A9" s="806"/>
      <c r="B9" s="125" t="s">
        <v>903</v>
      </c>
      <c r="C9" s="125">
        <v>254400</v>
      </c>
      <c r="D9" s="125">
        <v>0</v>
      </c>
      <c r="E9" s="573">
        <f t="shared" si="0"/>
        <v>254400</v>
      </c>
      <c r="F9" s="570"/>
      <c r="G9" s="570"/>
      <c r="H9" s="570"/>
      <c r="I9" s="570"/>
      <c r="J9" s="570" t="s">
        <v>905</v>
      </c>
    </row>
    <row r="10" spans="1:10" x14ac:dyDescent="0.3">
      <c r="A10" s="806"/>
      <c r="B10" s="125" t="s">
        <v>609</v>
      </c>
      <c r="C10" s="125">
        <v>297800</v>
      </c>
      <c r="D10" s="125">
        <v>0</v>
      </c>
      <c r="E10" s="573">
        <f t="shared" si="0"/>
        <v>297800</v>
      </c>
      <c r="F10" s="570"/>
      <c r="G10" s="570"/>
      <c r="H10" s="570"/>
      <c r="I10" s="570"/>
      <c r="J10" s="570" t="s">
        <v>906</v>
      </c>
    </row>
    <row r="11" spans="1:10" x14ac:dyDescent="0.3">
      <c r="A11" s="806"/>
      <c r="B11" s="125" t="s">
        <v>904</v>
      </c>
      <c r="C11" s="125">
        <v>297000</v>
      </c>
      <c r="D11" s="125">
        <v>0</v>
      </c>
      <c r="E11" s="573">
        <f t="shared" si="0"/>
        <v>297000</v>
      </c>
      <c r="F11" s="570"/>
      <c r="G11" s="570"/>
      <c r="H11" s="570"/>
      <c r="I11" s="570"/>
      <c r="J11" s="570" t="s">
        <v>907</v>
      </c>
    </row>
    <row r="12" spans="1:10" x14ac:dyDescent="0.3">
      <c r="A12" s="806"/>
      <c r="B12" s="125"/>
      <c r="C12" s="570"/>
      <c r="D12" s="570"/>
      <c r="E12" s="570"/>
      <c r="F12" s="570"/>
      <c r="G12" s="570"/>
      <c r="H12" s="570"/>
      <c r="I12" s="570"/>
      <c r="J12" s="570" t="s">
        <v>908</v>
      </c>
    </row>
    <row r="13" spans="1:10" x14ac:dyDescent="0.3">
      <c r="A13" s="806"/>
      <c r="B13" s="570"/>
      <c r="C13" s="570"/>
      <c r="D13" s="570"/>
      <c r="E13" s="570"/>
      <c r="F13" s="570"/>
      <c r="G13" s="570"/>
      <c r="H13" s="570"/>
      <c r="I13" s="570"/>
      <c r="J13" s="570"/>
    </row>
    <row r="14" spans="1:10" x14ac:dyDescent="0.3">
      <c r="A14" s="806" t="s">
        <v>894</v>
      </c>
      <c r="B14" s="570" t="s">
        <v>901</v>
      </c>
      <c r="C14" s="570"/>
      <c r="D14" s="572">
        <f>SUM(D15:D21)</f>
        <v>340000</v>
      </c>
      <c r="E14" s="572">
        <f>SUM(E15:E21)</f>
        <v>1011600</v>
      </c>
      <c r="F14" s="570"/>
      <c r="G14" s="570"/>
      <c r="H14" s="570"/>
      <c r="I14" s="570"/>
      <c r="J14" s="570"/>
    </row>
    <row r="15" spans="1:10" x14ac:dyDescent="0.3">
      <c r="A15" s="571">
        <v>1</v>
      </c>
      <c r="B15" s="125" t="s">
        <v>470</v>
      </c>
      <c r="C15" s="573">
        <f>KH_LC!J100</f>
        <v>106900</v>
      </c>
      <c r="D15" s="573">
        <f>KH_LC!V100</f>
        <v>106900</v>
      </c>
      <c r="E15" s="573">
        <f>C15-D15</f>
        <v>0</v>
      </c>
      <c r="F15" s="572">
        <f>KH_LC!AA100</f>
        <v>88300</v>
      </c>
      <c r="G15" s="572">
        <f>KH_LC!AE100</f>
        <v>18600</v>
      </c>
      <c r="H15" s="570"/>
      <c r="I15" s="570"/>
      <c r="J15" s="570"/>
    </row>
    <row r="16" spans="1:10" hidden="1" x14ac:dyDescent="0.3">
      <c r="A16" s="571"/>
      <c r="B16" s="125"/>
      <c r="C16" s="125"/>
      <c r="D16" s="125"/>
      <c r="E16" s="573">
        <f t="shared" ref="E16:E21" si="1">C16-D16</f>
        <v>0</v>
      </c>
      <c r="F16" s="570"/>
      <c r="G16" s="570"/>
      <c r="H16" s="570"/>
      <c r="I16" s="570"/>
      <c r="J16" s="570"/>
    </row>
    <row r="17" spans="1:10" x14ac:dyDescent="0.3">
      <c r="A17" s="571">
        <v>2</v>
      </c>
      <c r="B17" s="125" t="s">
        <v>606</v>
      </c>
      <c r="C17" s="573">
        <f>KH_LC!J102</f>
        <v>188400</v>
      </c>
      <c r="D17" s="573">
        <f>KH_LC!V102</f>
        <v>188400</v>
      </c>
      <c r="E17" s="573">
        <f t="shared" si="1"/>
        <v>0</v>
      </c>
      <c r="F17" s="570"/>
      <c r="G17" s="572">
        <f>KH_LC!AE102</f>
        <v>54000</v>
      </c>
      <c r="H17" s="572">
        <f>KH_LC!AI102</f>
        <v>101400</v>
      </c>
      <c r="I17" s="572">
        <f>KH_LC!AM102</f>
        <v>33000</v>
      </c>
      <c r="J17" s="570"/>
    </row>
    <row r="18" spans="1:10" x14ac:dyDescent="0.3">
      <c r="A18" s="571">
        <v>3</v>
      </c>
      <c r="B18" s="125" t="s">
        <v>628</v>
      </c>
      <c r="C18" s="573">
        <f>KH_LC!J103</f>
        <v>144300</v>
      </c>
      <c r="D18" s="573">
        <f>KH_LC!V103</f>
        <v>44700</v>
      </c>
      <c r="E18" s="573">
        <f t="shared" si="1"/>
        <v>99600</v>
      </c>
      <c r="F18" s="570"/>
      <c r="G18" s="570"/>
      <c r="H18" s="570"/>
      <c r="I18" s="572">
        <f>KH_LC!AM103</f>
        <v>44700</v>
      </c>
      <c r="J18" s="570"/>
    </row>
    <row r="19" spans="1:10" ht="19.5" x14ac:dyDescent="0.35">
      <c r="A19" s="807" t="s">
        <v>492</v>
      </c>
      <c r="B19" s="125" t="s">
        <v>899</v>
      </c>
      <c r="C19" s="570">
        <v>84000</v>
      </c>
      <c r="D19" s="570">
        <v>0</v>
      </c>
      <c r="E19" s="573">
        <f t="shared" si="1"/>
        <v>84000</v>
      </c>
      <c r="F19" s="570"/>
      <c r="G19" s="570"/>
      <c r="H19" s="570"/>
      <c r="I19" s="570"/>
      <c r="J19" s="570"/>
    </row>
    <row r="20" spans="1:10" ht="19.5" x14ac:dyDescent="0.35">
      <c r="A20" s="807"/>
      <c r="B20" s="570" t="s">
        <v>902</v>
      </c>
      <c r="C20" s="570">
        <v>569000</v>
      </c>
      <c r="D20" s="570">
        <v>0</v>
      </c>
      <c r="E20" s="573">
        <f t="shared" ref="E20" si="2">C20-D20</f>
        <v>569000</v>
      </c>
      <c r="F20" s="570"/>
      <c r="G20" s="570"/>
      <c r="H20" s="570"/>
      <c r="I20" s="570"/>
      <c r="J20" s="570"/>
    </row>
    <row r="21" spans="1:10" x14ac:dyDescent="0.3">
      <c r="A21" s="571"/>
      <c r="B21" s="125" t="s">
        <v>891</v>
      </c>
      <c r="C21" s="570">
        <v>259000</v>
      </c>
      <c r="D21" s="570">
        <v>0</v>
      </c>
      <c r="E21" s="573">
        <f t="shared" si="1"/>
        <v>259000</v>
      </c>
      <c r="F21" s="570"/>
      <c r="G21" s="570"/>
      <c r="H21" s="570"/>
      <c r="I21" s="570"/>
      <c r="J21" s="570" t="s">
        <v>908</v>
      </c>
    </row>
    <row r="22" spans="1:10" x14ac:dyDescent="0.3">
      <c r="A22" s="232" t="s">
        <v>909</v>
      </c>
      <c r="B22" s="231" t="s">
        <v>910</v>
      </c>
    </row>
    <row r="23" spans="1:10" x14ac:dyDescent="0.3">
      <c r="A23" s="232">
        <v>1</v>
      </c>
      <c r="B23" s="231" t="s">
        <v>619</v>
      </c>
    </row>
    <row r="24" spans="1:10" x14ac:dyDescent="0.3">
      <c r="A24" s="232">
        <v>2</v>
      </c>
    </row>
  </sheetData>
  <mergeCells count="1">
    <mergeCell ref="F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92356-1302-426A-AB95-CEFDAF777755}">
  <sheetPr codeName="Sheet13"/>
  <dimension ref="A1:AL32"/>
  <sheetViews>
    <sheetView view="pageBreakPreview" topLeftCell="A2" zoomScaleNormal="100" zoomScaleSheetLayoutView="100" workbookViewId="0">
      <selection activeCell="Q31" sqref="Q31"/>
    </sheetView>
  </sheetViews>
  <sheetFormatPr defaultColWidth="9.140625" defaultRowHeight="15" x14ac:dyDescent="0.25"/>
  <cols>
    <col min="1" max="1" width="10.5703125" style="35" customWidth="1"/>
    <col min="2" max="2" width="11.5703125" style="35" customWidth="1"/>
    <col min="3" max="3" width="8.85546875" style="33" bestFit="1" customWidth="1"/>
    <col min="4" max="4" width="9" style="33" customWidth="1"/>
    <col min="5" max="5" width="10.7109375" style="33" customWidth="1"/>
    <col min="6" max="6" width="6.85546875" style="33" hidden="1" customWidth="1"/>
    <col min="7" max="7" width="5.85546875" style="33" hidden="1" customWidth="1"/>
    <col min="8" max="8" width="8.140625" style="33" hidden="1" customWidth="1"/>
    <col min="9" max="10" width="6.85546875" style="33" hidden="1" customWidth="1"/>
    <col min="11" max="11" width="9.42578125" style="33" hidden="1" customWidth="1"/>
    <col min="12" max="12" width="6" style="33" hidden="1" customWidth="1"/>
    <col min="13" max="13" width="6.85546875" style="33" hidden="1" customWidth="1"/>
    <col min="14" max="14" width="3.42578125" style="33" hidden="1" customWidth="1"/>
    <col min="15" max="15" width="8.5703125" style="33" customWidth="1"/>
    <col min="16" max="16" width="8.28515625" style="33" customWidth="1"/>
    <col min="17" max="17" width="9.140625" style="33" customWidth="1"/>
    <col min="18" max="18" width="8.85546875" style="35" customWidth="1"/>
    <col min="19" max="19" width="8.28515625" style="35" customWidth="1"/>
    <col min="20" max="23" width="11.28515625" style="35" customWidth="1"/>
    <col min="24" max="24" width="10.7109375" style="35" customWidth="1"/>
    <col min="25" max="25" width="9.85546875" style="35" customWidth="1"/>
    <col min="26" max="26" width="11.28515625" style="35" customWidth="1"/>
    <col min="27" max="27" width="10.42578125" style="35" customWidth="1"/>
    <col min="28" max="28" width="9.7109375" style="35" customWidth="1"/>
    <col min="29" max="29" width="12" style="35" customWidth="1"/>
    <col min="30" max="30" width="12.7109375" style="35" customWidth="1"/>
    <col min="31" max="33" width="8.5703125" style="35" hidden="1" customWidth="1"/>
    <col min="34" max="35" width="0" style="33" hidden="1" customWidth="1"/>
    <col min="36" max="37" width="10.140625" style="33" hidden="1" customWidth="1"/>
    <col min="38" max="38" width="10.140625" style="33" bestFit="1" customWidth="1"/>
    <col min="39" max="16384" width="9.140625" style="33"/>
  </cols>
  <sheetData>
    <row r="1" spans="1:38" hidden="1" x14ac:dyDescent="0.25">
      <c r="R1" s="138"/>
      <c r="S1" s="138"/>
      <c r="T1" s="138"/>
      <c r="U1" s="138"/>
      <c r="V1" s="138"/>
      <c r="W1" s="138"/>
      <c r="X1" s="138"/>
      <c r="Y1" s="138"/>
      <c r="Z1" s="138"/>
      <c r="AA1" s="138"/>
      <c r="AB1" s="138"/>
      <c r="AC1" s="138"/>
      <c r="AD1" s="138"/>
      <c r="AE1" s="138"/>
      <c r="AF1" s="138"/>
      <c r="AG1" s="138"/>
    </row>
    <row r="2" spans="1:38" ht="18.75" x14ac:dyDescent="0.3">
      <c r="A2" s="985" t="s">
        <v>223</v>
      </c>
      <c r="B2" s="985"/>
      <c r="C2" s="985"/>
      <c r="D2" s="985"/>
      <c r="E2" s="985"/>
      <c r="F2" s="985"/>
      <c r="G2" s="985"/>
      <c r="H2" s="985"/>
      <c r="I2" s="985"/>
      <c r="J2" s="985"/>
      <c r="K2" s="985"/>
      <c r="L2" s="985"/>
      <c r="M2" s="985"/>
      <c r="N2" s="985"/>
      <c r="O2" s="985"/>
      <c r="P2" s="985"/>
      <c r="Q2" s="985"/>
      <c r="R2" s="985"/>
      <c r="S2" s="985"/>
      <c r="T2" s="985"/>
      <c r="U2" s="985"/>
      <c r="V2" s="985"/>
      <c r="W2" s="985"/>
      <c r="X2" s="985"/>
      <c r="Y2" s="985"/>
      <c r="Z2" s="985"/>
      <c r="AA2" s="985"/>
      <c r="AB2" s="985"/>
      <c r="AC2" s="985"/>
      <c r="AD2" s="71"/>
      <c r="AE2" s="71"/>
      <c r="AF2" s="71"/>
      <c r="AG2" s="71"/>
      <c r="AH2" s="139" t="e">
        <f>1715+AH7</f>
        <v>#REF!</v>
      </c>
      <c r="AJ2" s="139" t="e">
        <f>SUM(AJ8:AJ27)</f>
        <v>#REF!</v>
      </c>
      <c r="AK2" s="139" t="e">
        <v>#REF!</v>
      </c>
    </row>
    <row r="3" spans="1:38" s="146" customFormat="1" ht="16.5" hidden="1" x14ac:dyDescent="0.25">
      <c r="A3" s="140" t="s">
        <v>173</v>
      </c>
      <c r="B3" s="141"/>
      <c r="C3" s="141"/>
      <c r="D3" s="141"/>
      <c r="E3" s="141"/>
      <c r="F3" s="141"/>
      <c r="G3" s="141"/>
      <c r="H3" s="141"/>
      <c r="I3" s="141"/>
      <c r="J3" s="141"/>
      <c r="K3" s="141"/>
      <c r="L3" s="141"/>
      <c r="M3" s="141"/>
      <c r="N3" s="141"/>
      <c r="O3" s="141"/>
      <c r="P3" s="141"/>
      <c r="Q3" s="141"/>
      <c r="R3" s="142" t="e">
        <f>#REF!*10.59/1000</f>
        <v>#REF!</v>
      </c>
      <c r="S3" s="143"/>
      <c r="T3" s="143">
        <v>1200000</v>
      </c>
      <c r="U3" s="143"/>
      <c r="V3" s="143"/>
      <c r="W3" s="143"/>
      <c r="X3" s="143"/>
      <c r="Y3" s="143"/>
      <c r="Z3" s="143"/>
      <c r="AA3" s="143">
        <f>AC3*10.59/1000</f>
        <v>26475</v>
      </c>
      <c r="AB3" s="144">
        <v>7300</v>
      </c>
      <c r="AC3" s="144">
        <v>2500000</v>
      </c>
      <c r="AD3" s="144"/>
      <c r="AE3" s="144"/>
      <c r="AF3" s="144"/>
      <c r="AG3" s="144"/>
      <c r="AH3" s="145"/>
      <c r="AJ3" s="145"/>
      <c r="AK3" s="145"/>
    </row>
    <row r="4" spans="1:38" ht="18.75" hidden="1" x14ac:dyDescent="0.3">
      <c r="A4" s="147"/>
      <c r="B4" s="147"/>
      <c r="C4" s="147"/>
      <c r="D4" s="147"/>
      <c r="E4" s="147"/>
      <c r="F4" s="147"/>
      <c r="G4" s="147"/>
      <c r="H4" s="147"/>
      <c r="I4" s="147"/>
      <c r="J4" s="147"/>
      <c r="K4" s="147"/>
      <c r="L4" s="147"/>
      <c r="M4" s="147"/>
      <c r="N4" s="147"/>
      <c r="O4" s="147"/>
      <c r="P4" s="147"/>
      <c r="Q4" s="147"/>
      <c r="AH4" s="139"/>
      <c r="AJ4" s="139"/>
      <c r="AK4" s="139"/>
    </row>
    <row r="5" spans="1:38" x14ac:dyDescent="0.25">
      <c r="A5" s="56"/>
      <c r="B5" s="56"/>
      <c r="C5" s="992" t="s">
        <v>227</v>
      </c>
      <c r="D5" s="992"/>
      <c r="E5" s="993"/>
      <c r="F5" s="991" t="s">
        <v>142</v>
      </c>
      <c r="G5" s="992"/>
      <c r="H5" s="993"/>
      <c r="I5" s="991" t="s">
        <v>143</v>
      </c>
      <c r="J5" s="992"/>
      <c r="K5" s="993"/>
      <c r="L5" s="991" t="s">
        <v>144</v>
      </c>
      <c r="M5" s="992"/>
      <c r="N5" s="993"/>
      <c r="O5" s="991" t="s">
        <v>228</v>
      </c>
      <c r="P5" s="992"/>
      <c r="Q5" s="993"/>
      <c r="R5" s="991" t="s">
        <v>229</v>
      </c>
      <c r="S5" s="992"/>
      <c r="T5" s="993"/>
      <c r="U5" s="991" t="s">
        <v>203</v>
      </c>
      <c r="V5" s="992"/>
      <c r="W5" s="993"/>
      <c r="X5" s="991" t="s">
        <v>172</v>
      </c>
      <c r="Y5" s="992"/>
      <c r="Z5" s="993"/>
      <c r="AA5" s="991" t="s">
        <v>175</v>
      </c>
      <c r="AB5" s="992"/>
      <c r="AC5" s="993"/>
      <c r="AD5" s="148" t="s">
        <v>101</v>
      </c>
      <c r="AE5" s="991" t="s">
        <v>174</v>
      </c>
      <c r="AF5" s="992"/>
      <c r="AG5" s="993"/>
      <c r="AH5" s="994" t="s">
        <v>171</v>
      </c>
      <c r="AI5" s="995"/>
      <c r="AJ5" s="995"/>
    </row>
    <row r="6" spans="1:38" s="149" customFormat="1" ht="14.25" x14ac:dyDescent="0.2">
      <c r="A6" s="178" t="s">
        <v>230</v>
      </c>
      <c r="B6" s="179" t="s">
        <v>231</v>
      </c>
      <c r="C6" s="179" t="s">
        <v>33</v>
      </c>
      <c r="D6" s="179" t="s">
        <v>165</v>
      </c>
      <c r="E6" s="179" t="s">
        <v>166</v>
      </c>
      <c r="F6" s="179" t="s">
        <v>154</v>
      </c>
      <c r="G6" s="179" t="s">
        <v>232</v>
      </c>
      <c r="H6" s="179" t="s">
        <v>233</v>
      </c>
      <c r="I6" s="179" t="s">
        <v>157</v>
      </c>
      <c r="J6" s="179" t="s">
        <v>234</v>
      </c>
      <c r="K6" s="179" t="s">
        <v>235</v>
      </c>
      <c r="L6" s="179" t="s">
        <v>236</v>
      </c>
      <c r="M6" s="179" t="s">
        <v>237</v>
      </c>
      <c r="N6" s="179" t="s">
        <v>238</v>
      </c>
      <c r="O6" s="179" t="s">
        <v>239</v>
      </c>
      <c r="P6" s="179" t="s">
        <v>240</v>
      </c>
      <c r="Q6" s="179" t="s">
        <v>241</v>
      </c>
      <c r="R6" s="180" t="s">
        <v>242</v>
      </c>
      <c r="S6" s="180" t="s">
        <v>243</v>
      </c>
      <c r="T6" s="180" t="s">
        <v>244</v>
      </c>
      <c r="U6" s="180" t="s">
        <v>255</v>
      </c>
      <c r="V6" s="180" t="s">
        <v>254</v>
      </c>
      <c r="W6" s="180" t="s">
        <v>253</v>
      </c>
      <c r="X6" s="180" t="s">
        <v>245</v>
      </c>
      <c r="Y6" s="180" t="s">
        <v>246</v>
      </c>
      <c r="Z6" s="180" t="s">
        <v>247</v>
      </c>
      <c r="AA6" s="180" t="s">
        <v>248</v>
      </c>
      <c r="AB6" s="180" t="s">
        <v>249</v>
      </c>
      <c r="AC6" s="180" t="s">
        <v>250</v>
      </c>
      <c r="AD6" s="149" t="s">
        <v>251</v>
      </c>
      <c r="AE6" s="151"/>
      <c r="AF6" s="151"/>
      <c r="AG6" s="151"/>
      <c r="AH6" s="151" t="s">
        <v>33</v>
      </c>
      <c r="AI6" s="150" t="s">
        <v>165</v>
      </c>
      <c r="AJ6" s="150" t="s">
        <v>166</v>
      </c>
    </row>
    <row r="7" spans="1:38" s="158" customFormat="1" ht="15.75" x14ac:dyDescent="0.25">
      <c r="A7" s="172"/>
      <c r="B7" s="152" t="s">
        <v>160</v>
      </c>
      <c r="C7" s="153">
        <f>SUM(C8:C28)</f>
        <v>0</v>
      </c>
      <c r="D7" s="153">
        <f>SUM(D8:D28)</f>
        <v>0</v>
      </c>
      <c r="E7" s="154">
        <f>SUM(E8:E28)</f>
        <v>903993.60000000009</v>
      </c>
      <c r="F7" s="153" t="e">
        <f t="shared" ref="F7:AC7" si="0">SUM(F8:F28)</f>
        <v>#REF!</v>
      </c>
      <c r="G7" s="153" t="e">
        <f t="shared" si="0"/>
        <v>#REF!</v>
      </c>
      <c r="H7" s="153" t="e">
        <f t="shared" si="0"/>
        <v>#REF!</v>
      </c>
      <c r="I7" s="153" t="e">
        <f t="shared" si="0"/>
        <v>#REF!</v>
      </c>
      <c r="J7" s="153" t="e">
        <f t="shared" si="0"/>
        <v>#REF!</v>
      </c>
      <c r="K7" s="153" t="e">
        <f t="shared" si="0"/>
        <v>#REF!</v>
      </c>
      <c r="L7" s="153" t="e">
        <f t="shared" si="0"/>
        <v>#REF!</v>
      </c>
      <c r="M7" s="153" t="e">
        <f t="shared" si="0"/>
        <v>#REF!</v>
      </c>
      <c r="N7" s="153" t="e">
        <f t="shared" si="0"/>
        <v>#REF!</v>
      </c>
      <c r="O7" s="153">
        <f t="shared" si="0"/>
        <v>0</v>
      </c>
      <c r="P7" s="153">
        <f t="shared" si="0"/>
        <v>0</v>
      </c>
      <c r="Q7" s="153">
        <f t="shared" si="0"/>
        <v>240315.4</v>
      </c>
      <c r="R7" s="153">
        <f t="shared" si="0"/>
        <v>0</v>
      </c>
      <c r="S7" s="153">
        <f t="shared" si="0"/>
        <v>0</v>
      </c>
      <c r="T7" s="153">
        <f t="shared" si="0"/>
        <v>195000</v>
      </c>
      <c r="U7" s="153">
        <f>SUM(U8:U28)</f>
        <v>0</v>
      </c>
      <c r="V7" s="153">
        <f>SUM(V8:V28)</f>
        <v>0</v>
      </c>
      <c r="W7" s="153">
        <f>SUM(W8:W28)</f>
        <v>1339309</v>
      </c>
      <c r="X7" s="153">
        <f t="shared" si="0"/>
        <v>0</v>
      </c>
      <c r="Y7" s="153">
        <f t="shared" si="0"/>
        <v>0</v>
      </c>
      <c r="Z7" s="153">
        <f t="shared" si="0"/>
        <v>240200</v>
      </c>
      <c r="AA7" s="153">
        <f t="shared" si="0"/>
        <v>0</v>
      </c>
      <c r="AB7" s="153">
        <f t="shared" si="0"/>
        <v>0</v>
      </c>
      <c r="AC7" s="155">
        <f t="shared" si="0"/>
        <v>1579508.9999999998</v>
      </c>
      <c r="AD7" s="175"/>
      <c r="AE7" s="153" t="e">
        <f>SUM(AE8:AE27)</f>
        <v>#REF!</v>
      </c>
      <c r="AF7" s="153" t="e">
        <f>SUM(AF8:AF27)</f>
        <v>#REF!</v>
      </c>
      <c r="AG7" s="153" t="e">
        <f>SUM(AG8:AG27)</f>
        <v>#REF!</v>
      </c>
      <c r="AH7" s="156" t="e">
        <f>#REF!+#REF!+F7+I7+L7</f>
        <v>#REF!</v>
      </c>
      <c r="AI7" s="55" t="e">
        <f>#REF!+#REF!+G7+J7+M7</f>
        <v>#REF!</v>
      </c>
      <c r="AJ7" s="157" t="e">
        <f>#REF!+#REF!+H7+K7+N7</f>
        <v>#REF!</v>
      </c>
      <c r="AK7" s="156" t="e">
        <f>AJ7+#REF!</f>
        <v>#REF!</v>
      </c>
      <c r="AL7" s="156">
        <f>ROUND(AC7,-4)</f>
        <v>1580000</v>
      </c>
    </row>
    <row r="8" spans="1:38" ht="15.75" x14ac:dyDescent="0.25">
      <c r="A8" s="173">
        <v>1</v>
      </c>
      <c r="B8" s="152" t="s">
        <v>139</v>
      </c>
      <c r="C8" s="159"/>
      <c r="D8" s="159"/>
      <c r="E8" s="159">
        <v>79324.095000000001</v>
      </c>
      <c r="F8" s="159" t="e">
        <v>#REF!</v>
      </c>
      <c r="G8" s="159" t="e">
        <v>#REF!</v>
      </c>
      <c r="H8" s="160" t="e">
        <v>#REF!</v>
      </c>
      <c r="I8" s="159" t="e">
        <v>#REF!</v>
      </c>
      <c r="J8" s="159" t="e">
        <v>#REF!</v>
      </c>
      <c r="K8" s="160" t="e">
        <v>#REF!</v>
      </c>
      <c r="L8" s="159" t="e">
        <v>#REF!</v>
      </c>
      <c r="M8" s="159" t="e">
        <v>#REF!</v>
      </c>
      <c r="N8" s="160" t="e">
        <v>#REF!</v>
      </c>
      <c r="O8" s="159"/>
      <c r="P8" s="159"/>
      <c r="Q8" s="159">
        <v>17479</v>
      </c>
      <c r="R8" s="161"/>
      <c r="S8" s="161"/>
      <c r="T8" s="161">
        <v>15600</v>
      </c>
      <c r="U8" s="161">
        <f>Table1[[#This Row],[DL]]+Table1[[#This Row],[DL12]]+Table1[[#This Row],[DL15]]</f>
        <v>0</v>
      </c>
      <c r="V8" s="161">
        <f>Table1[[#This Row],[XL]]+Table1[[#This Row],[XL13]]+Table1[[#This Row],[XL16]]</f>
        <v>0</v>
      </c>
      <c r="W8" s="161">
        <f>Table1[[#This Row],[SL]]+Table1[[#This Row],[SL14]]+Table1[[#This Row],[SL17]]</f>
        <v>112403.095</v>
      </c>
      <c r="X8" s="161"/>
      <c r="Y8" s="161"/>
      <c r="Z8" s="161">
        <f>KH_ĐL!L17</f>
        <v>8900</v>
      </c>
      <c r="AA8" s="161">
        <f>C8+O8+R8+X8</f>
        <v>0</v>
      </c>
      <c r="AB8" s="161">
        <f>D8+P8+S8+Y8</f>
        <v>0</v>
      </c>
      <c r="AC8" s="181">
        <f>E8+Q8+T8+Z8</f>
        <v>121303.095</v>
      </c>
      <c r="AD8" s="176"/>
      <c r="AE8" s="161" t="e">
        <f>AC8-#REF!</f>
        <v>#REF!</v>
      </c>
      <c r="AF8" s="161" t="e">
        <f>AA8-#REF!</f>
        <v>#REF!</v>
      </c>
      <c r="AG8" s="161" t="e">
        <f>AB8-#REF!</f>
        <v>#REF!</v>
      </c>
      <c r="AH8" s="162" t="e">
        <f>#REF!+#REF!+F8+I8+L8</f>
        <v>#REF!</v>
      </c>
      <c r="AI8" s="163" t="e">
        <f>#REF!+#REF!+G8+J8+M8</f>
        <v>#REF!</v>
      </c>
      <c r="AJ8" s="163" t="e">
        <f>#REF!+#REF!+H8+K8+N8</f>
        <v>#REF!</v>
      </c>
      <c r="AK8" s="139" t="e">
        <v>#REF!</v>
      </c>
      <c r="AL8" s="205">
        <v>3000</v>
      </c>
    </row>
    <row r="9" spans="1:38" ht="15.75" x14ac:dyDescent="0.25">
      <c r="A9" s="173">
        <v>2</v>
      </c>
      <c r="B9" s="152" t="s">
        <v>140</v>
      </c>
      <c r="C9" s="159"/>
      <c r="D9" s="159"/>
      <c r="E9" s="159">
        <v>50813.020000000004</v>
      </c>
      <c r="F9" s="159" t="e">
        <v>#REF!</v>
      </c>
      <c r="G9" s="159" t="e">
        <v>#REF!</v>
      </c>
      <c r="H9" s="160" t="e">
        <v>#REF!</v>
      </c>
      <c r="I9" s="159" t="e">
        <v>#REF!</v>
      </c>
      <c r="J9" s="159" t="e">
        <v>#REF!</v>
      </c>
      <c r="K9" s="160" t="e">
        <v>#REF!</v>
      </c>
      <c r="L9" s="159" t="e">
        <v>#REF!</v>
      </c>
      <c r="M9" s="159" t="e">
        <v>#REF!</v>
      </c>
      <c r="N9" s="160" t="e">
        <v>#REF!</v>
      </c>
      <c r="O9" s="159"/>
      <c r="P9" s="159"/>
      <c r="Q9" s="159">
        <v>12000</v>
      </c>
      <c r="R9" s="161"/>
      <c r="S9" s="161"/>
      <c r="T9" s="161">
        <v>11200</v>
      </c>
      <c r="U9" s="161">
        <f>Table1[[#This Row],[DL]]+Table1[[#This Row],[DL12]]+Table1[[#This Row],[DL15]]</f>
        <v>0</v>
      </c>
      <c r="V9" s="161">
        <f>Table1[[#This Row],[XL]]+Table1[[#This Row],[XL13]]+Table1[[#This Row],[XL16]]</f>
        <v>0</v>
      </c>
      <c r="W9" s="161">
        <f>Table1[[#This Row],[SL]]+Table1[[#This Row],[SL14]]+Table1[[#This Row],[SL17]]</f>
        <v>74013.02</v>
      </c>
      <c r="X9" s="161"/>
      <c r="Y9" s="161"/>
      <c r="Z9" s="161">
        <f>KH_ĐL!L30</f>
        <v>2800</v>
      </c>
      <c r="AA9" s="161">
        <f t="shared" ref="AA9:AA27" si="1">C9+O9+R9+X9</f>
        <v>0</v>
      </c>
      <c r="AB9" s="161">
        <f t="shared" ref="AB9:AB28" si="2">D9+P9+S9+Y9</f>
        <v>0</v>
      </c>
      <c r="AC9" s="181">
        <f t="shared" ref="AC9:AC28" si="3">E9+Q9+T9+Z9</f>
        <v>76813.02</v>
      </c>
      <c r="AD9" s="176"/>
      <c r="AE9" s="161" t="e">
        <f>AC9-#REF!</f>
        <v>#REF!</v>
      </c>
      <c r="AF9" s="161" t="e">
        <f>AA9-#REF!</f>
        <v>#REF!</v>
      </c>
      <c r="AG9" s="161" t="e">
        <f>AB9-#REF!</f>
        <v>#REF!</v>
      </c>
      <c r="AH9" s="162" t="e">
        <f>#REF!+#REF!+F9+I9+L9</f>
        <v>#REF!</v>
      </c>
      <c r="AI9" s="162" t="e">
        <f>#REF!+#REF!+G9+J9+M9</f>
        <v>#REF!</v>
      </c>
      <c r="AJ9" s="162" t="e">
        <f>#REF!+#REF!+H9+K9+N9</f>
        <v>#REF!</v>
      </c>
      <c r="AK9" s="139" t="e">
        <v>#REF!</v>
      </c>
      <c r="AL9" s="205">
        <v>-1000</v>
      </c>
    </row>
    <row r="10" spans="1:38" ht="15.75" x14ac:dyDescent="0.25">
      <c r="A10" s="173">
        <v>3</v>
      </c>
      <c r="B10" s="152" t="s">
        <v>136</v>
      </c>
      <c r="C10" s="159"/>
      <c r="D10" s="159"/>
      <c r="E10" s="159">
        <v>41949.67</v>
      </c>
      <c r="F10" s="159" t="e">
        <v>#REF!</v>
      </c>
      <c r="G10" s="159" t="e">
        <v>#REF!</v>
      </c>
      <c r="H10" s="160" t="e">
        <v>#REF!</v>
      </c>
      <c r="I10" s="159" t="e">
        <v>#REF!</v>
      </c>
      <c r="J10" s="159" t="e">
        <v>#REF!</v>
      </c>
      <c r="K10" s="160" t="e">
        <v>#REF!</v>
      </c>
      <c r="L10" s="159" t="e">
        <v>#REF!</v>
      </c>
      <c r="M10" s="159" t="e">
        <v>#REF!</v>
      </c>
      <c r="N10" s="160" t="e">
        <v>#REF!</v>
      </c>
      <c r="O10" s="159"/>
      <c r="P10" s="159"/>
      <c r="Q10" s="164">
        <f>6107+8071</f>
        <v>14178</v>
      </c>
      <c r="R10" s="161"/>
      <c r="S10" s="161"/>
      <c r="T10" s="161">
        <v>10200</v>
      </c>
      <c r="U10" s="161">
        <f>Table1[[#This Row],[DL]]+Table1[[#This Row],[DL12]]+Table1[[#This Row],[DL15]]</f>
        <v>0</v>
      </c>
      <c r="V10" s="161">
        <f>Table1[[#This Row],[XL]]+Table1[[#This Row],[XL13]]+Table1[[#This Row],[XL16]]</f>
        <v>0</v>
      </c>
      <c r="W10" s="161">
        <f>Table1[[#This Row],[SL]]+Table1[[#This Row],[SL14]]+Table1[[#This Row],[SL17]]</f>
        <v>66327.67</v>
      </c>
      <c r="X10" s="161"/>
      <c r="Y10" s="161"/>
      <c r="Z10" s="161">
        <f>KH_ĐL!L44</f>
        <v>7000</v>
      </c>
      <c r="AA10" s="161">
        <f t="shared" si="1"/>
        <v>0</v>
      </c>
      <c r="AB10" s="161">
        <f t="shared" si="2"/>
        <v>0</v>
      </c>
      <c r="AC10" s="181">
        <f t="shared" si="3"/>
        <v>73327.67</v>
      </c>
      <c r="AD10" s="176"/>
      <c r="AE10" s="161" t="e">
        <f>AC10-#REF!</f>
        <v>#REF!</v>
      </c>
      <c r="AF10" s="161" t="e">
        <f>AA10-#REF!</f>
        <v>#REF!</v>
      </c>
      <c r="AG10" s="161" t="e">
        <f>AB10-#REF!</f>
        <v>#REF!</v>
      </c>
      <c r="AH10" s="162" t="e">
        <f>#REF!+#REF!+F10+I10+L10</f>
        <v>#REF!</v>
      </c>
      <c r="AI10" s="162" t="e">
        <f>#REF!+#REF!+G10+J10+M10</f>
        <v>#REF!</v>
      </c>
      <c r="AJ10" s="162" t="e">
        <f>#REF!+#REF!+H10+K10+N10</f>
        <v>#REF!</v>
      </c>
      <c r="AK10" s="139" t="e">
        <v>#REF!</v>
      </c>
      <c r="AL10" s="206">
        <v>-12000</v>
      </c>
    </row>
    <row r="11" spans="1:38" ht="15.75" x14ac:dyDescent="0.25">
      <c r="A11" s="173">
        <v>4</v>
      </c>
      <c r="B11" s="152" t="s">
        <v>137</v>
      </c>
      <c r="C11" s="159"/>
      <c r="D11" s="159"/>
      <c r="E11" s="159">
        <v>71335.719999999987</v>
      </c>
      <c r="F11" s="159" t="e">
        <v>#REF!</v>
      </c>
      <c r="G11" s="159" t="e">
        <v>#REF!</v>
      </c>
      <c r="H11" s="160" t="e">
        <v>#REF!</v>
      </c>
      <c r="I11" s="159" t="e">
        <v>#REF!</v>
      </c>
      <c r="J11" s="159" t="e">
        <v>#REF!</v>
      </c>
      <c r="K11" s="160" t="e">
        <v>#REF!</v>
      </c>
      <c r="L11" s="159" t="e">
        <v>#REF!</v>
      </c>
      <c r="M11" s="159" t="e">
        <v>#REF!</v>
      </c>
      <c r="N11" s="160" t="e">
        <v>#REF!</v>
      </c>
      <c r="O11" s="159"/>
      <c r="P11" s="159"/>
      <c r="Q11" s="159">
        <f>9315+3151</f>
        <v>12466</v>
      </c>
      <c r="R11" s="161"/>
      <c r="S11" s="161"/>
      <c r="T11" s="161">
        <v>12600</v>
      </c>
      <c r="U11" s="161">
        <f>Table1[[#This Row],[DL]]+Table1[[#This Row],[DL12]]+Table1[[#This Row],[DL15]]</f>
        <v>0</v>
      </c>
      <c r="V11" s="161">
        <f>Table1[[#This Row],[XL]]+Table1[[#This Row],[XL13]]+Table1[[#This Row],[XL16]]</f>
        <v>0</v>
      </c>
      <c r="W11" s="161">
        <f>Table1[[#This Row],[SL]]+Table1[[#This Row],[SL14]]+Table1[[#This Row],[SL17]]</f>
        <v>96401.719999999987</v>
      </c>
      <c r="X11" s="161"/>
      <c r="Y11" s="161"/>
      <c r="Z11" s="161">
        <f>KH_ĐL!L61</f>
        <v>2100</v>
      </c>
      <c r="AA11" s="161">
        <f t="shared" si="1"/>
        <v>0</v>
      </c>
      <c r="AB11" s="161">
        <f t="shared" si="2"/>
        <v>0</v>
      </c>
      <c r="AC11" s="181">
        <f t="shared" si="3"/>
        <v>98501.719999999987</v>
      </c>
      <c r="AD11" s="176"/>
      <c r="AE11" s="161" t="e">
        <f>AC11-#REF!</f>
        <v>#REF!</v>
      </c>
      <c r="AF11" s="161" t="e">
        <f>AA11-#REF!</f>
        <v>#REF!</v>
      </c>
      <c r="AG11" s="161" t="e">
        <f>AB11-#REF!</f>
        <v>#REF!</v>
      </c>
      <c r="AH11" s="162" t="e">
        <f>#REF!+#REF!+F11+I11+L11</f>
        <v>#REF!</v>
      </c>
      <c r="AI11" s="162" t="e">
        <f>#REF!+#REF!+G11+J11+M11</f>
        <v>#REF!</v>
      </c>
      <c r="AJ11" s="162" t="e">
        <f>#REF!+#REF!+H11+K11+N11</f>
        <v>#REF!</v>
      </c>
      <c r="AL11" s="33">
        <v>3000</v>
      </c>
    </row>
    <row r="12" spans="1:38" ht="15.75" x14ac:dyDescent="0.25">
      <c r="A12" s="173">
        <v>5</v>
      </c>
      <c r="B12" s="152" t="s">
        <v>138</v>
      </c>
      <c r="C12" s="159"/>
      <c r="D12" s="159"/>
      <c r="E12" s="159">
        <v>47492.450000000004</v>
      </c>
      <c r="F12" s="159" t="e">
        <v>#REF!</v>
      </c>
      <c r="G12" s="159" t="e">
        <v>#REF!</v>
      </c>
      <c r="H12" s="160" t="e">
        <v>#REF!</v>
      </c>
      <c r="I12" s="159" t="e">
        <v>#REF!</v>
      </c>
      <c r="J12" s="159" t="e">
        <v>#REF!</v>
      </c>
      <c r="K12" s="160" t="e">
        <v>#REF!</v>
      </c>
      <c r="L12" s="159" t="e">
        <v>#REF!</v>
      </c>
      <c r="M12" s="159" t="e">
        <v>#REF!</v>
      </c>
      <c r="N12" s="160" t="e">
        <v>#REF!</v>
      </c>
      <c r="O12" s="159"/>
      <c r="P12" s="159"/>
      <c r="Q12" s="159">
        <f>9538+2650</f>
        <v>12188</v>
      </c>
      <c r="R12" s="161"/>
      <c r="S12" s="161"/>
      <c r="T12" s="161">
        <v>12500</v>
      </c>
      <c r="U12" s="161">
        <f>Table1[[#This Row],[DL]]+Table1[[#This Row],[DL12]]+Table1[[#This Row],[DL15]]</f>
        <v>0</v>
      </c>
      <c r="V12" s="161">
        <f>Table1[[#This Row],[XL]]+Table1[[#This Row],[XL13]]+Table1[[#This Row],[XL16]]</f>
        <v>0</v>
      </c>
      <c r="W12" s="161">
        <f>Table1[[#This Row],[SL]]+Table1[[#This Row],[SL14]]+Table1[[#This Row],[SL17]]</f>
        <v>72180.450000000012</v>
      </c>
      <c r="X12" s="161"/>
      <c r="Y12" s="161"/>
      <c r="Z12" s="161">
        <f>KH_ĐL!L76</f>
        <v>2300</v>
      </c>
      <c r="AA12" s="161">
        <f t="shared" si="1"/>
        <v>0</v>
      </c>
      <c r="AB12" s="161">
        <f t="shared" si="2"/>
        <v>0</v>
      </c>
      <c r="AC12" s="181">
        <f t="shared" si="3"/>
        <v>74480.450000000012</v>
      </c>
      <c r="AD12" s="176"/>
      <c r="AE12" s="161" t="e">
        <f>AC12-#REF!</f>
        <v>#REF!</v>
      </c>
      <c r="AF12" s="161" t="e">
        <f>AA12-#REF!</f>
        <v>#REF!</v>
      </c>
      <c r="AG12" s="161" t="e">
        <f>AB12-#REF!</f>
        <v>#REF!</v>
      </c>
      <c r="AH12" s="162" t="e">
        <f>#REF!+#REF!+F12+I12+L12</f>
        <v>#REF!</v>
      </c>
      <c r="AI12" s="162" t="e">
        <f>#REF!+#REF!+G12+J12+M12</f>
        <v>#REF!</v>
      </c>
      <c r="AJ12" s="162" t="e">
        <f>#REF!+#REF!+H12+K12+N12</f>
        <v>#REF!</v>
      </c>
      <c r="AL12" s="33">
        <v>3000</v>
      </c>
    </row>
    <row r="13" spans="1:38" ht="15.75" x14ac:dyDescent="0.25">
      <c r="A13" s="173">
        <v>6</v>
      </c>
      <c r="B13" s="152" t="s">
        <v>146</v>
      </c>
      <c r="C13" s="159"/>
      <c r="D13" s="159"/>
      <c r="E13" s="159">
        <v>67820.78</v>
      </c>
      <c r="F13" s="159" t="e">
        <v>#REF!</v>
      </c>
      <c r="G13" s="159" t="e">
        <v>#REF!</v>
      </c>
      <c r="H13" s="160" t="e">
        <v>#REF!</v>
      </c>
      <c r="I13" s="159" t="e">
        <v>#REF!</v>
      </c>
      <c r="J13" s="159" t="e">
        <v>#REF!</v>
      </c>
      <c r="K13" s="160" t="e">
        <v>#REF!</v>
      </c>
      <c r="L13" s="159" t="e">
        <v>#REF!</v>
      </c>
      <c r="M13" s="159" t="e">
        <v>#REF!</v>
      </c>
      <c r="N13" s="160" t="e">
        <v>#REF!</v>
      </c>
      <c r="O13" s="159"/>
      <c r="P13" s="159"/>
      <c r="Q13" s="159">
        <v>9063</v>
      </c>
      <c r="R13" s="161"/>
      <c r="S13" s="161"/>
      <c r="T13" s="161">
        <v>10000</v>
      </c>
      <c r="U13" s="161">
        <f>Table1[[#This Row],[DL]]+Table1[[#This Row],[DL12]]+Table1[[#This Row],[DL15]]</f>
        <v>0</v>
      </c>
      <c r="V13" s="161">
        <f>Table1[[#This Row],[XL]]+Table1[[#This Row],[XL13]]+Table1[[#This Row],[XL16]]</f>
        <v>0</v>
      </c>
      <c r="W13" s="161">
        <f>Table1[[#This Row],[SL]]+Table1[[#This Row],[SL14]]+Table1[[#This Row],[SL17]]</f>
        <v>86883.78</v>
      </c>
      <c r="X13" s="161"/>
      <c r="Y13" s="161"/>
      <c r="Z13" s="161">
        <f>KH_ĐL!L91</f>
        <v>6600</v>
      </c>
      <c r="AA13" s="161">
        <f t="shared" si="1"/>
        <v>0</v>
      </c>
      <c r="AB13" s="161">
        <f t="shared" si="2"/>
        <v>0</v>
      </c>
      <c r="AC13" s="181">
        <f t="shared" si="3"/>
        <v>93483.78</v>
      </c>
      <c r="AD13" s="176"/>
      <c r="AE13" s="161" t="e">
        <f>AC13-#REF!</f>
        <v>#REF!</v>
      </c>
      <c r="AF13" s="161" t="e">
        <f>AA13-#REF!</f>
        <v>#REF!</v>
      </c>
      <c r="AG13" s="161" t="e">
        <f>AB13-#REF!</f>
        <v>#REF!</v>
      </c>
      <c r="AH13" s="162" t="e">
        <f>#REF!+#REF!+F13+I13+L13</f>
        <v>#REF!</v>
      </c>
      <c r="AI13" s="162" t="e">
        <f>#REF!+#REF!+G13+J13+M13</f>
        <v>#REF!</v>
      </c>
      <c r="AJ13" s="162" t="e">
        <f>#REF!+#REF!+H13+K13+N13</f>
        <v>#REF!</v>
      </c>
      <c r="AL13" s="33">
        <v>7000</v>
      </c>
    </row>
    <row r="14" spans="1:38" ht="15.75" x14ac:dyDescent="0.25">
      <c r="A14" s="173">
        <v>7</v>
      </c>
      <c r="B14" s="152" t="s">
        <v>147</v>
      </c>
      <c r="C14" s="159"/>
      <c r="D14" s="159"/>
      <c r="E14" s="159">
        <v>119831.89000000001</v>
      </c>
      <c r="F14" s="159" t="e">
        <v>#REF!</v>
      </c>
      <c r="G14" s="159" t="e">
        <v>#REF!</v>
      </c>
      <c r="H14" s="160" t="e">
        <v>#REF!</v>
      </c>
      <c r="I14" s="159" t="e">
        <v>#REF!</v>
      </c>
      <c r="J14" s="159" t="e">
        <v>#REF!</v>
      </c>
      <c r="K14" s="160" t="e">
        <v>#REF!</v>
      </c>
      <c r="L14" s="159" t="e">
        <v>#REF!</v>
      </c>
      <c r="M14" s="159" t="e">
        <v>#REF!</v>
      </c>
      <c r="N14" s="160" t="e">
        <v>#REF!</v>
      </c>
      <c r="O14" s="159"/>
      <c r="P14" s="159"/>
      <c r="Q14" s="159">
        <v>52054</v>
      </c>
      <c r="R14" s="161"/>
      <c r="S14" s="161"/>
      <c r="T14" s="161">
        <v>34200</v>
      </c>
      <c r="U14" s="161">
        <f>Table1[[#This Row],[DL]]+Table1[[#This Row],[DL12]]+Table1[[#This Row],[DL15]]</f>
        <v>0</v>
      </c>
      <c r="V14" s="161">
        <f>Table1[[#This Row],[XL]]+Table1[[#This Row],[XL13]]+Table1[[#This Row],[XL16]]</f>
        <v>0</v>
      </c>
      <c r="W14" s="161">
        <f>Table1[[#This Row],[SL]]+Table1[[#This Row],[SL14]]+Table1[[#This Row],[SL17]]</f>
        <v>206085.89</v>
      </c>
      <c r="X14" s="161"/>
      <c r="Y14" s="161"/>
      <c r="Z14" s="161">
        <f>KH_ĐL!L106</f>
        <v>6100</v>
      </c>
      <c r="AA14" s="161">
        <f t="shared" si="1"/>
        <v>0</v>
      </c>
      <c r="AB14" s="161">
        <f t="shared" si="2"/>
        <v>0</v>
      </c>
      <c r="AC14" s="181">
        <f t="shared" si="3"/>
        <v>212185.89</v>
      </c>
      <c r="AD14" s="176"/>
      <c r="AE14" s="161" t="e">
        <f>AC14-#REF!</f>
        <v>#REF!</v>
      </c>
      <c r="AF14" s="161" t="e">
        <f>AA14-#REF!</f>
        <v>#REF!</v>
      </c>
      <c r="AG14" s="161" t="e">
        <f>AB14-#REF!</f>
        <v>#REF!</v>
      </c>
      <c r="AH14" s="162" t="e">
        <f>#REF!+#REF!+F14+I14+L14</f>
        <v>#REF!</v>
      </c>
      <c r="AI14" s="162" t="e">
        <f>#REF!+#REF!+G14+J14+M14</f>
        <v>#REF!</v>
      </c>
      <c r="AJ14" s="162" t="e">
        <f>#REF!+#REF!+H14+K14+N14</f>
        <v>#REF!</v>
      </c>
    </row>
    <row r="15" spans="1:38" ht="15.75" x14ac:dyDescent="0.25">
      <c r="A15" s="173">
        <v>8</v>
      </c>
      <c r="B15" s="152" t="s">
        <v>148</v>
      </c>
      <c r="C15" s="159"/>
      <c r="D15" s="159"/>
      <c r="E15" s="159">
        <v>174056.57</v>
      </c>
      <c r="F15" s="159" t="e">
        <v>#REF!</v>
      </c>
      <c r="G15" s="159" t="e">
        <v>#REF!</v>
      </c>
      <c r="H15" s="160" t="e">
        <v>#REF!</v>
      </c>
      <c r="I15" s="159" t="e">
        <v>#REF!</v>
      </c>
      <c r="J15" s="159" t="e">
        <v>#REF!</v>
      </c>
      <c r="K15" s="160" t="e">
        <v>#REF!</v>
      </c>
      <c r="L15" s="159" t="e">
        <v>#REF!</v>
      </c>
      <c r="M15" s="159" t="e">
        <v>#REF!</v>
      </c>
      <c r="N15" s="160" t="e">
        <v>#REF!</v>
      </c>
      <c r="O15" s="159"/>
      <c r="P15" s="159"/>
      <c r="Q15" s="159">
        <v>42390</v>
      </c>
      <c r="R15" s="161"/>
      <c r="S15" s="161"/>
      <c r="T15" s="161">
        <v>40000</v>
      </c>
      <c r="U15" s="161">
        <f>Table1[[#This Row],[DL]]+Table1[[#This Row],[DL12]]+Table1[[#This Row],[DL15]]</f>
        <v>0</v>
      </c>
      <c r="V15" s="161">
        <f>Table1[[#This Row],[XL]]+Table1[[#This Row],[XL13]]+Table1[[#This Row],[XL16]]</f>
        <v>0</v>
      </c>
      <c r="W15" s="161">
        <f>Table1[[#This Row],[SL]]+Table1[[#This Row],[SL14]]+Table1[[#This Row],[SL17]]</f>
        <v>256446.57</v>
      </c>
      <c r="X15" s="161"/>
      <c r="Y15" s="161"/>
      <c r="Z15" s="161">
        <f>KH_ĐL!L116</f>
        <v>4400</v>
      </c>
      <c r="AA15" s="161">
        <f t="shared" si="1"/>
        <v>0</v>
      </c>
      <c r="AB15" s="161">
        <f t="shared" si="2"/>
        <v>0</v>
      </c>
      <c r="AC15" s="181">
        <f t="shared" si="3"/>
        <v>260846.57</v>
      </c>
      <c r="AD15" s="176"/>
      <c r="AE15" s="161" t="e">
        <f>AC15-#REF!</f>
        <v>#REF!</v>
      </c>
      <c r="AF15" s="161" t="e">
        <f>AA15-#REF!</f>
        <v>#REF!</v>
      </c>
      <c r="AG15" s="161" t="e">
        <f>AB15-#REF!</f>
        <v>#REF!</v>
      </c>
      <c r="AH15" s="162" t="e">
        <f>#REF!+#REF!+F15+I15+L15</f>
        <v>#REF!</v>
      </c>
      <c r="AI15" s="162" t="e">
        <f>#REF!+#REF!+G15+J15+M15</f>
        <v>#REF!</v>
      </c>
      <c r="AJ15" s="162" t="e">
        <f>#REF!+#REF!+H15+K15+N15</f>
        <v>#REF!</v>
      </c>
      <c r="AL15" s="33">
        <v>4000</v>
      </c>
    </row>
    <row r="16" spans="1:38" ht="15.75" x14ac:dyDescent="0.25">
      <c r="A16" s="173">
        <v>9</v>
      </c>
      <c r="B16" s="152" t="s">
        <v>149</v>
      </c>
      <c r="C16" s="159"/>
      <c r="D16" s="159"/>
      <c r="E16" s="159">
        <v>43523.390000000007</v>
      </c>
      <c r="F16" s="159" t="e">
        <v>#REF!</v>
      </c>
      <c r="G16" s="159" t="e">
        <v>#REF!</v>
      </c>
      <c r="H16" s="160" t="e">
        <v>#REF!</v>
      </c>
      <c r="I16" s="159" t="e">
        <v>#REF!</v>
      </c>
      <c r="J16" s="159" t="e">
        <v>#REF!</v>
      </c>
      <c r="K16" s="160" t="e">
        <v>#REF!</v>
      </c>
      <c r="L16" s="159" t="e">
        <v>#REF!</v>
      </c>
      <c r="M16" s="159" t="e">
        <v>#REF!</v>
      </c>
      <c r="N16" s="160" t="e">
        <v>#REF!</v>
      </c>
      <c r="O16" s="159"/>
      <c r="P16" s="159"/>
      <c r="Q16" s="159">
        <v>17697</v>
      </c>
      <c r="R16" s="161"/>
      <c r="S16" s="161"/>
      <c r="T16" s="161">
        <v>14100</v>
      </c>
      <c r="U16" s="161">
        <f>Table1[[#This Row],[DL]]+Table1[[#This Row],[DL12]]+Table1[[#This Row],[DL15]]</f>
        <v>0</v>
      </c>
      <c r="V16" s="161">
        <f>Table1[[#This Row],[XL]]+Table1[[#This Row],[XL13]]+Table1[[#This Row],[XL16]]</f>
        <v>0</v>
      </c>
      <c r="W16" s="161">
        <f>Table1[[#This Row],[SL]]+Table1[[#This Row],[SL14]]+Table1[[#This Row],[SL17]]</f>
        <v>75320.390000000014</v>
      </c>
      <c r="X16" s="161"/>
      <c r="Y16" s="161"/>
      <c r="Z16" s="161">
        <f>KH_ĐL!L126</f>
        <v>2800</v>
      </c>
      <c r="AA16" s="161">
        <f t="shared" si="1"/>
        <v>0</v>
      </c>
      <c r="AB16" s="161">
        <f t="shared" si="2"/>
        <v>0</v>
      </c>
      <c r="AC16" s="161">
        <f t="shared" si="3"/>
        <v>78120.390000000014</v>
      </c>
      <c r="AD16" s="176"/>
      <c r="AE16" s="161" t="e">
        <f>AC16-#REF!</f>
        <v>#REF!</v>
      </c>
      <c r="AF16" s="161" t="e">
        <f>AA16-#REF!</f>
        <v>#REF!</v>
      </c>
      <c r="AG16" s="161" t="e">
        <f>AB16-#REF!</f>
        <v>#REF!</v>
      </c>
      <c r="AH16" s="162" t="e">
        <f>#REF!+#REF!+F16+I16+L16</f>
        <v>#REF!</v>
      </c>
      <c r="AI16" s="162" t="e">
        <f>#REF!+#REF!+G16+J16+M16</f>
        <v>#REF!</v>
      </c>
      <c r="AJ16" s="162" t="e">
        <f>#REF!+#REF!+H16+K16+N16</f>
        <v>#REF!</v>
      </c>
    </row>
    <row r="17" spans="1:38" ht="15.75" x14ac:dyDescent="0.25">
      <c r="A17" s="173">
        <v>10</v>
      </c>
      <c r="B17" s="152" t="s">
        <v>150</v>
      </c>
      <c r="C17" s="159"/>
      <c r="D17" s="159"/>
      <c r="E17" s="159">
        <v>68562.679999999978</v>
      </c>
      <c r="F17" s="159" t="e">
        <v>#REF!</v>
      </c>
      <c r="G17" s="159" t="e">
        <v>#REF!</v>
      </c>
      <c r="H17" s="160" t="e">
        <v>#REF!</v>
      </c>
      <c r="I17" s="159" t="e">
        <v>#REF!</v>
      </c>
      <c r="J17" s="159" t="e">
        <v>#REF!</v>
      </c>
      <c r="K17" s="160" t="e">
        <v>#REF!</v>
      </c>
      <c r="L17" s="159" t="e">
        <v>#REF!</v>
      </c>
      <c r="M17" s="159" t="e">
        <v>#REF!</v>
      </c>
      <c r="N17" s="160" t="e">
        <v>#REF!</v>
      </c>
      <c r="O17" s="159"/>
      <c r="P17" s="159"/>
      <c r="Q17" s="159">
        <v>17622</v>
      </c>
      <c r="R17" s="161"/>
      <c r="S17" s="161"/>
      <c r="T17" s="161">
        <v>12400</v>
      </c>
      <c r="U17" s="161">
        <f>Table1[[#This Row],[DL]]+Table1[[#This Row],[DL12]]+Table1[[#This Row],[DL15]]</f>
        <v>0</v>
      </c>
      <c r="V17" s="161">
        <f>Table1[[#This Row],[XL]]+Table1[[#This Row],[XL13]]+Table1[[#This Row],[XL16]]</f>
        <v>0</v>
      </c>
      <c r="W17" s="161">
        <f>Table1[[#This Row],[SL]]+Table1[[#This Row],[SL14]]+Table1[[#This Row],[SL17]]</f>
        <v>98584.679999999978</v>
      </c>
      <c r="X17" s="161"/>
      <c r="Y17" s="161"/>
      <c r="Z17" s="161">
        <f>KH_ĐL!L138</f>
        <v>4700</v>
      </c>
      <c r="AA17" s="161">
        <f t="shared" si="1"/>
        <v>0</v>
      </c>
      <c r="AB17" s="161">
        <f t="shared" si="2"/>
        <v>0</v>
      </c>
      <c r="AC17" s="161">
        <f t="shared" si="3"/>
        <v>103284.67999999998</v>
      </c>
      <c r="AD17" s="176"/>
      <c r="AE17" s="161" t="e">
        <f>AC17-#REF!</f>
        <v>#REF!</v>
      </c>
      <c r="AF17" s="161" t="e">
        <f>AA17-#REF!</f>
        <v>#REF!</v>
      </c>
      <c r="AG17" s="161" t="e">
        <f>AB17-#REF!</f>
        <v>#REF!</v>
      </c>
      <c r="AH17" s="162" t="e">
        <f>#REF!+#REF!+F17+I17+L17</f>
        <v>#REF!</v>
      </c>
      <c r="AI17" s="162" t="e">
        <f>#REF!+#REF!+G17+J17+M17</f>
        <v>#REF!</v>
      </c>
      <c r="AJ17" s="162" t="e">
        <f>#REF!+#REF!+H17+K17+N17</f>
        <v>#REF!</v>
      </c>
    </row>
    <row r="18" spans="1:38" ht="15.75" x14ac:dyDescent="0.25">
      <c r="A18" s="173">
        <v>11</v>
      </c>
      <c r="B18" s="152" t="s">
        <v>151</v>
      </c>
      <c r="C18" s="159"/>
      <c r="D18" s="159"/>
      <c r="E18" s="159">
        <v>47990.758000000002</v>
      </c>
      <c r="F18" s="159" t="e">
        <v>#REF!</v>
      </c>
      <c r="G18" s="159" t="e">
        <v>#REF!</v>
      </c>
      <c r="H18" s="160" t="e">
        <v>#REF!</v>
      </c>
      <c r="I18" s="159" t="e">
        <v>#REF!</v>
      </c>
      <c r="J18" s="159" t="e">
        <v>#REF!</v>
      </c>
      <c r="K18" s="160" t="e">
        <v>#REF!</v>
      </c>
      <c r="L18" s="159" t="e">
        <v>#REF!</v>
      </c>
      <c r="M18" s="159" t="e">
        <v>#REF!</v>
      </c>
      <c r="N18" s="160" t="e">
        <v>#REF!</v>
      </c>
      <c r="O18" s="159"/>
      <c r="P18" s="159"/>
      <c r="Q18" s="159">
        <v>12589</v>
      </c>
      <c r="R18" s="161"/>
      <c r="S18" s="161"/>
      <c r="T18" s="161">
        <v>10000</v>
      </c>
      <c r="U18" s="161">
        <f>Table1[[#This Row],[DL]]+Table1[[#This Row],[DL12]]+Table1[[#This Row],[DL15]]</f>
        <v>0</v>
      </c>
      <c r="V18" s="161">
        <f>Table1[[#This Row],[XL]]+Table1[[#This Row],[XL13]]+Table1[[#This Row],[XL16]]</f>
        <v>0</v>
      </c>
      <c r="W18" s="161">
        <f>Table1[[#This Row],[SL]]+Table1[[#This Row],[SL14]]+Table1[[#This Row],[SL17]]</f>
        <v>70579.758000000002</v>
      </c>
      <c r="X18" s="161"/>
      <c r="Y18" s="161"/>
      <c r="Z18" s="161">
        <f>KH_ĐL!L148</f>
        <v>3500</v>
      </c>
      <c r="AA18" s="161">
        <f t="shared" si="1"/>
        <v>0</v>
      </c>
      <c r="AB18" s="161">
        <f t="shared" si="2"/>
        <v>0</v>
      </c>
      <c r="AC18" s="161">
        <f t="shared" si="3"/>
        <v>74079.758000000002</v>
      </c>
      <c r="AD18" s="176"/>
      <c r="AE18" s="161" t="e">
        <f>AC18-#REF!</f>
        <v>#REF!</v>
      </c>
      <c r="AF18" s="161" t="e">
        <f>AA18-#REF!</f>
        <v>#REF!</v>
      </c>
      <c r="AG18" s="161" t="e">
        <f>AB18-#REF!</f>
        <v>#REF!</v>
      </c>
      <c r="AH18" s="162" t="e">
        <f>#REF!+#REF!+F18+I18+L18</f>
        <v>#REF!</v>
      </c>
      <c r="AI18" s="162" t="e">
        <f>#REF!+#REF!+G18+J18+M18</f>
        <v>#REF!</v>
      </c>
      <c r="AJ18" s="162" t="e">
        <f>#REF!+#REF!+H18+K18+N18</f>
        <v>#REF!</v>
      </c>
    </row>
    <row r="19" spans="1:38" ht="15.75" x14ac:dyDescent="0.25">
      <c r="A19" s="173">
        <v>12</v>
      </c>
      <c r="B19" s="152" t="s">
        <v>152</v>
      </c>
      <c r="C19" s="159"/>
      <c r="D19" s="159"/>
      <c r="E19" s="159">
        <v>18715.66</v>
      </c>
      <c r="F19" s="159" t="e">
        <v>#REF!</v>
      </c>
      <c r="G19" s="159" t="e">
        <v>#REF!</v>
      </c>
      <c r="H19" s="160" t="e">
        <v>#REF!</v>
      </c>
      <c r="I19" s="159" t="e">
        <v>#REF!</v>
      </c>
      <c r="J19" s="159" t="e">
        <v>#REF!</v>
      </c>
      <c r="K19" s="160" t="e">
        <v>#REF!</v>
      </c>
      <c r="L19" s="159" t="e">
        <v>#REF!</v>
      </c>
      <c r="M19" s="159" t="e">
        <v>#REF!</v>
      </c>
      <c r="N19" s="160" t="e">
        <v>#REF!</v>
      </c>
      <c r="O19" s="159"/>
      <c r="P19" s="159"/>
      <c r="Q19" s="159">
        <v>5131</v>
      </c>
      <c r="R19" s="161"/>
      <c r="S19" s="161"/>
      <c r="T19" s="161">
        <v>2800</v>
      </c>
      <c r="U19" s="161">
        <f>Table1[[#This Row],[DL]]+Table1[[#This Row],[DL12]]+Table1[[#This Row],[DL15]]</f>
        <v>0</v>
      </c>
      <c r="V19" s="161">
        <f>Table1[[#This Row],[XL]]+Table1[[#This Row],[XL13]]+Table1[[#This Row],[XL16]]</f>
        <v>0</v>
      </c>
      <c r="W19" s="161">
        <f>Table1[[#This Row],[SL]]+Table1[[#This Row],[SL14]]+Table1[[#This Row],[SL17]]</f>
        <v>26646.66</v>
      </c>
      <c r="X19" s="161"/>
      <c r="Y19" s="161"/>
      <c r="Z19" s="161">
        <f>KH_ĐL!L165</f>
        <v>45300</v>
      </c>
      <c r="AA19" s="161">
        <f t="shared" si="1"/>
        <v>0</v>
      </c>
      <c r="AB19" s="161">
        <f t="shared" si="2"/>
        <v>0</v>
      </c>
      <c r="AC19" s="161">
        <f t="shared" si="3"/>
        <v>71946.66</v>
      </c>
      <c r="AD19" s="176"/>
      <c r="AE19" s="161" t="e">
        <f>AC19-#REF!</f>
        <v>#REF!</v>
      </c>
      <c r="AF19" s="161" t="e">
        <f>AA19-#REF!</f>
        <v>#REF!</v>
      </c>
      <c r="AG19" s="161" t="e">
        <f>AB19-#REF!</f>
        <v>#REF!</v>
      </c>
      <c r="AH19" s="162" t="e">
        <f>#REF!+#REF!+F19+I19+L19</f>
        <v>#REF!</v>
      </c>
      <c r="AI19" s="162" t="e">
        <f>#REF!+#REF!+G19+J19+M19</f>
        <v>#REF!</v>
      </c>
      <c r="AJ19" s="162" t="e">
        <f>#REF!+#REF!+H19+K19+N19</f>
        <v>#REF!</v>
      </c>
    </row>
    <row r="20" spans="1:38" ht="15.75" x14ac:dyDescent="0.25">
      <c r="A20" s="173">
        <v>13</v>
      </c>
      <c r="B20" s="152" t="s">
        <v>153</v>
      </c>
      <c r="C20" s="159"/>
      <c r="D20" s="159"/>
      <c r="E20" s="159">
        <v>12783.811000000002</v>
      </c>
      <c r="F20" s="159" t="e">
        <v>#REF!</v>
      </c>
      <c r="G20" s="159" t="e">
        <v>#REF!</v>
      </c>
      <c r="H20" s="160" t="e">
        <v>#REF!</v>
      </c>
      <c r="I20" s="159" t="e">
        <v>#REF!</v>
      </c>
      <c r="J20" s="159" t="e">
        <v>#REF!</v>
      </c>
      <c r="K20" s="160" t="e">
        <v>#REF!</v>
      </c>
      <c r="L20" s="159" t="e">
        <v>#REF!</v>
      </c>
      <c r="M20" s="159" t="e">
        <v>#REF!</v>
      </c>
      <c r="N20" s="160" t="e">
        <v>#REF!</v>
      </c>
      <c r="O20" s="159"/>
      <c r="P20" s="159"/>
      <c r="Q20" s="159">
        <v>1078</v>
      </c>
      <c r="R20" s="161"/>
      <c r="S20" s="161"/>
      <c r="T20" s="161">
        <v>700</v>
      </c>
      <c r="U20" s="161">
        <f>Table1[[#This Row],[DL]]+Table1[[#This Row],[DL12]]+Table1[[#This Row],[DL15]]</f>
        <v>0</v>
      </c>
      <c r="V20" s="161">
        <f>Table1[[#This Row],[XL]]+Table1[[#This Row],[XL13]]+Table1[[#This Row],[XL16]]</f>
        <v>0</v>
      </c>
      <c r="W20" s="161">
        <f>Table1[[#This Row],[SL]]+Table1[[#This Row],[SL14]]+Table1[[#This Row],[SL17]]</f>
        <v>14561.811000000002</v>
      </c>
      <c r="X20" s="161"/>
      <c r="Y20" s="161"/>
      <c r="Z20" s="161">
        <f>KH_ĐL!L190</f>
        <v>11600</v>
      </c>
      <c r="AA20" s="161">
        <f t="shared" si="1"/>
        <v>0</v>
      </c>
      <c r="AB20" s="161">
        <f t="shared" si="2"/>
        <v>0</v>
      </c>
      <c r="AC20" s="161">
        <f t="shared" si="3"/>
        <v>26161.811000000002</v>
      </c>
      <c r="AD20" s="176"/>
      <c r="AE20" s="161" t="e">
        <f>AC20-#REF!</f>
        <v>#REF!</v>
      </c>
      <c r="AF20" s="161" t="e">
        <f>AA20-#REF!</f>
        <v>#REF!</v>
      </c>
      <c r="AG20" s="161" t="e">
        <f>AB20-#REF!</f>
        <v>#REF!</v>
      </c>
      <c r="AH20" s="162" t="e">
        <f>#REF!+#REF!+F20+I20+L20</f>
        <v>#REF!</v>
      </c>
      <c r="AI20" s="162" t="e">
        <f>#REF!+#REF!+G20+J20+M20</f>
        <v>#REF!</v>
      </c>
      <c r="AJ20" s="162" t="e">
        <f>#REF!+#REF!+H20+K20+N20</f>
        <v>#REF!</v>
      </c>
    </row>
    <row r="21" spans="1:38" ht="15.75" x14ac:dyDescent="0.25">
      <c r="A21" s="173">
        <v>14</v>
      </c>
      <c r="B21" s="152" t="s">
        <v>154</v>
      </c>
      <c r="C21" s="159"/>
      <c r="D21" s="159"/>
      <c r="E21" s="159">
        <v>11568.815999999997</v>
      </c>
      <c r="F21" s="159" t="e">
        <v>#REF!</v>
      </c>
      <c r="G21" s="159" t="e">
        <v>#REF!</v>
      </c>
      <c r="H21" s="160" t="e">
        <v>#REF!</v>
      </c>
      <c r="I21" s="159" t="e">
        <v>#REF!</v>
      </c>
      <c r="J21" s="159" t="e">
        <v>#REF!</v>
      </c>
      <c r="K21" s="160" t="e">
        <v>#REF!</v>
      </c>
      <c r="L21" s="159" t="e">
        <v>#REF!</v>
      </c>
      <c r="M21" s="159" t="e">
        <v>#REF!</v>
      </c>
      <c r="N21" s="160" t="e">
        <v>#REF!</v>
      </c>
      <c r="O21" s="159"/>
      <c r="P21" s="159"/>
      <c r="Q21" s="159">
        <v>3135</v>
      </c>
      <c r="R21" s="161"/>
      <c r="S21" s="161"/>
      <c r="T21" s="161">
        <v>1700</v>
      </c>
      <c r="U21" s="161">
        <f>Table1[[#This Row],[DL]]+Table1[[#This Row],[DL12]]+Table1[[#This Row],[DL15]]</f>
        <v>0</v>
      </c>
      <c r="V21" s="161">
        <f>Table1[[#This Row],[XL]]+Table1[[#This Row],[XL13]]+Table1[[#This Row],[XL16]]</f>
        <v>0</v>
      </c>
      <c r="W21" s="161">
        <f>Table1[[#This Row],[SL]]+Table1[[#This Row],[SL14]]+Table1[[#This Row],[SL17]]</f>
        <v>16403.815999999999</v>
      </c>
      <c r="X21" s="161"/>
      <c r="Y21" s="161"/>
      <c r="Z21" s="161">
        <f>KH_ĐL!L214</f>
        <v>31600</v>
      </c>
      <c r="AA21" s="161">
        <f t="shared" si="1"/>
        <v>0</v>
      </c>
      <c r="AB21" s="161">
        <f t="shared" si="2"/>
        <v>0</v>
      </c>
      <c r="AC21" s="161">
        <f t="shared" si="3"/>
        <v>48003.815999999999</v>
      </c>
      <c r="AD21" s="176"/>
      <c r="AE21" s="161" t="e">
        <f>AC21-#REF!</f>
        <v>#REF!</v>
      </c>
      <c r="AF21" s="161" t="e">
        <f>AA21-#REF!</f>
        <v>#REF!</v>
      </c>
      <c r="AG21" s="161" t="e">
        <f>AB21-#REF!</f>
        <v>#REF!</v>
      </c>
      <c r="AH21" s="162" t="e">
        <f>#REF!+#REF!+F21+I21+L21</f>
        <v>#REF!</v>
      </c>
      <c r="AI21" s="162" t="e">
        <f>#REF!+#REF!+G21+J21+M21</f>
        <v>#REF!</v>
      </c>
      <c r="AJ21" s="162" t="e">
        <f>#REF!+#REF!+H21+K21+N21</f>
        <v>#REF!</v>
      </c>
    </row>
    <row r="22" spans="1:38" ht="15.75" x14ac:dyDescent="0.25">
      <c r="A22" s="173">
        <v>15</v>
      </c>
      <c r="B22" s="152" t="s">
        <v>155</v>
      </c>
      <c r="C22" s="159"/>
      <c r="D22" s="159"/>
      <c r="E22" s="159">
        <v>12729.050000000001</v>
      </c>
      <c r="F22" s="159" t="e">
        <v>#REF!</v>
      </c>
      <c r="G22" s="159" t="e">
        <v>#REF!</v>
      </c>
      <c r="H22" s="160" t="e">
        <v>#REF!</v>
      </c>
      <c r="I22" s="159" t="e">
        <v>#REF!</v>
      </c>
      <c r="J22" s="159" t="e">
        <v>#REF!</v>
      </c>
      <c r="K22" s="160" t="e">
        <v>#REF!</v>
      </c>
      <c r="L22" s="159" t="e">
        <v>#REF!</v>
      </c>
      <c r="M22" s="159" t="e">
        <v>#REF!</v>
      </c>
      <c r="N22" s="160" t="e">
        <v>#REF!</v>
      </c>
      <c r="O22" s="159"/>
      <c r="P22" s="159"/>
      <c r="Q22" s="159">
        <v>3734</v>
      </c>
      <c r="R22" s="161"/>
      <c r="S22" s="161"/>
      <c r="T22" s="161">
        <v>2800</v>
      </c>
      <c r="U22" s="161">
        <f>Table1[[#This Row],[DL]]+Table1[[#This Row],[DL12]]+Table1[[#This Row],[DL15]]</f>
        <v>0</v>
      </c>
      <c r="V22" s="161">
        <f>Table1[[#This Row],[XL]]+Table1[[#This Row],[XL13]]+Table1[[#This Row],[XL16]]</f>
        <v>0</v>
      </c>
      <c r="W22" s="161">
        <f>Table1[[#This Row],[SL]]+Table1[[#This Row],[SL14]]+Table1[[#This Row],[SL17]]</f>
        <v>19263.050000000003</v>
      </c>
      <c r="X22" s="161"/>
      <c r="Y22" s="161"/>
      <c r="Z22" s="161">
        <f>KH_ĐL!L242</f>
        <v>33900</v>
      </c>
      <c r="AA22" s="161">
        <f t="shared" si="1"/>
        <v>0</v>
      </c>
      <c r="AB22" s="161">
        <f t="shared" si="2"/>
        <v>0</v>
      </c>
      <c r="AC22" s="161">
        <f t="shared" si="3"/>
        <v>53163.05</v>
      </c>
      <c r="AD22" s="176"/>
      <c r="AE22" s="161" t="e">
        <f>AC22-#REF!</f>
        <v>#REF!</v>
      </c>
      <c r="AF22" s="161" t="e">
        <f>AA22-#REF!</f>
        <v>#REF!</v>
      </c>
      <c r="AG22" s="161" t="e">
        <f>AB22-#REF!</f>
        <v>#REF!</v>
      </c>
      <c r="AH22" s="162" t="e">
        <f>#REF!+#REF!+F22+I22+L22</f>
        <v>#REF!</v>
      </c>
      <c r="AI22" s="162" t="e">
        <f>#REF!+#REF!+G22+J22+M22</f>
        <v>#REF!</v>
      </c>
      <c r="AJ22" s="162" t="e">
        <f>#REF!+#REF!+H22+K22+N22</f>
        <v>#REF!</v>
      </c>
    </row>
    <row r="23" spans="1:38" ht="15.75" x14ac:dyDescent="0.25">
      <c r="A23" s="173">
        <v>16</v>
      </c>
      <c r="B23" s="152" t="s">
        <v>156</v>
      </c>
      <c r="C23" s="159"/>
      <c r="D23" s="159"/>
      <c r="E23" s="159">
        <v>13393.740000000002</v>
      </c>
      <c r="F23" s="159" t="e">
        <v>#REF!</v>
      </c>
      <c r="G23" s="159" t="e">
        <v>#REF!</v>
      </c>
      <c r="H23" s="160" t="e">
        <v>#REF!</v>
      </c>
      <c r="I23" s="159" t="e">
        <v>#REF!</v>
      </c>
      <c r="J23" s="159" t="e">
        <v>#REF!</v>
      </c>
      <c r="K23" s="160" t="e">
        <v>#REF!</v>
      </c>
      <c r="L23" s="159" t="e">
        <v>#REF!</v>
      </c>
      <c r="M23" s="159" t="e">
        <v>#REF!</v>
      </c>
      <c r="N23" s="160" t="e">
        <v>#REF!</v>
      </c>
      <c r="O23" s="159"/>
      <c r="P23" s="159"/>
      <c r="Q23" s="159">
        <v>3558</v>
      </c>
      <c r="R23" s="161"/>
      <c r="S23" s="161"/>
      <c r="T23" s="161">
        <v>2800</v>
      </c>
      <c r="U23" s="161">
        <f>Table1[[#This Row],[DL]]+Table1[[#This Row],[DL12]]+Table1[[#This Row],[DL15]]</f>
        <v>0</v>
      </c>
      <c r="V23" s="161">
        <f>Table1[[#This Row],[XL]]+Table1[[#This Row],[XL13]]+Table1[[#This Row],[XL16]]</f>
        <v>0</v>
      </c>
      <c r="W23" s="161">
        <f>Table1[[#This Row],[SL]]+Table1[[#This Row],[SL14]]+Table1[[#This Row],[SL17]]</f>
        <v>19751.740000000002</v>
      </c>
      <c r="X23" s="161"/>
      <c r="Y23" s="161"/>
      <c r="Z23" s="161">
        <f>KH_ĐL!L266</f>
        <v>29600</v>
      </c>
      <c r="AA23" s="161">
        <f t="shared" si="1"/>
        <v>0</v>
      </c>
      <c r="AB23" s="161">
        <f t="shared" si="2"/>
        <v>0</v>
      </c>
      <c r="AC23" s="161">
        <f t="shared" si="3"/>
        <v>49351.740000000005</v>
      </c>
      <c r="AD23" s="176"/>
      <c r="AE23" s="161" t="e">
        <f>AC23-#REF!</f>
        <v>#REF!</v>
      </c>
      <c r="AF23" s="161" t="e">
        <f>AA23-#REF!</f>
        <v>#REF!</v>
      </c>
      <c r="AG23" s="161" t="e">
        <f>AB23-#REF!</f>
        <v>#REF!</v>
      </c>
      <c r="AH23" s="162" t="e">
        <f>#REF!+#REF!+F23+I23+L23</f>
        <v>#REF!</v>
      </c>
      <c r="AI23" s="162" t="e">
        <f>#REF!+#REF!+G23+J23+M23</f>
        <v>#REF!</v>
      </c>
      <c r="AJ23" s="162" t="e">
        <f>#REF!+#REF!+H23+K23+N23</f>
        <v>#REF!</v>
      </c>
    </row>
    <row r="24" spans="1:38" ht="15.75" x14ac:dyDescent="0.25">
      <c r="A24" s="173">
        <v>17</v>
      </c>
      <c r="B24" s="152" t="s">
        <v>157</v>
      </c>
      <c r="C24" s="159"/>
      <c r="D24" s="159"/>
      <c r="E24" s="159">
        <v>13854.18</v>
      </c>
      <c r="F24" s="159" t="e">
        <v>#REF!</v>
      </c>
      <c r="G24" s="159" t="e">
        <v>#REF!</v>
      </c>
      <c r="H24" s="160" t="e">
        <v>#REF!</v>
      </c>
      <c r="I24" s="159" t="e">
        <v>#REF!</v>
      </c>
      <c r="J24" s="159" t="e">
        <v>#REF!</v>
      </c>
      <c r="K24" s="160" t="e">
        <v>#REF!</v>
      </c>
      <c r="L24" s="159" t="e">
        <v>#REF!</v>
      </c>
      <c r="M24" s="159" t="e">
        <v>#REF!</v>
      </c>
      <c r="N24" s="160" t="e">
        <v>#REF!</v>
      </c>
      <c r="O24" s="159"/>
      <c r="P24" s="159"/>
      <c r="Q24" s="159">
        <v>3386</v>
      </c>
      <c r="R24" s="161"/>
      <c r="S24" s="161"/>
      <c r="T24" s="161">
        <v>1400</v>
      </c>
      <c r="U24" s="161">
        <f>Table1[[#This Row],[DL]]+Table1[[#This Row],[DL12]]+Table1[[#This Row],[DL15]]</f>
        <v>0</v>
      </c>
      <c r="V24" s="161">
        <f>Table1[[#This Row],[XL]]+Table1[[#This Row],[XL13]]+Table1[[#This Row],[XL16]]</f>
        <v>0</v>
      </c>
      <c r="W24" s="161">
        <f>Table1[[#This Row],[SL]]+Table1[[#This Row],[SL14]]+Table1[[#This Row],[SL17]]</f>
        <v>18640.18</v>
      </c>
      <c r="X24" s="161"/>
      <c r="Y24" s="161"/>
      <c r="Z24" s="161">
        <f>KH_ĐL!L292</f>
        <v>34600</v>
      </c>
      <c r="AA24" s="161">
        <f t="shared" si="1"/>
        <v>0</v>
      </c>
      <c r="AB24" s="161">
        <f t="shared" si="2"/>
        <v>0</v>
      </c>
      <c r="AC24" s="161">
        <f t="shared" si="3"/>
        <v>53240.18</v>
      </c>
      <c r="AD24" s="176"/>
      <c r="AE24" s="161" t="e">
        <f>AC24-#REF!</f>
        <v>#REF!</v>
      </c>
      <c r="AF24" s="161" t="e">
        <f>AA24-#REF!</f>
        <v>#REF!</v>
      </c>
      <c r="AG24" s="161" t="e">
        <f>AB24-#REF!</f>
        <v>#REF!</v>
      </c>
      <c r="AH24" s="162" t="e">
        <f>#REF!+#REF!+F24+I24+L24</f>
        <v>#REF!</v>
      </c>
      <c r="AI24" s="162" t="e">
        <f>#REF!+#REF!+G24+J24+M24</f>
        <v>#REF!</v>
      </c>
      <c r="AJ24" s="162" t="e">
        <f>#REF!+#REF!+H24+K24+N24</f>
        <v>#REF!</v>
      </c>
    </row>
    <row r="25" spans="1:38" ht="15.75" x14ac:dyDescent="0.25">
      <c r="A25" s="173">
        <v>18</v>
      </c>
      <c r="B25" s="152" t="s">
        <v>44</v>
      </c>
      <c r="C25" s="159"/>
      <c r="D25" s="159"/>
      <c r="E25" s="159">
        <v>2536.33</v>
      </c>
      <c r="F25" s="159" t="e">
        <v>#REF!</v>
      </c>
      <c r="G25" s="159" t="e">
        <v>#REF!</v>
      </c>
      <c r="H25" s="160" t="e">
        <v>#REF!</v>
      </c>
      <c r="I25" s="159" t="e">
        <v>#REF!</v>
      </c>
      <c r="J25" s="159" t="e">
        <v>#REF!</v>
      </c>
      <c r="K25" s="160" t="e">
        <v>#REF!</v>
      </c>
      <c r="L25" s="159" t="e">
        <v>#REF!</v>
      </c>
      <c r="M25" s="159" t="e">
        <v>#REF!</v>
      </c>
      <c r="N25" s="160" t="e">
        <v>#REF!</v>
      </c>
      <c r="O25" s="159"/>
      <c r="P25" s="159"/>
      <c r="Q25" s="159">
        <v>551</v>
      </c>
      <c r="R25" s="161"/>
      <c r="S25" s="161"/>
      <c r="T25" s="161"/>
      <c r="U25" s="161">
        <f>Table1[[#This Row],[DL]]+Table1[[#This Row],[DL12]]+Table1[[#This Row],[DL15]]</f>
        <v>0</v>
      </c>
      <c r="V25" s="161">
        <f>Table1[[#This Row],[XL]]+Table1[[#This Row],[XL13]]+Table1[[#This Row],[XL16]]</f>
        <v>0</v>
      </c>
      <c r="W25" s="161">
        <f>Table1[[#This Row],[SL]]+Table1[[#This Row],[SL14]]+Table1[[#This Row],[SL17]]</f>
        <v>3087.33</v>
      </c>
      <c r="X25" s="161"/>
      <c r="Y25" s="161"/>
      <c r="Z25" s="161">
        <f>KH_ĐL!L319</f>
        <v>2400</v>
      </c>
      <c r="AA25" s="161">
        <f t="shared" si="1"/>
        <v>0</v>
      </c>
      <c r="AB25" s="161">
        <f t="shared" si="2"/>
        <v>0</v>
      </c>
      <c r="AC25" s="161">
        <f t="shared" si="3"/>
        <v>5487.33</v>
      </c>
      <c r="AD25" s="176"/>
      <c r="AE25" s="161" t="e">
        <f>AC25-#REF!</f>
        <v>#REF!</v>
      </c>
      <c r="AF25" s="161" t="e">
        <f>AA25-#REF!</f>
        <v>#REF!</v>
      </c>
      <c r="AG25" s="161" t="e">
        <f>AB25-#REF!</f>
        <v>#REF!</v>
      </c>
      <c r="AH25" s="162" t="e">
        <f>#REF!+#REF!+F25+I25+L25</f>
        <v>#REF!</v>
      </c>
      <c r="AI25" s="162" t="e">
        <f>#REF!+#REF!+G25+J25+M25</f>
        <v>#REF!</v>
      </c>
      <c r="AJ25" s="162" t="e">
        <f>#REF!+#REF!+H25+K25+N25</f>
        <v>#REF!</v>
      </c>
    </row>
    <row r="26" spans="1:38" ht="15.75" x14ac:dyDescent="0.25">
      <c r="A26" s="173">
        <v>19</v>
      </c>
      <c r="B26" s="152" t="s">
        <v>158</v>
      </c>
      <c r="C26" s="159"/>
      <c r="D26" s="159"/>
      <c r="E26" s="159"/>
      <c r="F26" s="159" t="e">
        <v>#REF!</v>
      </c>
      <c r="G26" s="159" t="e">
        <v>#REF!</v>
      </c>
      <c r="H26" s="160" t="e">
        <v>#REF!</v>
      </c>
      <c r="I26" s="159" t="e">
        <v>#REF!</v>
      </c>
      <c r="J26" s="159" t="e">
        <v>#REF!</v>
      </c>
      <c r="K26" s="160" t="e">
        <v>#REF!</v>
      </c>
      <c r="L26" s="159" t="e">
        <v>#REF!</v>
      </c>
      <c r="M26" s="159" t="e">
        <v>#REF!</v>
      </c>
      <c r="N26" s="160" t="e">
        <v>#REF!</v>
      </c>
      <c r="O26" s="159"/>
      <c r="P26" s="159"/>
      <c r="Q26" s="159"/>
      <c r="R26" s="161"/>
      <c r="S26" s="161"/>
      <c r="T26" s="161"/>
      <c r="U26" s="161">
        <f>Table1[[#This Row],[DL]]+Table1[[#This Row],[DL12]]+Table1[[#This Row],[DL15]]</f>
        <v>0</v>
      </c>
      <c r="V26" s="161">
        <f>Table1[[#This Row],[XL]]+Table1[[#This Row],[XL13]]+Table1[[#This Row],[XL16]]</f>
        <v>0</v>
      </c>
      <c r="W26" s="161">
        <f>Table1[[#This Row],[SL]]+Table1[[#This Row],[SL14]]+Table1[[#This Row],[SL17]]</f>
        <v>0</v>
      </c>
      <c r="X26" s="161"/>
      <c r="Y26" s="161"/>
      <c r="Z26" s="161"/>
      <c r="AA26" s="161">
        <f t="shared" si="1"/>
        <v>0</v>
      </c>
      <c r="AB26" s="161">
        <f t="shared" si="2"/>
        <v>0</v>
      </c>
      <c r="AC26" s="161">
        <f t="shared" si="3"/>
        <v>0</v>
      </c>
      <c r="AD26" s="176"/>
      <c r="AE26" s="161" t="e">
        <f>AC26-#REF!+114</f>
        <v>#REF!</v>
      </c>
      <c r="AF26" s="161" t="e">
        <f>AA26-#REF!</f>
        <v>#REF!</v>
      </c>
      <c r="AG26" s="161" t="e">
        <f>AB26-#REF!</f>
        <v>#REF!</v>
      </c>
      <c r="AH26" s="162" t="e">
        <f>#REF!+#REF!+F26+I26+L26</f>
        <v>#REF!</v>
      </c>
      <c r="AI26" s="162" t="e">
        <f>#REF!+#REF!+G26+J26+M26</f>
        <v>#REF!</v>
      </c>
      <c r="AJ26" s="162" t="e">
        <f>#REF!+#REF!+H26+K26+N26</f>
        <v>#REF!</v>
      </c>
    </row>
    <row r="27" spans="1:38" ht="15.75" x14ac:dyDescent="0.25">
      <c r="A27" s="173">
        <v>20</v>
      </c>
      <c r="B27" s="152" t="s">
        <v>159</v>
      </c>
      <c r="C27" s="159"/>
      <c r="D27" s="159"/>
      <c r="E27" s="159">
        <v>1927.48</v>
      </c>
      <c r="F27" s="159"/>
      <c r="G27" s="159"/>
      <c r="H27" s="159"/>
      <c r="I27" s="159"/>
      <c r="J27" s="159"/>
      <c r="K27" s="159"/>
      <c r="L27" s="159"/>
      <c r="M27" s="159"/>
      <c r="N27" s="159"/>
      <c r="O27" s="159"/>
      <c r="P27" s="159"/>
      <c r="Q27" s="159">
        <f>2.25+14.15</f>
        <v>16.399999999999999</v>
      </c>
      <c r="R27" s="161"/>
      <c r="S27" s="161"/>
      <c r="T27" s="161"/>
      <c r="U27" s="161">
        <f>Table1[[#This Row],[DL]]+Table1[[#This Row],[DL12]]+Table1[[#This Row],[DL15]]</f>
        <v>0</v>
      </c>
      <c r="V27" s="161">
        <f>Table1[[#This Row],[XL]]+Table1[[#This Row],[XL13]]+Table1[[#This Row],[XL16]]</f>
        <v>0</v>
      </c>
      <c r="W27" s="161">
        <f>Table1[[#This Row],[SL]]+Table1[[#This Row],[SL14]]+Table1[[#This Row],[SL17]]</f>
        <v>1943.88</v>
      </c>
      <c r="X27" s="161"/>
      <c r="Y27" s="161"/>
      <c r="Z27" s="161"/>
      <c r="AA27" s="161">
        <f t="shared" si="1"/>
        <v>0</v>
      </c>
      <c r="AB27" s="161">
        <f t="shared" si="2"/>
        <v>0</v>
      </c>
      <c r="AC27" s="161">
        <f t="shared" si="3"/>
        <v>1943.88</v>
      </c>
      <c r="AD27" s="176"/>
      <c r="AE27" s="161"/>
      <c r="AF27" s="161"/>
      <c r="AG27" s="161"/>
      <c r="AH27" s="162" t="e">
        <f>#REF!+#REF!+F27+I27+L27</f>
        <v>#REF!</v>
      </c>
      <c r="AI27" s="165" t="e">
        <f>#REF!+#REF!+G27+J27+M27</f>
        <v>#REF!</v>
      </c>
      <c r="AJ27" s="162" t="e">
        <f>#REF!+#REF!+H27+K27+N27</f>
        <v>#REF!</v>
      </c>
    </row>
    <row r="28" spans="1:38" ht="15.75" x14ac:dyDescent="0.25">
      <c r="A28" s="174">
        <v>21</v>
      </c>
      <c r="B28" s="208" t="s">
        <v>252</v>
      </c>
      <c r="C28" s="167"/>
      <c r="D28" s="167"/>
      <c r="E28" s="207">
        <v>3783.51</v>
      </c>
      <c r="F28" s="167"/>
      <c r="G28" s="167"/>
      <c r="H28" s="167"/>
      <c r="I28" s="167"/>
      <c r="J28" s="167"/>
      <c r="K28" s="167"/>
      <c r="L28" s="167"/>
      <c r="M28" s="167"/>
      <c r="N28" s="167"/>
      <c r="O28" s="167"/>
      <c r="P28" s="167"/>
      <c r="Q28" s="167"/>
      <c r="R28" s="166"/>
      <c r="S28" s="166"/>
      <c r="T28" s="166"/>
      <c r="U28" s="168">
        <f>Table1[[#This Row],[DL]]+Table1[[#This Row],[DL12]]+Table1[[#This Row],[DL15]]</f>
        <v>0</v>
      </c>
      <c r="V28" s="168">
        <f>Table1[[#This Row],[XL]]+Table1[[#This Row],[XL13]]+Table1[[#This Row],[XL16]]</f>
        <v>0</v>
      </c>
      <c r="W28" s="168">
        <f>Table1[[#This Row],[SL]]+Table1[[#This Row],[SL14]]+Table1[[#This Row],[SL17]]</f>
        <v>3783.51</v>
      </c>
      <c r="X28" s="166"/>
      <c r="Y28" s="166"/>
      <c r="Z28" s="166"/>
      <c r="AA28" s="168">
        <f>C28+O28+R28+X28</f>
        <v>0</v>
      </c>
      <c r="AB28" s="168">
        <f t="shared" si="2"/>
        <v>0</v>
      </c>
      <c r="AC28" s="168">
        <f t="shared" si="3"/>
        <v>3783.51</v>
      </c>
      <c r="AD28" s="177"/>
      <c r="AE28" s="169"/>
      <c r="AF28" s="169"/>
      <c r="AG28" s="169"/>
      <c r="AH28" s="170"/>
    </row>
    <row r="29" spans="1:38" x14ac:dyDescent="0.25">
      <c r="AL29" s="158">
        <f>SUM(AL8:AL28)</f>
        <v>7000</v>
      </c>
    </row>
    <row r="30" spans="1:38" x14ac:dyDescent="0.25">
      <c r="D30" s="139"/>
      <c r="AA30" s="171"/>
    </row>
    <row r="31" spans="1:38" x14ac:dyDescent="0.25">
      <c r="AA31" s="171"/>
      <c r="AB31" s="171"/>
      <c r="AC31" s="171"/>
      <c r="AH31" s="139"/>
    </row>
    <row r="32" spans="1:38" x14ac:dyDescent="0.25">
      <c r="AA32" s="171"/>
    </row>
  </sheetData>
  <mergeCells count="12">
    <mergeCell ref="AE5:AG5"/>
    <mergeCell ref="A2:AC2"/>
    <mergeCell ref="O5:Q5"/>
    <mergeCell ref="AH5:AJ5"/>
    <mergeCell ref="C5:E5"/>
    <mergeCell ref="F5:H5"/>
    <mergeCell ref="I5:K5"/>
    <mergeCell ref="L5:N5"/>
    <mergeCell ref="X5:Z5"/>
    <mergeCell ref="U5:W5"/>
    <mergeCell ref="R5:T5"/>
    <mergeCell ref="AA5:AC5"/>
  </mergeCells>
  <phoneticPr fontId="32" type="noConversion"/>
  <pageMargins left="0.35433070866141736" right="0.28000000000000003" top="0.74803149606299213" bottom="0.74803149606299213" header="0.31496062992125984" footer="0.31496062992125984"/>
  <pageSetup paperSize="9" orientation="landscape" r:id="rId1"/>
  <ignoredErrors>
    <ignoredError sqref="AE7:AH27 AI7:AK7 AI11:AK27 AI8:AJ8 AI9:AJ9 AI10:AJ10" evalError="1"/>
  </ignoredError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5809-3269-47BC-8635-216DEDB95D65}">
  <sheetPr codeName="Sheet8"/>
  <dimension ref="A1:AC62"/>
  <sheetViews>
    <sheetView topLeftCell="C1" zoomScale="115" zoomScaleNormal="115" workbookViewId="0">
      <pane ySplit="7" topLeftCell="A8" activePane="bottomLeft" state="frozen"/>
      <selection activeCell="Q31" sqref="Q31"/>
      <selection pane="bottomLeft" activeCell="Q31" sqref="Q31"/>
    </sheetView>
  </sheetViews>
  <sheetFormatPr defaultColWidth="9.140625" defaultRowHeight="15" x14ac:dyDescent="0.25"/>
  <cols>
    <col min="1" max="2" width="0" hidden="1" customWidth="1"/>
    <col min="3" max="3" width="5" bestFit="1" customWidth="1"/>
    <col min="4" max="4" width="9.28515625" style="2" customWidth="1"/>
    <col min="5" max="5" width="10.85546875" customWidth="1"/>
    <col min="6" max="6" width="9.85546875" customWidth="1"/>
    <col min="8" max="8" width="12.85546875" customWidth="1"/>
    <col min="10" max="10" width="13.7109375" customWidth="1"/>
    <col min="11" max="12" width="9.42578125" customWidth="1"/>
    <col min="15" max="15" width="11.5703125" customWidth="1"/>
    <col min="20" max="20" width="11.5703125" customWidth="1"/>
    <col min="21" max="21" width="9.140625" customWidth="1"/>
    <col min="22" max="22" width="11" customWidth="1"/>
    <col min="23" max="23" width="8.42578125" customWidth="1"/>
    <col min="24" max="24" width="7.140625" customWidth="1"/>
    <col min="25" max="25" width="7.85546875" customWidth="1"/>
    <col min="26" max="26" width="13.140625" customWidth="1"/>
    <col min="27" max="27" width="13.7109375" customWidth="1"/>
    <col min="29" max="29" width="13.140625" customWidth="1"/>
  </cols>
  <sheetData>
    <row r="1" spans="1:29" x14ac:dyDescent="0.25">
      <c r="W1">
        <f>2500000-2131000</f>
        <v>369000</v>
      </c>
    </row>
    <row r="2" spans="1:29" ht="23.25" x14ac:dyDescent="0.25">
      <c r="A2" s="996" t="s">
        <v>45</v>
      </c>
      <c r="B2" s="996"/>
      <c r="C2" s="996"/>
      <c r="D2" s="996"/>
      <c r="E2" s="996"/>
      <c r="F2" s="996"/>
      <c r="G2" s="996"/>
      <c r="H2" s="996"/>
      <c r="I2" s="996"/>
      <c r="J2" s="996"/>
      <c r="K2" s="996"/>
      <c r="L2" s="996"/>
      <c r="M2" s="996"/>
      <c r="N2" s="996"/>
      <c r="O2" s="996"/>
      <c r="P2" s="996"/>
      <c r="Q2" s="996"/>
      <c r="R2" s="996"/>
      <c r="S2" s="996"/>
      <c r="T2" s="996"/>
      <c r="U2" s="1"/>
      <c r="V2" s="73" t="s">
        <v>84</v>
      </c>
      <c r="W2" s="74" t="s">
        <v>83</v>
      </c>
      <c r="X2" s="75"/>
      <c r="Y2" s="75"/>
      <c r="Z2" s="75" t="s">
        <v>80</v>
      </c>
      <c r="AA2" s="75" t="s">
        <v>82</v>
      </c>
      <c r="AB2" s="75" t="s">
        <v>81</v>
      </c>
      <c r="AC2" s="75" t="s">
        <v>85</v>
      </c>
    </row>
    <row r="3" spans="1:29" ht="19.5" customHeight="1" x14ac:dyDescent="0.4">
      <c r="A3" s="76"/>
      <c r="B3" s="76"/>
      <c r="C3" s="77"/>
      <c r="D3" s="78"/>
      <c r="E3" s="79"/>
      <c r="F3" s="80">
        <f>92/70*52</f>
        <v>68.342857142857142</v>
      </c>
      <c r="G3" s="78"/>
      <c r="H3" s="81"/>
      <c r="I3" s="82"/>
      <c r="J3" s="83"/>
      <c r="K3" s="83"/>
      <c r="L3" s="83"/>
      <c r="M3" s="84"/>
      <c r="P3" s="1"/>
      <c r="Q3" s="1"/>
      <c r="R3" s="997" t="s">
        <v>46</v>
      </c>
      <c r="S3" s="997"/>
      <c r="T3" s="997"/>
      <c r="U3" s="1"/>
      <c r="V3" s="85">
        <v>2131000</v>
      </c>
      <c r="W3" s="74">
        <v>370000</v>
      </c>
      <c r="X3" s="75" t="s">
        <v>96</v>
      </c>
      <c r="Y3" s="86">
        <v>126990</v>
      </c>
      <c r="Z3" s="86">
        <v>9300</v>
      </c>
      <c r="AA3" s="86">
        <v>12</v>
      </c>
      <c r="AB3" s="87">
        <f>Y3+Z3*AA3</f>
        <v>238590</v>
      </c>
      <c r="AC3" s="87">
        <f>W3-AB3</f>
        <v>131410</v>
      </c>
    </row>
    <row r="4" spans="1:29" ht="15.75" x14ac:dyDescent="0.25">
      <c r="A4" s="3"/>
      <c r="B4" s="3"/>
      <c r="C4" s="1"/>
      <c r="D4" s="3"/>
      <c r="E4" s="1"/>
      <c r="F4" s="1"/>
      <c r="G4" s="3"/>
      <c r="H4" s="1"/>
      <c r="I4" s="88"/>
      <c r="J4" s="1"/>
      <c r="K4" s="1"/>
      <c r="L4" s="1"/>
      <c r="M4" s="1"/>
      <c r="N4" s="1"/>
      <c r="O4" s="1" t="s">
        <v>47</v>
      </c>
      <c r="P4" s="1"/>
      <c r="Q4" s="1"/>
      <c r="R4" s="1"/>
      <c r="S4" s="1"/>
      <c r="T4" s="1" t="s">
        <v>48</v>
      </c>
      <c r="U4" s="1"/>
      <c r="V4" s="85">
        <v>21765</v>
      </c>
      <c r="W4" s="74">
        <v>4560</v>
      </c>
      <c r="X4" s="89"/>
      <c r="Y4" s="86">
        <v>1210</v>
      </c>
      <c r="Z4" s="86">
        <v>90</v>
      </c>
      <c r="AA4" s="86">
        <v>12</v>
      </c>
      <c r="AB4" s="87">
        <f>Y4+Z4*AA4</f>
        <v>2290</v>
      </c>
      <c r="AC4" s="87">
        <f>W4-AB4</f>
        <v>2270</v>
      </c>
    </row>
    <row r="5" spans="1:29" ht="15.75" x14ac:dyDescent="0.25">
      <c r="A5" s="998" t="s">
        <v>49</v>
      </c>
      <c r="B5" s="1000" t="s">
        <v>50</v>
      </c>
      <c r="C5" s="999" t="s">
        <v>51</v>
      </c>
      <c r="D5" s="999"/>
      <c r="E5" s="91"/>
      <c r="F5" s="92" t="s">
        <v>52</v>
      </c>
      <c r="G5" s="998" t="s">
        <v>53</v>
      </c>
      <c r="H5" s="92" t="s">
        <v>54</v>
      </c>
      <c r="I5" s="93" t="s">
        <v>55</v>
      </c>
      <c r="J5" s="92" t="s">
        <v>56</v>
      </c>
      <c r="K5" s="92" t="s">
        <v>19</v>
      </c>
      <c r="L5" s="92" t="s">
        <v>17</v>
      </c>
      <c r="M5" s="92" t="s">
        <v>57</v>
      </c>
      <c r="N5" s="92" t="s">
        <v>58</v>
      </c>
      <c r="O5" s="92" t="s">
        <v>59</v>
      </c>
      <c r="P5" s="1002" t="s">
        <v>60</v>
      </c>
      <c r="Q5" s="1004" t="s">
        <v>61</v>
      </c>
      <c r="R5" s="1004" t="s">
        <v>62</v>
      </c>
      <c r="S5" s="1004" t="s">
        <v>63</v>
      </c>
      <c r="T5" s="92" t="s">
        <v>64</v>
      </c>
      <c r="U5" s="1"/>
      <c r="V5" s="2"/>
      <c r="W5" s="2"/>
      <c r="Y5" s="4"/>
      <c r="Z5" s="4"/>
      <c r="AA5" s="5"/>
      <c r="AB5" s="4"/>
    </row>
    <row r="6" spans="1:29" ht="18" x14ac:dyDescent="0.25">
      <c r="A6" s="999"/>
      <c r="B6" s="1001"/>
      <c r="C6" s="90" t="s">
        <v>65</v>
      </c>
      <c r="D6" s="90" t="s">
        <v>66</v>
      </c>
      <c r="E6" s="94"/>
      <c r="F6" s="95" t="s">
        <v>67</v>
      </c>
      <c r="G6" s="999"/>
      <c r="H6" s="95" t="s">
        <v>68</v>
      </c>
      <c r="I6" s="96" t="s">
        <v>69</v>
      </c>
      <c r="J6" s="95" t="s">
        <v>67</v>
      </c>
      <c r="K6" s="95"/>
      <c r="L6" s="95"/>
      <c r="M6" s="95" t="s">
        <v>10</v>
      </c>
      <c r="N6" s="95" t="s">
        <v>70</v>
      </c>
      <c r="O6" s="95" t="s">
        <v>11</v>
      </c>
      <c r="P6" s="1003"/>
      <c r="Q6" s="1003"/>
      <c r="R6" s="1003"/>
      <c r="S6" s="1005"/>
      <c r="T6" s="97" t="s">
        <v>11</v>
      </c>
      <c r="U6" s="1"/>
      <c r="V6" s="2"/>
      <c r="W6" s="2">
        <f>26313-21756</f>
        <v>4557</v>
      </c>
    </row>
    <row r="7" spans="1:29" ht="15.75" x14ac:dyDescent="0.25">
      <c r="A7" s="98">
        <v>1</v>
      </c>
      <c r="B7" s="90">
        <v>2</v>
      </c>
      <c r="C7" s="99">
        <v>3</v>
      </c>
      <c r="D7" s="90">
        <v>4</v>
      </c>
      <c r="E7" s="100"/>
      <c r="F7" s="98">
        <v>5</v>
      </c>
      <c r="G7" s="98">
        <v>6</v>
      </c>
      <c r="H7" s="98">
        <v>7</v>
      </c>
      <c r="I7" s="101">
        <v>8</v>
      </c>
      <c r="J7" s="98">
        <v>9</v>
      </c>
      <c r="K7" s="98"/>
      <c r="L7" s="98"/>
      <c r="M7" s="98">
        <v>10</v>
      </c>
      <c r="N7" s="98">
        <v>11</v>
      </c>
      <c r="O7" s="98">
        <v>12</v>
      </c>
      <c r="P7" s="98"/>
      <c r="Q7" s="98"/>
      <c r="R7" s="102"/>
      <c r="S7" s="102"/>
      <c r="T7" s="89"/>
      <c r="U7" s="1"/>
      <c r="V7" s="2"/>
      <c r="W7" s="2">
        <f>7100-2500</f>
        <v>4600</v>
      </c>
      <c r="AB7">
        <v>230000</v>
      </c>
      <c r="AC7">
        <v>122110</v>
      </c>
    </row>
    <row r="8" spans="1:29" ht="15.75" x14ac:dyDescent="0.25">
      <c r="A8" s="102">
        <v>1</v>
      </c>
      <c r="B8" s="102">
        <v>111</v>
      </c>
      <c r="C8" s="89">
        <v>100</v>
      </c>
      <c r="D8" s="102">
        <v>80</v>
      </c>
      <c r="E8" s="89"/>
      <c r="F8" s="103"/>
      <c r="G8" s="104">
        <v>58</v>
      </c>
      <c r="H8" s="105">
        <f>COS((G8*PI())/180)</f>
        <v>0.5299192642332049</v>
      </c>
      <c r="I8" s="106">
        <f>1/COS(G8*PI()/180)</f>
        <v>1.8870799147998585</v>
      </c>
      <c r="J8" s="106">
        <f t="shared" ref="J8:J51" si="0">F8*I8</f>
        <v>0</v>
      </c>
      <c r="K8" s="106"/>
      <c r="L8" s="106"/>
      <c r="M8" s="106">
        <v>3.1500000000000004</v>
      </c>
      <c r="N8" s="89">
        <v>1.44</v>
      </c>
      <c r="O8" s="107">
        <f t="shared" ref="O8:O62" si="1">J8*M8*N8</f>
        <v>0</v>
      </c>
      <c r="P8" s="89">
        <v>0.95</v>
      </c>
      <c r="Q8" s="89">
        <v>0.75</v>
      </c>
      <c r="R8" s="102" t="str">
        <f t="shared" ref="R8:R32" si="2">IF(M8&lt;=2.2,M8,"2,2")</f>
        <v>2,2</v>
      </c>
      <c r="S8" s="102"/>
      <c r="T8" s="108">
        <f t="shared" ref="T8:T13" si="3">(J8*R8*P8+(J8*(M8-R8)*Q8)*1.63)</f>
        <v>0</v>
      </c>
      <c r="U8" s="1"/>
      <c r="V8" s="2"/>
      <c r="W8" s="2"/>
      <c r="AB8">
        <v>2362</v>
      </c>
      <c r="AC8">
        <v>2198</v>
      </c>
    </row>
    <row r="9" spans="1:29" ht="15.75" x14ac:dyDescent="0.25">
      <c r="A9" s="102">
        <v>1</v>
      </c>
      <c r="B9" s="102">
        <v>111</v>
      </c>
      <c r="C9" s="89">
        <v>80</v>
      </c>
      <c r="D9" s="102">
        <v>60</v>
      </c>
      <c r="E9" s="89"/>
      <c r="F9" s="103"/>
      <c r="G9" s="104">
        <v>46</v>
      </c>
      <c r="H9" s="105">
        <f>COS((G9*PI())/180)</f>
        <v>0.69465837045899737</v>
      </c>
      <c r="I9" s="106">
        <f>1/COS(G9*PI()/180)</f>
        <v>1.4395565396257262</v>
      </c>
      <c r="J9" s="106">
        <f t="shared" si="0"/>
        <v>0</v>
      </c>
      <c r="K9" s="106"/>
      <c r="L9" s="106"/>
      <c r="M9" s="106">
        <v>3.1500000000000004</v>
      </c>
      <c r="N9" s="89">
        <v>1.44</v>
      </c>
      <c r="O9" s="107">
        <f t="shared" si="1"/>
        <v>0</v>
      </c>
      <c r="P9" s="89">
        <f t="shared" ref="P9:Q12" si="4">P8</f>
        <v>0.95</v>
      </c>
      <c r="Q9" s="89">
        <f t="shared" si="4"/>
        <v>0.75</v>
      </c>
      <c r="R9" s="102" t="str">
        <f t="shared" si="2"/>
        <v>2,2</v>
      </c>
      <c r="S9" s="102"/>
      <c r="T9" s="108">
        <f t="shared" si="3"/>
        <v>0</v>
      </c>
      <c r="U9" s="1"/>
      <c r="V9" s="2"/>
      <c r="W9" s="2"/>
    </row>
    <row r="10" spans="1:29" ht="15.75" x14ac:dyDescent="0.25">
      <c r="A10" s="102">
        <v>1</v>
      </c>
      <c r="B10" s="102">
        <v>111</v>
      </c>
      <c r="C10" s="89">
        <v>60</v>
      </c>
      <c r="D10" s="102">
        <v>40</v>
      </c>
      <c r="E10" s="89"/>
      <c r="F10" s="103"/>
      <c r="G10" s="104">
        <v>51.59</v>
      </c>
      <c r="H10" s="105">
        <f>COS((G10*PI())/180)</f>
        <v>0.62128455112856096</v>
      </c>
      <c r="I10" s="106">
        <f>1/COS(G10*PI()/180)</f>
        <v>1.6095684307351663</v>
      </c>
      <c r="J10" s="106">
        <f t="shared" si="0"/>
        <v>0</v>
      </c>
      <c r="K10" s="106"/>
      <c r="L10" s="106"/>
      <c r="M10" s="106">
        <v>3.1500000000000004</v>
      </c>
      <c r="N10" s="89">
        <v>1.44</v>
      </c>
      <c r="O10" s="107">
        <f t="shared" si="1"/>
        <v>0</v>
      </c>
      <c r="P10" s="89">
        <f t="shared" si="4"/>
        <v>0.95</v>
      </c>
      <c r="Q10" s="89">
        <f t="shared" si="4"/>
        <v>0.75</v>
      </c>
      <c r="R10" s="102" t="str">
        <f t="shared" si="2"/>
        <v>2,2</v>
      </c>
      <c r="S10" s="102"/>
      <c r="T10" s="108">
        <f t="shared" si="3"/>
        <v>0</v>
      </c>
      <c r="U10" s="1"/>
      <c r="V10" s="2"/>
      <c r="W10" s="2"/>
    </row>
    <row r="11" spans="1:29" ht="15.75" x14ac:dyDescent="0.25">
      <c r="A11" s="102">
        <v>1</v>
      </c>
      <c r="B11" s="102">
        <v>111</v>
      </c>
      <c r="C11" s="89">
        <v>40</v>
      </c>
      <c r="D11" s="102">
        <v>20</v>
      </c>
      <c r="E11" s="89"/>
      <c r="F11" s="103"/>
      <c r="G11" s="104">
        <v>51.63</v>
      </c>
      <c r="H11" s="105">
        <f>COS((G11*PI())/180)</f>
        <v>0.62073735421676635</v>
      </c>
      <c r="I11" s="106">
        <f>1/COS(G11*PI()/180)</f>
        <v>1.6109873092167613</v>
      </c>
      <c r="J11" s="106">
        <f t="shared" si="0"/>
        <v>0</v>
      </c>
      <c r="K11" s="106"/>
      <c r="L11" s="106"/>
      <c r="M11" s="106">
        <v>1.8</v>
      </c>
      <c r="N11" s="89">
        <v>1.44</v>
      </c>
      <c r="O11" s="107">
        <f t="shared" si="1"/>
        <v>0</v>
      </c>
      <c r="P11" s="89">
        <f t="shared" si="4"/>
        <v>0.95</v>
      </c>
      <c r="Q11" s="89">
        <f t="shared" si="4"/>
        <v>0.75</v>
      </c>
      <c r="R11" s="102">
        <f t="shared" si="2"/>
        <v>1.8</v>
      </c>
      <c r="S11" s="102"/>
      <c r="T11" s="108">
        <f t="shared" si="3"/>
        <v>0</v>
      </c>
      <c r="U11" s="1"/>
      <c r="V11" s="2"/>
      <c r="W11" s="2">
        <f>2130000-2500000</f>
        <v>-370000</v>
      </c>
    </row>
    <row r="12" spans="1:29" ht="15.75" x14ac:dyDescent="0.25">
      <c r="A12" s="102">
        <v>1</v>
      </c>
      <c r="B12" s="102">
        <v>111</v>
      </c>
      <c r="C12" s="89">
        <v>20</v>
      </c>
      <c r="D12" s="102">
        <v>0</v>
      </c>
      <c r="E12" s="89"/>
      <c r="F12" s="103"/>
      <c r="G12" s="104">
        <v>50.4</v>
      </c>
      <c r="H12" s="105">
        <f>COS((G12*PI())/180)</f>
        <v>0.63742398974868986</v>
      </c>
      <c r="I12" s="106">
        <f>1/COS(G12*PI()/180)</f>
        <v>1.5688145035053653</v>
      </c>
      <c r="J12" s="106">
        <f t="shared" si="0"/>
        <v>0</v>
      </c>
      <c r="K12" s="106"/>
      <c r="L12" s="106"/>
      <c r="M12" s="106">
        <v>3.1500000000000004</v>
      </c>
      <c r="N12" s="89">
        <v>1.44</v>
      </c>
      <c r="O12" s="107">
        <f t="shared" si="1"/>
        <v>0</v>
      </c>
      <c r="P12" s="89">
        <f t="shared" si="4"/>
        <v>0.95</v>
      </c>
      <c r="Q12" s="89">
        <f t="shared" si="4"/>
        <v>0.75</v>
      </c>
      <c r="R12" s="102" t="str">
        <f t="shared" si="2"/>
        <v>2,2</v>
      </c>
      <c r="S12" s="102"/>
      <c r="T12" s="108">
        <f t="shared" si="3"/>
        <v>0</v>
      </c>
      <c r="U12" s="1"/>
      <c r="V12" s="2"/>
      <c r="W12" s="2">
        <f>26313-21756</f>
        <v>4557</v>
      </c>
    </row>
    <row r="13" spans="1:29" ht="15.75" x14ac:dyDescent="0.25">
      <c r="A13" s="1"/>
      <c r="B13" s="1"/>
      <c r="C13" s="1"/>
      <c r="D13" s="3"/>
      <c r="E13" s="89" t="s">
        <v>164</v>
      </c>
      <c r="F13" s="103">
        <v>4729</v>
      </c>
      <c r="G13" s="104">
        <v>20</v>
      </c>
      <c r="H13" s="105">
        <f t="shared" ref="H13:H51" si="5">COS((G13*PI())/180)</f>
        <v>0.93969262078590843</v>
      </c>
      <c r="I13" s="106"/>
      <c r="J13" s="106">
        <f t="shared" si="0"/>
        <v>0</v>
      </c>
      <c r="K13" s="106"/>
      <c r="L13" s="106"/>
      <c r="M13" s="106">
        <v>3.2</v>
      </c>
      <c r="N13" s="89">
        <v>1.63</v>
      </c>
      <c r="O13" s="107">
        <f t="shared" si="1"/>
        <v>0</v>
      </c>
      <c r="P13" s="89">
        <v>0.95</v>
      </c>
      <c r="Q13" s="89">
        <v>0.75</v>
      </c>
      <c r="R13" s="102" t="str">
        <f t="shared" si="2"/>
        <v>2,2</v>
      </c>
      <c r="S13" s="102"/>
      <c r="T13" s="108">
        <f t="shared" si="3"/>
        <v>0</v>
      </c>
      <c r="U13" s="1" t="s">
        <v>5</v>
      </c>
      <c r="V13" s="2"/>
      <c r="W13" s="2"/>
    </row>
    <row r="14" spans="1:29" ht="15.75" x14ac:dyDescent="0.25">
      <c r="A14" s="1"/>
      <c r="B14" s="1"/>
      <c r="C14" s="1"/>
      <c r="D14" s="3"/>
      <c r="E14" s="89" t="s">
        <v>161</v>
      </c>
      <c r="F14" s="103">
        <v>17565</v>
      </c>
      <c r="G14" s="104">
        <v>20</v>
      </c>
      <c r="H14" s="105">
        <f>COS((G14*PI())/180)</f>
        <v>0.93969262078590843</v>
      </c>
      <c r="I14" s="106">
        <f>1/COS(G14*PI()/180)</f>
        <v>1.0641777724759121</v>
      </c>
      <c r="J14" s="106">
        <f>F14*I14</f>
        <v>18692.282573539396</v>
      </c>
      <c r="K14" s="106"/>
      <c r="L14" s="106"/>
      <c r="M14" s="106">
        <v>3.2</v>
      </c>
      <c r="N14" s="109">
        <v>1.63</v>
      </c>
      <c r="O14" s="107">
        <f t="shared" si="1"/>
        <v>97498.94590358148</v>
      </c>
      <c r="P14" s="89">
        <f>P13</f>
        <v>0.95</v>
      </c>
      <c r="Q14" s="89">
        <f>Q13</f>
        <v>0.75</v>
      </c>
      <c r="R14" s="102" t="str">
        <f t="shared" si="2"/>
        <v>2,2</v>
      </c>
      <c r="S14" s="110">
        <f>J14*P14*R14*N14</f>
        <v>63678.999043276657</v>
      </c>
      <c r="T14" s="111">
        <f>ROUND((J14*R14*P14+(J14*(M14-R14)*Q14))*N14,-3)</f>
        <v>87000</v>
      </c>
      <c r="U14" s="5" t="s">
        <v>3</v>
      </c>
      <c r="V14" s="2"/>
      <c r="W14" s="2"/>
    </row>
    <row r="15" spans="1:29" ht="15.75" x14ac:dyDescent="0.25">
      <c r="A15" s="1"/>
      <c r="B15" s="1"/>
      <c r="C15" s="1"/>
      <c r="D15" s="3"/>
      <c r="E15" s="89" t="s">
        <v>161</v>
      </c>
      <c r="F15" s="103">
        <v>14800</v>
      </c>
      <c r="G15" s="104">
        <v>20</v>
      </c>
      <c r="H15" s="105">
        <f>COS((G15*PI())/180)</f>
        <v>0.93969262078590843</v>
      </c>
      <c r="I15" s="106">
        <f>1/COS(G15*PI()/180)</f>
        <v>1.0641777724759121</v>
      </c>
      <c r="J15" s="106">
        <f>F15*I15</f>
        <v>15749.831032643498</v>
      </c>
      <c r="K15" s="106"/>
      <c r="L15" s="106"/>
      <c r="M15" s="106">
        <v>3.2</v>
      </c>
      <c r="N15" s="109">
        <v>1.63</v>
      </c>
      <c r="O15" s="107">
        <f>J15*M15*N15</f>
        <v>82151.118666268492</v>
      </c>
      <c r="P15" s="89">
        <f>P14</f>
        <v>0.95</v>
      </c>
      <c r="Q15" s="89">
        <f>Q14</f>
        <v>0.75</v>
      </c>
      <c r="R15" s="102" t="str">
        <f>IF(M15&lt;=2.2,M15,"2,2")</f>
        <v>2,2</v>
      </c>
      <c r="S15" s="110">
        <f>J15*P15*R15*N15</f>
        <v>53654.949378906604</v>
      </c>
      <c r="T15" s="111">
        <f>ROUND((J15*R15*P15+(J15*(M15-R15)*Q15))*N15,-3)</f>
        <v>73000</v>
      </c>
      <c r="U15" s="5" t="s">
        <v>3</v>
      </c>
      <c r="V15" s="2"/>
      <c r="W15" s="2"/>
    </row>
    <row r="16" spans="1:29" ht="15.75" x14ac:dyDescent="0.25">
      <c r="A16" s="1"/>
      <c r="B16" s="1"/>
      <c r="C16" s="1"/>
      <c r="D16" s="3"/>
      <c r="E16" s="89" t="s">
        <v>162</v>
      </c>
      <c r="F16" s="103">
        <v>34000</v>
      </c>
      <c r="G16" s="104">
        <v>18</v>
      </c>
      <c r="H16" s="105">
        <f t="shared" si="5"/>
        <v>0.95105651629515353</v>
      </c>
      <c r="I16" s="106">
        <f t="shared" ref="I16:I51" si="6">1/COS(G16*PI()/180)</f>
        <v>1.0514622242382672</v>
      </c>
      <c r="J16" s="106">
        <f t="shared" si="0"/>
        <v>35749.715624101082</v>
      </c>
      <c r="K16" s="112">
        <v>120</v>
      </c>
      <c r="L16" s="112">
        <f>J16/K16</f>
        <v>297.91429686750899</v>
      </c>
      <c r="M16" s="106">
        <v>3.2</v>
      </c>
      <c r="N16" s="109">
        <v>1.63</v>
      </c>
      <c r="O16" s="107">
        <f t="shared" si="1"/>
        <v>186470.51669531123</v>
      </c>
      <c r="P16" s="89">
        <f>P13</f>
        <v>0.95</v>
      </c>
      <c r="Q16" s="89">
        <f>Q13</f>
        <v>0.75</v>
      </c>
      <c r="R16" s="113">
        <f>M16</f>
        <v>3.2</v>
      </c>
      <c r="S16" s="110">
        <f>J16*P16*R16*N16</f>
        <v>177146.99086054569</v>
      </c>
      <c r="T16" s="108"/>
      <c r="U16" s="1"/>
      <c r="V16" s="2"/>
      <c r="W16" s="2"/>
    </row>
    <row r="17" spans="1:28" ht="15.75" x14ac:dyDescent="0.25">
      <c r="A17" s="1"/>
      <c r="B17" s="1"/>
      <c r="C17" s="1"/>
      <c r="D17" s="3"/>
      <c r="E17" s="89" t="s">
        <v>162</v>
      </c>
      <c r="F17" s="103">
        <v>28000</v>
      </c>
      <c r="G17" s="104">
        <v>18</v>
      </c>
      <c r="H17" s="105">
        <f>COS((G17*PI())/180)</f>
        <v>0.95105651629515353</v>
      </c>
      <c r="I17" s="106">
        <f>1/COS(G17*PI()/180)</f>
        <v>1.0514622242382672</v>
      </c>
      <c r="J17" s="106">
        <f>F17*I17</f>
        <v>29440.942278671482</v>
      </c>
      <c r="K17" s="112">
        <v>120</v>
      </c>
      <c r="L17" s="112">
        <f>J17/K17</f>
        <v>245.34118565559569</v>
      </c>
      <c r="M17" s="106">
        <v>3</v>
      </c>
      <c r="N17" s="109">
        <v>1.63</v>
      </c>
      <c r="O17" s="107">
        <f>J17*M17*N17</f>
        <v>143966.20774270353</v>
      </c>
      <c r="P17" s="89">
        <f>P14</f>
        <v>0.95</v>
      </c>
      <c r="Q17" s="89">
        <f>Q14</f>
        <v>0.75</v>
      </c>
      <c r="R17" s="113">
        <f>M17</f>
        <v>3</v>
      </c>
      <c r="S17" s="110">
        <f>J17*P17*R17*N17</f>
        <v>136767.89735556833</v>
      </c>
      <c r="T17" s="108"/>
      <c r="U17" s="1"/>
      <c r="V17" s="2"/>
      <c r="W17" s="2"/>
    </row>
    <row r="18" spans="1:28" ht="15.75" x14ac:dyDescent="0.25">
      <c r="A18" s="1"/>
      <c r="B18" s="1"/>
      <c r="C18" s="1"/>
      <c r="D18" s="3"/>
      <c r="E18" s="89" t="s">
        <v>23</v>
      </c>
      <c r="F18" s="103">
        <v>6185</v>
      </c>
      <c r="G18" s="104">
        <v>24</v>
      </c>
      <c r="H18" s="105">
        <f>COS((G18*PI())/180)</f>
        <v>0.91354545764260087</v>
      </c>
      <c r="I18" s="106">
        <f>1/COS(G18*PI()/180)</f>
        <v>1.0946362785060468</v>
      </c>
      <c r="J18" s="106">
        <f>F18*I18</f>
        <v>6770.3253825598995</v>
      </c>
      <c r="K18" s="106"/>
      <c r="L18" s="106"/>
      <c r="M18" s="114">
        <v>3.65</v>
      </c>
      <c r="N18" s="109">
        <v>1.63</v>
      </c>
      <c r="O18" s="107">
        <f t="shared" si="1"/>
        <v>40280.050863540113</v>
      </c>
      <c r="P18" s="89">
        <f>P16</f>
        <v>0.95</v>
      </c>
      <c r="Q18" s="89">
        <f>Q16</f>
        <v>0.75</v>
      </c>
      <c r="R18" s="102" t="str">
        <f t="shared" si="2"/>
        <v>2,2</v>
      </c>
      <c r="S18" s="110">
        <f>J18*P18*R18*N18</f>
        <v>23064.467480766809</v>
      </c>
      <c r="T18" s="111">
        <f>ROUND((J18*R18*P18+(J18*(M18-R18)*Q18))*N18,-3)</f>
        <v>35000</v>
      </c>
      <c r="U18" s="5" t="s">
        <v>3</v>
      </c>
      <c r="V18" s="2"/>
      <c r="W18" s="2"/>
    </row>
    <row r="19" spans="1:28" s="10" customFormat="1" ht="15.75" x14ac:dyDescent="0.25">
      <c r="A19" s="64"/>
      <c r="B19" s="64"/>
      <c r="C19" s="64"/>
      <c r="D19" s="65"/>
      <c r="E19" s="66"/>
      <c r="F19" s="134">
        <v>14830</v>
      </c>
      <c r="G19" s="135">
        <v>20</v>
      </c>
      <c r="H19" s="136">
        <f t="shared" si="5"/>
        <v>0.93969262078590843</v>
      </c>
      <c r="I19" s="137">
        <f t="shared" si="6"/>
        <v>1.0641777724759121</v>
      </c>
      <c r="J19" s="137">
        <f t="shared" si="0"/>
        <v>15781.756365817775</v>
      </c>
      <c r="K19" s="137"/>
      <c r="L19" s="137"/>
      <c r="M19" s="137">
        <v>2.2000000000000002</v>
      </c>
      <c r="N19" s="66">
        <f>N18</f>
        <v>1.63</v>
      </c>
      <c r="O19" s="187">
        <f t="shared" si="1"/>
        <v>56593.378327822538</v>
      </c>
      <c r="P19" s="66">
        <f t="shared" ref="P19:Q21" si="7">P16</f>
        <v>0.95</v>
      </c>
      <c r="Q19" s="66">
        <f t="shared" si="7"/>
        <v>0.75</v>
      </c>
      <c r="R19" s="67">
        <f t="shared" si="2"/>
        <v>2.2000000000000002</v>
      </c>
      <c r="S19" s="67"/>
      <c r="T19" s="68">
        <f>(J19*R19*P19+(J19*(M19-R19)*Q19))*1.63</f>
        <v>53763.70941143141</v>
      </c>
      <c r="U19" s="64"/>
      <c r="V19" s="9"/>
      <c r="W19" s="9"/>
    </row>
    <row r="20" spans="1:28" s="10" customFormat="1" ht="15.75" x14ac:dyDescent="0.25">
      <c r="A20" s="64"/>
      <c r="B20" s="64"/>
      <c r="C20" s="64"/>
      <c r="D20" s="65"/>
      <c r="E20" s="66"/>
      <c r="F20" s="134">
        <v>2178</v>
      </c>
      <c r="G20" s="135">
        <v>20</v>
      </c>
      <c r="H20" s="136">
        <f>COS((G20*PI())/180)</f>
        <v>0.93969262078590843</v>
      </c>
      <c r="I20" s="137">
        <f>1/COS(G20*PI()/180)</f>
        <v>1.0641777724759121</v>
      </c>
      <c r="J20" s="137">
        <f>F20*I20</f>
        <v>2317.7791884525363</v>
      </c>
      <c r="K20" s="137"/>
      <c r="L20" s="137"/>
      <c r="M20" s="137">
        <v>2.2000000000000002</v>
      </c>
      <c r="N20" s="66">
        <f>N19</f>
        <v>1.63</v>
      </c>
      <c r="O20" s="72">
        <f>J20*M20*N20</f>
        <v>8311.5561697907942</v>
      </c>
      <c r="P20" s="66">
        <f t="shared" si="7"/>
        <v>0.95</v>
      </c>
      <c r="Q20" s="66">
        <f t="shared" si="7"/>
        <v>0.75</v>
      </c>
      <c r="R20" s="67">
        <f>IF(M20&lt;=2.2,M20,"2,2")</f>
        <v>2.2000000000000002</v>
      </c>
      <c r="S20" s="67"/>
      <c r="T20" s="68">
        <f>(J20*R20*P20+(J20*(M20-R20)*Q20))*1.63</f>
        <v>7895.9783613012542</v>
      </c>
      <c r="U20" s="64"/>
      <c r="V20" s="9"/>
      <c r="W20" s="9"/>
    </row>
    <row r="21" spans="1:28" s="10" customFormat="1" ht="15.75" x14ac:dyDescent="0.25">
      <c r="A21" s="64"/>
      <c r="B21" s="64"/>
      <c r="C21" s="64"/>
      <c r="D21" s="65"/>
      <c r="E21" s="66"/>
      <c r="F21" s="134">
        <v>3772</v>
      </c>
      <c r="G21" s="135">
        <v>20</v>
      </c>
      <c r="H21" s="136">
        <f>COS((G21*PI())/180)</f>
        <v>0.93969262078590843</v>
      </c>
      <c r="I21" s="137">
        <f>1/COS(G21*PI()/180)</f>
        <v>1.0641777724759121</v>
      </c>
      <c r="J21" s="137">
        <f>F21*I21</f>
        <v>4014.0785577791403</v>
      </c>
      <c r="K21" s="137"/>
      <c r="L21" s="137"/>
      <c r="M21" s="137">
        <v>3</v>
      </c>
      <c r="N21" s="66">
        <f>N20</f>
        <v>1.63</v>
      </c>
      <c r="O21" s="72">
        <f>J21*M21*N21</f>
        <v>19628.844147539996</v>
      </c>
      <c r="P21" s="66">
        <f t="shared" si="7"/>
        <v>0.95</v>
      </c>
      <c r="Q21" s="66">
        <f t="shared" si="7"/>
        <v>0.75</v>
      </c>
      <c r="R21" s="67" t="str">
        <f>IF(M21&lt;=2.2,M21,"2,2")</f>
        <v>2,2</v>
      </c>
      <c r="S21" s="67"/>
      <c r="T21" s="68">
        <f>(J21*R21*P21+(J21*(M21-R21)*Q21))*1.63</f>
        <v>17600.530252294193</v>
      </c>
      <c r="U21" s="64"/>
      <c r="V21" s="9"/>
      <c r="W21" s="9"/>
    </row>
    <row r="22" spans="1:28" ht="15.75" x14ac:dyDescent="0.25">
      <c r="A22" s="1"/>
      <c r="B22" s="1"/>
      <c r="C22" s="1"/>
      <c r="D22" s="3"/>
      <c r="E22" s="89"/>
      <c r="F22" s="103">
        <v>4755</v>
      </c>
      <c r="G22" s="104">
        <v>20</v>
      </c>
      <c r="H22" s="105">
        <f>COS((G22*PI())/180)</f>
        <v>0.93969262078590843</v>
      </c>
      <c r="I22" s="106">
        <f>1/COS(G22*PI()/180)</f>
        <v>1.0641777724759121</v>
      </c>
      <c r="J22" s="106">
        <f>F22*I22</f>
        <v>5060.1653081229615</v>
      </c>
      <c r="K22" s="106"/>
      <c r="L22" s="106"/>
      <c r="M22" s="106">
        <v>2.5</v>
      </c>
      <c r="N22" s="89">
        <f>N19</f>
        <v>1.63</v>
      </c>
      <c r="O22" s="107">
        <f>J22*M22*N22</f>
        <v>20620.173630601064</v>
      </c>
      <c r="P22" s="89">
        <f>P18</f>
        <v>0.95</v>
      </c>
      <c r="Q22" s="89">
        <f>Q18</f>
        <v>0.75</v>
      </c>
      <c r="R22" s="102" t="str">
        <f>IF(M22&lt;=2.2,M22,"2,2")</f>
        <v>2,2</v>
      </c>
      <c r="S22" s="102"/>
      <c r="T22" s="108">
        <f>(J22*R22*P22+(J22*(M22-R22)*Q22))*1.63</f>
        <v>19094.280781936588</v>
      </c>
      <c r="U22" s="1"/>
      <c r="V22" s="2"/>
      <c r="W22" s="2"/>
    </row>
    <row r="23" spans="1:28" ht="15.75" x14ac:dyDescent="0.25">
      <c r="A23" s="1"/>
      <c r="B23" s="1"/>
      <c r="C23" s="1"/>
      <c r="D23" s="3"/>
      <c r="E23" s="89"/>
      <c r="F23" s="190">
        <v>7000</v>
      </c>
      <c r="G23" s="104">
        <v>15</v>
      </c>
      <c r="H23" s="105">
        <f t="shared" si="5"/>
        <v>0.96592582628906831</v>
      </c>
      <c r="I23" s="106">
        <f t="shared" si="6"/>
        <v>1.035276180410083</v>
      </c>
      <c r="J23" s="106">
        <f t="shared" si="0"/>
        <v>7246.9332628705806</v>
      </c>
      <c r="K23" s="106"/>
      <c r="L23" s="106"/>
      <c r="M23" s="106">
        <v>4</v>
      </c>
      <c r="N23" s="109">
        <v>1.63</v>
      </c>
      <c r="O23" s="107">
        <f t="shared" si="1"/>
        <v>47250.004873916179</v>
      </c>
      <c r="P23" s="89">
        <f>P19</f>
        <v>0.95</v>
      </c>
      <c r="Q23" s="89">
        <f>Q19</f>
        <v>0.75</v>
      </c>
      <c r="R23" s="102" t="str">
        <f t="shared" si="2"/>
        <v>2,2</v>
      </c>
      <c r="S23" s="110">
        <f>J23*P23*R23*N23</f>
        <v>24688.127546621206</v>
      </c>
      <c r="T23" s="111">
        <f>ROUND((J23*R23*P23+(J23*(M23-R23)*Q23))*N23,-3)</f>
        <v>41000</v>
      </c>
      <c r="U23" s="5" t="s">
        <v>3</v>
      </c>
      <c r="V23" s="2"/>
      <c r="W23" s="2"/>
    </row>
    <row r="24" spans="1:28" ht="15.75" x14ac:dyDescent="0.25">
      <c r="A24" s="1"/>
      <c r="B24" s="1"/>
      <c r="C24" s="1"/>
      <c r="D24" s="3"/>
      <c r="E24" s="182"/>
      <c r="F24" s="191">
        <v>2730</v>
      </c>
      <c r="G24" s="183">
        <v>55.4</v>
      </c>
      <c r="H24" s="184">
        <f t="shared" si="5"/>
        <v>0.56784374505310131</v>
      </c>
      <c r="I24" s="185">
        <f t="shared" si="6"/>
        <v>1.7610478387967206</v>
      </c>
      <c r="J24" s="185">
        <f t="shared" si="0"/>
        <v>4807.660599915047</v>
      </c>
      <c r="K24" s="185"/>
      <c r="L24" s="185"/>
      <c r="M24" s="185">
        <v>3.5</v>
      </c>
      <c r="N24" s="186">
        <v>1.63</v>
      </c>
      <c r="O24" s="187">
        <f>J24*M24*N24</f>
        <v>27427.70372251534</v>
      </c>
      <c r="P24" s="182">
        <f t="shared" ref="P24:Q27" si="8">P19</f>
        <v>0.95</v>
      </c>
      <c r="Q24" s="182">
        <f t="shared" si="8"/>
        <v>0.75</v>
      </c>
      <c r="R24" s="188" t="str">
        <f t="shared" si="2"/>
        <v>2,2</v>
      </c>
      <c r="S24" s="188"/>
      <c r="T24" s="189">
        <f>(J24*R24*P24+(J24*(M24-R24)*Q24))*1.63</f>
        <v>24018.831974145574</v>
      </c>
      <c r="U24" s="1"/>
      <c r="V24" s="2"/>
      <c r="W24" s="2"/>
    </row>
    <row r="25" spans="1:28" ht="15.75" x14ac:dyDescent="0.25">
      <c r="A25" s="1"/>
      <c r="B25" s="1"/>
      <c r="C25" s="1"/>
      <c r="D25" s="3"/>
      <c r="E25" s="182"/>
      <c r="F25" s="191">
        <v>2018</v>
      </c>
      <c r="G25" s="183">
        <v>55.4</v>
      </c>
      <c r="H25" s="184">
        <f>COS((G25*PI())/180)</f>
        <v>0.56784374505310131</v>
      </c>
      <c r="I25" s="185">
        <f>1/COS(G25*PI()/180)</f>
        <v>1.7610478387967206</v>
      </c>
      <c r="J25" s="185">
        <f>F25*I25</f>
        <v>3553.7945386917822</v>
      </c>
      <c r="K25" s="185"/>
      <c r="L25" s="185"/>
      <c r="M25" s="185">
        <v>3.5</v>
      </c>
      <c r="N25" s="186">
        <v>1.63</v>
      </c>
      <c r="O25" s="187">
        <f>J25*M25*N25</f>
        <v>20274.397843236617</v>
      </c>
      <c r="P25" s="182">
        <f t="shared" si="8"/>
        <v>0.95</v>
      </c>
      <c r="Q25" s="182">
        <f t="shared" si="8"/>
        <v>0.75</v>
      </c>
      <c r="R25" s="188" t="str">
        <f>IF(M25&lt;=2.2,M25,"2,2")</f>
        <v>2,2</v>
      </c>
      <c r="S25" s="188"/>
      <c r="T25" s="189">
        <f>(J25*R25*P25+(J25*(M25-R25)*Q25))*1.63</f>
        <v>17754.57982557721</v>
      </c>
      <c r="U25" s="1"/>
      <c r="V25" s="2"/>
      <c r="W25" s="2"/>
    </row>
    <row r="26" spans="1:28" s="204" customFormat="1" ht="15.75" x14ac:dyDescent="0.25">
      <c r="A26" s="192"/>
      <c r="B26" s="192"/>
      <c r="C26" s="192"/>
      <c r="D26" s="193"/>
      <c r="E26" s="194"/>
      <c r="F26" s="195">
        <f>9108+1933</f>
        <v>11041</v>
      </c>
      <c r="G26" s="196">
        <v>15</v>
      </c>
      <c r="H26" s="197">
        <f>COS((G26*PI())/180)</f>
        <v>0.96592582628906831</v>
      </c>
      <c r="I26" s="198">
        <f>1/COS(G26*PI()/180)</f>
        <v>1.035276180410083</v>
      </c>
      <c r="J26" s="198">
        <f>F26*I26</f>
        <v>11430.484307907725</v>
      </c>
      <c r="K26" s="198"/>
      <c r="L26" s="198"/>
      <c r="M26" s="198">
        <v>2.5</v>
      </c>
      <c r="N26" s="199">
        <v>1.63</v>
      </c>
      <c r="O26" s="200">
        <f>J26*M26*N26</f>
        <v>46579.223554723976</v>
      </c>
      <c r="P26" s="194">
        <f t="shared" si="8"/>
        <v>0.95</v>
      </c>
      <c r="Q26" s="194">
        <f t="shared" si="8"/>
        <v>0.75</v>
      </c>
      <c r="R26" s="201" t="str">
        <f>IF(M26&lt;=2.2,M26,"2,2")</f>
        <v>2,2</v>
      </c>
      <c r="S26" s="201"/>
      <c r="T26" s="202">
        <f>(J26*R26*P26+(J26*(M26-R26)*Q26))*1.63</f>
        <v>43132.361011674402</v>
      </c>
      <c r="U26" s="192"/>
      <c r="V26" s="203"/>
      <c r="W26" s="203"/>
    </row>
    <row r="27" spans="1:28" s="204" customFormat="1" ht="15.75" x14ac:dyDescent="0.25">
      <c r="A27" s="192"/>
      <c r="B27" s="192"/>
      <c r="C27" s="192"/>
      <c r="D27" s="193"/>
      <c r="E27" s="194"/>
      <c r="F27" s="195">
        <v>7837</v>
      </c>
      <c r="G27" s="196">
        <v>15</v>
      </c>
      <c r="H27" s="197">
        <f>COS((G27*PI())/180)</f>
        <v>0.96592582628906831</v>
      </c>
      <c r="I27" s="198">
        <f>1/COS(G27*PI()/180)</f>
        <v>1.035276180410083</v>
      </c>
      <c r="J27" s="198">
        <f>F27*I27</f>
        <v>8113.4594258738198</v>
      </c>
      <c r="K27" s="198"/>
      <c r="L27" s="198"/>
      <c r="M27" s="198">
        <v>2.5</v>
      </c>
      <c r="N27" s="199">
        <v>1.63</v>
      </c>
      <c r="O27" s="200">
        <f>J27*M27*N27</f>
        <v>33062.347160435813</v>
      </c>
      <c r="P27" s="194">
        <f t="shared" si="8"/>
        <v>0.95</v>
      </c>
      <c r="Q27" s="194">
        <f t="shared" si="8"/>
        <v>0.75</v>
      </c>
      <c r="R27" s="201" t="str">
        <f>IF(M27&lt;=2.2,M27,"2,2")</f>
        <v>2,2</v>
      </c>
      <c r="S27" s="201"/>
      <c r="T27" s="202">
        <f>(J27*R27*P27+(J27*(M27-R27)*Q27))*1.63</f>
        <v>30615.733470563562</v>
      </c>
      <c r="U27" s="192"/>
      <c r="V27" s="203"/>
      <c r="W27" s="203"/>
    </row>
    <row r="28" spans="1:28" ht="15.75" x14ac:dyDescent="0.25">
      <c r="A28" s="1"/>
      <c r="B28" s="1"/>
      <c r="C28" s="1"/>
      <c r="D28" s="3"/>
      <c r="E28" s="89"/>
      <c r="F28" s="103">
        <v>3918</v>
      </c>
      <c r="G28" s="104">
        <v>20</v>
      </c>
      <c r="H28" s="105">
        <f t="shared" si="5"/>
        <v>0.93969262078590843</v>
      </c>
      <c r="I28" s="106">
        <f t="shared" si="6"/>
        <v>1.0641777724759121</v>
      </c>
      <c r="J28" s="106">
        <f t="shared" si="0"/>
        <v>4169.4485125606234</v>
      </c>
      <c r="K28" s="106"/>
      <c r="L28" s="106"/>
      <c r="M28" s="106">
        <v>5</v>
      </c>
      <c r="N28" s="109">
        <v>1.63</v>
      </c>
      <c r="O28" s="107">
        <f t="shared" si="1"/>
        <v>33981.005377369074</v>
      </c>
      <c r="P28" s="89">
        <f>P24</f>
        <v>0.95</v>
      </c>
      <c r="Q28" s="89">
        <f>Q24</f>
        <v>0.75</v>
      </c>
      <c r="R28" s="102">
        <v>3.5</v>
      </c>
      <c r="S28" s="110">
        <f t="shared" ref="S28:S48" si="9">J28*P28*R28*N28</f>
        <v>22597.368575950437</v>
      </c>
      <c r="T28" s="111">
        <f>ROUND((J28*R28*P28+(J28*(M28-R28)*Q28))*N28,-3)</f>
        <v>30000</v>
      </c>
      <c r="U28" s="5" t="s">
        <v>3</v>
      </c>
      <c r="V28" s="2"/>
      <c r="W28" s="2"/>
    </row>
    <row r="29" spans="1:28" ht="15.75" x14ac:dyDescent="0.25">
      <c r="A29" s="1"/>
      <c r="B29" s="1"/>
      <c r="C29" s="1"/>
      <c r="D29" s="3"/>
      <c r="E29" s="89" t="s">
        <v>18</v>
      </c>
      <c r="F29" s="115">
        <v>11500</v>
      </c>
      <c r="G29" s="115">
        <v>26</v>
      </c>
      <c r="H29" s="116">
        <f t="shared" si="5"/>
        <v>0.89879404629916704</v>
      </c>
      <c r="I29" s="117">
        <f t="shared" si="6"/>
        <v>1.1126019404751888</v>
      </c>
      <c r="J29" s="117">
        <f t="shared" si="0"/>
        <v>12794.922315464672</v>
      </c>
      <c r="K29" s="117"/>
      <c r="L29" s="117"/>
      <c r="M29" s="117">
        <v>3.5</v>
      </c>
      <c r="N29" s="109">
        <v>1.63</v>
      </c>
      <c r="O29" s="118">
        <f t="shared" si="1"/>
        <v>72995.031809725944</v>
      </c>
      <c r="P29" s="109">
        <f>P24</f>
        <v>0.95</v>
      </c>
      <c r="Q29" s="109">
        <f>Q24</f>
        <v>0.75</v>
      </c>
      <c r="R29" s="119" t="str">
        <f t="shared" si="2"/>
        <v>2,2</v>
      </c>
      <c r="S29" s="110">
        <f t="shared" si="9"/>
        <v>43588.461852093496</v>
      </c>
      <c r="T29" s="111">
        <f>ROUND((J29*R29*P29+(J29*(M29-R29)*Q29))*N29,-3)</f>
        <v>64000</v>
      </c>
      <c r="U29" s="5" t="s">
        <v>71</v>
      </c>
      <c r="V29" s="2"/>
      <c r="W29" s="2"/>
      <c r="AA29" s="120"/>
      <c r="AB29" s="6"/>
    </row>
    <row r="30" spans="1:28" ht="15.75" x14ac:dyDescent="0.25">
      <c r="A30" s="1"/>
      <c r="B30" s="1"/>
      <c r="C30" s="1"/>
      <c r="D30" s="3"/>
      <c r="E30" s="89" t="s">
        <v>18</v>
      </c>
      <c r="F30" s="115">
        <v>1000</v>
      </c>
      <c r="G30" s="115">
        <v>26</v>
      </c>
      <c r="H30" s="116">
        <f>COS((G30*PI())/180)</f>
        <v>0.89879404629916704</v>
      </c>
      <c r="I30" s="117">
        <f>1/COS(G30*PI()/180)</f>
        <v>1.1126019404751888</v>
      </c>
      <c r="J30" s="117">
        <f>F30*I30</f>
        <v>1112.6019404751887</v>
      </c>
      <c r="K30" s="117"/>
      <c r="L30" s="117"/>
      <c r="M30" s="117">
        <v>3.5</v>
      </c>
      <c r="N30" s="109">
        <v>1.63</v>
      </c>
      <c r="O30" s="118">
        <f t="shared" si="1"/>
        <v>6347.3940704109509</v>
      </c>
      <c r="P30" s="109">
        <f>P28</f>
        <v>0.95</v>
      </c>
      <c r="Q30" s="109">
        <f>Q28</f>
        <v>0.75</v>
      </c>
      <c r="R30" s="119" t="str">
        <f t="shared" si="2"/>
        <v>2,2</v>
      </c>
      <c r="S30" s="110">
        <f t="shared" si="9"/>
        <v>3790.3010306168258</v>
      </c>
      <c r="T30" s="111">
        <f>ROUND((J30*R30*P30+(J30*(M30-R30)*Q30))*N30,-3)</f>
        <v>6000</v>
      </c>
      <c r="U30" s="5" t="s">
        <v>71</v>
      </c>
      <c r="V30" s="2"/>
      <c r="W30" s="2"/>
      <c r="AA30" s="120"/>
      <c r="AB30" s="6"/>
    </row>
    <row r="31" spans="1:28" ht="15.75" x14ac:dyDescent="0.25">
      <c r="A31" s="1"/>
      <c r="B31" s="1"/>
      <c r="C31" s="1"/>
      <c r="D31" s="3"/>
      <c r="E31" s="89" t="s">
        <v>72</v>
      </c>
      <c r="F31" s="104">
        <v>32832</v>
      </c>
      <c r="G31" s="104">
        <v>23</v>
      </c>
      <c r="H31" s="105">
        <f t="shared" si="5"/>
        <v>0.92050485345244037</v>
      </c>
      <c r="I31" s="106">
        <f t="shared" si="6"/>
        <v>1.0863603774052961</v>
      </c>
      <c r="J31" s="106">
        <f t="shared" si="0"/>
        <v>35667.383910970682</v>
      </c>
      <c r="K31" s="106"/>
      <c r="L31" s="106"/>
      <c r="M31" s="106">
        <v>2.1</v>
      </c>
      <c r="N31" s="89">
        <v>1.63</v>
      </c>
      <c r="O31" s="107">
        <f t="shared" si="1"/>
        <v>122089.45512725263</v>
      </c>
      <c r="P31" s="89">
        <f>P28</f>
        <v>0.95</v>
      </c>
      <c r="Q31" s="89">
        <f>Q28</f>
        <v>0.75</v>
      </c>
      <c r="R31" s="102">
        <f t="shared" si="2"/>
        <v>2.1</v>
      </c>
      <c r="S31" s="121">
        <f t="shared" si="9"/>
        <v>115984.98237089002</v>
      </c>
      <c r="T31" s="108">
        <f>(J31*R31*P31+(J31*(M31-R31)*Q31))*1.63</f>
        <v>115984.98237088999</v>
      </c>
      <c r="U31" s="5" t="s">
        <v>71</v>
      </c>
      <c r="V31" s="2"/>
      <c r="W31" s="2"/>
      <c r="AA31" s="120"/>
      <c r="AB31" s="6"/>
    </row>
    <row r="32" spans="1:28" ht="15.75" x14ac:dyDescent="0.25">
      <c r="A32" s="1"/>
      <c r="B32" s="1"/>
      <c r="C32" s="1"/>
      <c r="D32" s="3"/>
      <c r="E32" s="89" t="s">
        <v>163</v>
      </c>
      <c r="F32" s="104">
        <v>12407</v>
      </c>
      <c r="G32" s="104">
        <v>23</v>
      </c>
      <c r="H32" s="105">
        <f>COS((G32*PI())/180)</f>
        <v>0.92050485345244037</v>
      </c>
      <c r="I32" s="106">
        <f>1/COS(G32*PI()/180)</f>
        <v>1.0863603774052961</v>
      </c>
      <c r="J32" s="106">
        <f>F32*I32</f>
        <v>13478.473202467509</v>
      </c>
      <c r="K32" s="106"/>
      <c r="L32" s="106"/>
      <c r="M32" s="106">
        <v>2.1</v>
      </c>
      <c r="N32" s="89">
        <v>1.63</v>
      </c>
      <c r="O32" s="107">
        <f t="shared" si="1"/>
        <v>46136.813772046276</v>
      </c>
      <c r="P32" s="89">
        <f>P29</f>
        <v>0.95</v>
      </c>
      <c r="Q32" s="89">
        <f>Q29</f>
        <v>0.75</v>
      </c>
      <c r="R32" s="102">
        <f t="shared" si="2"/>
        <v>2.1</v>
      </c>
      <c r="S32" s="121">
        <f t="shared" si="9"/>
        <v>43829.973083443969</v>
      </c>
      <c r="T32" s="108">
        <f>(J32*R32*P32+(J32*(M32-R32)*Q32))*1.63</f>
        <v>43829.973083443962</v>
      </c>
      <c r="U32" s="5"/>
      <c r="V32" s="2"/>
      <c r="W32" s="2"/>
      <c r="AA32" s="122"/>
      <c r="AB32" s="123"/>
    </row>
    <row r="33" spans="1:28" ht="15.75" x14ac:dyDescent="0.25">
      <c r="A33" s="1"/>
      <c r="B33" s="1"/>
      <c r="C33" s="1"/>
      <c r="D33" s="3"/>
      <c r="E33" s="89"/>
      <c r="F33" s="104">
        <v>8000</v>
      </c>
      <c r="G33" s="104">
        <v>47</v>
      </c>
      <c r="H33" s="105">
        <f t="shared" si="5"/>
        <v>0.68199836006249848</v>
      </c>
      <c r="I33" s="106">
        <f t="shared" si="6"/>
        <v>1.4662791856396249</v>
      </c>
      <c r="J33" s="106">
        <f t="shared" si="0"/>
        <v>11730.233485117</v>
      </c>
      <c r="K33" s="106"/>
      <c r="L33" s="106"/>
      <c r="M33" s="106">
        <v>2.1</v>
      </c>
      <c r="N33" s="89">
        <v>1.63</v>
      </c>
      <c r="O33" s="107">
        <f t="shared" si="1"/>
        <v>40152.589219555492</v>
      </c>
      <c r="P33" s="89">
        <f>P24</f>
        <v>0.95</v>
      </c>
      <c r="Q33" s="89">
        <f>Q24</f>
        <v>0.75</v>
      </c>
      <c r="R33" s="113">
        <f>M33</f>
        <v>2.1</v>
      </c>
      <c r="S33" s="121">
        <f t="shared" si="9"/>
        <v>38144.959758577716</v>
      </c>
      <c r="T33" s="108">
        <f>(J33*R33*P33+(J33*(M33-R33)*Q33))*N33</f>
        <v>38144.959758577716</v>
      </c>
      <c r="U33" s="5"/>
      <c r="V33" s="2"/>
      <c r="W33" s="2"/>
    </row>
    <row r="34" spans="1:28" ht="15.75" x14ac:dyDescent="0.25">
      <c r="A34" s="1"/>
      <c r="B34" s="1"/>
      <c r="C34" s="1"/>
      <c r="D34" s="3"/>
      <c r="E34" s="89" t="s">
        <v>22</v>
      </c>
      <c r="F34" s="104">
        <v>3742</v>
      </c>
      <c r="G34" s="104">
        <v>21</v>
      </c>
      <c r="H34" s="105">
        <f t="shared" si="5"/>
        <v>0.93358042649720174</v>
      </c>
      <c r="I34" s="106">
        <f t="shared" si="6"/>
        <v>1.071144993637029</v>
      </c>
      <c r="J34" s="106">
        <f t="shared" si="0"/>
        <v>4008.2245661897623</v>
      </c>
      <c r="K34" s="106"/>
      <c r="L34" s="106"/>
      <c r="M34" s="106">
        <v>1.85</v>
      </c>
      <c r="N34" s="89">
        <v>1.63</v>
      </c>
      <c r="O34" s="107">
        <f t="shared" si="1"/>
        <v>12086.801179345228</v>
      </c>
      <c r="P34" s="89">
        <f>P31</f>
        <v>0.95</v>
      </c>
      <c r="Q34" s="89">
        <f>Q31</f>
        <v>0.75</v>
      </c>
      <c r="R34" s="113">
        <f>M34</f>
        <v>1.85</v>
      </c>
      <c r="S34" s="121">
        <f t="shared" si="9"/>
        <v>11482.461120377966</v>
      </c>
      <c r="T34" s="108">
        <f>(J34*R34*P34+(J34*(M34-R34)*Q34))*N34</f>
        <v>11482.461120377966</v>
      </c>
      <c r="U34" s="5" t="s">
        <v>2</v>
      </c>
      <c r="V34" s="2"/>
      <c r="W34" s="2"/>
      <c r="X34" s="1"/>
    </row>
    <row r="35" spans="1:28" ht="15.75" x14ac:dyDescent="0.25">
      <c r="A35" s="1"/>
      <c r="B35" s="1"/>
      <c r="C35" s="1"/>
      <c r="D35" s="3"/>
      <c r="E35" s="89" t="s">
        <v>26</v>
      </c>
      <c r="F35" s="104">
        <v>5285</v>
      </c>
      <c r="G35" s="104">
        <v>21</v>
      </c>
      <c r="H35" s="105">
        <f t="shared" si="5"/>
        <v>0.93358042649720174</v>
      </c>
      <c r="I35" s="106">
        <f t="shared" si="6"/>
        <v>1.071144993637029</v>
      </c>
      <c r="J35" s="106">
        <f t="shared" si="0"/>
        <v>5661.0012913716982</v>
      </c>
      <c r="K35" s="106"/>
      <c r="L35" s="106"/>
      <c r="M35" s="106">
        <v>2</v>
      </c>
      <c r="N35" s="89">
        <v>1.63</v>
      </c>
      <c r="O35" s="107">
        <f t="shared" si="1"/>
        <v>18454.864209871736</v>
      </c>
      <c r="P35" s="89">
        <f>P28</f>
        <v>0.95</v>
      </c>
      <c r="Q35" s="89">
        <f>Q28</f>
        <v>0.75</v>
      </c>
      <c r="R35" s="113">
        <f>M35</f>
        <v>2</v>
      </c>
      <c r="S35" s="121">
        <f t="shared" si="9"/>
        <v>17532.120999378149</v>
      </c>
      <c r="T35" s="108">
        <f>(J35*R35*P35+(J35*(M35-R35)*Q35))*N35</f>
        <v>17532.120999378149</v>
      </c>
      <c r="U35" s="5" t="s">
        <v>2</v>
      </c>
      <c r="V35" s="2"/>
      <c r="W35" s="2"/>
    </row>
    <row r="36" spans="1:28" ht="15.75" x14ac:dyDescent="0.25">
      <c r="A36" s="1"/>
      <c r="B36" s="1"/>
      <c r="C36" s="1"/>
      <c r="D36" s="3"/>
      <c r="E36" s="89" t="s">
        <v>73</v>
      </c>
      <c r="F36" s="104">
        <v>21523</v>
      </c>
      <c r="G36" s="104">
        <v>21</v>
      </c>
      <c r="H36" s="105">
        <f t="shared" si="5"/>
        <v>0.93358042649720174</v>
      </c>
      <c r="I36" s="106">
        <f t="shared" si="6"/>
        <v>1.071144993637029</v>
      </c>
      <c r="J36" s="106">
        <f t="shared" si="0"/>
        <v>23054.253698049775</v>
      </c>
      <c r="K36" s="106"/>
      <c r="L36" s="106"/>
      <c r="M36" s="106">
        <v>1.9</v>
      </c>
      <c r="N36" s="89">
        <v>1.63</v>
      </c>
      <c r="O36" s="107">
        <f t="shared" si="1"/>
        <v>71399.02370286014</v>
      </c>
      <c r="P36" s="89">
        <f>P29</f>
        <v>0.95</v>
      </c>
      <c r="Q36" s="89">
        <f>Q29</f>
        <v>0.75</v>
      </c>
      <c r="R36" s="113">
        <f>M36</f>
        <v>1.9</v>
      </c>
      <c r="S36" s="121">
        <f t="shared" si="9"/>
        <v>67829.072517717141</v>
      </c>
      <c r="T36" s="108">
        <f>(J36*R36*P36+(J36*(M36-R36)*Q36))*N36</f>
        <v>67829.072517717141</v>
      </c>
      <c r="U36" s="5" t="s">
        <v>2</v>
      </c>
      <c r="V36" s="2"/>
      <c r="W36" s="2"/>
    </row>
    <row r="37" spans="1:28" ht="15.75" x14ac:dyDescent="0.25">
      <c r="A37" s="1"/>
      <c r="B37" s="1"/>
      <c r="C37" s="1"/>
      <c r="D37" s="3"/>
      <c r="E37" s="89" t="s">
        <v>74</v>
      </c>
      <c r="F37" s="104">
        <v>41623</v>
      </c>
      <c r="G37" s="104">
        <v>10</v>
      </c>
      <c r="H37" s="105">
        <f t="shared" si="5"/>
        <v>0.98480775301220802</v>
      </c>
      <c r="I37" s="106">
        <f t="shared" si="6"/>
        <v>1.0154266118857451</v>
      </c>
      <c r="J37" s="106">
        <f t="shared" si="0"/>
        <v>42265.101866520366</v>
      </c>
      <c r="K37" s="106"/>
      <c r="L37" s="106"/>
      <c r="M37" s="106">
        <v>5.4</v>
      </c>
      <c r="N37" s="89">
        <v>1.63</v>
      </c>
      <c r="O37" s="107">
        <f t="shared" si="1"/>
        <v>372017.42662911228</v>
      </c>
      <c r="P37" s="89">
        <f>P29</f>
        <v>0.95</v>
      </c>
      <c r="Q37" s="89">
        <f>Q29</f>
        <v>0.75</v>
      </c>
      <c r="R37" s="113">
        <v>2.6</v>
      </c>
      <c r="S37" s="121">
        <f t="shared" si="9"/>
        <v>170163.52662479764</v>
      </c>
      <c r="T37" s="108">
        <f>(J37*R37*P37+(J37*(M37-R37)*Q37))*N37</f>
        <v>314836.97031389683</v>
      </c>
      <c r="U37" s="5" t="s">
        <v>27</v>
      </c>
      <c r="V37" s="2"/>
      <c r="W37" s="2"/>
    </row>
    <row r="38" spans="1:28" ht="15.75" x14ac:dyDescent="0.25">
      <c r="A38" s="1"/>
      <c r="B38" s="1"/>
      <c r="C38" s="1"/>
      <c r="D38" s="3"/>
      <c r="E38" s="89" t="s">
        <v>28</v>
      </c>
      <c r="F38" s="104">
        <v>24833</v>
      </c>
      <c r="G38" s="104">
        <v>35</v>
      </c>
      <c r="H38" s="105">
        <f t="shared" si="5"/>
        <v>0.8191520442889918</v>
      </c>
      <c r="I38" s="106">
        <f t="shared" si="6"/>
        <v>1.2207745887614561</v>
      </c>
      <c r="J38" s="106">
        <f t="shared" si="0"/>
        <v>30315.495362713238</v>
      </c>
      <c r="K38" s="106"/>
      <c r="L38" s="106"/>
      <c r="M38" s="106">
        <v>3</v>
      </c>
      <c r="N38" s="89">
        <v>1.63</v>
      </c>
      <c r="O38" s="107">
        <f t="shared" si="1"/>
        <v>148242.77232366774</v>
      </c>
      <c r="P38" s="89">
        <f>P28</f>
        <v>0.95</v>
      </c>
      <c r="Q38" s="89">
        <f>Q28</f>
        <v>0.75</v>
      </c>
      <c r="R38" s="102" t="str">
        <f t="shared" ref="R38:R43" si="10">IF(M38&lt;=2.2,M38,"2,2")</f>
        <v>2,2</v>
      </c>
      <c r="S38" s="121">
        <f t="shared" si="9"/>
        <v>103275.79805215518</v>
      </c>
      <c r="T38" s="108">
        <f>(J38*R38*P38+(J38*(M38-R38)*Q38))*1.63</f>
        <v>132924.35251688873</v>
      </c>
      <c r="U38" s="5" t="s">
        <v>12</v>
      </c>
      <c r="V38" s="2"/>
      <c r="W38" s="2"/>
      <c r="AB38" s="6"/>
    </row>
    <row r="39" spans="1:28" ht="15.75" x14ac:dyDescent="0.25">
      <c r="A39" s="1"/>
      <c r="B39" s="1"/>
      <c r="C39" s="1"/>
      <c r="D39" s="3"/>
      <c r="E39" s="89"/>
      <c r="F39" s="104">
        <v>6471</v>
      </c>
      <c r="G39" s="104">
        <v>35</v>
      </c>
      <c r="H39" s="105">
        <f>COS((G39*PI())/180)</f>
        <v>0.8191520442889918</v>
      </c>
      <c r="I39" s="106">
        <f>1/COS(G39*PI()/180)</f>
        <v>1.2207745887614561</v>
      </c>
      <c r="J39" s="106">
        <f>F39*I39</f>
        <v>7899.632363875382</v>
      </c>
      <c r="K39" s="106"/>
      <c r="L39" s="106"/>
      <c r="M39" s="106">
        <v>3</v>
      </c>
      <c r="N39" s="89">
        <v>1.63</v>
      </c>
      <c r="O39" s="107">
        <f t="shared" si="1"/>
        <v>38629.202259350619</v>
      </c>
      <c r="P39" s="89">
        <f>P29</f>
        <v>0.95</v>
      </c>
      <c r="Q39" s="89">
        <f>Q29</f>
        <v>0.75</v>
      </c>
      <c r="R39" s="102" t="str">
        <f t="shared" si="10"/>
        <v>2,2</v>
      </c>
      <c r="S39" s="121">
        <f t="shared" si="9"/>
        <v>26911.677574014258</v>
      </c>
      <c r="T39" s="108">
        <f>(J39*R39*P39+(J39*(M39-R39)*Q39))*1.63</f>
        <v>34637.518025884383</v>
      </c>
      <c r="U39" s="5" t="s">
        <v>12</v>
      </c>
      <c r="V39" s="2"/>
      <c r="W39" s="2"/>
      <c r="AB39" s="6"/>
    </row>
    <row r="40" spans="1:28" ht="15.75" x14ac:dyDescent="0.25">
      <c r="A40" s="1"/>
      <c r="B40" s="1"/>
      <c r="C40" s="1"/>
      <c r="D40" s="3"/>
      <c r="E40" s="89" t="s">
        <v>29</v>
      </c>
      <c r="F40" s="104">
        <v>37251</v>
      </c>
      <c r="G40" s="104">
        <v>30</v>
      </c>
      <c r="H40" s="105">
        <f t="shared" si="5"/>
        <v>0.86602540378443871</v>
      </c>
      <c r="I40" s="106">
        <f t="shared" si="6"/>
        <v>1.1547005383792515</v>
      </c>
      <c r="J40" s="106">
        <f t="shared" si="0"/>
        <v>43013.749755165496</v>
      </c>
      <c r="K40" s="106"/>
      <c r="L40" s="106"/>
      <c r="M40" s="106">
        <v>3.5</v>
      </c>
      <c r="N40" s="89">
        <v>1.63</v>
      </c>
      <c r="O40" s="107">
        <f t="shared" si="1"/>
        <v>245393.44235321914</v>
      </c>
      <c r="P40" s="89">
        <f>P29</f>
        <v>0.95</v>
      </c>
      <c r="Q40" s="89">
        <f>Q29</f>
        <v>0.75</v>
      </c>
      <c r="R40" s="102" t="str">
        <f t="shared" si="10"/>
        <v>2,2</v>
      </c>
      <c r="S40" s="121">
        <f t="shared" si="9"/>
        <v>146534.94129092229</v>
      </c>
      <c r="T40" s="108">
        <f>(J40*R40*P40+(J40*(M40-R40)*Q40))*1.63</f>
        <v>214894.54308931902</v>
      </c>
      <c r="U40" s="5" t="s">
        <v>12</v>
      </c>
      <c r="V40" s="2"/>
      <c r="W40" s="2"/>
      <c r="X40" s="1"/>
      <c r="AB40" s="6"/>
    </row>
    <row r="41" spans="1:28" ht="15.75" x14ac:dyDescent="0.25">
      <c r="A41" s="1"/>
      <c r="B41" s="1"/>
      <c r="C41" s="1"/>
      <c r="D41" s="3"/>
      <c r="E41" s="89"/>
      <c r="F41" s="104">
        <v>2255</v>
      </c>
      <c r="G41" s="104">
        <v>30</v>
      </c>
      <c r="H41" s="105">
        <f t="shared" si="5"/>
        <v>0.86602540378443871</v>
      </c>
      <c r="I41" s="106">
        <f t="shared" si="6"/>
        <v>1.1547005383792515</v>
      </c>
      <c r="J41" s="106">
        <f t="shared" si="0"/>
        <v>2603.8497140452118</v>
      </c>
      <c r="K41" s="106"/>
      <c r="L41" s="106"/>
      <c r="M41" s="106">
        <v>3.2</v>
      </c>
      <c r="N41" s="89">
        <v>1.63</v>
      </c>
      <c r="O41" s="107">
        <f t="shared" si="1"/>
        <v>13581.680108459825</v>
      </c>
      <c r="P41" s="89">
        <f>P31</f>
        <v>0.95</v>
      </c>
      <c r="Q41" s="89">
        <f>Q31</f>
        <v>0.75</v>
      </c>
      <c r="R41" s="102" t="str">
        <f t="shared" si="10"/>
        <v>2,2</v>
      </c>
      <c r="S41" s="121">
        <f t="shared" si="9"/>
        <v>8870.5348208378218</v>
      </c>
      <c r="T41" s="108">
        <f>(J41*R41*P41+(J41*(M41-R41)*Q41))*1.63</f>
        <v>12053.741096258093</v>
      </c>
      <c r="U41" s="5" t="s">
        <v>12</v>
      </c>
      <c r="V41" s="2"/>
      <c r="W41" s="2"/>
      <c r="X41" s="1"/>
      <c r="AB41" s="6"/>
    </row>
    <row r="42" spans="1:28" ht="15.75" x14ac:dyDescent="0.25">
      <c r="A42" s="1"/>
      <c r="B42" s="1"/>
      <c r="C42" s="1"/>
      <c r="D42" s="3"/>
      <c r="E42" s="89" t="s">
        <v>75</v>
      </c>
      <c r="F42" s="103">
        <v>5922</v>
      </c>
      <c r="G42" s="104">
        <v>25</v>
      </c>
      <c r="H42" s="124">
        <f t="shared" si="5"/>
        <v>0.90630778703664994</v>
      </c>
      <c r="I42" s="106">
        <f t="shared" si="6"/>
        <v>1.1033779189624917</v>
      </c>
      <c r="J42" s="106">
        <f t="shared" si="0"/>
        <v>6534.2040360958763</v>
      </c>
      <c r="K42" s="106"/>
      <c r="L42" s="106"/>
      <c r="M42" s="106">
        <v>4.5</v>
      </c>
      <c r="N42" s="89">
        <v>1.63</v>
      </c>
      <c r="O42" s="107">
        <f t="shared" si="1"/>
        <v>47928.386604763247</v>
      </c>
      <c r="P42" s="89">
        <f t="shared" ref="P42:Q46" si="11">P34</f>
        <v>0.95</v>
      </c>
      <c r="Q42" s="89">
        <f t="shared" si="11"/>
        <v>0.75</v>
      </c>
      <c r="R42" s="102" t="str">
        <f t="shared" si="10"/>
        <v>2,2</v>
      </c>
      <c r="S42" s="121">
        <f t="shared" si="9"/>
        <v>22260.07288976782</v>
      </c>
      <c r="T42" s="111">
        <f>ROUND((J42*R42*P42+(J42*(M42-R42)*Q42))*N42,-3)</f>
        <v>41000</v>
      </c>
      <c r="U42" s="5" t="s">
        <v>4</v>
      </c>
      <c r="V42" s="2"/>
      <c r="W42" s="2"/>
      <c r="AA42" s="5"/>
      <c r="AB42" s="7"/>
    </row>
    <row r="43" spans="1:28" ht="15.75" x14ac:dyDescent="0.25">
      <c r="A43" s="1"/>
      <c r="B43" s="1"/>
      <c r="C43" s="1"/>
      <c r="D43" s="3"/>
      <c r="E43" s="89" t="s">
        <v>75</v>
      </c>
      <c r="F43" s="103">
        <v>9465</v>
      </c>
      <c r="G43" s="104">
        <v>25</v>
      </c>
      <c r="H43" s="124">
        <f>COS((G43*PI())/180)</f>
        <v>0.90630778703664994</v>
      </c>
      <c r="I43" s="106">
        <f>1/COS(G43*PI()/180)</f>
        <v>1.1033779189624917</v>
      </c>
      <c r="J43" s="106">
        <f>F43*I43</f>
        <v>10443.472002979985</v>
      </c>
      <c r="K43" s="106"/>
      <c r="L43" s="106"/>
      <c r="M43" s="106">
        <v>4.5</v>
      </c>
      <c r="N43" s="89">
        <v>1.63</v>
      </c>
      <c r="O43" s="107">
        <f t="shared" si="1"/>
        <v>76602.86714185818</v>
      </c>
      <c r="P43" s="89">
        <f t="shared" si="11"/>
        <v>0.95</v>
      </c>
      <c r="Q43" s="89">
        <f t="shared" si="11"/>
        <v>0.75</v>
      </c>
      <c r="R43" s="102" t="str">
        <f t="shared" si="10"/>
        <v>2,2</v>
      </c>
      <c r="S43" s="121">
        <f t="shared" si="9"/>
        <v>35577.776072551918</v>
      </c>
      <c r="T43" s="111">
        <f>ROUND((J43*R43*P43+(J43*(M43-R43)*Q43))*N43,-3)</f>
        <v>65000</v>
      </c>
      <c r="U43" s="5" t="s">
        <v>4</v>
      </c>
      <c r="V43" s="2"/>
      <c r="W43" s="2"/>
    </row>
    <row r="44" spans="1:28" ht="15.75" x14ac:dyDescent="0.25">
      <c r="A44" s="1"/>
      <c r="B44" s="1"/>
      <c r="C44" s="1"/>
      <c r="D44" s="3"/>
      <c r="E44" s="89" t="s">
        <v>24</v>
      </c>
      <c r="F44" s="103">
        <v>17000</v>
      </c>
      <c r="G44" s="104">
        <v>25</v>
      </c>
      <c r="H44" s="124">
        <f>COS((G44*PI())/180)</f>
        <v>0.90630778703664994</v>
      </c>
      <c r="I44" s="106">
        <f>1/COS(G44*PI()/180)</f>
        <v>1.1033779189624917</v>
      </c>
      <c r="J44" s="106">
        <f>F44*I44</f>
        <v>18757.42462236236</v>
      </c>
      <c r="K44" s="106"/>
      <c r="L44" s="106"/>
      <c r="M44" s="106">
        <v>2.8</v>
      </c>
      <c r="N44" s="89">
        <v>1.63</v>
      </c>
      <c r="O44" s="107">
        <f t="shared" si="1"/>
        <v>85608.88597646181</v>
      </c>
      <c r="P44" s="89">
        <f t="shared" si="11"/>
        <v>0.95</v>
      </c>
      <c r="Q44" s="89">
        <f t="shared" si="11"/>
        <v>0.75</v>
      </c>
      <c r="R44" s="102">
        <v>2.5</v>
      </c>
      <c r="S44" s="121">
        <f t="shared" si="9"/>
        <v>72614.680069320268</v>
      </c>
      <c r="T44" s="108">
        <f>(J44*R44*P44+(J44*(M44-R44)*Q44))*1.63</f>
        <v>79493.965549571672</v>
      </c>
      <c r="U44" s="1"/>
      <c r="V44" s="2"/>
      <c r="W44" s="2"/>
    </row>
    <row r="45" spans="1:28" ht="15.75" x14ac:dyDescent="0.25">
      <c r="A45" s="1"/>
      <c r="B45" s="1"/>
      <c r="C45" s="1"/>
      <c r="D45" s="3"/>
      <c r="E45" s="89"/>
      <c r="F45" s="103"/>
      <c r="G45" s="104">
        <v>25</v>
      </c>
      <c r="H45" s="124">
        <f>COS((G45*PI())/180)</f>
        <v>0.90630778703664994</v>
      </c>
      <c r="I45" s="106">
        <f>1/COS(G45*PI()/180)</f>
        <v>1.1033779189624917</v>
      </c>
      <c r="J45" s="106">
        <f>F45*I45</f>
        <v>0</v>
      </c>
      <c r="K45" s="106"/>
      <c r="L45" s="106"/>
      <c r="M45" s="106">
        <v>3</v>
      </c>
      <c r="N45" s="89">
        <v>1.63</v>
      </c>
      <c r="O45" s="107">
        <f t="shared" si="1"/>
        <v>0</v>
      </c>
      <c r="P45" s="89">
        <f t="shared" si="11"/>
        <v>0.95</v>
      </c>
      <c r="Q45" s="89">
        <f t="shared" si="11"/>
        <v>0.75</v>
      </c>
      <c r="R45" s="102" t="str">
        <f>IF(M45&lt;=2.2,M45,"2,2")</f>
        <v>2,2</v>
      </c>
      <c r="S45" s="121">
        <f t="shared" si="9"/>
        <v>0</v>
      </c>
      <c r="T45" s="108">
        <f>(J45*R45*P45+(J45*(M45-R45)*Q45))*1.63</f>
        <v>0</v>
      </c>
      <c r="U45" s="1"/>
      <c r="V45" s="2"/>
      <c r="W45" s="2"/>
    </row>
    <row r="46" spans="1:28" ht="15.75" x14ac:dyDescent="0.25">
      <c r="A46" s="1"/>
      <c r="B46" s="1"/>
      <c r="C46" s="1"/>
      <c r="D46" s="3"/>
      <c r="E46" s="125" t="s">
        <v>76</v>
      </c>
      <c r="F46" s="103">
        <v>3920</v>
      </c>
      <c r="G46" s="104">
        <v>30</v>
      </c>
      <c r="H46" s="124">
        <f>COS((G46*PI())/180)</f>
        <v>0.86602540378443871</v>
      </c>
      <c r="I46" s="106">
        <f>1/COS(G46*PI()/180)</f>
        <v>1.1547005383792515</v>
      </c>
      <c r="J46" s="106">
        <f>F46*I46</f>
        <v>4526.4261104466659</v>
      </c>
      <c r="K46" s="106"/>
      <c r="L46" s="106"/>
      <c r="M46" s="106">
        <v>5.5</v>
      </c>
      <c r="N46" s="89">
        <v>1.63</v>
      </c>
      <c r="O46" s="107">
        <f t="shared" si="1"/>
        <v>40579.410080154361</v>
      </c>
      <c r="P46" s="89">
        <f t="shared" si="11"/>
        <v>0.95</v>
      </c>
      <c r="Q46" s="89">
        <f t="shared" si="11"/>
        <v>0.75</v>
      </c>
      <c r="R46" s="102" t="str">
        <f>IF(M46&lt;=2.2,M46,"2,2")</f>
        <v>2,2</v>
      </c>
      <c r="S46" s="121">
        <f t="shared" si="9"/>
        <v>15420.175830458658</v>
      </c>
      <c r="T46" s="111">
        <f>ROUND((J46*R46*P46+(J46*(M46-R46)*Q46))*N46,-3)</f>
        <v>34000</v>
      </c>
      <c r="U46" s="5" t="s">
        <v>0</v>
      </c>
      <c r="V46" s="2"/>
      <c r="W46" s="2"/>
    </row>
    <row r="47" spans="1:28" ht="15.75" x14ac:dyDescent="0.25">
      <c r="A47" s="1"/>
      <c r="B47" s="1"/>
      <c r="C47" s="1"/>
      <c r="D47" s="3"/>
      <c r="E47" s="89" t="s">
        <v>167</v>
      </c>
      <c r="F47" s="103">
        <v>1582</v>
      </c>
      <c r="G47" s="104">
        <v>30</v>
      </c>
      <c r="H47" s="124">
        <f t="shared" si="5"/>
        <v>0.86602540378443871</v>
      </c>
      <c r="I47" s="106">
        <f t="shared" si="6"/>
        <v>1.1547005383792515</v>
      </c>
      <c r="J47" s="106">
        <f t="shared" si="0"/>
        <v>1826.7362517159759</v>
      </c>
      <c r="K47" s="106"/>
      <c r="L47" s="106"/>
      <c r="M47" s="106">
        <v>5</v>
      </c>
      <c r="N47" s="89">
        <v>1.63</v>
      </c>
      <c r="O47" s="107">
        <f t="shared" si="1"/>
        <v>14887.900451485202</v>
      </c>
      <c r="P47" s="89">
        <f>P38</f>
        <v>0.95</v>
      </c>
      <c r="Q47" s="89">
        <f>Q38</f>
        <v>0.75</v>
      </c>
      <c r="R47" s="102">
        <v>2.5</v>
      </c>
      <c r="S47" s="121">
        <f t="shared" si="9"/>
        <v>7071.7527144554706</v>
      </c>
      <c r="T47" s="108">
        <f>(J47*R47*P47+(J47*(M47-R47)*Q47))*1.63</f>
        <v>12654.715383762423</v>
      </c>
      <c r="U47" s="1"/>
      <c r="V47" s="2"/>
      <c r="W47" s="2"/>
    </row>
    <row r="48" spans="1:28" ht="15.75" x14ac:dyDescent="0.25">
      <c r="A48" s="1"/>
      <c r="B48" s="1"/>
      <c r="C48" s="1"/>
      <c r="D48" s="3"/>
      <c r="E48" s="89"/>
      <c r="F48" s="103"/>
      <c r="G48" s="104">
        <v>30</v>
      </c>
      <c r="H48" s="124">
        <f t="shared" si="5"/>
        <v>0.86602540378443871</v>
      </c>
      <c r="I48" s="106">
        <f t="shared" si="6"/>
        <v>1.1547005383792515</v>
      </c>
      <c r="J48" s="106">
        <f t="shared" si="0"/>
        <v>0</v>
      </c>
      <c r="K48" s="106"/>
      <c r="L48" s="106"/>
      <c r="M48" s="106">
        <v>2.8</v>
      </c>
      <c r="N48" s="89">
        <v>1.63</v>
      </c>
      <c r="O48" s="107">
        <f t="shared" si="1"/>
        <v>0</v>
      </c>
      <c r="P48" s="89">
        <f t="shared" ref="P48:Q60" si="12">P47</f>
        <v>0.95</v>
      </c>
      <c r="Q48" s="89">
        <f t="shared" si="12"/>
        <v>0.75</v>
      </c>
      <c r="R48" s="113">
        <f>M48</f>
        <v>2.8</v>
      </c>
      <c r="S48" s="121">
        <f t="shared" si="9"/>
        <v>0</v>
      </c>
      <c r="T48" s="108">
        <f>(J48*R48*P48+(J48*(M48-R48)*Q48))*N48</f>
        <v>0</v>
      </c>
      <c r="U48" s="5" t="s">
        <v>77</v>
      </c>
      <c r="V48" s="2"/>
      <c r="W48" s="2"/>
    </row>
    <row r="49" spans="1:23" ht="15.75" x14ac:dyDescent="0.25">
      <c r="A49" s="1"/>
      <c r="B49" s="1"/>
      <c r="C49" s="1"/>
      <c r="D49" s="3"/>
      <c r="E49" s="89" t="s">
        <v>16</v>
      </c>
      <c r="F49" s="103">
        <v>3250</v>
      </c>
      <c r="G49" s="104">
        <v>45</v>
      </c>
      <c r="H49" s="124">
        <f t="shared" si="5"/>
        <v>0.70710678118654757</v>
      </c>
      <c r="I49" s="106">
        <f t="shared" si="6"/>
        <v>1.4142135623730949</v>
      </c>
      <c r="J49" s="106">
        <f t="shared" si="0"/>
        <v>4596.1940777125583</v>
      </c>
      <c r="K49" s="106"/>
      <c r="L49" s="106"/>
      <c r="M49" s="106">
        <v>3.5</v>
      </c>
      <c r="N49" s="89">
        <v>1.63</v>
      </c>
      <c r="O49" s="107">
        <f t="shared" si="1"/>
        <v>26221.287213350144</v>
      </c>
      <c r="P49" s="89">
        <f t="shared" si="12"/>
        <v>0.95</v>
      </c>
      <c r="Q49" s="89">
        <f t="shared" si="12"/>
        <v>0.75</v>
      </c>
      <c r="R49" s="102">
        <v>3.5</v>
      </c>
      <c r="S49" s="102"/>
      <c r="T49" s="111">
        <f t="shared" ref="T49:T54" si="13">ROUND((J49*R49*P49+(J49*(M49-R49)*Q49))*N49,-3)</f>
        <v>25000</v>
      </c>
      <c r="U49" s="5" t="s">
        <v>1</v>
      </c>
      <c r="V49" s="2"/>
      <c r="W49" s="2"/>
    </row>
    <row r="50" spans="1:23" ht="15.75" x14ac:dyDescent="0.25">
      <c r="A50" s="1"/>
      <c r="B50" s="1"/>
      <c r="C50" s="1"/>
      <c r="D50" s="3"/>
      <c r="E50" s="126" t="s">
        <v>78</v>
      </c>
      <c r="F50" s="103">
        <v>3262</v>
      </c>
      <c r="G50" s="104">
        <v>45</v>
      </c>
      <c r="H50" s="124">
        <f>COS((G50*PI())/180)</f>
        <v>0.70710678118654757</v>
      </c>
      <c r="I50" s="106">
        <f>1/COS(G50*PI()/180)</f>
        <v>1.4142135623730949</v>
      </c>
      <c r="J50" s="106">
        <f>F50*I50</f>
        <v>4613.1646404610356</v>
      </c>
      <c r="K50" s="106"/>
      <c r="L50" s="106"/>
      <c r="M50" s="106">
        <v>3.5</v>
      </c>
      <c r="N50" s="89">
        <v>1.63</v>
      </c>
      <c r="O50" s="107">
        <f t="shared" si="1"/>
        <v>26318.104273830206</v>
      </c>
      <c r="P50" s="89">
        <f t="shared" si="12"/>
        <v>0.95</v>
      </c>
      <c r="Q50" s="89">
        <f t="shared" si="12"/>
        <v>0.75</v>
      </c>
      <c r="R50" s="102">
        <v>3.5</v>
      </c>
      <c r="S50" s="102"/>
      <c r="T50" s="111">
        <f t="shared" si="13"/>
        <v>25000</v>
      </c>
      <c r="U50" s="5" t="s">
        <v>1</v>
      </c>
      <c r="V50" s="2"/>
      <c r="W50" s="2"/>
    </row>
    <row r="51" spans="1:23" ht="15.75" x14ac:dyDescent="0.25">
      <c r="A51" s="1"/>
      <c r="B51" s="1"/>
      <c r="C51" s="1"/>
      <c r="D51" s="3"/>
      <c r="E51" s="89" t="s">
        <v>30</v>
      </c>
      <c r="F51" s="103">
        <v>21548</v>
      </c>
      <c r="G51" s="104">
        <v>17</v>
      </c>
      <c r="H51" s="124">
        <f t="shared" si="5"/>
        <v>0.95630475596303544</v>
      </c>
      <c r="I51" s="106">
        <f t="shared" si="6"/>
        <v>1.045691756487148</v>
      </c>
      <c r="J51" s="106">
        <f t="shared" si="0"/>
        <v>22532.565968785064</v>
      </c>
      <c r="K51" s="106"/>
      <c r="L51" s="106"/>
      <c r="M51" s="106">
        <v>2.2000000000000002</v>
      </c>
      <c r="N51" s="89">
        <v>1.63</v>
      </c>
      <c r="O51" s="107">
        <f t="shared" si="1"/>
        <v>80801.781564063247</v>
      </c>
      <c r="P51" s="89">
        <f>P49</f>
        <v>0.95</v>
      </c>
      <c r="Q51" s="89">
        <f>Q49</f>
        <v>0.75</v>
      </c>
      <c r="R51" s="102">
        <f>IF(M51&lt;=2.2,M51,"2,2")</f>
        <v>2.2000000000000002</v>
      </c>
      <c r="S51" s="102"/>
      <c r="T51" s="111">
        <f t="shared" si="13"/>
        <v>77000</v>
      </c>
      <c r="U51" s="1"/>
      <c r="V51" s="2"/>
      <c r="W51" s="2"/>
    </row>
    <row r="52" spans="1:23" ht="15.75" x14ac:dyDescent="0.25">
      <c r="A52" s="1"/>
      <c r="B52" s="1"/>
      <c r="C52" s="1"/>
      <c r="D52" s="3"/>
      <c r="E52" s="89" t="s">
        <v>23</v>
      </c>
      <c r="F52" s="103">
        <v>45226</v>
      </c>
      <c r="G52" s="104">
        <v>35</v>
      </c>
      <c r="H52" s="124">
        <f>COS((G52*PI())/180)</f>
        <v>0.8191520442889918</v>
      </c>
      <c r="I52" s="106">
        <f>1/COS(G52*PI()/180)</f>
        <v>1.2207745887614561</v>
      </c>
      <c r="J52" s="106">
        <f>F52*I52</f>
        <v>55210.751551325615</v>
      </c>
      <c r="K52" s="106"/>
      <c r="L52" s="106"/>
      <c r="M52" s="106">
        <v>2.8</v>
      </c>
      <c r="N52" s="89">
        <v>1.63</v>
      </c>
      <c r="O52" s="107">
        <f t="shared" si="1"/>
        <v>251981.87008025008</v>
      </c>
      <c r="P52" s="89">
        <f t="shared" si="12"/>
        <v>0.95</v>
      </c>
      <c r="Q52" s="89">
        <f t="shared" si="12"/>
        <v>0.75</v>
      </c>
      <c r="R52" s="102" t="str">
        <f>IF(M52&lt;=2.2,M52,"2,2")</f>
        <v>2,2</v>
      </c>
      <c r="S52" s="102"/>
      <c r="T52" s="111">
        <f t="shared" si="13"/>
        <v>229000</v>
      </c>
      <c r="U52" s="5" t="s">
        <v>3</v>
      </c>
      <c r="V52" s="2"/>
      <c r="W52" s="2"/>
    </row>
    <row r="53" spans="1:23" ht="15.75" x14ac:dyDescent="0.25">
      <c r="E53" s="89" t="s">
        <v>79</v>
      </c>
      <c r="F53" s="103">
        <v>4403</v>
      </c>
      <c r="G53" s="104">
        <v>50</v>
      </c>
      <c r="H53" s="124">
        <f>COS((G53*PI())/180)</f>
        <v>0.64278760968653936</v>
      </c>
      <c r="I53" s="106">
        <f>1/COS(G53*PI()/180)</f>
        <v>1.5557238268604123</v>
      </c>
      <c r="J53" s="106">
        <f>F53*I53</f>
        <v>6849.8520096663951</v>
      </c>
      <c r="K53" s="106"/>
      <c r="L53" s="106"/>
      <c r="M53" s="106">
        <v>3.2</v>
      </c>
      <c r="N53" s="89">
        <v>1.63</v>
      </c>
      <c r="O53" s="107">
        <f t="shared" si="1"/>
        <v>35728.828082419917</v>
      </c>
      <c r="P53" s="89">
        <f t="shared" si="12"/>
        <v>0.95</v>
      </c>
      <c r="Q53" s="89">
        <f t="shared" si="12"/>
        <v>0.75</v>
      </c>
      <c r="R53" s="102">
        <v>3.2</v>
      </c>
      <c r="S53" s="102"/>
      <c r="T53" s="111">
        <f t="shared" si="13"/>
        <v>34000</v>
      </c>
      <c r="U53" s="5" t="s">
        <v>31</v>
      </c>
      <c r="V53" s="3" t="s">
        <v>40</v>
      </c>
      <c r="W53" s="2"/>
    </row>
    <row r="54" spans="1:23" ht="15.75" x14ac:dyDescent="0.25">
      <c r="E54" s="89" t="s">
        <v>79</v>
      </c>
      <c r="F54" s="103">
        <v>6732</v>
      </c>
      <c r="G54" s="104">
        <v>50</v>
      </c>
      <c r="H54" s="124">
        <f>COS((G54*PI())/180)</f>
        <v>0.64278760968653936</v>
      </c>
      <c r="I54" s="106">
        <f>1/COS(G54*PI()/180)</f>
        <v>1.5557238268604123</v>
      </c>
      <c r="J54" s="106">
        <f>F54*I54</f>
        <v>10473.132802424296</v>
      </c>
      <c r="K54" s="106"/>
      <c r="L54" s="106"/>
      <c r="M54" s="106">
        <v>3.2</v>
      </c>
      <c r="N54" s="89">
        <v>1.63</v>
      </c>
      <c r="O54" s="107">
        <f t="shared" si="1"/>
        <v>54627.860697445118</v>
      </c>
      <c r="P54" s="89">
        <f t="shared" si="12"/>
        <v>0.95</v>
      </c>
      <c r="Q54" s="89">
        <f t="shared" si="12"/>
        <v>0.75</v>
      </c>
      <c r="R54" s="102">
        <v>3.2</v>
      </c>
      <c r="S54" s="102"/>
      <c r="T54" s="111">
        <f t="shared" si="13"/>
        <v>52000</v>
      </c>
      <c r="U54" s="5" t="s">
        <v>31</v>
      </c>
      <c r="V54" s="3" t="s">
        <v>40</v>
      </c>
      <c r="W54" s="2"/>
    </row>
    <row r="55" spans="1:23" ht="15.75" x14ac:dyDescent="0.25">
      <c r="E55" s="75"/>
      <c r="F55" s="103"/>
      <c r="G55" s="104">
        <v>35</v>
      </c>
      <c r="H55" s="124">
        <f t="shared" ref="H55:H60" si="14">COS((G55*PI())/180)</f>
        <v>0.8191520442889918</v>
      </c>
      <c r="I55" s="106">
        <f t="shared" ref="I55:I60" si="15">1/COS(G55*PI()/180)</f>
        <v>1.2207745887614561</v>
      </c>
      <c r="J55" s="106">
        <f t="shared" ref="J55:J60" si="16">F55*I55</f>
        <v>0</v>
      </c>
      <c r="K55" s="106"/>
      <c r="L55" s="106"/>
      <c r="M55" s="106">
        <v>3.2</v>
      </c>
      <c r="N55" s="89">
        <v>1.63</v>
      </c>
      <c r="O55" s="107">
        <f t="shared" si="1"/>
        <v>0</v>
      </c>
      <c r="P55" s="89">
        <f t="shared" si="12"/>
        <v>0.95</v>
      </c>
      <c r="Q55" s="89">
        <f t="shared" si="12"/>
        <v>0.75</v>
      </c>
      <c r="R55" s="102" t="str">
        <f>IF(M55&lt;=2.2,M55,"2,2")</f>
        <v>2,2</v>
      </c>
      <c r="S55" s="102"/>
      <c r="T55" s="108">
        <f t="shared" ref="T55:T62" si="17">(J55*R55*P55+(J55*(M55-R55)*Q55))*1.63</f>
        <v>0</v>
      </c>
      <c r="V55" s="2"/>
      <c r="W55" s="2"/>
    </row>
    <row r="56" spans="1:23" ht="15.75" x14ac:dyDescent="0.25">
      <c r="E56" s="89" t="s">
        <v>75</v>
      </c>
      <c r="F56" s="103">
        <v>3085</v>
      </c>
      <c r="G56" s="104">
        <v>25</v>
      </c>
      <c r="H56" s="124">
        <f t="shared" si="14"/>
        <v>0.90630778703664994</v>
      </c>
      <c r="I56" s="106">
        <f t="shared" si="15"/>
        <v>1.1033779189624917</v>
      </c>
      <c r="J56" s="106">
        <f t="shared" si="16"/>
        <v>3403.9208799992871</v>
      </c>
      <c r="K56" s="106"/>
      <c r="L56" s="106"/>
      <c r="M56" s="106">
        <v>7.5</v>
      </c>
      <c r="N56" s="89">
        <v>1.63</v>
      </c>
      <c r="O56" s="107">
        <f t="shared" si="1"/>
        <v>41612.932757991286</v>
      </c>
      <c r="P56" s="89">
        <f t="shared" si="12"/>
        <v>0.95</v>
      </c>
      <c r="Q56" s="89">
        <f t="shared" si="12"/>
        <v>0.75</v>
      </c>
      <c r="R56" s="102">
        <v>3.6</v>
      </c>
      <c r="S56" s="102"/>
      <c r="T56" s="108">
        <f t="shared" si="17"/>
        <v>35204.541113260624</v>
      </c>
      <c r="V56" s="2"/>
      <c r="W56" s="2"/>
    </row>
    <row r="57" spans="1:23" ht="15.75" x14ac:dyDescent="0.25">
      <c r="E57" s="75"/>
      <c r="F57" s="103">
        <v>1600</v>
      </c>
      <c r="G57" s="104">
        <v>25</v>
      </c>
      <c r="H57" s="124">
        <f t="shared" si="14"/>
        <v>0.90630778703664994</v>
      </c>
      <c r="I57" s="106">
        <f t="shared" si="15"/>
        <v>1.1033779189624917</v>
      </c>
      <c r="J57" s="106">
        <f t="shared" si="16"/>
        <v>1765.4046703399868</v>
      </c>
      <c r="K57" s="106"/>
      <c r="L57" s="106"/>
      <c r="M57" s="106">
        <v>7</v>
      </c>
      <c r="N57" s="89">
        <v>1.63</v>
      </c>
      <c r="O57" s="107">
        <f t="shared" si="1"/>
        <v>20143.267288579245</v>
      </c>
      <c r="P57" s="89">
        <f t="shared" si="12"/>
        <v>0.95</v>
      </c>
      <c r="Q57" s="89">
        <f t="shared" si="12"/>
        <v>0.75</v>
      </c>
      <c r="R57" s="102" t="str">
        <f>IF(M57&lt;=2.2,M57,"2,2")</f>
        <v>2,2</v>
      </c>
      <c r="S57" s="102"/>
      <c r="T57" s="108">
        <f t="shared" si="17"/>
        <v>16373.598696002273</v>
      </c>
      <c r="V57" s="2"/>
      <c r="W57" s="2"/>
    </row>
    <row r="58" spans="1:23" ht="15.75" x14ac:dyDescent="0.25">
      <c r="E58" s="89" t="s">
        <v>25</v>
      </c>
      <c r="F58" s="103">
        <v>21383</v>
      </c>
      <c r="G58" s="104">
        <v>15</v>
      </c>
      <c r="H58" s="124">
        <f t="shared" si="14"/>
        <v>0.96592582628906831</v>
      </c>
      <c r="I58" s="106">
        <f t="shared" si="15"/>
        <v>1.035276180410083</v>
      </c>
      <c r="J58" s="106">
        <f t="shared" si="16"/>
        <v>22137.310565708805</v>
      </c>
      <c r="K58" s="106"/>
      <c r="L58" s="106"/>
      <c r="M58" s="106">
        <v>3.6</v>
      </c>
      <c r="N58" s="89">
        <v>1.63</v>
      </c>
      <c r="O58" s="107">
        <f t="shared" si="1"/>
        <v>129901.73839957926</v>
      </c>
      <c r="P58" s="89">
        <f t="shared" si="12"/>
        <v>0.95</v>
      </c>
      <c r="Q58" s="89">
        <f t="shared" si="12"/>
        <v>0.75</v>
      </c>
      <c r="R58" s="102">
        <v>3.2</v>
      </c>
      <c r="S58" s="102"/>
      <c r="T58" s="108">
        <f t="shared" si="17"/>
        <v>120519.94618183187</v>
      </c>
      <c r="V58" s="2"/>
      <c r="W58" s="2"/>
    </row>
    <row r="59" spans="1:23" ht="15.75" x14ac:dyDescent="0.25">
      <c r="E59" s="75"/>
      <c r="F59" s="103"/>
      <c r="G59" s="104">
        <v>35</v>
      </c>
      <c r="H59" s="124">
        <f t="shared" si="14"/>
        <v>0.8191520442889918</v>
      </c>
      <c r="I59" s="106">
        <f t="shared" si="15"/>
        <v>1.2207745887614561</v>
      </c>
      <c r="J59" s="106">
        <f t="shared" si="16"/>
        <v>0</v>
      </c>
      <c r="K59" s="106"/>
      <c r="L59" s="106"/>
      <c r="M59" s="106">
        <v>3.2</v>
      </c>
      <c r="N59" s="89">
        <v>1.63</v>
      </c>
      <c r="O59" s="107">
        <f t="shared" si="1"/>
        <v>0</v>
      </c>
      <c r="P59" s="89">
        <f t="shared" si="12"/>
        <v>0.95</v>
      </c>
      <c r="Q59" s="89">
        <f t="shared" si="12"/>
        <v>0.75</v>
      </c>
      <c r="R59" s="102" t="str">
        <f>IF(M59&lt;=2.2,M59,"2,2")</f>
        <v>2,2</v>
      </c>
      <c r="S59" s="102"/>
      <c r="T59" s="108">
        <f t="shared" si="17"/>
        <v>0</v>
      </c>
      <c r="V59" s="2"/>
      <c r="W59" s="2"/>
    </row>
    <row r="60" spans="1:23" ht="15.75" x14ac:dyDescent="0.25">
      <c r="E60" s="75" t="s">
        <v>21</v>
      </c>
      <c r="F60" s="127">
        <v>12215</v>
      </c>
      <c r="G60" s="128">
        <v>25</v>
      </c>
      <c r="H60" s="129">
        <f t="shared" si="14"/>
        <v>0.90630778703664994</v>
      </c>
      <c r="I60" s="130">
        <f t="shared" si="15"/>
        <v>1.1033779189624917</v>
      </c>
      <c r="J60" s="130">
        <f t="shared" si="16"/>
        <v>13477.761280126837</v>
      </c>
      <c r="K60" s="130"/>
      <c r="L60" s="130"/>
      <c r="M60" s="130">
        <v>3.2</v>
      </c>
      <c r="N60" s="131">
        <v>1.63</v>
      </c>
      <c r="O60" s="132">
        <f t="shared" si="1"/>
        <v>70300.002837141583</v>
      </c>
      <c r="P60" s="131">
        <f t="shared" si="12"/>
        <v>0.95</v>
      </c>
      <c r="Q60" s="131">
        <f t="shared" si="12"/>
        <v>0.75</v>
      </c>
      <c r="R60" s="97" t="str">
        <f>IF(M60&lt;=2.2,M60,"2,2")</f>
        <v>2,2</v>
      </c>
      <c r="S60" s="97"/>
      <c r="T60" s="133">
        <f t="shared" si="17"/>
        <v>62391.252517963141</v>
      </c>
      <c r="V60" s="2"/>
      <c r="W60" s="2"/>
    </row>
    <row r="61" spans="1:23" ht="15.75" x14ac:dyDescent="0.25">
      <c r="E61" s="75"/>
      <c r="F61" s="103">
        <v>3716</v>
      </c>
      <c r="G61" s="104">
        <v>25</v>
      </c>
      <c r="H61" s="124">
        <f>COS((G61*PI())/180)</f>
        <v>0.90630778703664994</v>
      </c>
      <c r="I61" s="106">
        <f>1/COS(G61*PI()/180)</f>
        <v>1.1033779189624917</v>
      </c>
      <c r="J61" s="106">
        <f>F61*I61</f>
        <v>4100.1523468646192</v>
      </c>
      <c r="K61" s="106"/>
      <c r="L61" s="106"/>
      <c r="M61" s="106">
        <v>3.2</v>
      </c>
      <c r="N61" s="89">
        <v>1.63</v>
      </c>
      <c r="O61" s="107">
        <f t="shared" si="1"/>
        <v>21386.394641245854</v>
      </c>
      <c r="P61" s="89">
        <f>P60</f>
        <v>0.95</v>
      </c>
      <c r="Q61" s="89">
        <f>Q60</f>
        <v>0.75</v>
      </c>
      <c r="R61" s="102" t="str">
        <f>IF(M61&lt;=2.2,M61,"2,2")</f>
        <v>2,2</v>
      </c>
      <c r="S61" s="102"/>
      <c r="T61" s="108">
        <f t="shared" si="17"/>
        <v>18980.425244105696</v>
      </c>
      <c r="V61" s="2"/>
      <c r="W61" s="2"/>
    </row>
    <row r="62" spans="1:23" ht="15.75" x14ac:dyDescent="0.25">
      <c r="E62" s="75"/>
      <c r="F62" s="127">
        <v>3200</v>
      </c>
      <c r="G62" s="128"/>
      <c r="H62" s="129">
        <f>COS((G62*PI())/180)</f>
        <v>1</v>
      </c>
      <c r="I62" s="130">
        <f>1/COS(G62*PI()/180)</f>
        <v>1</v>
      </c>
      <c r="J62" s="130">
        <f>F62*I62</f>
        <v>3200</v>
      </c>
      <c r="K62" s="130"/>
      <c r="L62" s="130"/>
      <c r="M62" s="130">
        <v>3.2</v>
      </c>
      <c r="N62" s="131">
        <v>1.63</v>
      </c>
      <c r="O62" s="132">
        <f t="shared" si="1"/>
        <v>16691.199999999997</v>
      </c>
      <c r="P62" s="131">
        <f>P61</f>
        <v>0.95</v>
      </c>
      <c r="Q62" s="131">
        <f>Q61</f>
        <v>0.75</v>
      </c>
      <c r="R62" s="97" t="str">
        <f>IF(M62&lt;=2.2,M62,"2,2")</f>
        <v>2,2</v>
      </c>
      <c r="S62" s="97"/>
      <c r="T62" s="133">
        <f t="shared" si="17"/>
        <v>14813.439999999999</v>
      </c>
      <c r="V62" s="2"/>
      <c r="W62" s="2"/>
    </row>
  </sheetData>
  <mergeCells count="10">
    <mergeCell ref="A2:T2"/>
    <mergeCell ref="R3:T3"/>
    <mergeCell ref="A5:A6"/>
    <mergeCell ref="B5:B6"/>
    <mergeCell ref="C5:D5"/>
    <mergeCell ref="G5:G6"/>
    <mergeCell ref="P5:P6"/>
    <mergeCell ref="Q5:Q6"/>
    <mergeCell ref="R5:R6"/>
    <mergeCell ref="S5:S6"/>
  </mergeCells>
  <conditionalFormatting sqref="B8:B12">
    <cfRule type="cellIs" dxfId="2" priority="1" stopIfTrue="1" operator="equal">
      <formula>"334a"</formula>
    </cfRule>
  </conditionalFormatting>
  <conditionalFormatting sqref="F3">
    <cfRule type="cellIs" dxfId="1" priority="3" stopIfTrue="1" operator="lessThan">
      <formula>-300</formula>
    </cfRule>
  </conditionalFormatting>
  <conditionalFormatting sqref="H3">
    <cfRule type="cellIs" dxfId="0" priority="2" stopIfTrue="1" operator="greaterThan">
      <formula>60</formula>
    </cfRule>
  </conditionalFormatting>
  <pageMargins left="0.7" right="0.7" top="0.75" bottom="0.75" header="0.3" footer="0.3"/>
  <ignoredErrors>
    <ignoredError sqref="P28:Q28 P33:Q33 P40:Q40 T23:T24 T46 P51:Q51 T19 P18:Q19 T14 P16:Q16 P23:Q2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DBEB-6423-4EC8-92EF-5A551E90643A}">
  <sheetPr codeName="Sheet3"/>
  <dimension ref="A2:K37"/>
  <sheetViews>
    <sheetView view="pageBreakPreview" zoomScale="115" zoomScaleNormal="100" zoomScaleSheetLayoutView="115" workbookViewId="0">
      <selection activeCell="V33" sqref="V33"/>
    </sheetView>
  </sheetViews>
  <sheetFormatPr defaultColWidth="9.140625" defaultRowHeight="15" x14ac:dyDescent="0.25"/>
  <cols>
    <col min="1" max="1" width="4.5703125" style="35" customWidth="1"/>
    <col min="2" max="2" width="21.140625" style="33" customWidth="1"/>
    <col min="3" max="3" width="8.42578125" style="33" customWidth="1"/>
    <col min="4" max="4" width="10.28515625" style="33" customWidth="1"/>
    <col min="5" max="5" width="15.28515625" style="33" customWidth="1"/>
    <col min="6" max="6" width="9.42578125" style="33" customWidth="1"/>
    <col min="7" max="7" width="10.28515625" style="33" customWidth="1"/>
    <col min="8" max="8" width="11.7109375" style="33" customWidth="1"/>
    <col min="9" max="16384" width="9.140625" style="33"/>
  </cols>
  <sheetData>
    <row r="2" spans="1:11" ht="15.75" x14ac:dyDescent="0.25">
      <c r="A2" s="847" t="s">
        <v>105</v>
      </c>
      <c r="B2" s="847"/>
      <c r="C2" s="847"/>
      <c r="D2" s="847"/>
      <c r="E2" s="847" t="s">
        <v>87</v>
      </c>
      <c r="F2" s="847"/>
      <c r="G2" s="847"/>
      <c r="H2" s="847"/>
      <c r="I2" s="32"/>
      <c r="J2" s="32"/>
      <c r="K2" s="32"/>
    </row>
    <row r="3" spans="1:11" ht="15.75" x14ac:dyDescent="0.25">
      <c r="A3" s="847" t="s">
        <v>88</v>
      </c>
      <c r="B3" s="847"/>
      <c r="C3" s="847"/>
      <c r="D3" s="847"/>
      <c r="E3" s="847" t="s">
        <v>89</v>
      </c>
      <c r="F3" s="847"/>
      <c r="G3" s="847"/>
      <c r="H3" s="847"/>
      <c r="I3" s="32"/>
      <c r="J3" s="32"/>
      <c r="K3" s="32"/>
    </row>
    <row r="4" spans="1:11" ht="3" customHeight="1" x14ac:dyDescent="0.25">
      <c r="A4" s="34"/>
      <c r="B4"/>
      <c r="C4"/>
      <c r="D4"/>
      <c r="E4"/>
    </row>
    <row r="5" spans="1:11" x14ac:dyDescent="0.25">
      <c r="A5" s="1014" t="s">
        <v>134</v>
      </c>
      <c r="B5" s="1014"/>
      <c r="C5" s="1014"/>
      <c r="D5" s="1014"/>
      <c r="E5"/>
    </row>
    <row r="7" spans="1:11" ht="18.75" x14ac:dyDescent="0.3">
      <c r="A7" s="985" t="s">
        <v>106</v>
      </c>
      <c r="B7" s="985"/>
      <c r="C7" s="985"/>
      <c r="D7" s="985"/>
      <c r="E7" s="985"/>
      <c r="F7" s="985"/>
      <c r="G7" s="985"/>
      <c r="H7" s="985"/>
    </row>
    <row r="8" spans="1:11" s="36" customFormat="1" ht="15.75" x14ac:dyDescent="0.25">
      <c r="A8" s="986" t="s">
        <v>107</v>
      </c>
      <c r="B8" s="986"/>
      <c r="C8" s="986"/>
      <c r="D8" s="986"/>
      <c r="E8" s="986"/>
      <c r="F8" s="986"/>
      <c r="G8" s="986"/>
      <c r="H8" s="986"/>
    </row>
    <row r="9" spans="1:11" s="36" customFormat="1" ht="36" customHeight="1" x14ac:dyDescent="0.25">
      <c r="A9" s="1008" t="s">
        <v>111</v>
      </c>
      <c r="B9" s="986"/>
      <c r="C9" s="986"/>
      <c r="D9" s="986"/>
      <c r="E9" s="986"/>
      <c r="F9" s="986"/>
      <c r="G9" s="986"/>
      <c r="H9" s="986"/>
    </row>
    <row r="10" spans="1:11" s="36" customFormat="1" ht="15.75" x14ac:dyDescent="0.25">
      <c r="A10" s="1006" t="s">
        <v>112</v>
      </c>
      <c r="B10" s="1006"/>
      <c r="C10" s="1006"/>
      <c r="D10" s="1006"/>
      <c r="E10" s="1006"/>
      <c r="F10" s="1006"/>
      <c r="G10" s="1006"/>
      <c r="H10" s="1006"/>
    </row>
    <row r="11" spans="1:11" s="36" customFormat="1" ht="15.75" x14ac:dyDescent="0.25">
      <c r="A11" s="1006" t="s">
        <v>113</v>
      </c>
      <c r="B11" s="1006"/>
      <c r="C11" s="1006"/>
      <c r="D11" s="1006"/>
      <c r="E11" s="1006"/>
      <c r="F11" s="1006"/>
      <c r="G11" s="1006"/>
      <c r="H11" s="1006"/>
    </row>
    <row r="12" spans="1:11" s="36" customFormat="1" ht="15.75" x14ac:dyDescent="0.25">
      <c r="A12" s="1006" t="s">
        <v>122</v>
      </c>
      <c r="B12" s="1006"/>
      <c r="C12" s="1006"/>
      <c r="D12" s="1006"/>
      <c r="E12" s="1006"/>
      <c r="F12" s="1006"/>
      <c r="G12" s="1006"/>
      <c r="H12" s="1006"/>
    </row>
    <row r="13" spans="1:11" s="36" customFormat="1" ht="36" customHeight="1" x14ac:dyDescent="0.25">
      <c r="A13" s="1009" t="s">
        <v>114</v>
      </c>
      <c r="B13" s="1009"/>
      <c r="C13" s="1009"/>
      <c r="D13" s="1009"/>
      <c r="E13" s="1009"/>
      <c r="F13" s="1009"/>
      <c r="G13" s="1009"/>
      <c r="H13" s="1009"/>
    </row>
    <row r="14" spans="1:11" s="36" customFormat="1" ht="15.75" x14ac:dyDescent="0.25">
      <c r="A14" s="37"/>
      <c r="B14" s="37"/>
      <c r="C14" s="37"/>
      <c r="D14" s="37"/>
      <c r="E14" s="37"/>
      <c r="F14" s="37"/>
      <c r="G14" s="37"/>
      <c r="H14" s="37"/>
    </row>
    <row r="15" spans="1:11" s="36" customFormat="1" ht="31.5" customHeight="1" x14ac:dyDescent="0.25">
      <c r="A15" s="1012" t="s">
        <v>109</v>
      </c>
      <c r="B15" s="1011" t="s">
        <v>102</v>
      </c>
      <c r="C15" s="1012" t="s">
        <v>100</v>
      </c>
      <c r="D15" s="1013" t="s">
        <v>103</v>
      </c>
      <c r="E15" s="1013" t="s">
        <v>123</v>
      </c>
      <c r="F15" s="1013" t="s">
        <v>110</v>
      </c>
      <c r="G15" s="1013"/>
      <c r="H15" s="1013" t="s">
        <v>101</v>
      </c>
    </row>
    <row r="16" spans="1:11" s="36" customFormat="1" ht="15.75" x14ac:dyDescent="0.25">
      <c r="A16" s="1012"/>
      <c r="B16" s="1011"/>
      <c r="C16" s="1012"/>
      <c r="D16" s="1013"/>
      <c r="E16" s="1013"/>
      <c r="F16" s="38" t="s">
        <v>104</v>
      </c>
      <c r="G16" s="38" t="s">
        <v>13</v>
      </c>
      <c r="H16" s="1013"/>
    </row>
    <row r="17" spans="1:8" s="42" customFormat="1" ht="15.75" x14ac:dyDescent="0.25">
      <c r="A17" s="39"/>
      <c r="B17" s="40" t="s">
        <v>108</v>
      </c>
      <c r="C17" s="40"/>
      <c r="D17" s="40"/>
      <c r="E17" s="40"/>
      <c r="F17" s="39"/>
      <c r="G17" s="41" t="s">
        <v>6</v>
      </c>
      <c r="H17" s="40"/>
    </row>
    <row r="18" spans="1:8" s="36" customFormat="1" ht="15.75" x14ac:dyDescent="0.25">
      <c r="A18" s="43"/>
      <c r="B18" s="44" t="s">
        <v>97</v>
      </c>
      <c r="C18" s="45">
        <v>20000</v>
      </c>
      <c r="D18" s="45">
        <v>10000</v>
      </c>
      <c r="E18" s="45"/>
      <c r="F18" s="45"/>
      <c r="G18" s="45" t="s">
        <v>39</v>
      </c>
      <c r="H18" s="44"/>
    </row>
    <row r="19" spans="1:8" s="36" customFormat="1" ht="15.75" x14ac:dyDescent="0.25">
      <c r="A19" s="43"/>
      <c r="B19" s="44" t="s">
        <v>43</v>
      </c>
      <c r="C19" s="46">
        <v>20</v>
      </c>
      <c r="D19" s="46">
        <v>50</v>
      </c>
      <c r="E19" s="47" t="s">
        <v>8</v>
      </c>
      <c r="F19" s="47">
        <f>C19</f>
        <v>20</v>
      </c>
      <c r="G19" s="45" t="s">
        <v>38</v>
      </c>
      <c r="H19" s="44"/>
    </row>
    <row r="20" spans="1:8" s="36" customFormat="1" ht="15.75" x14ac:dyDescent="0.25">
      <c r="A20" s="43"/>
      <c r="B20" s="44" t="s">
        <v>15</v>
      </c>
      <c r="C20" s="46">
        <v>30</v>
      </c>
      <c r="D20" s="46">
        <v>10</v>
      </c>
      <c r="E20" s="47" t="s">
        <v>37</v>
      </c>
      <c r="F20" s="47">
        <f>C20</f>
        <v>30</v>
      </c>
      <c r="G20" s="45" t="s">
        <v>124</v>
      </c>
      <c r="H20" s="44"/>
    </row>
    <row r="21" spans="1:8" s="36" customFormat="1" ht="15.75" x14ac:dyDescent="0.25">
      <c r="A21" s="43"/>
      <c r="B21" s="44" t="s">
        <v>98</v>
      </c>
      <c r="C21" s="46">
        <v>20</v>
      </c>
      <c r="D21" s="46">
        <v>30</v>
      </c>
      <c r="E21" s="46">
        <f>D21-C21</f>
        <v>10</v>
      </c>
      <c r="F21" s="46"/>
      <c r="G21" s="45" t="s">
        <v>125</v>
      </c>
      <c r="H21" s="44"/>
    </row>
    <row r="22" spans="1:8" s="36" customFormat="1" ht="15.75" x14ac:dyDescent="0.25">
      <c r="A22" s="43"/>
      <c r="B22" s="44" t="s">
        <v>99</v>
      </c>
      <c r="C22" s="46">
        <v>50</v>
      </c>
      <c r="D22" s="46">
        <v>40</v>
      </c>
      <c r="E22" s="46">
        <f>D22-C22</f>
        <v>-10</v>
      </c>
      <c r="F22" s="46"/>
      <c r="G22" s="45" t="s">
        <v>126</v>
      </c>
      <c r="H22" s="44"/>
    </row>
    <row r="23" spans="1:8" s="36" customFormat="1" ht="15.75" x14ac:dyDescent="0.25">
      <c r="A23" s="50"/>
      <c r="B23" s="51" t="s">
        <v>129</v>
      </c>
      <c r="C23" s="52"/>
      <c r="D23" s="52"/>
      <c r="E23" s="52"/>
      <c r="F23" s="52" t="s">
        <v>130</v>
      </c>
      <c r="G23" s="53" t="s">
        <v>130</v>
      </c>
      <c r="H23" s="51"/>
    </row>
    <row r="24" spans="1:8" s="36" customFormat="1" ht="15.75" x14ac:dyDescent="0.25">
      <c r="A24" s="48"/>
      <c r="B24" s="49"/>
      <c r="C24" s="49"/>
      <c r="D24" s="49"/>
      <c r="E24" s="49"/>
      <c r="F24" s="49"/>
      <c r="G24" s="49"/>
      <c r="H24" s="49"/>
    </row>
    <row r="25" spans="1:8" s="36" customFormat="1" ht="15.75" x14ac:dyDescent="0.25">
      <c r="A25" s="1007" t="s">
        <v>127</v>
      </c>
      <c r="B25" s="1007"/>
      <c r="C25" s="1007"/>
      <c r="D25" s="1007"/>
      <c r="E25" s="1007"/>
      <c r="F25" s="1007"/>
      <c r="G25" s="1007"/>
      <c r="H25" s="1007"/>
    </row>
    <row r="26" spans="1:8" s="36" customFormat="1" ht="15.75" x14ac:dyDescent="0.25">
      <c r="A26" s="986" t="s">
        <v>128</v>
      </c>
      <c r="B26" s="986"/>
      <c r="C26" s="986"/>
      <c r="D26" s="986"/>
      <c r="E26" s="986"/>
      <c r="F26" s="986"/>
      <c r="G26" s="986"/>
      <c r="H26" s="986"/>
    </row>
    <row r="27" spans="1:8" s="36" customFormat="1" ht="15.75" x14ac:dyDescent="0.25">
      <c r="A27" s="1010" t="s">
        <v>115</v>
      </c>
      <c r="B27" s="1010"/>
      <c r="C27" s="1010"/>
      <c r="D27" s="1010"/>
      <c r="E27" s="1010"/>
      <c r="F27" s="1010"/>
      <c r="G27" s="1010"/>
      <c r="H27" s="1010"/>
    </row>
    <row r="28" spans="1:8" s="36" customFormat="1" ht="15.75" x14ac:dyDescent="0.25">
      <c r="A28" s="1010" t="s">
        <v>132</v>
      </c>
      <c r="B28" s="1010"/>
      <c r="C28" s="1010"/>
      <c r="D28" s="1010"/>
      <c r="E28" s="1010"/>
      <c r="F28" s="1010"/>
      <c r="G28" s="1010"/>
      <c r="H28" s="1010"/>
    </row>
    <row r="29" spans="1:8" s="36" customFormat="1" ht="15.75" x14ac:dyDescent="0.25">
      <c r="A29" s="37"/>
    </row>
    <row r="30" spans="1:8" s="36" customFormat="1" ht="18.75" customHeight="1" x14ac:dyDescent="0.25">
      <c r="A30" s="37"/>
      <c r="B30" s="36" t="s">
        <v>117</v>
      </c>
      <c r="F30" s="988" t="s">
        <v>116</v>
      </c>
      <c r="G30" s="988"/>
      <c r="H30" s="988"/>
    </row>
    <row r="31" spans="1:8" ht="18.75" customHeight="1" x14ac:dyDescent="0.25">
      <c r="B31" s="33" t="s">
        <v>121</v>
      </c>
    </row>
    <row r="32" spans="1:8" ht="18.75" customHeight="1" x14ac:dyDescent="0.25">
      <c r="B32" s="33" t="s">
        <v>118</v>
      </c>
    </row>
    <row r="33" spans="2:2" ht="18.75" customHeight="1" x14ac:dyDescent="0.25">
      <c r="B33" s="33" t="s">
        <v>121</v>
      </c>
    </row>
    <row r="34" spans="2:2" ht="18.75" customHeight="1" x14ac:dyDescent="0.25">
      <c r="B34" s="33" t="s">
        <v>119</v>
      </c>
    </row>
    <row r="35" spans="2:2" ht="18.75" customHeight="1" x14ac:dyDescent="0.25">
      <c r="B35" s="33" t="s">
        <v>121</v>
      </c>
    </row>
    <row r="36" spans="2:2" ht="18.75" customHeight="1" x14ac:dyDescent="0.25">
      <c r="B36" s="33" t="s">
        <v>120</v>
      </c>
    </row>
    <row r="37" spans="2:2" ht="18.75" customHeight="1" x14ac:dyDescent="0.25">
      <c r="B37" s="33" t="s">
        <v>121</v>
      </c>
    </row>
  </sheetData>
  <mergeCells count="24">
    <mergeCell ref="A3:D3"/>
    <mergeCell ref="A2:D2"/>
    <mergeCell ref="A5:D5"/>
    <mergeCell ref="E2:H2"/>
    <mergeCell ref="E3:H3"/>
    <mergeCell ref="A7:H7"/>
    <mergeCell ref="A8:H8"/>
    <mergeCell ref="B15:B16"/>
    <mergeCell ref="C15:C16"/>
    <mergeCell ref="D15:D16"/>
    <mergeCell ref="E15:E16"/>
    <mergeCell ref="H15:H16"/>
    <mergeCell ref="A15:A16"/>
    <mergeCell ref="F15:G15"/>
    <mergeCell ref="F30:H30"/>
    <mergeCell ref="A12:H12"/>
    <mergeCell ref="A25:H25"/>
    <mergeCell ref="A26:H26"/>
    <mergeCell ref="A9:H9"/>
    <mergeCell ref="A10:H10"/>
    <mergeCell ref="A11:H11"/>
    <mergeCell ref="A13:H13"/>
    <mergeCell ref="A27:H27"/>
    <mergeCell ref="A28:H28"/>
  </mergeCells>
  <pageMargins left="0.7" right="0.4" top="0.49" bottom="0.75" header="0.41" footer="0.3"/>
  <pageSetup paperSize="9" orientation="portrait" verticalDpi="4294967295"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35743-FBAF-4D3C-B55B-381D097EA754}">
  <sheetPr codeName="Sheet4"/>
  <dimension ref="A2:K34"/>
  <sheetViews>
    <sheetView view="pageBreakPreview" zoomScale="115" zoomScaleNormal="100" zoomScaleSheetLayoutView="115" workbookViewId="0">
      <selection activeCell="V33" sqref="V33"/>
    </sheetView>
  </sheetViews>
  <sheetFormatPr defaultColWidth="9.140625" defaultRowHeight="15" x14ac:dyDescent="0.25"/>
  <cols>
    <col min="1" max="1" width="4.5703125" style="35" customWidth="1"/>
    <col min="2" max="2" width="21.140625" style="33" customWidth="1"/>
    <col min="3" max="3" width="8.42578125" style="33" customWidth="1"/>
    <col min="4" max="4" width="10.28515625" style="33" customWidth="1"/>
    <col min="5" max="5" width="15.28515625" style="33" customWidth="1"/>
    <col min="6" max="6" width="9.42578125" style="33" customWidth="1"/>
    <col min="7" max="7" width="10.28515625" style="33" customWidth="1"/>
    <col min="8" max="8" width="11.7109375" style="33" customWidth="1"/>
    <col min="9" max="16384" width="9.140625" style="33"/>
  </cols>
  <sheetData>
    <row r="2" spans="1:11" ht="15.75" x14ac:dyDescent="0.25">
      <c r="A2" s="847" t="s">
        <v>105</v>
      </c>
      <c r="B2" s="847"/>
      <c r="C2" s="847"/>
      <c r="D2" s="847"/>
      <c r="E2" s="847" t="s">
        <v>87</v>
      </c>
      <c r="F2" s="847"/>
      <c r="G2" s="847"/>
      <c r="H2" s="847"/>
      <c r="I2" s="32"/>
      <c r="J2" s="32"/>
      <c r="K2" s="32"/>
    </row>
    <row r="3" spans="1:11" ht="15.75" x14ac:dyDescent="0.25">
      <c r="A3" s="847" t="s">
        <v>88</v>
      </c>
      <c r="B3" s="847"/>
      <c r="C3" s="847"/>
      <c r="D3" s="847"/>
      <c r="E3" s="847" t="s">
        <v>89</v>
      </c>
      <c r="F3" s="847"/>
      <c r="G3" s="847"/>
      <c r="H3" s="847"/>
      <c r="I3" s="32"/>
      <c r="J3" s="32"/>
      <c r="K3" s="32"/>
    </row>
    <row r="4" spans="1:11" ht="3" customHeight="1" x14ac:dyDescent="0.25">
      <c r="A4" s="34"/>
      <c r="B4"/>
      <c r="C4"/>
      <c r="D4"/>
      <c r="E4"/>
    </row>
    <row r="5" spans="1:11" x14ac:dyDescent="0.25">
      <c r="A5" s="1014" t="s">
        <v>133</v>
      </c>
      <c r="B5" s="1014"/>
      <c r="C5" s="1014"/>
      <c r="D5" s="1014"/>
      <c r="E5"/>
    </row>
    <row r="7" spans="1:11" ht="18.75" x14ac:dyDescent="0.3">
      <c r="A7" s="985" t="s">
        <v>106</v>
      </c>
      <c r="B7" s="985"/>
      <c r="C7" s="985"/>
      <c r="D7" s="985"/>
      <c r="E7" s="985"/>
      <c r="F7" s="985"/>
      <c r="G7" s="985"/>
      <c r="H7" s="985"/>
    </row>
    <row r="8" spans="1:11" s="36" customFormat="1" ht="15.75" x14ac:dyDescent="0.25">
      <c r="A8" s="986" t="s">
        <v>107</v>
      </c>
      <c r="B8" s="986"/>
      <c r="C8" s="986"/>
      <c r="D8" s="986"/>
      <c r="E8" s="986"/>
      <c r="F8" s="986"/>
      <c r="G8" s="986"/>
      <c r="H8" s="986"/>
    </row>
    <row r="9" spans="1:11" s="36" customFormat="1" ht="36" customHeight="1" x14ac:dyDescent="0.25">
      <c r="A9" s="1008" t="s">
        <v>111</v>
      </c>
      <c r="B9" s="986"/>
      <c r="C9" s="986"/>
      <c r="D9" s="986"/>
      <c r="E9" s="986"/>
      <c r="F9" s="986"/>
      <c r="G9" s="986"/>
      <c r="H9" s="986"/>
    </row>
    <row r="10" spans="1:11" s="36" customFormat="1" ht="15.75" x14ac:dyDescent="0.25">
      <c r="A10" s="1006" t="s">
        <v>112</v>
      </c>
      <c r="B10" s="1006"/>
      <c r="C10" s="1006"/>
      <c r="D10" s="1006"/>
      <c r="E10" s="1006"/>
      <c r="F10" s="1006"/>
      <c r="G10" s="1006"/>
      <c r="H10" s="1006"/>
    </row>
    <row r="11" spans="1:11" s="36" customFormat="1" ht="15.75" x14ac:dyDescent="0.25">
      <c r="A11" s="1006" t="s">
        <v>113</v>
      </c>
      <c r="B11" s="1006"/>
      <c r="C11" s="1006"/>
      <c r="D11" s="1006"/>
      <c r="E11" s="1006"/>
      <c r="F11" s="1006"/>
      <c r="G11" s="1006"/>
      <c r="H11" s="1006"/>
    </row>
    <row r="12" spans="1:11" s="36" customFormat="1" ht="15.75" x14ac:dyDescent="0.25">
      <c r="A12" s="1006" t="s">
        <v>122</v>
      </c>
      <c r="B12" s="1006"/>
      <c r="C12" s="1006"/>
      <c r="D12" s="1006"/>
      <c r="E12" s="1006"/>
      <c r="F12" s="1006"/>
      <c r="G12" s="1006"/>
      <c r="H12" s="1006"/>
    </row>
    <row r="13" spans="1:11" s="36" customFormat="1" ht="36" customHeight="1" x14ac:dyDescent="0.25">
      <c r="A13" s="1009" t="s">
        <v>114</v>
      </c>
      <c r="B13" s="1009"/>
      <c r="C13" s="1009"/>
      <c r="D13" s="1009"/>
      <c r="E13" s="1009"/>
      <c r="F13" s="1009"/>
      <c r="G13" s="1009"/>
      <c r="H13" s="1009"/>
    </row>
    <row r="14" spans="1:11" s="36" customFormat="1" ht="15.75" x14ac:dyDescent="0.25">
      <c r="A14" s="37"/>
      <c r="B14" s="37"/>
      <c r="C14" s="37"/>
      <c r="D14" s="37"/>
      <c r="E14" s="37"/>
      <c r="F14" s="37"/>
      <c r="G14" s="37"/>
      <c r="H14" s="37"/>
    </row>
    <row r="15" spans="1:11" s="36" customFormat="1" ht="31.5" customHeight="1" x14ac:dyDescent="0.25">
      <c r="A15" s="1012" t="s">
        <v>109</v>
      </c>
      <c r="B15" s="1011" t="s">
        <v>102</v>
      </c>
      <c r="C15" s="1012" t="s">
        <v>100</v>
      </c>
      <c r="D15" s="1013" t="s">
        <v>103</v>
      </c>
      <c r="E15" s="1013" t="s">
        <v>123</v>
      </c>
      <c r="F15" s="1013" t="s">
        <v>110</v>
      </c>
      <c r="G15" s="1013"/>
      <c r="H15" s="1013" t="s">
        <v>101</v>
      </c>
    </row>
    <row r="16" spans="1:11" s="36" customFormat="1" ht="15.75" x14ac:dyDescent="0.25">
      <c r="A16" s="1012"/>
      <c r="B16" s="1011"/>
      <c r="C16" s="1012"/>
      <c r="D16" s="1013"/>
      <c r="E16" s="1013"/>
      <c r="F16" s="38" t="s">
        <v>104</v>
      </c>
      <c r="G16" s="38" t="s">
        <v>13</v>
      </c>
      <c r="H16" s="1013"/>
    </row>
    <row r="17" spans="1:8" s="42" customFormat="1" ht="15.75" x14ac:dyDescent="0.25">
      <c r="A17" s="39"/>
      <c r="B17" s="40" t="s">
        <v>108</v>
      </c>
      <c r="C17" s="40"/>
      <c r="D17" s="40"/>
      <c r="E17" s="40"/>
      <c r="F17" s="39"/>
      <c r="G17" s="41"/>
      <c r="H17" s="40"/>
    </row>
    <row r="18" spans="1:8" s="36" customFormat="1" ht="15.75" x14ac:dyDescent="0.25">
      <c r="A18" s="43"/>
      <c r="B18" s="44" t="s">
        <v>43</v>
      </c>
      <c r="C18" s="46">
        <v>20</v>
      </c>
      <c r="D18" s="46">
        <v>50</v>
      </c>
      <c r="E18" s="47" t="s">
        <v>8</v>
      </c>
      <c r="F18" s="54" t="s">
        <v>135</v>
      </c>
      <c r="G18" s="45"/>
      <c r="H18" s="44"/>
    </row>
    <row r="19" spans="1:8" s="36" customFormat="1" ht="15.75" x14ac:dyDescent="0.25">
      <c r="A19" s="43"/>
      <c r="B19" s="44" t="s">
        <v>15</v>
      </c>
      <c r="C19" s="46">
        <v>30</v>
      </c>
      <c r="D19" s="46">
        <v>40</v>
      </c>
      <c r="E19" s="47" t="s">
        <v>37</v>
      </c>
      <c r="F19" s="47">
        <f>C19</f>
        <v>30</v>
      </c>
      <c r="G19" s="45"/>
      <c r="H19" s="44"/>
    </row>
    <row r="20" spans="1:8" s="36" customFormat="1" ht="15.75" x14ac:dyDescent="0.25">
      <c r="A20" s="50"/>
      <c r="B20" s="51" t="s">
        <v>129</v>
      </c>
      <c r="C20" s="52"/>
      <c r="D20" s="52"/>
      <c r="E20" s="52"/>
      <c r="F20" s="52" t="s">
        <v>130</v>
      </c>
      <c r="G20" s="53" t="s">
        <v>130</v>
      </c>
      <c r="H20" s="51"/>
    </row>
    <row r="21" spans="1:8" s="36" customFormat="1" ht="15.75" x14ac:dyDescent="0.25">
      <c r="A21" s="48"/>
      <c r="B21" s="49"/>
      <c r="C21" s="49"/>
      <c r="D21" s="49"/>
      <c r="E21" s="49"/>
      <c r="F21" s="49"/>
      <c r="G21" s="49"/>
      <c r="H21" s="49"/>
    </row>
    <row r="22" spans="1:8" s="36" customFormat="1" ht="15.75" x14ac:dyDescent="0.25">
      <c r="A22" s="1007" t="s">
        <v>131</v>
      </c>
      <c r="B22" s="1007"/>
      <c r="C22" s="1007"/>
      <c r="D22" s="1007"/>
      <c r="E22" s="1007"/>
      <c r="F22" s="1007"/>
      <c r="G22" s="1007"/>
      <c r="H22" s="1007"/>
    </row>
    <row r="23" spans="1:8" s="36" customFormat="1" ht="9" customHeight="1" x14ac:dyDescent="0.25">
      <c r="A23" s="986"/>
      <c r="B23" s="986"/>
      <c r="C23" s="986"/>
      <c r="D23" s="986"/>
      <c r="E23" s="986"/>
      <c r="F23" s="986"/>
      <c r="G23" s="986"/>
      <c r="H23" s="986"/>
    </row>
    <row r="24" spans="1:8" s="36" customFormat="1" ht="15.75" x14ac:dyDescent="0.25">
      <c r="A24" s="1010" t="s">
        <v>115</v>
      </c>
      <c r="B24" s="1010"/>
      <c r="C24" s="1010"/>
      <c r="D24" s="1010"/>
      <c r="E24" s="1010"/>
      <c r="F24" s="1010"/>
      <c r="G24" s="1010"/>
      <c r="H24" s="1010"/>
    </row>
    <row r="25" spans="1:8" s="36" customFormat="1" ht="15.75" x14ac:dyDescent="0.25">
      <c r="A25" s="1010" t="s">
        <v>132</v>
      </c>
      <c r="B25" s="1010"/>
      <c r="C25" s="1010"/>
      <c r="D25" s="1010"/>
      <c r="E25" s="1010"/>
      <c r="F25" s="1010"/>
      <c r="G25" s="1010"/>
      <c r="H25" s="1010"/>
    </row>
    <row r="26" spans="1:8" s="36" customFormat="1" ht="15.75" x14ac:dyDescent="0.25">
      <c r="A26" s="37"/>
    </row>
    <row r="27" spans="1:8" s="36" customFormat="1" ht="18.75" customHeight="1" x14ac:dyDescent="0.25">
      <c r="A27" s="37"/>
      <c r="B27" s="36" t="s">
        <v>117</v>
      </c>
      <c r="F27" s="988" t="s">
        <v>116</v>
      </c>
      <c r="G27" s="988"/>
      <c r="H27" s="988"/>
    </row>
    <row r="28" spans="1:8" ht="18.75" customHeight="1" x14ac:dyDescent="0.25">
      <c r="B28" s="33" t="s">
        <v>121</v>
      </c>
    </row>
    <row r="29" spans="1:8" ht="18.75" customHeight="1" x14ac:dyDescent="0.25">
      <c r="B29" s="33" t="s">
        <v>118</v>
      </c>
    </row>
    <row r="30" spans="1:8" ht="18.75" customHeight="1" x14ac:dyDescent="0.25">
      <c r="B30" s="33" t="s">
        <v>121</v>
      </c>
    </row>
    <row r="31" spans="1:8" ht="18.75" customHeight="1" x14ac:dyDescent="0.25">
      <c r="B31" s="33" t="s">
        <v>119</v>
      </c>
    </row>
    <row r="32" spans="1:8" ht="18.75" customHeight="1" x14ac:dyDescent="0.25">
      <c r="B32" s="33" t="s">
        <v>121</v>
      </c>
    </row>
    <row r="33" spans="2:2" ht="18.75" customHeight="1" x14ac:dyDescent="0.25">
      <c r="B33" s="33" t="s">
        <v>120</v>
      </c>
    </row>
    <row r="34" spans="2:2" ht="18.75" customHeight="1" x14ac:dyDescent="0.25">
      <c r="B34" s="33" t="s">
        <v>121</v>
      </c>
    </row>
  </sheetData>
  <mergeCells count="24">
    <mergeCell ref="A13:H13"/>
    <mergeCell ref="A2:D2"/>
    <mergeCell ref="E2:H2"/>
    <mergeCell ref="A3:D3"/>
    <mergeCell ref="E3:H3"/>
    <mergeCell ref="A5:D5"/>
    <mergeCell ref="A7:H7"/>
    <mergeCell ref="A8:H8"/>
    <mergeCell ref="A9:H9"/>
    <mergeCell ref="A10:H10"/>
    <mergeCell ref="A11:H11"/>
    <mergeCell ref="A12:H12"/>
    <mergeCell ref="F27:H27"/>
    <mergeCell ref="A15:A16"/>
    <mergeCell ref="B15:B16"/>
    <mergeCell ref="C15:C16"/>
    <mergeCell ref="D15:D16"/>
    <mergeCell ref="E15:E16"/>
    <mergeCell ref="F15:G15"/>
    <mergeCell ref="H15:H16"/>
    <mergeCell ref="A22:H22"/>
    <mergeCell ref="A23:H23"/>
    <mergeCell ref="A25:H25"/>
    <mergeCell ref="A24:H24"/>
  </mergeCells>
  <pageMargins left="0.7" right="0.4" top="0.49" bottom="0.75" header="0.41" footer="0.3"/>
  <pageSetup paperSize="9" orientation="portrait"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BIA</vt:lpstr>
      <vt:lpstr>TONG_HOP</vt:lpstr>
      <vt:lpstr>TH_PX2027</vt:lpstr>
      <vt:lpstr>KH_ĐL</vt:lpstr>
      <vt:lpstr>KH_LC</vt:lpstr>
      <vt:lpstr>TH_G.KHOAN</vt:lpstr>
      <vt:lpstr>DIEN_DP</vt:lpstr>
      <vt:lpstr>TH</vt:lpstr>
      <vt:lpstr>Tinh SL</vt:lpstr>
      <vt:lpstr>Mẫu BB ĐC LC</vt:lpstr>
      <vt:lpstr>Mẫu BB ĐC ĐL</vt:lpstr>
      <vt:lpstr>BIA!Print_Area</vt:lpstr>
      <vt:lpstr>KH_LC!Print_Area</vt:lpstr>
      <vt:lpstr>'Mẫu BB ĐC ĐL'!Print_Area</vt:lpstr>
      <vt:lpstr>'Mẫu BB ĐC LC'!Print_Area</vt:lpstr>
      <vt:lpstr>TH!Print_Area</vt:lpstr>
      <vt:lpstr>TH_G.KHOAN!Print_Area</vt:lpstr>
      <vt:lpstr>TH_PX2027!Print_Area</vt:lpstr>
      <vt:lpstr>KH_LC!Print_Titles</vt:lpstr>
      <vt:lpstr>TH_G.KHOAN!Print_Titles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Thúy Nguyễn Văn</cp:lastModifiedBy>
  <cp:lastPrinted>2026-10-16T03:04:42Z</cp:lastPrinted>
  <dcterms:created xsi:type="dcterms:W3CDTF">2016-10-05T05:29:15Z</dcterms:created>
  <dcterms:modified xsi:type="dcterms:W3CDTF">2026-10-16T03:06:57Z</dcterms:modified>
</cp:coreProperties>
</file>